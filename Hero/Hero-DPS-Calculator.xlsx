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+10/11/12/13/14/15%, every tier its own add-on = 75% at max, user-confirmed 2026-10-21).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SUMPRODUCT((Inputs!$B$3&gt;={108})*{50})</f>
        <v/>
      </c>
      <c r="P5" t="n">
        <v>0</v>
      </c>
      <c r="Q5" t="n">
        <v>0</v>
      </c>
      <c r="R5">
        <f>5+IF(Inputs!$B$3&gt;=100,5,0)</f>
        <v/>
      </c>
      <c r="S5" t="inlineStr"/>
      <c r="T5" t="n">
        <v>0</v>
      </c>
      <c r="U5" t="inlineStr"/>
      <c r="V5" t="inlineStr"/>
      <c r="W5" t="inlineStr">
        <is>
          <t>AUDIT 2026-10-21: the wound's damage-taken debuff discussed below is NO LONGER in this row's MasteryBossDamage%/MasteryNormalDamage% (both now 0) — per the game table it is a global Weakness (10% x factorIndex 21, x1.5 at Lv134), so it is folded into Summary's Global Monster Damage-Taken Bonus (x the wound's uptime, 10s*(1+BDI)/effective cooldown) and benefits every skill; the paragraph below describes the earlier per-row treatment. 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6100</v>
      </c>
      <c r="M7" t="n">
        <v>12</v>
      </c>
      <c r="N7" t="b">
        <v>1</v>
      </c>
      <c r="O7">
        <f>SUMPRODUCT((Inputs!$B$3&gt;={122})*{50})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f>IF(Inputs!$B$3&gt;=104,16*0.7,16)</f>
        <v/>
      </c>
      <c r="E9" t="b">
        <v>1</v>
      </c>
      <c r="F9" t="n">
        <v>1</v>
      </c>
      <c r="G9">
        <f>4+IF(Inputs!$B$3&gt;=94,1,0)</f>
        <v/>
      </c>
      <c r="H9" t="n">
        <v>0</v>
      </c>
      <c r="I9" t="n">
        <v>0</v>
      </c>
      <c r="J9" t="n">
        <v>100</v>
      </c>
      <c r="K9" t="n">
        <v>1</v>
      </c>
      <c r="L9" t="n">
        <v>2500</v>
      </c>
      <c r="M9" t="n">
        <v>12</v>
      </c>
      <c r="N9" t="b">
        <v>1</v>
      </c>
      <c r="O9">
        <f>SUMPRODUCT((Inputs!$B$3&gt;={73})*{50})</f>
        <v/>
      </c>
      <c r="P9" t="n">
        <v>0</v>
      </c>
      <c r="Q9" t="n">
        <v>0</v>
      </c>
      <c r="R9" t="n">
        <v>8</v>
      </c>
      <c r="S9" t="inlineStr"/>
      <c r="T9" t="n">
        <v>0</v>
      </c>
      <c r="U9" t="n">
        <v>200</v>
      </c>
      <c r="V9" t="n">
        <v>23</v>
      </c>
      <c r="W9" t="inlineStr">
        <is>
          <t>AUDIT 2026-10-21: previously-missing masteries added: Damage +50% @73, Strike +1 @94, Reuse -30% cooldown @104. 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f>IF(Inputs!$B$3&gt;=90,22*0.7,22)</f>
        <v/>
      </c>
      <c r="E10" t="b">
        <v>1</v>
      </c>
      <c r="F10" t="n">
        <v>1</v>
      </c>
      <c r="G10" t="n">
        <v>1</v>
      </c>
      <c r="H10" t="n">
        <v>0</v>
      </c>
      <c r="I10" t="n">
        <v>0</v>
      </c>
      <c r="J10" t="n">
        <v>100</v>
      </c>
      <c r="K10" t="n">
        <v>1</v>
      </c>
      <c r="L10" t="n">
        <v>6000</v>
      </c>
      <c r="M10" t="n">
        <v>12</v>
      </c>
      <c r="N10" t="b">
        <v>1</v>
      </c>
      <c r="O10">
        <f>SUMPRODUCT((Inputs!$B$3&gt;={68})*{80})</f>
        <v/>
      </c>
      <c r="P10" t="n">
        <v>0</v>
      </c>
      <c r="Q10" t="n">
        <v>0</v>
      </c>
      <c r="R10" t="n">
        <v>12</v>
      </c>
      <c r="S10" t="inlineStr"/>
      <c r="T10" t="n">
        <v>0</v>
      </c>
      <c r="U10" t="n">
        <v>300</v>
      </c>
      <c r="V10" t="n">
        <v>23</v>
      </c>
      <c r="W10" t="inlineStr">
        <is>
          <t>AUDIT 2026-10-21: previously-missing masteries added: Damage +80% @68, Reuse -30% cooldown @90. 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f>SUMPRODUCT((Inputs!$B$3&gt;={49})*{1.5})</f>
        <v/>
      </c>
      <c r="P13" t="n">
        <v>0</v>
      </c>
      <c r="Q13" t="n">
        <v>0</v>
      </c>
      <c r="R13" t="n">
        <v>0</v>
      </c>
      <c r="S13" t="inlineStr">
        <is>
          <t>ATTACK</t>
        </is>
      </c>
      <c r="T13" t="n">
        <v>0</v>
      </c>
      <c r="U13" t="inlineStr"/>
      <c r="V13" t="inlineStr"/>
      <c r="W13" t="inlineStr">
        <is>
          <t>AUDIT 2026-10-21: Mastery Lv49 'Combo Attack - Attack' +1.5%p per stack added; Advanced Combo Lv118 adds +1 max stack (8). 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f>SUMPRODUCT((Inputs!$B$3&gt;={82})*{1})</f>
        <v/>
      </c>
      <c r="P14" t="n">
        <v>0</v>
      </c>
      <c r="Q14" t="n">
        <v>0</v>
      </c>
      <c r="R14" t="n">
        <v>0</v>
      </c>
      <c r="S14" t="inlineStr">
        <is>
          <t>FINAL_DAMAGE</t>
        </is>
      </c>
      <c r="T14" t="n">
        <v>0</v>
      </c>
      <c r="U14" t="inlineStr"/>
      <c r="V14" t="inlineStr"/>
      <c r="W14" t="inlineStr">
        <is>
          <t>AUDIT 2026-10-21: Mastery Lv82 'Combo Synergy - Final Damage' +1%p per stack added. +5%-&gt;8%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f>IF(Inputs!$B$3&gt;=44,45*0.7,45)</f>
        <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25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Skills!G2*IF(Skills!H2&gt;0,IF(Inputs!$B$38="pvp",MIN(Skills!I2,15),Skills!I2)/Skills!H2,1)</f>
        <v/>
      </c>
      <c r="H2">
        <f>1-(1-Skills!J2/100)^Skills!K2</f>
        <v/>
      </c>
      <c r="I2" t="inlineStr">
        <is>
          <t>1</t>
        </is>
      </c>
      <c r="J2">
        <f>Summary!$B$6*(F2/100)</f>
        <v/>
      </c>
      <c r="K2">
        <f>J2*(1+Summary!$B$7/100)*(1+Inputs!$B$15/100)*(1+Inputs!$B$16/100)*(5000/(6000+Inputs!$B$42*(1-(100-(100-(Inputs!$B$19))*(1-IF(Inputs!$B$3&gt;=130,IF(Inputs!$B$3&gt;=118,8,IF(Inputs!$B$3&gt;=110,7,5)),0)/100))/100)))*(1+(Inputs!$B$24+Summary!$B$21)/100)*(1+Artifacts!$B$34/100)*(1+IF(Skills!A2="ENHANCED_RAGING_BLOW",IF(Inputs!$B$3&gt;=138,MAX(0,IF(Inputs!$B$3&gt;=118,8,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(100-(100-(Inputs!$B$19))*(1-IF(Inputs!$B$3&gt;=130,IF(Inputs!$B$3&gt;=118,8,IF(Inputs!$B$3&gt;=110,7,5)),0)/100))/100)*(1-Artifacts!$B$51/100)^IF(Inputs!$B$38="pvp",1,2)))/100)))/(5000/(6000+Inputs!$B$42*(1-(100-(100-(Inputs!$B$19))*(1-IF(Inputs!$B$3&gt;=130,IF(Inputs!$B$3&gt;=118,8,IF(Inputs!$B$3&gt;=110,7,5)),0)/100))/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Skills!G5*IF(Skills!H5&gt;0,IF(Inputs!$B$38="pvp",MIN(Skills!I5,15),Skills!I5)/Skills!H5,1)</f>
        <v/>
      </c>
      <c r="H5">
        <f>1-(1-Skills!J5/100)^Skills!K5</f>
        <v/>
      </c>
      <c r="I5" t="inlineStr">
        <is>
          <t>1</t>
        </is>
      </c>
      <c r="J5">
        <f>Summary!$B$6*(F5/100)</f>
        <v/>
      </c>
      <c r="K5">
        <f>J5*(1+Summary!$B$7/100)*(1+Inputs!$B$15/100)*(1+Inputs!$B$16/100)*(5000/(6000+Inputs!$B$42*(1-(100-(100-(Inputs!$B$19))*(1-IF(Inputs!$B$3&gt;=130,IF(Inputs!$B$3&gt;=118,8,IF(Inputs!$B$3&gt;=110,7,5)),0)/100))/100)))*(1+(Inputs!$B$24+Summary!$B$21)/100)*(1+Artifacts!$B$34/100)*(1+IF(Skills!A5="ENHANCED_RAGING_BLOW",IF(Inputs!$B$3&gt;=138,MAX(0,IF(Inputs!$B$3&gt;=118,8,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$20+Skills!P5+Summary!$B$15+Artifacts!$B$35)/100)*((((5000/(6000+Inputs!$B$42*(1-(100*(1-(1-(100-(100-(Inputs!$B$19))*(1-IF(Inputs!$B$3&gt;=130,IF(Inputs!$B$3&gt;=118,8,IF(Inputs!$B$3&gt;=110,7,5)),0)/100))/100)*(1-Artifacts!$B$51/100)^IF(Inputs!$B$38="pvp",1,2)))/100)))/(5000/(6000+Inputs!$B$42*(1-(100-(100-(Inputs!$B$19))*(1-IF(Inputs!$B$3&gt;=130,IF(Inputs!$B$3&gt;=118,8,IF(Inputs!$B$3&gt;=110,7,5)),0)/100))/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Skills!G6*IF(Skills!H6&gt;0,IF(Inputs!$B$38="pvp",MIN(Skills!I6,15),Skills!I6)/Skills!H6,1)</f>
        <v/>
      </c>
      <c r="H6">
        <f>1-(1-Skills!J6/100)^Skills!K6</f>
        <v/>
      </c>
      <c r="I6" t="inlineStr">
        <is>
          <t>1</t>
        </is>
      </c>
      <c r="J6">
        <f>Summary!$B$6*(F6/100)</f>
        <v/>
      </c>
      <c r="K6">
        <f>J6*(1+Summary!$B$7/100)*(1+Inputs!$B$15/100)*(1+Inputs!$B$16/100)*(5000/(6000+Inputs!$B$42*(1-(100-(100-(Inputs!$B$19))*(1-IF(Inputs!$B$3&gt;=130,IF(Inputs!$B$3&gt;=118,8,IF(Inputs!$B$3&gt;=110,7,5)),0)/100))/100)))*(1+(Inputs!$B$24+Summary!$B$21)/100)*(1+Artifacts!$B$34/100)*(1+IF(Skills!A6="ENHANCED_RAGING_BLOW",IF(Inputs!$B$3&gt;=138,MAX(0,IF(Inputs!$B$3&gt;=118,8,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(100-(100-(Inputs!$B$19))*(1-IF(Inputs!$B$3&gt;=130,IF(Inputs!$B$3&gt;=118,8,IF(Inputs!$B$3&gt;=110,7,5)),0)/100))/100)*(1-Artifacts!$B$51/100)^IF(Inputs!$B$38="pvp",1,2)))/100)))/(5000/(6000+Inputs!$B$42*(1-(100-(100-(Inputs!$B$19))*(1-IF(Inputs!$B$3&gt;=130,IF(Inputs!$B$3&gt;=118,8,IF(Inputs!$B$3&gt;=110,7,5)),0)/100))/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Skills!G7*IF(Skills!H7&gt;0,IF(Inputs!$B$38="pvp",MIN(Skills!I7,15),Skills!I7)/Skills!H7,1)</f>
        <v/>
      </c>
      <c r="H7">
        <f>1-(1-Skills!J7/100)^Skills!K7</f>
        <v/>
      </c>
      <c r="I7" t="inlineStr">
        <is>
          <t>1</t>
        </is>
      </c>
      <c r="J7">
        <f>Summary!$B$6*(F7/100)</f>
        <v/>
      </c>
      <c r="K7">
        <f>J7*(1+Summary!$B$7/100)*(1+Inputs!$B$15/100)*(1+Inputs!$B$16/100)*(5000/(6000+Inputs!$B$42*(1-(100-(100-(Inputs!$B$19))*(1-IF(Inputs!$B$3&gt;=130,IF(Inputs!$B$3&gt;=118,8,IF(Inputs!$B$3&gt;=110,7,5)),0)/100))/100)))*(1+(Inputs!$B$24+Summary!$B$21)/100)*(1+Artifacts!$B$34/100)*(1+IF(Skills!A7="ENHANCED_RAGING_BLOW",IF(Inputs!$B$3&gt;=138,MAX(0,IF(Inputs!$B$3&gt;=118,8,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(100-(100-(Inputs!$B$19))*(1-IF(Inputs!$B$3&gt;=130,IF(Inputs!$B$3&gt;=118,8,IF(Inputs!$B$3&gt;=110,7,5)),0)/100))/100)*(1-Artifacts!$B$51/100)^IF(Inputs!$B$38="pvp",1,2)))/100)))/(5000/(6000+Inputs!$B$42*(1-(100-(100-(Inputs!$B$19))*(1-IF(Inputs!$B$3&gt;=130,IF(Inputs!$B$3&gt;=118,8,IF(Inputs!$B$3&gt;=110,7,5)),0)/100))/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Skills!G8*IF(Skills!H8&gt;0,IF(Inputs!$B$38="pvp",MIN(Skills!I8,15),Skills!I8)/Skills!H8,1)</f>
        <v/>
      </c>
      <c r="H8">
        <f>1-(1-Skills!J8/100)^Skills!K8</f>
        <v/>
      </c>
      <c r="I8" t="inlineStr">
        <is>
          <t>1</t>
        </is>
      </c>
      <c r="J8">
        <f>Summary!$B$6*(F8/100)</f>
        <v/>
      </c>
      <c r="K8">
        <f>J8*(1+Summary!$B$7/100)*(1+Inputs!$B$15/100)*(1+Inputs!$B$16/100)*(5000/(6000+Inputs!$B$42*(1-(100-(100-(Inputs!$B$19))*(1-IF(Inputs!$B$3&gt;=130,IF(Inputs!$B$3&gt;=118,8,IF(Inputs!$B$3&gt;=110,7,5)),0)/100))/100)))*(1+(Inputs!$B$24+Summary!$B$21)/100)*(1+Artifacts!$B$34/100)*(1+IF(Skills!A8="ENHANCED_RAGING_BLOW",IF(Inputs!$B$3&gt;=138,MAX(0,IF(Inputs!$B$3&gt;=118,8,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$20+Skills!P8+Summary!$B$15+Artifacts!$B$35)/100)*((((5000/(6000+Inputs!$B$42*(1-(100*(1-(1-(100-(100-(Inputs!$B$19))*(1-IF(Inputs!$B$3&gt;=130,IF(Inputs!$B$3&gt;=118,8,IF(Inputs!$B$3&gt;=110,7,5)),0)/100))/100)*(1-Artifacts!$B$51/100)^IF(Inputs!$B$38="pvp",1,2)))/100)))/(5000/(6000+Inputs!$B$42*(1-(100-(100-(Inputs!$B$19))*(1-IF(Inputs!$B$3&gt;=130,IF(Inputs!$B$3&gt;=118,8,IF(Inputs!$B$3&gt;=110,7,5)),0)/100))/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Skills!G9*IF(Skills!H9&gt;0,IF(Inputs!$B$38="pvp",MIN(Skills!I9,15),Skills!I9)/Skills!H9,1)</f>
        <v/>
      </c>
      <c r="H9">
        <f>1-(1-Skills!J9/100)^Skills!K9</f>
        <v/>
      </c>
      <c r="I9" t="inlineStr">
        <is>
          <t>1</t>
        </is>
      </c>
      <c r="J9">
        <f>Summary!$B$6*(F9/100)</f>
        <v/>
      </c>
      <c r="K9">
        <f>J9*(1+Summary!$B$7/100)*(1+Inputs!$B$15/100)*(1+Inputs!$B$16/100)*(5000/(6000+Inputs!$B$42*(1-(100-(100-(Inputs!$B$19))*(1-IF(Inputs!$B$3&gt;=130,IF(Inputs!$B$3&gt;=118,8,IF(Inputs!$B$3&gt;=110,7,5)),0)/100))/100)))*(1+(Inputs!$B$24+Summary!$B$21)/100)*(1+Artifacts!$B$34/100)*(1+1.0*IF(C12=TRUE,F12,0)/100)*(1+IF(Skills!A9="ENHANCED_RAGING_BLOW",IF(Inputs!$B$3&gt;=138,MAX(0,IF(Inputs!$B$3&gt;=118,8,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(100-(100-(Inputs!$B$19))*(1-IF(Inputs!$B$3&gt;=130,IF(Inputs!$B$3&gt;=118,8,IF(Inputs!$B$3&gt;=110,7,5)),0)/100))/100)*(1-Artifacts!$B$51/100)^IF(Inputs!$B$38="pvp",1,2)))/100)))/(5000/(6000+Inputs!$B$42*(1-(100-(100-(Inputs!$B$19))*(1-IF(Inputs!$B$3&gt;=130,IF(Inputs!$B$3&gt;=118,8,IF(Inputs!$B$3&gt;=110,7,5)),0)/100))/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Skills!G10*IF(Skills!H10&gt;0,IF(Inputs!$B$38="pvp",MIN(Skills!I10,15),Skills!I10)/Skills!H10,1)</f>
        <v/>
      </c>
      <c r="H10">
        <f>1-(1-Skills!J10/100)^Skills!K10</f>
        <v/>
      </c>
      <c r="I10" t="inlineStr">
        <is>
          <t>1</t>
        </is>
      </c>
      <c r="J10">
        <f>Summary!$B$6*(F10/100)</f>
        <v/>
      </c>
      <c r="K10">
        <f>J10*(1+Summary!$B$7/100)*(1+Inputs!$B$15/100)*(1+Inputs!$B$16/100)*(5000/(6000+Inputs!$B$42*(1-(100-(100-(Inputs!$B$19))*(1-IF(Inputs!$B$3&gt;=130,IF(Inputs!$B$3&gt;=118,8,IF(Inputs!$B$3&gt;=110,7,5)),0)/100))/100)))*(1+(Inputs!$B$24+Summary!$B$21)/100)*(1+Artifacts!$B$34/100)*(1+1.5*IF(C12=TRUE,F12,0)/100)*(1+IF(Skills!A10="ENHANCED_RAGING_BLOW",IF(Inputs!$B$3&gt;=138,MAX(0,IF(Inputs!$B$3&gt;=118,8,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$20+Skills!P10+Summary!$B$15+Artifacts!$B$35)/100)*((((5000/(6000+Inputs!$B$42*(1-(100*(1-(1-(100-(100-(Inputs!$B$19))*(1-IF(Inputs!$B$3&gt;=130,IF(Inputs!$B$3&gt;=118,8,IF(Inputs!$B$3&gt;=110,7,5)),0)/100))/100)*(1-Artifacts!$B$51/100)^IF(Inputs!$B$38="pvp",1,2)))/100)))/(5000/(6000+Inputs!$B$42*(1-(100-(100-(Inputs!$B$19))*(1-IF(Inputs!$B$3&gt;=130,IF(Inputs!$B$3&gt;=118,8,IF(Inputs!$B$3&gt;=110,7,5)),0)/100))/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TRUE=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Skills!G11*IF(Skills!H11&gt;0,IF(Inputs!$B$38="pvp",MIN(Skills!I11,15),Skills!I11)/Skills!H11,1)</f>
        <v/>
      </c>
      <c r="H11">
        <f>1-(1-Skills!J11/100)^Skills!K11</f>
        <v/>
      </c>
      <c r="I11" t="inlineStr">
        <is>
          <t>1</t>
        </is>
      </c>
      <c r="J11">
        <f>Summary!$B$6*(F11/100)</f>
        <v/>
      </c>
      <c r="K11">
        <f>J11*(1+Summary!$B$7/100)*(1+Inputs!$B$15/100)*(1+Inputs!$B$16/100)*(5000/(6000+Inputs!$B$42*(1-(100-(100-(Inputs!$B$19))*(1-IF(Inputs!$B$3&gt;=130,IF(Inputs!$B$3&gt;=118,8,IF(Inputs!$B$3&gt;=110,7,5)),0)/100))/100)))*(1+(Inputs!$B$24+Summary!$B$21)/100)*(1+Artifacts!$B$34/100)*(1+4.0*IF(C12=TRUE,F12,0)/100)*(1+IF(Skills!A11="ENHANCED_RAGING_BLOW",IF(Inputs!$B$3&gt;=138,MAX(0,IF(Inputs!$B$3&gt;=118,8,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Hunt"),CHOOSE(ArtifactsInput!$N$27+1,20,24,28,32,36,40),0)/100)),0)</f>
        <v/>
      </c>
      <c r="R11">
        <f>IF(AND(Inputs!$B$38&lt;&gt;"pvp",Inputs!$B$43&gt;0),IF(MAX(0,Inputs!$B$43-Summary!$B$23)&lt;=0,0,(INT(MAX(0,Inputs!$B$43-Summary!$B$23)/(IF(Inputs!$B$38="pvp",15,MAX(0.1,Skills!D11-IF(TRUE=TRUE,Inputs!$B$32,0)))*(1-IF(AND(ArtifactsInput!$M$27,Inputs!$B$4="Chapter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$20+Skills!P11+Summary!$B$15+Artifacts!$B$35)/100)*((((5000/(6000+Inputs!$B$42*(1-(100*(1-(1-(100-(100-(Inputs!$B$19))*(1-IF(Inputs!$B$3&gt;=130,IF(Inputs!$B$3&gt;=118,8,IF(Inputs!$B$3&gt;=110,7,5)),0)/100))/100)*(1-Artifacts!$B$51/100)^IF(Inputs!$B$38="pvp",1,2)))/100)))/(5000/(6000+Inputs!$B$42*(1-(100-(100-(Inputs!$B$19))*(1-IF(Inputs!$B$3&gt;=130,IF(Inputs!$B$3&gt;=118,8,IF(Inputs!$B$3&gt;=110,7,5)),0)/100))/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Skills!G13*IF(Skills!H13&gt;0,IF(Inputs!$B$38="pvp",MIN(Skills!I13,15),Skills!I13)/Skills!H13,1)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Skills!G14*IF(Skills!H14&gt;0,IF(Inputs!$B$38="pvp",MIN(Skills!I14,15),Skills!I14)/Skills!H14,1)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Skills!G15*IF(Skills!H15&gt;0,IF(Inputs!$B$38="pvp",MIN(Skills!I15,15),Skills!I15)/Skills!H15,1)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Skills!G16*IF(Skills!H16&gt;0,IF(Inputs!$B$38="pvp",MIN(Skills!I16,15),Skills!I16)/Skills!H16,1)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Skills!G17*IF(Skills!H17&gt;0,IF(Inputs!$B$38="pvp",MIN(Skills!I17,15),Skills!I17)/Skills!H17,1)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IFERROR(1/(IF(Inputs!$B$38="pvp",15,MAX(0.1,Skills!D17-IF(TRUE=TRUE,Inputs!$B$32,0)))*(1-IF(AND(ArtifactsInput!$M$27,Inputs!$B$4="Chapter Hunt"),CHOOSE(ArtifactsInput!$N$27+1,20,24,28,32,36,40),0)/100)),0)</f>
        <v/>
      </c>
      <c r="R17">
        <f>IF(AND(Inputs!$B$38&lt;&gt;"pvp",Inputs!$B$43&gt;0),IF(Inputs!$B$43&lt;=0,0,(INT(Inputs!$B$43/(IF(Inputs!$B$38="pvp",15,MAX(0.1,Skills!D17-IF(TRUE=TRUE,Inputs!$B$32,0)))*(1-IF(AND(ArtifactsInput!$M$27,Inputs!$B$4="Chapter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Skills!G18*IF(Skills!H18&gt;0,IF(Inputs!$B$38="pvp",MIN(Skills!I18,15),Skills!I18)/Skills!H18,1)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IFERROR(1/(IF(Inputs!$B$38="pvp",15,MAX(0.1,Skills!D19-IF(TRUE=TRUE,Inputs!$B$32,0)))*(1-IF(AND(ArtifactsInput!$M$27,Inputs!$B$4="Chapter Hunt"),CHOOSE(ArtifactsInput!$N$27+1,20,24,28,32,36,40),0)/100)),0)</f>
        <v/>
      </c>
      <c r="R19">
        <f>IF(AND(Inputs!$B$38&lt;&gt;"pvp",Inputs!$B$43&gt;0),IF(Inputs!$B$43&lt;=0,0,(INT(Inputs!$B$43/(IF(Inputs!$B$38="pvp",15,MAX(0.1,Skills!D19-IF(TRUE=TRUE,Inputs!$B$32,0)))*(1-IF(AND(ArtifactsInput!$M$27,Inputs!$B$4="Chapter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Skills!G20*IF(Skills!H20&gt;0,IF(Inputs!$B$38="pvp",MIN(Skills!I20,15),Skills!I20)/Skills!H20,1)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Skills!G21*IF(Skills!H21&gt;0,IF(Inputs!$B$38="pvp",MIN(Skills!I21,15),Skills!I21)/Skills!H21,1)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Skills!G22*IF(Skills!H22&gt;0,IF(Inputs!$B$38="pvp",MIN(Skills!I22,15),Skills!I22)/Skills!H22,1)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Skills!G23*IF(Skills!H23&gt;0,IF(Inputs!$B$38="pvp",MIN(Skills!I23,15),Skills!I23)/Skills!H23,1)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Skills!G24*IF(Skills!H24&gt;0,IF(Inputs!$B$38="pvp",MIN(Skills!I24,15),Skills!I24)/Skills!H24,1)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Skills!G25*IF(Skills!H25&gt;0,IF(Inputs!$B$38="pvp",MIN(Skills!I25,15),Skills!I25)/Skills!H25,1)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Skills!G26*IF(Skills!H26&gt;0,IF(Inputs!$B$38="pvp",MIN(Skills!I26,15),Skills!I26)/Skills!H26,1)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118,8,IF(Inputs!$B$3&gt;=110,7,5)))+((Calc!C15=TRUE)*Calc!F15*IF(AND(Inputs!$B$38&lt;&gt;"pvp",Inputs!$B$43&gt;0),(((Calc!R15-1)*MIN((Skills!T15*(1+Inputs!$B$34/100)),(1/Calc!Q15))+MIN((Skills!T15*(1+Inputs!$B$34/100)),MAX(0,Inputs!$B$43-((Calc!R15-1)*(1/Calc!Q15)))))/Inputs!$B$43),IF(Inputs!$B$38="pvp",MIN((Skills!T15*(1+Inputs!$B$34/100)),15)/15,MIN(1,(Skills!T15*(1+Inputs!$B$34/100))/(1/Calc!Q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MIN((Skills!T16*(1+Inputs!$B$34/100)),(1/Calc!Q16))+MIN((Skills!T16*(1+Inputs!$B$34/100)),MAX(0,Inputs!$B$43-((Calc!R16-1)*(1/Calc!Q16)))))/Inputs!$B$43),IF(Inputs!$B$38="pvp",MIN((Skills!T16*(1+Inputs!$B$34/100)),15)/15,MIN(1,(Skills!T16*(1+Inputs!$B$34/100))/(1/Calc!Q16)))))+((Calc!C8=TRUE)*IF(Inputs!$B$3&gt;=126,10*MIN(1,15*Calc!Q8),0))+((Calc!C5=TRUE)*((100/10)*(INDEX(FactorTable!$B$2:$Y$301,MATCH(ROUND(MIN(300,MAX(1,MAX(0,(Inputs!$B$3-100)*3)+Inputs!$B$28+Inputs!$B$29)),0),FactorTable!$A$2:$A$301,0),22)/1000))*(1+IF(Inputs!$B$3&gt;=134,0.5,0))*MIN(1,10*(1+Inputs!$B$34/100)*Calc!Q5))</f>
        <v/>
      </c>
    </row>
    <row r="16">
      <c r="A16" t="inlineStr">
        <is>
          <t>Attack Speed Buff Bonus % (Nimble Feet, duty-cycle averaged)</t>
        </is>
      </c>
      <c r="B16">
        <f>((Calc!C19=TRUE)*Calc!F19*IF(AND(Inputs!$B$38&lt;&gt;"pvp",Inputs!$B$43&gt;0),(((Calc!R19-1)*MIN((Skills!T19*(1+Inputs!$B$34/100)),(1/Calc!Q19))+MIN((Skills!T19*(1+Inputs!$B$34/100)),MAX(0,Inputs!$B$43-((Calc!R19-1)*(1/Calc!Q19)))))/Inputs!$B$43),IF(Inputs!$B$38="pvp",MIN((Skills!T19*(1+Inputs!$B$34/100)),15)/15,MIN(1,(Skills!T19*(1+Inputs!$B$34/100))/(1/Calc!Q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MIN((Skills!T18*(1+Inputs!$B$34/100)),(1/Calc!Q18))+MIN((Skills!T18*(1+Inputs!$B$34/100)),MAX(0,Inputs!$B$43-((Calc!R18-1)*(1/Calc!Q18)))))/Inputs!$B$43),IF(Inputs!$B$38="pvp",MIN((Skills!T18*(1+Inputs!$B$34/100)),15)/15,MIN(1,(Skills!T18*(1+Inputs!$B$34/100))/(1/Calc!Q18)))))</f>
        <v/>
      </c>
    </row>
    <row r="21">
      <c r="A21" t="inlineStr">
        <is>
          <t>Global Final Damage Bonus % (Enrage + Combo Synergy)</t>
        </is>
      </c>
      <c r="B21">
        <f>((Calc!C17=TRUE)*Calc!F17*IF(AND(Inputs!$B$38&lt;&gt;"pvp",Inputs!$B$43&gt;0),(((Calc!R17-1)*MIN((Skills!T17*(1+Inputs!$B$34/100)),(1/Calc!Q17))+MIN((Skills!T17*(1+Inputs!$B$34/100)),MAX(0,Inputs!$B$43-((Calc!R17-1)*(1/Calc!Q17)))))/Inputs!$B$43),IF(Inputs!$B$38="pvp",MIN((Skills!T17*(1+Inputs!$B$34/100)),15)/15,MIN(1,(Skills!T17*(1+Inputs!$B$34/100))/(1/Calc!Q17)))))+((Calc!C14=TRUE)*Calc!F14*IF(Inputs!$B$3&gt;=118,8,IF(Inputs!$B$3&gt;=110,7,5)))+IF(Inputs!$B$3&gt;=98,5,0)</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IF(ArtifactsInput!$M$5,Summary!$B$3/(Summary!$B$3-(IF(ArtifactsInput!$M$5,-1,1)*Summary!$B$3*(((1-Summary!$B$11)*IFERROR(B1200/Summary!$B$24,1)+Summary!$B$11*IFERROR(B1201/Summary!$B$25,1))-1)+ArtifactsInput!$L$5))*100,(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IF(ArtifactsInput!$M$6,Summary!$B$3/(Summary!$B$3-(IF(ArtifactsInput!$M$6,-1,1)*Summary!$B$3*(((1-Summary!$B$11)*IFERROR(B1242/Summary!$B$24,1)+Summary!$B$11*IFERROR(B1243/Summary!$B$25,1))-1)+ArtifactsInput!$L$6))*100,(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IF(ArtifactsInput!$M$7,Summary!$B$3/(Summary!$B$3-(IF(ArtifactsInput!$M$7,-1,1)*Summary!$B$3*(((1-Summary!$B$11)*IFERROR(B1284/Summary!$B$24,1)+Summary!$B$11*IFERROR(B1285/Summary!$B$25,1))-1)+ArtifactsInput!$L$7))*100,(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IF(ArtifactsInput!$M$8,Summary!$B$3/(Summary!$B$3-(IF(ArtifactsInput!$M$8,-1,1)*Summary!$B$3*(((1-Summary!$B$11)*IFERROR(B1326/Summary!$B$24,1)+Summary!$B$11*IFERROR(B1327/Summary!$B$25,1))-1)+ArtifactsInput!$L$8))*100,(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IF(ArtifactsInput!$M$10,Summary!$B$3/(Summary!$B$3-(IF(ArtifactsInput!$M$10,-1,1)*Summary!$B$3*(((1-Summary!$B$11)*IFERROR(B1368/Summary!$B$24,1)+Summary!$B$11*IFERROR(B1369/Summary!$B$25,1))-1)+ArtifactsInput!$L$10))*100,(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IF(ArtifactsInput!$M$11,Summary!$B$3/(Summary!$B$3-(IF(ArtifactsInput!$M$11,-1,1)*Summary!$B$3*(((1-Summary!$B$11)*IFERROR(B1410/Summary!$B$24,1)+Summary!$B$11*IFERROR(B1411/Summary!$B$25,1))-1)+ArtifactsInput!$L$11))*100,(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IF(ArtifactsInput!$M$12,Summary!$B$3/(Summary!$B$3-(IF(ArtifactsInput!$M$12,-1,1)*Summary!$B$3*(((1-Summary!$B$11)*IFERROR(B1452/Summary!$B$24,1)+Summary!$B$11*IFERROR(B1453/Summary!$B$25,1))-1)+ArtifactsInput!$L$12))*100,(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IF(ArtifactsInput!$M$13,Summary!$B$3/(Summary!$B$3-(IF(ArtifactsInput!$M$13,-1,1)*Summary!$B$3*(((1-Summary!$B$11)*IFERROR(B1494/Summary!$B$24,1)+Summary!$B$11*IFERROR(B1495/Summary!$B$25,1))-1)+ArtifactsInput!$L$13))*100,(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IF(ArtifactsInput!$M$14,Summary!$B$3/(Summary!$B$3-(IF(ArtifactsInput!$M$14,-1,1)*Summary!$B$3*(((1-Summary!$B$11)*IFERROR(B1536/Summary!$B$24,1)+Summary!$B$11*IFERROR(B1537/Summary!$B$25,1))-1)+ArtifactsInput!$L$14))*100,(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IF(ArtifactsInput!$M$15,Summary!$B$3/(Summary!$B$3-(IF(ArtifactsInput!$M$15,-1,1)*Summary!$B$3*(((1-Summary!$B$11)*IFERROR(B1578/Summary!$B$24,1)+Summary!$B$11*IFERROR(B1579/Summary!$B$25,1))-1)+ArtifactsInput!$L$15))*100,(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IF(ArtifactsInput!$M$16,Summary!$B$3/(Summary!$B$3-(IF(ArtifactsInput!$M$16,-1,1)*Summary!$B$3*(((1-Summary!$B$11)*IFERROR(B1620/Summary!$B$24,1)+Summary!$B$11*IFERROR(B1621/Summary!$B$25,1))-1)+ArtifactsInput!$L$16))*100,(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IF(ArtifactsInput!$M$17,Summary!$B$3/(Summary!$B$3-(IF(ArtifactsInput!$M$17,-1,1)*Summary!$B$3*(((1-Summary!$B$11)*IFERROR(B1662/Summary!$B$24,1)+Summary!$B$11*IFERROR(B1663/Summary!$B$25,1))-1)+ArtifactsInput!$L$17))*100,(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IF(ArtifactsInput!$M$18,Summary!$B$3/(Summary!$B$3-(IF(ArtifactsInput!$M$18,-1,1)*Summary!$B$3*(((1-Summary!$B$11)*IFERROR(B1704/Summary!$B$24,1)+Summary!$B$11*IFERROR(B1705/Summary!$B$25,1))-1)+ArtifactsInput!$L$18))*100,(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IF(ArtifactsInput!$M$20,Summary!$B$3/(Summary!$B$3-(IF(ArtifactsInput!$M$20,-1,1)*Summary!$B$3*(((1-Summary!$B$11)*IFERROR(B1746/Summary!$B$24,1)+Summary!$B$11*IFERROR(B1747/Summary!$B$25,1))-1)+ArtifactsInput!$L$20))*100,(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IF(ArtifactsInput!$M$21,Summary!$B$3/(Summary!$B$3-(IF(ArtifactsInput!$M$21,-1,1)*Summary!$B$3*(((1-Summary!$B$11)*IFERROR(B1788/Summary!$B$24,1)+Summary!$B$11*IFERROR(B1789/Summary!$B$25,1))-1)+ArtifactsInput!$L$21))*100,(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IF(ArtifactsInput!$M$22,Summary!$B$3/(Summary!$B$3-(IF(ArtifactsInput!$M$22,-1,1)*Summary!$B$3*(((1-Summary!$B$11)*IFERROR(B1830/Summary!$B$24,1)+Summary!$B$11*IFERROR(B1831/Summary!$B$25,1))-1)+ArtifactsInput!$L$22))*100,(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IF(ArtifactsInput!$M$23,Summary!$B$3/(Summary!$B$3-(IF(ArtifactsInput!$M$23,-1,1)*Summary!$B$3*(((1-Summary!$B$11)*IFERROR(B1872/Summary!$B$24,1)+Summary!$B$11*IFERROR(B1873/Summary!$B$25,1))-1)+ArtifactsInput!$L$23))*100,(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IF(ArtifactsInput!$M$24,Summary!$B$3/(Summary!$B$3-(IF(ArtifactsInput!$M$24,-1,1)*Summary!$B$3*(((1-Summary!$B$11)*IFERROR(B1914/Summary!$B$24,1)+Summary!$B$11*IFERROR(B1915/Summary!$B$25,1))-1)+ArtifactsInput!$L$24))*100,(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IF(ArtifactsInput!$M$25,Summary!$B$3/(Summary!$B$3-(IF(ArtifactsInput!$M$25,-1,1)*Summary!$B$3*(((1-Summary!$B$11)*IFERROR(B1956/Summary!$B$24,1)+Summary!$B$11*IFERROR(B1957/Summary!$B$25,1))-1)+ArtifactsInput!$L$25))*100,(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IF(ArtifactsInput!$M$26,Summary!$B$3/(Summary!$B$3-(IF(ArtifactsInput!$M$26,-1,1)*Summary!$B$3*(((1-Summary!$B$11)*IFERROR(B1998/Summary!$B$24,1)+Summary!$B$11*IFERROR(B1999/Summary!$B$25,1))-1)+ArtifactsInput!$L$26))*100,(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IF(ArtifactsInput!$M$27,Summary!$B$3/(Summary!$B$3-(IF(ArtifactsInput!$M$27,-1,1)*Summary!$B$3*(((1-Summary!$B$11)*IFERROR(B2040/Summary!$B$24,1)+Summary!$B$11*IFERROR(B2041/Summary!$B$25,1))-1)+ArtifactsInput!$L$27))*100,(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IF(ArtifactsInput!$M$28,Summary!$B$3/(Summary!$B$3-(IF(ArtifactsInput!$M$28,-1,1)*Summary!$B$3*(((1-Summary!$B$11)*IFERROR(B2082/Summary!$B$24,1)+Summary!$B$11*IFERROR(B2083/Summary!$B$25,1))-1)+ArtifactsInput!$L$28))*100,(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IF(ArtifactsInput!$M$29,Summary!$B$3/(Summary!$B$3-(IF(ArtifactsInput!$M$29,-1,1)*Summary!$B$3*(((1-Summary!$B$11)*IFERROR(B2124/Summary!$B$24,1)+Summary!$B$11*IFERROR(B2125/Summary!$B$25,1))-1)+ArtifactsInput!$L$29))*100,(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IF(ArtifactsInput!$M$30,Summary!$B$3/(Summary!$B$3-(IF(ArtifactsInput!$M$30,-1,1)*Summary!$B$3*(((1-Summary!$B$11)*IFERROR(B2166/Summary!$B$24,1)+Summary!$B$11*IFERROR(B2167/Summary!$B$25,1))-1)+ArtifactsInput!$L$30))*100,(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IF(ArtifactsInput!$M$31,Summary!$B$3/(Summary!$B$3-(IF(ArtifactsInput!$M$31,-1,1)*Summary!$B$3*(((1-Summary!$B$11)*IFERROR(B2208/Summary!$B$24,1)+Summary!$B$11*IFERROR(B2209/Summary!$B$25,1))-1)+ArtifactsInput!$L$31))*100,(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IF(ArtifactsInput!$M$32,Summary!$B$3/(Summary!$B$3-(IF(ArtifactsInput!$M$32,-1,1)*Summary!$B$3*(((1-Summary!$B$11)*IFERROR(B2250/Summary!$B$24,1)+Summary!$B$11*IFERROR(B2251/Summary!$B$25,1))-1)+ArtifactsInput!$L$32))*100,(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IF(ArtifactsInput!$M$33,Summary!$B$3/(Summary!$B$3-(IF(ArtifactsInput!$M$33,-1,1)*Summary!$B$3*(((1-Summary!$B$11)*IFERROR(B2292/Summary!$B$24,1)+Summary!$B$11*IFERROR(B2293/Summary!$B$25,1))-1)+ArtifactsInput!$L$33))*100,(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IF(ArtifactsInput!$M$34,Summary!$B$3/(Summary!$B$3-(IF(ArtifactsInput!$M$34,-1,1)*Summary!$B$3*(((1-Summary!$B$11)*IFERROR(B2334/Summary!$B$24,1)+Summary!$B$11*IFERROR(B2335/Summary!$B$25,1))-1)+ArtifactsInput!$L$34))*100,(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IF(ArtifactsInput!$M$35,Summary!$B$3/(Summary!$B$3-(IF(ArtifactsInput!$M$35,-1,1)*Summary!$B$3*(((1-Summary!$B$11)*IFERROR(B2376/Summary!$B$24,1)+Summary!$B$11*IFERROR(B2377/Summary!$B$25,1))-1)+ArtifactsInput!$L$35))*100,(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IF(ArtifactsInput!$M$36,Summary!$B$3/(Summary!$B$3-(IF(ArtifactsInput!$M$36,-1,1)*Summary!$B$3*(((1-Summary!$B$11)*IFERROR(B2418/Summary!$B$24,1)+Summary!$B$11*IFERROR(B2419/Summary!$B$25,1))-1)+ArtifactsInput!$L$36))*100,(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IF(ArtifactsInput!$M$37,Summary!$B$3/(Summary!$B$3-(IF(ArtifactsInput!$M$37,-1,1)*Summary!$B$3*(((1-Summary!$B$11)*IFERROR(B2460/Summary!$B$24,1)+Summary!$B$11*IFERROR(B2461/Summary!$B$25,1))-1)+ArtifactsInput!$L$37))*100,(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IF(ArtifactsInput!$M$38,Summary!$B$3/(Summary!$B$3-(IF(ArtifactsInput!$M$38,-1,1)*Summary!$B$3*(((1-Summary!$B$11)*IFERROR(B2502/Summary!$B$24,1)+Summary!$B$11*IFERROR(B2503/Summary!$B$25,1))-1)+ArtifactsInput!$L$38))*100,(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IF(ArtifactsInput!$M$39,Summary!$B$3/(Summary!$B$3-(IF(ArtifactsInput!$M$39,-1,1)*Summary!$B$3*(((1-Summary!$B$11)*IFERROR(B2544/Summary!$B$24,1)+Summary!$B$11*IFERROR(B2545/Summary!$B$25,1))-1)+ArtifactsInput!$L$39))*100,(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IF(ArtifactsInput!$M$40,Summary!$B$3/(Summary!$B$3-(IF(ArtifactsInput!$M$40,-1,1)*Summary!$B$3*(((1-Summary!$B$11)*IFERROR(B2586/Summary!$B$24,1)+Summary!$B$11*IFERROR(B2587/Summary!$B$25,1))-1)+ArtifactsInput!$L$40))*100,(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IF(ArtifactsInput!$M$41,Summary!$B$3/(Summary!$B$3-(IF(ArtifactsInput!$M$41,-1,1)*Summary!$B$3*(((1-Summary!$B$11)*IFERROR(B2628/Summary!$B$24,1)+Summary!$B$11*IFERROR(B2629/Summary!$B$25,1))-1)+ArtifactsInput!$L$41))*100,(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IF(ArtifactsInput!$M$42,Summary!$B$3/(Summary!$B$3-(IF(ArtifactsInput!$M$42,-1,1)*Summary!$B$3*(((1-Summary!$B$11)*IFERROR(B2670/Summary!$B$24,1)+Summary!$B$11*IFERROR(B2671/Summary!$B$25,1))-1)+ArtifactsInput!$L$42))*100,(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Skills!G2*IF(Skills!H2&gt;0,IF(Inputs!$B$38="pvp",MIN(Skills!I2,15),Skills!I2)/Skills!H2,1)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Skills!G5*IF(Skills!H5&gt;0,IF(Inputs!$B$38="pvp",MIN(Skills!I5,15),Skills!I5)/Skills!H5,1)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IFERROR(1/(IF(Inputs!$B$38="pvp",15,MAX(0.1,Skills!D5-IF(TRUE=TRUE,Inputs!$B$32,0)))*(1-IF(AND(ArtifactsInput!$M$27,Inputs!$B$4="Chapter Hunt"),CHOOSE(ArtifactsInput!$N$27+1,20,24,28,32,36,40),0)/100)),0)</f>
        <v/>
      </c>
      <c r="R76">
        <f>IF(AND(Inputs!$B$38&lt;&gt;"pvp",Inputs!$B$43&gt;0),IF(MAX(0,Inputs!$B$43-B107)&lt;=0,0,(INT(MAX(0,Inputs!$B$43-B107)/(IF(Inputs!$B$38="pvp",15,MAX(0.1,Skills!D5-IF(TRUE=TRUE,Inputs!$B$32,0)))*(1-IF(AND(ArtifactsInput!$M$27,Inputs!$B$4="Chapter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$20+0+Skills!P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TRUE=TRUE,Inputs!$B$32,0)))*(1-IF(AND(ArtifactsInput!$M$27,Inputs!$B$4="Chapter Hunt"),CHOOSE(ArtifactsInput!$N$27+1,20,24,28,32,36,40),0)/100)))))/Skills!H5,1)))/Inputs!$B$43),G76*Q76))*IF(Inputs!$B$38="pvp",1,(1+(Inputs!$B$21+Skills!Q5+(((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Skills!G6*IF(Skills!H6&gt;0,IF(Inputs!$B$38="pvp",MIN(Skills!I6,15),Skills!I6)/Skills!H6,1)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$20+0+Skills!P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TRUE=TRUE,Inputs!$B$32,0)))*(1-IF(AND(ArtifactsInput!$M$27,Inputs!$B$4="Chapter Hunt"),CHOOSE(ArtifactsInput!$N$27+1,20,24,28,32,36,40),0)/100)))))/Skills!H6,1)))/Inputs!$B$43),G77*Q77))*IF(Inputs!$B$38="pvp",1,(1+(Inputs!$B$21+Skills!Q6+(((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Skills!G7*IF(Skills!H7&gt;0,IF(Inputs!$B$38="pvp",MIN(Skills!I7,15),Skills!I7)/Skills!H7,1)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$20+0+Skills!P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TRUE=TRUE,Inputs!$B$32,0)))*(1-IF(AND(ArtifactsInput!$M$27,Inputs!$B$4="Chapter Hunt"),CHOOSE(ArtifactsInput!$N$27+1,20,24,28,32,36,40),0)/100)))))/Skills!H7,1)))/Inputs!$B$43),G78*Q78))*IF(Inputs!$B$38="pvp",1,(1+(Inputs!$B$21+Skills!Q7+(((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Skills!G8*IF(Skills!H8&gt;0,IF(Inputs!$B$38="pvp",MIN(Skills!I8,15),Skills!I8)/Skills!H8,1)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$20+0+Skills!P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TRUE=TRUE,Inputs!$B$32,0)))*(1-IF(AND(ArtifactsInput!$M$27,Inputs!$B$4="Chapter Hunt"),CHOOSE(ArtifactsInput!$N$27+1,20,24,28,32,36,40),0)/100)))))/Skills!H8,1)))/Inputs!$B$43),G79*Q79))*IF(Inputs!$B$38="pvp",1,(1+(Inputs!$B$21+Skills!Q8+(((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Skills!G9*IF(Skills!H9&gt;0,IF(Inputs!$B$38="pvp",MIN(Skills!I9,15),Skills!I9)/Skills!H9,1)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138,MAX(0,IF(Inputs!$B$3&gt;=118,8,IF(Inputs!$B$3&gt;=110,7,5))-5)*50,0),0)/100)*(1+(IF(Skills!A9="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IFERROR(1/(IF(Inputs!$B$38="pvp",15,MAX(0.1,Skills!D9-IF(TRUE=TRUE,Inputs!$B$32,0)))*(1-IF(AND(ArtifactsInput!$M$27,Inputs!$B$4="Chapter Hunt"),CHOOSE(ArtifactsInput!$N$27+1,20,24,28,32,36,40),0)/100)),0)</f>
        <v/>
      </c>
      <c r="R80">
        <f>IF(AND(Inputs!$B$38&lt;&gt;"pvp",Inputs!$B$43&gt;0),IF(MAX(0,Inputs!$B$43-B107)&lt;=0,0,(INT(MAX(0,Inputs!$B$43-B107)/(IF(Inputs!$B$38="pvp",15,MAX(0.1,Skills!D9-IF(TRUE=TRUE,Inputs!$B$32,0)))*(1-IF(AND(ArtifactsInput!$M$27,Inputs!$B$4="Chapter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$20+0+Skills!P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TRUE=TRUE,Inputs!$B$32,0)))*(1-IF(AND(ArtifactsInput!$M$27,Inputs!$B$4="Chapter Hunt"),CHOOSE(ArtifactsInput!$N$27+1,20,24,28,32,36,40),0)/100)))))/Skills!H9,1)))/Inputs!$B$43),G80*Q80))*IF(Inputs!$B$38="pvp",1,(1+(Inputs!$B$21+Skills!Q9+(((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Skills!G10*IF(Skills!H10&gt;0,IF(Inputs!$B$38="pvp",MIN(Skills!I10,15),Skills!I10)/Skills!H10,1)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138,MAX(0,IF(Inputs!$B$3&gt;=118,8,IF(Inputs!$B$3&gt;=110,7,5))-5)*50,0),0)/100)*(1+(IF(Skills!A10="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$20+0+Skills!P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TRUE=TRUE,Inputs!$B$32,0)))*(1-IF(AND(ArtifactsInput!$M$27,Inputs!$B$4="Chapter Hunt"),CHOOSE(ArtifactsInput!$N$27+1,20,24,28,32,36,40),0)/100)))))/Skills!H10,1)))/Inputs!$B$43),G81*Q81))*IF(Inputs!$B$38="pvp",1,(1+(Inputs!$B$21+Skills!Q10+(((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Skills!G11*IF(Skills!H11&gt;0,IF(Inputs!$B$38="pvp",MIN(Skills!I11,15),Skills!I11)/Skills!H11,1)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(100-(100-((Inputs!$B$19+0)))*(1-IF(Inputs!$B$3&gt;=130,IF(Inputs!$B$3&gt;=118,8,IF(Inputs!$B$3&gt;=110,7,5)),0)/100)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138,MAX(0,IF(Inputs!$B$3&gt;=118,8,IF(Inputs!$B$3&gt;=110,7,5))-5)*50,0),0)/100)*(1+(IF(Skills!A11="RAGING_BLOW",Inputs!$B$17+((C92=TRUE)*(F92-Calc!F21))+((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IFERROR(1/(IF(Inputs!$B$38="pvp",15,MAX(0.1,Skills!D11-IF(TRUE=TRUE,Inputs!$B$32,0)))*(1-IF(AND(ArtifactsInput!$M$27,Inputs!$B$4="Chapter Hunt"),CHOOSE(ArtifactsInput!$N$27+1,20,24,28,32,36,40),0)/100)),0)</f>
        <v/>
      </c>
      <c r="R82">
        <f>IF(AND(Inputs!$B$38&lt;&gt;"pvp",Inputs!$B$43&gt;0),IF(MAX(0,Inputs!$B$43-B107)&lt;=0,0,(INT(MAX(0,Inputs!$B$43-B107)/(IF(Inputs!$B$38="pvp",15,MAX(0.1,Skills!D11-IF(TRUE=TRUE,Inputs!$B$32,0)))*(1-IF(AND(ArtifactsInput!$M$27,Inputs!$B$4="Chapter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$20+0+Skills!P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Inputs!$B$38&lt;&gt;"pvp",Inputs!$B$43=0),1,IF(IF(Inputs!$B$38="pvp",15,Inputs!$B$43)-(B107)&lt;=0,1,MAX(0,IF(Inputs!$B$38="pvp",15,Inputs!$B$43)-MAX(5,B107))/(IF(Inputs!$B$38="pvp",15,Inputs!$B$43)-(B107)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TRUE=TRUE,Inputs!$B$32,0)))*(1-IF(AND(ArtifactsInput!$M$27,Inputs!$B$4="Chapter Hunt"),CHOOSE(ArtifactsInput!$N$27+1,20,24,28,32,36,40),0)/100)))))/Skills!H11,1)))/Inputs!$B$43),G82*Q82))*IF(Inputs!$B$38="pvp",1,(1+(Inputs!$B$21+Skills!Q11+(((C87=TRUE)*F87*(Skills!J16/100)*IF(AND(Inputs!$B$38&lt;&gt;"pvp",Inputs!$B$43&gt;0),(((R87-1)*MIN((Skills!T16*(1+(Inputs!$B$34+(ArtifactsInput!$M$7-ArtifactsInput!$M$7)*CHOOSE(ArtifactsInput!$N$7+1,6,7.2,8.4,9.6,10.8,12))/100)),(1/Q87))+MIN((Skills!T16*(1+(Inputs!$B$34+(ArtifactsInput!$M$7-ArtifactsInput!$M$7)*CHOOSE(ArtifactsInput!$N$7+1,6,7.2,8.4,9.6,10.8,12))/100)),MAX(0,Inputs!$B$43-((R87-1)*(1/Q87)))))/Inputs!$B$43),IF(Inputs!$B$38="pvp",MIN((Skills!T16*(1+(Inputs!$B$34+(ArtifactsInput!$M$7-ArtifactsInput!$M$7)*CHOOSE(ArtifactsInput!$N$7+1,6,7.2,8.4,9.6,10.8,12))/100)),15)/15,MIN(1,(Skills!T16*(1+(Inputs!$B$34+(ArtifactsInput!$M$7-ArtifactsInput!$M$7)*CHOOSE(ArtifactsInput!$N$7+1,6,7.2,8.4,9.6,10.8,12))/100))/(1/Q87)))))+((C79=TRUE)*IF(Inputs!$B$3&gt;=126,10*MIN(1,15*Q79),0))+((C76=TRUE)*((100/10)*(INDEX(FactorTable!$B$2:$Y$301,MATCH(ROUND(MIN(300,MAX(1,MAX(0,(Inputs!$B$3-100)*3)+Inputs!$B$28+Inputs!$B$29)),0),FactorTable!$A$2:$A$301,0),22)/1000))*(1+IF(Inputs!$B$3&gt;=134,0.5,0))*MIN(1,10*(1+(Inputs!$B$34+(ArtifactsInput!$M$7-ArtifactsInput!$M$7)*CHOOSE(ArtifactsInput!$N$7+1,6,7.2,8.4,9.6,10.8,12))/100)*Q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Skills!G13*IF(Skills!H13&gt;0,IF(Inputs!$B$38="pvp",MIN(Skills!I13,15),Skills!I13)/Skills!H13,1)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Skills!G14*IF(Skills!H14&gt;0,IF(Inputs!$B$38="pvp",MIN(Skills!I14,15),Skills!I14)/Skills!H14,1)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Skills!G15*IF(Skills!H15&gt;0,IF(Inputs!$B$38="pvp",MIN(Skills!I15,15),Skills!I15)/Skills!H15,1)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Skills!G16*IF(Skills!H16&gt;0,IF(Inputs!$B$38="pvp",MIN(Skills!I16,15),Skills!I16)/Skills!H16,1)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IFERROR(1/(IF(Inputs!$B$38="pvp",15,MAX(0.1,Skills!D16-IF(TRUE=TRUE,Inputs!$B$32,0)))*(1-IF(AND(ArtifactsInput!$M$27,Inputs!$B$4="Chapter Hunt"),CHOOSE(ArtifactsInput!$N$27+1,20,24,28,32,36,40),0)/100)),0)</f>
        <v/>
      </c>
      <c r="R87">
        <f>IF(AND(Inputs!$B$38&lt;&gt;"pvp",Inputs!$B$43&gt;0),IF(Inputs!$B$43&lt;=0,0,(INT(Inputs!$B$43/(IF(Inputs!$B$38="pvp",15,MAX(0.1,Skills!D16-IF(TRUE=TRUE,Inputs!$B$32,0)))*(1-IF(AND(ArtifactsInput!$M$27,Inputs!$B$4="Chapter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Skills!G17*IF(Skills!H17&gt;0,IF(Inputs!$B$38="pvp",MIN(Skills!I17,15),Skills!I17)/Skills!H17,1)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IFERROR(1/(IF(Inputs!$B$38="pvp",15,MAX(0.1,Skills!D17-IF(TRUE=TRUE,Inputs!$B$32,0)))*(1-IF(AND(ArtifactsInput!$M$27,Inputs!$B$4="Chapter Hunt"),CHOOSE(ArtifactsInput!$N$27+1,20,24,28,32,36,40),0)/100)),0)</f>
        <v/>
      </c>
      <c r="R88">
        <f>IF(AND(Inputs!$B$38&lt;&gt;"pvp",Inputs!$B$43&gt;0),IF(Inputs!$B$43&lt;=0,0,(INT(Inputs!$B$43/(IF(Inputs!$B$38="pvp",15,MAX(0.1,Skills!D17-IF(TRUE=TRUE,Inputs!$B$32,0)))*(1-IF(AND(ArtifactsInput!$M$27,Inputs!$B$4="Chapter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Skills!G18*IF(Skills!H18&gt;0,IF(Inputs!$B$38="pvp",MIN(Skills!I18,15),Skills!I18)/Skills!H18,1)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Skills!G19*IF(Skills!H19&gt;0,IF(Inputs!$B$38="pvp",MIN(Skills!I19,15),Skills!I19)/Skills!H19,1)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IFERROR(1/(IF(Inputs!$B$38="pvp",15,MAX(0.1,Skills!D19-IF(TRUE=TRUE,Inputs!$B$32,0)))*(1-IF(AND(ArtifactsInput!$M$27,Inputs!$B$4="Chapter Hunt"),CHOOSE(ArtifactsInput!$N$27+1,20,24,28,32,36,40),0)/100)),0)</f>
        <v/>
      </c>
      <c r="R90">
        <f>IF(AND(Inputs!$B$38&lt;&gt;"pvp",Inputs!$B$43&gt;0),IF(Inputs!$B$43&lt;=0,0,(INT(Inputs!$B$43/(IF(Inputs!$B$38="pvp",15,MAX(0.1,Skills!D19-IF(TRUE=TRUE,Inputs!$B$32,0)))*(1-IF(AND(ArtifactsInput!$M$27,Inputs!$B$4="Chapter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Skills!G20*IF(Skills!H20&gt;0,IF(Inputs!$B$38="pvp",MIN(Skills!I20,15),Skills!I20)/Skills!H20,1)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Skills!G21*IF(Skills!H21&gt;0,IF(Inputs!$B$38="pvp",MIN(Skills!I21,15),Skills!I21)/Skills!H21,1)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Skills!G22*IF(Skills!H22&gt;0,IF(Inputs!$B$38="pvp",MIN(Skills!I22,15),Skills!I22)/Skills!H22,1)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Skills!G23*IF(Skills!H23&gt;0,IF(Inputs!$B$38="pvp",MIN(Skills!I23,15),Skills!I23)/Skills!H23,1)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Skills!G24*IF(Skills!H24&gt;0,IF(Inputs!$B$38="pvp",MIN(Skills!I24,15),Skills!I24)/Skills!H24,1)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Skills!G25*IF(Skills!H25&gt;0,IF(Inputs!$B$38="pvp",MIN(Skills!I25,15),Skills!I25)/Skills!H25,1)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Skills!G26*IF(Skills!H26&gt;0,IF(Inputs!$B$38="pvp",MIN(Skills!I26,15),Skills!I26)/Skills!H26,1)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118,8,IF(Inputs!$B$3&gt;=110,7,5)))+((C86=TRUE)*F86*IF(AND(Inputs!$B$38&lt;&gt;"pvp",Inputs!$B$43&gt;0),(((R86-1)*MIN((Skills!T15*(1+(Inputs!$B$34+(ArtifactsInput!$M$7-ArtifactsInput!$M$7)*CHOOSE(ArtifactsInput!$N$7+1,6,7.2,8.4,9.6,10.8,12))/100)),(1/Q86))+MIN((Skills!T15*(1+(Inputs!$B$34+(ArtifactsInput!$M$7-ArtifactsInput!$M$7)*CHOOSE(ArtifactsInput!$N$7+1,6,7.2,8.4,9.6,10.8,12))/100)),MAX(0,Inputs!$B$43-((R86-1)*(1/Q86)))))/Inputs!$B$43),IF(Inputs!$B$38="pvp",MIN((Skills!T15*(1+(Inputs!$B$34+(ArtifactsInput!$M$7-ArtifactsInput!$M$7)*CHOOSE(ArtifactsInput!$N$7+1,6,7.2,8.4,9.6,10.8,12))/100)),15)/15,MIN(1,(Skills!T15*(1+(Inputs!$B$34+(ArtifactsInput!$M$7-ArtifactsInput!$M$7)*CHOOSE(ArtifactsInput!$N$7+1,6,7.2,8.4,9.6,10.8,12))/100))/(1/Q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MIN((Skills!T19*(1+(Inputs!$B$34+(ArtifactsInput!$M$7-ArtifactsInput!$M$7)*CHOOSE(ArtifactsInput!$N$7+1,6,7.2,8.4,9.6,10.8,12))/100)),(1/Q90))+MIN((Skills!T19*(1+(Inputs!$B$34+(ArtifactsInput!$M$7-ArtifactsInput!$M$7)*CHOOSE(ArtifactsInput!$N$7+1,6,7.2,8.4,9.6,10.8,12))/100)),MAX(0,Inputs!$B$43-((R90-1)*(1/Q90)))))/Inputs!$B$43),IF(Inputs!$B$38="pvp",MIN((Skills!T19*(1+(Inputs!$B$34+(ArtifactsInput!$M$7-ArtifactsInput!$M$7)*CHOOSE(ArtifactsInput!$N$7+1,6,7.2,8.4,9.6,10.8,12))/100)),15)/15,MIN(1,(Skills!T19*(1+(Inputs!$B$34+(ArtifactsInput!$M$7-ArtifactsInput!$M$7)*CHOOSE(ArtifactsInput!$N$7+1,6,7.2,8.4,9.6,10.8,12))/100))/(1/Q90)))))</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MIN((Skills!T18*(1+(Inputs!$B$34+(ArtifactsInput!$M$7-ArtifactsInput!$M$7)*CHOOSE(ArtifactsInput!$N$7+1,6,7.2,8.4,9.6,10.8,12))/100)),(1/Q89))+MIN((Skills!T18*(1+(Inputs!$B$34+(ArtifactsInput!$M$7-ArtifactsInput!$M$7)*CHOOSE(ArtifactsInput!$N$7+1,6,7.2,8.4,9.6,10.8,12))/100)),MAX(0,Inputs!$B$43-((R89-1)*(1/Q89)))))/Inputs!$B$43),IF(Inputs!$B$38="pvp",MIN((Skills!T18*(1+(Inputs!$B$34+(ArtifactsInput!$M$7-ArtifactsInput!$M$7)*CHOOSE(ArtifactsInput!$N$7+1,6,7.2,8.4,9.6,10.8,12))/100)),15)/15,MIN(1,(Skills!T18*(1+(Inputs!$B$34+(ArtifactsInput!$M$7-ArtifactsInput!$M$7)*CHOOSE(ArtifactsInput!$N$7+1,6,7.2,8.4,9.6,10.8,12))/100))/(1/Q89)))))</f>
        <v/>
      </c>
    </row>
    <row r="106">
      <c r="A106" t="inlineStr">
        <is>
          <t>Global Final Damage Bonus % (Enrage + Combo Synergy)</t>
        </is>
      </c>
      <c r="B106">
        <f>((C88=TRUE)*F88*IF(AND(Inputs!$B$38&lt;&gt;"pvp",Inputs!$B$43&gt;0),(((R88-1)*MIN((Skills!T17*(1+(Inputs!$B$34+(ArtifactsInput!$M$7-ArtifactsInput!$M$7)*CHOOSE(ArtifactsInput!$N$7+1,6,7.2,8.4,9.6,10.8,12))/100)),(1/Q88))+MIN((Skills!T17*(1+(Inputs!$B$34+(ArtifactsInput!$M$7-ArtifactsInput!$M$7)*CHOOSE(ArtifactsInput!$N$7+1,6,7.2,8.4,9.6,10.8,12))/100)),MAX(0,Inputs!$B$43-((R88-1)*(1/Q88)))))/Inputs!$B$43),IF(Inputs!$B$38="pvp",MIN((Skills!T17*(1+(Inputs!$B$34+(ArtifactsInput!$M$7-ArtifactsInput!$M$7)*CHOOSE(ArtifactsInput!$N$7+1,6,7.2,8.4,9.6,10.8,12))/100)),15)/15,MIN(1,(Skills!T17*(1+(Inputs!$B$34+(ArtifactsInput!$M$7-ArtifactsInput!$M$7)*CHOOSE(ArtifactsInput!$N$7+1,6,7.2,8.4,9.6,10.8,12))/100))/(1/Q88)))))+((C85=TRUE)*F85*IF(Inputs!$B$3&gt;=118,8,IF(Inputs!$B$3&gt;=110,7,5)))+IF(Inputs!$B$3&gt;=98,5,0)</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Skills!G2*IF(Skills!H2&gt;0,IF(Inputs!$B$38="pvp",MIN(Skills!I2,15),Skills!I2)/Skills!H2,1)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Skills!G5*IF(Skills!H5&gt;0,IF(Inputs!$B$38="pvp",MIN(Skills!I5,15),Skills!I5)/Skills!H5,1)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IFERROR(1/(IF(Inputs!$B$38="pvp",15,MAX(0.1,Skills!D5-IF(TRUE=TRUE,Inputs!$B$32,0)))*(1-IF(AND(ArtifactsInput!$M$27,Inputs!$B$4="Chapter Hunt"),CHOOSE(ArtifactsInput!$N$27+1,20,24,28,32,36,40),0)/100)),0)</f>
        <v/>
      </c>
      <c r="R118">
        <f>IF(AND(Inputs!$B$38&lt;&gt;"pvp",Inputs!$B$43&gt;0),IF(MAX(0,Inputs!$B$43-B149)&lt;=0,0,(INT(MAX(0,Inputs!$B$43-B149)/(IF(Inputs!$B$38="pvp",15,MAX(0.1,Skills!D5-IF(TRUE=TRUE,Inputs!$B$32,0)))*(1-IF(AND(ArtifactsInput!$M$27,Inputs!$B$4="Chapter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$20+0+Skills!P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TRUE=TRUE,Inputs!$B$32,0)))*(1-IF(AND(ArtifactsInput!$M$27,Inputs!$B$4="Chapter Hunt"),CHOOSE(ArtifactsInput!$N$27+1,20,24,28,32,36,40),0)/100)))))/Skills!H5,1)))/Inputs!$B$43),G118*Q118))*IF(Inputs!$B$38="pvp",1,(1+(Inputs!$B$21+Skills!Q5+(((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Skills!G6*IF(Skills!H6&gt;0,IF(Inputs!$B$38="pvp",MIN(Skills!I6,15),Skills!I6)/Skills!H6,1)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IFERROR(1/(IF(Inputs!$B$38="pvp",15,MAX(0.1,Skills!D6-IF(TRUE=TRUE,Inputs!$B$32,0)))*(1-IF(AND(ArtifactsInput!$M$27,Inputs!$B$4="Chapter Hunt"),CHOOSE(ArtifactsInput!$N$27+1,20,24,28,32,36,40),0)/100)),0)</f>
        <v/>
      </c>
      <c r="R119">
        <f>IF(AND(Inputs!$B$38&lt;&gt;"pvp",Inputs!$B$43&gt;0),IF(MAX(0,Inputs!$B$43-B149)&lt;=0,0,(INT(MAX(0,Inputs!$B$43-B149)/(IF(Inputs!$B$38="pvp",15,MAX(0.1,Skills!D6-IF(TRUE=TRUE,Inputs!$B$32,0)))*(1-IF(AND(ArtifactsInput!$M$27,Inputs!$B$4="Chapter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$20+0+Skills!P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TRUE=TRUE,Inputs!$B$32,0)))*(1-IF(AND(ArtifactsInput!$M$27,Inputs!$B$4="Chapter Hunt"),CHOOSE(ArtifactsInput!$N$27+1,20,24,28,32,36,40),0)/100)))))/Skills!H6,1)))/Inputs!$B$43),G119*Q119))*IF(Inputs!$B$38="pvp",1,(1+(Inputs!$B$21+Skills!Q6+(((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Skills!G7*IF(Skills!H7&gt;0,IF(Inputs!$B$38="pvp",MIN(Skills!I7,15),Skills!I7)/Skills!H7,1)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IFERROR(1/(IF(Inputs!$B$38="pvp",15,MAX(0.1,Skills!D7-IF(TRUE=TRUE,Inputs!$B$32,0)))*(1-IF(AND(ArtifactsInput!$M$27,Inputs!$B$4="Chapter Hunt"),CHOOSE(ArtifactsInput!$N$27+1,20,24,28,32,36,40),0)/100)),0)</f>
        <v/>
      </c>
      <c r="R120">
        <f>IF(AND(Inputs!$B$38&lt;&gt;"pvp",Inputs!$B$43&gt;0),IF(MAX(0,Inputs!$B$43-B149)&lt;=0,0,(INT(MAX(0,Inputs!$B$43-B149)/(IF(Inputs!$B$38="pvp",15,MAX(0.1,Skills!D7-IF(TRUE=TRUE,Inputs!$B$32,0)))*(1-IF(AND(ArtifactsInput!$M$27,Inputs!$B$4="Chapter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$20+0+Skills!P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TRUE=TRUE,Inputs!$B$32,0)))*(1-IF(AND(ArtifactsInput!$M$27,Inputs!$B$4="Chapter Hunt"),CHOOSE(ArtifactsInput!$N$27+1,20,24,28,32,36,40),0)/100)))))/Skills!H7,1)))/Inputs!$B$43),G120*Q120))*IF(Inputs!$B$38="pvp",1,(1+(Inputs!$B$21+Skills!Q7+(((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Skills!G8*IF(Skills!H8&gt;0,IF(Inputs!$B$38="pvp",MIN(Skills!I8,15),Skills!I8)/Skills!H8,1)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IFERROR(1/(IF(Inputs!$B$38="pvp",15,MAX(0.1,Skills!D8-IF(TRUE=TRUE,Inputs!$B$32,0)))*(1-IF(AND(ArtifactsInput!$M$27,Inputs!$B$4="Chapter Hunt"),CHOOSE(ArtifactsInput!$N$27+1,20,24,28,32,36,40),0)/100)),0)</f>
        <v/>
      </c>
      <c r="R121">
        <f>IF(AND(Inputs!$B$38&lt;&gt;"pvp",Inputs!$B$43&gt;0),IF(MAX(0,Inputs!$B$43-B149)&lt;=0,0,(INT(MAX(0,Inputs!$B$43-B149)/(IF(Inputs!$B$38="pvp",15,MAX(0.1,Skills!D8-IF(TRUE=TRUE,Inputs!$B$32,0)))*(1-IF(AND(ArtifactsInput!$M$27,Inputs!$B$4="Chapter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$20+0+Skills!P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TRUE=TRUE,Inputs!$B$32,0)))*(1-IF(AND(ArtifactsInput!$M$27,Inputs!$B$4="Chapter Hunt"),CHOOSE(ArtifactsInput!$N$27+1,20,24,28,32,36,40),0)/100)))))/Skills!H8,1)))/Inputs!$B$43),G121*Q121))*IF(Inputs!$B$38="pvp",1,(1+(Inputs!$B$21+Skills!Q8+(((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Skills!G9*IF(Skills!H9&gt;0,IF(Inputs!$B$38="pvp",MIN(Skills!I9,15),Skills!I9)/Skills!H9,1)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138,MAX(0,IF(Inputs!$B$3&gt;=118,8,IF(Inputs!$B$3&gt;=110,7,5))-5)*50,0),0)/100)*(1+(IF(Skills!A9="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IFERROR(1/(IF(Inputs!$B$38="pvp",15,MAX(0.1,Skills!D9-IF(TRUE=TRUE,Inputs!$B$32,0)))*(1-IF(AND(ArtifactsInput!$M$27,Inputs!$B$4="Chapter Hunt"),CHOOSE(ArtifactsInput!$N$27+1,20,24,28,32,36,40),0)/100)),0)</f>
        <v/>
      </c>
      <c r="R122">
        <f>IF(AND(Inputs!$B$38&lt;&gt;"pvp",Inputs!$B$43&gt;0),IF(MAX(0,Inputs!$B$43-B149)&lt;=0,0,(INT(MAX(0,Inputs!$B$43-B149)/(IF(Inputs!$B$38="pvp",15,MAX(0.1,Skills!D9-IF(TRUE=TRUE,Inputs!$B$32,0)))*(1-IF(AND(ArtifactsInput!$M$27,Inputs!$B$4="Chapter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TRUE=TRUE,Inputs!$B$32,0)))*(1-IF(AND(ArtifactsInput!$M$27,Inputs!$B$4="Chapter Hunt"),CHOOSE(ArtifactsInput!$N$27+1,20,24,28,32,36,40),0)/100)))))/Skills!H9,1)))/Inputs!$B$43),G122*Q122))*IF(Inputs!$B$38="pvp",1,1+(Inputs!$B$20+0+Skills!P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TRUE=TRUE,Inputs!$B$32,0)))*(1-IF(AND(ArtifactsInput!$M$27,Inputs!$B$4="Chapter Hunt"),CHOOSE(ArtifactsInput!$N$27+1,20,24,28,32,36,40),0)/100)))))/Skills!H9,1)))/Inputs!$B$43),G122*Q122))*IF(Inputs!$B$38="pvp",1,(1+(Inputs!$B$21+Skills!Q9+(((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Skills!G10*IF(Skills!H10&gt;0,IF(Inputs!$B$38="pvp",MIN(Skills!I10,15),Skills!I10)/Skills!H10,1)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138,MAX(0,IF(Inputs!$B$3&gt;=118,8,IF(Inputs!$B$3&gt;=110,7,5))-5)*50,0),0)/100)*(1+(IF(Skills!A10="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IFERROR(1/(IF(Inputs!$B$38="pvp",15,MAX(0.1,Skills!D10-IF(TRUE=TRUE,Inputs!$B$32,0)))*(1-IF(AND(ArtifactsInput!$M$27,Inputs!$B$4="Chapter Hunt"),CHOOSE(ArtifactsInput!$N$27+1,20,24,28,32,36,40),0)/100)),0)</f>
        <v/>
      </c>
      <c r="R123">
        <f>IF(AND(Inputs!$B$38&lt;&gt;"pvp",Inputs!$B$43&gt;0),IF(MAX(0,Inputs!$B$43-B149)&lt;=0,0,(INT(MAX(0,Inputs!$B$43-B149)/(IF(Inputs!$B$38="pvp",15,MAX(0.1,Skills!D10-IF(TRUE=TRUE,Inputs!$B$32,0)))*(1-IF(AND(ArtifactsInput!$M$27,Inputs!$B$4="Chapter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$20+0+Skills!P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TRUE=TRUE,Inputs!$B$32,0)))*(1-IF(AND(ArtifactsInput!$M$27,Inputs!$B$4="Chapter Hunt"),CHOOSE(ArtifactsInput!$N$27+1,20,24,28,32,36,40),0)/100)))))/Skills!H10,1)))/Inputs!$B$43),G123*Q123))*IF(Inputs!$B$38="pvp",1,(1+(Inputs!$B$21+Skills!Q10+(((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Skills!G11*IF(Skills!H11&gt;0,IF(Inputs!$B$38="pvp",MIN(Skills!I11,15),Skills!I11)/Skills!H11,1)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(100-(100-((Inputs!$B$19+0)))*(1-IF(Inputs!$B$3&gt;=130,IF(Inputs!$B$3&gt;=118,8,IF(Inputs!$B$3&gt;=110,7,5)),0)/100)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138,MAX(0,IF(Inputs!$B$3&gt;=118,8,IF(Inputs!$B$3&gt;=110,7,5))-5)*50,0),0)/100)*(1+(IF(Skills!A11="RAGING_BLOW",Inputs!$B$17+((C134=TRUE)*(F134-Calc!F21))+((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IFERROR(1/(IF(Inputs!$B$38="pvp",15,MAX(0.1,Skills!D11-IF(TRUE=TRUE,Inputs!$B$32,0)))*(1-IF(AND(ArtifactsInput!$M$27,Inputs!$B$4="Chapter Hunt"),CHOOSE(ArtifactsInput!$N$27+1,20,24,28,32,36,40),0)/100)),0)</f>
        <v/>
      </c>
      <c r="R124">
        <f>IF(AND(Inputs!$B$38&lt;&gt;"pvp",Inputs!$B$43&gt;0),IF(MAX(0,Inputs!$B$43-B149)&lt;=0,0,(INT(MAX(0,Inputs!$B$43-B149)/(IF(Inputs!$B$38="pvp",15,MAX(0.1,Skills!D11-IF(TRUE=TRUE,Inputs!$B$32,0)))*(1-IF(AND(ArtifactsInput!$M$27,Inputs!$B$4="Chapter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$20+0+Skills!P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Inputs!$B$38&lt;&gt;"pvp",Inputs!$B$43=0),1,IF(IF(Inputs!$B$38="pvp",15,Inputs!$B$43)-(B149)&lt;=0,1,MAX(0,IF(Inputs!$B$38="pvp",15,Inputs!$B$43)-MAX(5,B149))/(IF(Inputs!$B$38="pvp",15,Inputs!$B$43)-(B149)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TRUE=TRUE,Inputs!$B$32,0)))*(1-IF(AND(ArtifactsInput!$M$27,Inputs!$B$4="Chapter Hunt"),CHOOSE(ArtifactsInput!$N$27+1,20,24,28,32,36,40),0)/100)))))/Skills!H11,1)))/Inputs!$B$43),G124*Q124))*IF(Inputs!$B$38="pvp",1,(1+(Inputs!$B$21+Skills!Q11+(((C129=TRUE)*F129*(Skills!J16/100)*IF(AND(Inputs!$B$38&lt;&gt;"pvp",Inputs!$B$43&gt;0),(((R129-1)*MIN((Skills!T16*(1+(Inputs!$B$34+(ArtifactsInput!$M$7-ArtifactsInput!$M$7)*CHOOSE(ArtifactsInput!$N$7+1,6,7.2,8.4,9.6,10.8,12))/100)),(1/Q129))+MIN((Skills!T16*(1+(Inputs!$B$34+(ArtifactsInput!$M$7-ArtifactsInput!$M$7)*CHOOSE(ArtifactsInput!$N$7+1,6,7.2,8.4,9.6,10.8,12))/100)),MAX(0,Inputs!$B$43-((R129-1)*(1/Q129)))))/Inputs!$B$43),IF(Inputs!$B$38="pvp",MIN((Skills!T16*(1+(Inputs!$B$34+(ArtifactsInput!$M$7-ArtifactsInput!$M$7)*CHOOSE(ArtifactsInput!$N$7+1,6,7.2,8.4,9.6,10.8,12))/100)),15)/15,MIN(1,(Skills!T16*(1+(Inputs!$B$34+(ArtifactsInput!$M$7-ArtifactsInput!$M$7)*CHOOSE(ArtifactsInput!$N$7+1,6,7.2,8.4,9.6,10.8,12))/100))/(1/Q129)))))+((C121=TRUE)*IF(Inputs!$B$3&gt;=126,10*MIN(1,15*Q121),0))+((C118=TRUE)*((100/10)*(INDEX(FactorTable!$B$2:$Y$301,MATCH(ROUND(MIN(300,MAX(1,MAX(0,(Inputs!$B$3-100)*3)+Inputs!$B$28+Inputs!$B$29)),0),FactorTable!$A$2:$A$301,0),22)/1000))*(1+IF(Inputs!$B$3&gt;=134,0.5,0))*MIN(1,10*(1+(Inputs!$B$34+(ArtifactsInput!$M$7-ArtifactsInput!$M$7)*CHOOSE(ArtifactsInput!$N$7+1,6,7.2,8.4,9.6,10.8,12))/100)*Q118)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Skills!G13*IF(Skills!H13&gt;0,IF(Inputs!$B$38="pvp",MIN(Skills!I13,15),Skills!I13)/Skills!H13,1)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Skills!G14*IF(Skills!H14&gt;0,IF(Inputs!$B$38="pvp",MIN(Skills!I14,15),Skills!I14)/Skills!H14,1)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Skills!G15*IF(Skills!H15&gt;0,IF(Inputs!$B$38="pvp",MIN(Skills!I15,15),Skills!I15)/Skills!H15,1)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IFERROR(1/(IF(Inputs!$B$38="pvp",15,MAX(0.1,Skills!D15-IF(TRUE=TRUE,Inputs!$B$32,0)))*(1-IF(AND(ArtifactsInput!$M$27,Inputs!$B$4="Chapter Hunt"),CHOOSE(ArtifactsInput!$N$27+1,20,24,28,32,36,40),0)/100)),0)</f>
        <v/>
      </c>
      <c r="R128">
        <f>IF(AND(Inputs!$B$38&lt;&gt;"pvp",Inputs!$B$43&gt;0),IF(Inputs!$B$43&lt;=0,0,(INT(Inputs!$B$43/(IF(Inputs!$B$38="pvp",15,MAX(0.1,Skills!D15-IF(TRUE=TRUE,Inputs!$B$32,0)))*(1-IF(AND(ArtifactsInput!$M$27,Inputs!$B$4="Chapter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Skills!G16*IF(Skills!H16&gt;0,IF(Inputs!$B$38="pvp",MIN(Skills!I16,15),Skills!I16)/Skills!H16,1)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IFERROR(1/(IF(Inputs!$B$38="pvp",15,MAX(0.1,Skills!D16-IF(TRUE=TRUE,Inputs!$B$32,0)))*(1-IF(AND(ArtifactsInput!$M$27,Inputs!$B$4="Chapter Hunt"),CHOOSE(ArtifactsInput!$N$27+1,20,24,28,32,36,40),0)/100)),0)</f>
        <v/>
      </c>
      <c r="R129">
        <f>IF(AND(Inputs!$B$38&lt;&gt;"pvp",Inputs!$B$43&gt;0),IF(Inputs!$B$43&lt;=0,0,(INT(Inputs!$B$43/(IF(Inputs!$B$38="pvp",15,MAX(0.1,Skills!D16-IF(TRUE=TRUE,Inputs!$B$32,0)))*(1-IF(AND(ArtifactsInput!$M$27,Inputs!$B$4="Chapter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Skills!G17*IF(Skills!H17&gt;0,IF(Inputs!$B$38="pvp",MIN(Skills!I17,15),Skills!I17)/Skills!H17,1)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IFERROR(1/(IF(Inputs!$B$38="pvp",15,MAX(0.1,Skills!D17-IF(TRUE=TRUE,Inputs!$B$32,0)))*(1-IF(AND(ArtifactsInput!$M$27,Inputs!$B$4="Chapter Hunt"),CHOOSE(ArtifactsInput!$N$27+1,20,24,28,32,36,40),0)/100)),0)</f>
        <v/>
      </c>
      <c r="R130">
        <f>IF(AND(Inputs!$B$38&lt;&gt;"pvp",Inputs!$B$43&gt;0),IF(Inputs!$B$43&lt;=0,0,(INT(Inputs!$B$43/(IF(Inputs!$B$38="pvp",15,MAX(0.1,Skills!D17-IF(TRUE=TRUE,Inputs!$B$32,0)))*(1-IF(AND(ArtifactsInput!$M$27,Inputs!$B$4="Chapter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Skills!G18*IF(Skills!H18&gt;0,IF(Inputs!$B$38="pvp",MIN(Skills!I18,15),Skills!I18)/Skills!H18,1)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IFERROR(1/(IF(Inputs!$B$38="pvp",15,MAX(0.1,Skills!D18-IF(TRUE=TRUE,Inputs!$B$32,0)))*(1-IF(AND(ArtifactsInput!$M$27,Inputs!$B$4="Chapter Hunt"),CHOOSE(ArtifactsInput!$N$27+1,20,24,28,32,36,40),0)/100)),0)</f>
        <v/>
      </c>
      <c r="R131">
        <f>IF(AND(Inputs!$B$38&lt;&gt;"pvp",Inputs!$B$43&gt;0),IF(Inputs!$B$43&lt;=0,0,(INT(Inputs!$B$43/(IF(Inputs!$B$38="pvp",15,MAX(0.1,Skills!D18-IF(TRUE=TRUE,Inputs!$B$32,0)))*(1-IF(AND(ArtifactsInput!$M$27,Inputs!$B$4="Chapter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Skills!G19*IF(Skills!H19&gt;0,IF(Inputs!$B$38="pvp",MIN(Skills!I19,15),Skills!I19)/Skills!H19,1)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IFERROR(1/(IF(Inputs!$B$38="pvp",15,MAX(0.1,Skills!D19-IF(TRUE=TRUE,Inputs!$B$32,0)))*(1-IF(AND(ArtifactsInput!$M$27,Inputs!$B$4="Chapter Hunt"),CHOOSE(ArtifactsInput!$N$27+1,20,24,28,32,36,40),0)/100)),0)</f>
        <v/>
      </c>
      <c r="R132">
        <f>IF(AND(Inputs!$B$38&lt;&gt;"pvp",Inputs!$B$43&gt;0),IF(Inputs!$B$43&lt;=0,0,(INT(Inputs!$B$43/(IF(Inputs!$B$38="pvp",15,MAX(0.1,Skills!D19-IF(TRUE=TRUE,Inputs!$B$32,0)))*(1-IF(AND(ArtifactsInput!$M$27,Inputs!$B$4="Chapter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Skills!G20*IF(Skills!H20&gt;0,IF(Inputs!$B$38="pvp",MIN(Skills!I20,15),Skills!I20)/Skills!H20,1)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Skills!G21*IF(Skills!H21&gt;0,IF(Inputs!$B$38="pvp",MIN(Skills!I21,15),Skills!I21)/Skills!H21,1)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Skills!G22*IF(Skills!H22&gt;0,IF(Inputs!$B$38="pvp",MIN(Skills!I22,15),Skills!I22)/Skills!H22,1)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Skills!G23*IF(Skills!H23&gt;0,IF(Inputs!$B$38="pvp",MIN(Skills!I23,15),Skills!I23)/Skills!H23,1)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Skills!G24*IF(Skills!H24&gt;0,IF(Inputs!$B$38="pvp",MIN(Skills!I24,15),Skills!I24)/Skills!H24,1)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Skills!G25*IF(Skills!H25&gt;0,IF(Inputs!$B$38="pvp",MIN(Skills!I25,15),Skills!I25)/Skills!H25,1)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Skills!G26*IF(Skills!H26&gt;0,IF(Inputs!$B$38="pvp",MIN(Skills!I26,15),Skills!I26)/Skills!H26,1)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118,8,IF(Inputs!$B$3&gt;=110,7,5)))+((C128=TRUE)*F128*IF(AND(Inputs!$B$38&lt;&gt;"pvp",Inputs!$B$43&gt;0),(((R128-1)*MIN((Skills!T15*(1+(Inputs!$B$34+(ArtifactsInput!$M$7-ArtifactsInput!$M$7)*CHOOSE(ArtifactsInput!$N$7+1,6,7.2,8.4,9.6,10.8,12))/100)),(1/Q128))+MIN((Skills!T15*(1+(Inputs!$B$34+(ArtifactsInput!$M$7-ArtifactsInput!$M$7)*CHOOSE(ArtifactsInput!$N$7+1,6,7.2,8.4,9.6,10.8,12))/100)),MAX(0,Inputs!$B$43-((R128-1)*(1/Q128)))))/Inputs!$B$43),IF(Inputs!$B$38="pvp",MIN((Skills!T15*(1+(Inputs!$B$34+(ArtifactsInput!$M$7-ArtifactsInput!$M$7)*CHOOSE(ArtifactsInput!$N$7+1,6,7.2,8.4,9.6,10.8,12))/100)),15)/15,MIN(1,(Skills!T15*(1+(Inputs!$B$34+(ArtifactsInput!$M$7-ArtifactsInput!$M$7)*CHOOSE(ArtifactsInput!$N$7+1,6,7.2,8.4,9.6,10.8,12))/100))/(1/Q128)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MIN((Skills!T19*(1+(Inputs!$B$34+(ArtifactsInput!$M$7-ArtifactsInput!$M$7)*CHOOSE(ArtifactsInput!$N$7+1,6,7.2,8.4,9.6,10.8,12))/100)),(1/Q132))+MIN((Skills!T19*(1+(Inputs!$B$34+(ArtifactsInput!$M$7-ArtifactsInput!$M$7)*CHOOSE(ArtifactsInput!$N$7+1,6,7.2,8.4,9.6,10.8,12))/100)),MAX(0,Inputs!$B$43-((R132-1)*(1/Q132)))))/Inputs!$B$43),IF(Inputs!$B$38="pvp",MIN((Skills!T19*(1+(Inputs!$B$34+(ArtifactsInput!$M$7-ArtifactsInput!$M$7)*CHOOSE(ArtifactsInput!$N$7+1,6,7.2,8.4,9.6,10.8,12))/100)),15)/15,MIN(1,(Skills!T19*(1+(Inputs!$B$34+(ArtifactsInput!$M$7-ArtifactsInput!$M$7)*CHOOSE(ArtifactsInput!$N$7+1,6,7.2,8.4,9.6,10.8,12))/100))/(1/Q132)))))</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MIN((Skills!T18*(1+(Inputs!$B$34+(ArtifactsInput!$M$7-ArtifactsInput!$M$7)*CHOOSE(ArtifactsInput!$N$7+1,6,7.2,8.4,9.6,10.8,12))/100)),(1/Q131))+MIN((Skills!T18*(1+(Inputs!$B$34+(ArtifactsInput!$M$7-ArtifactsInput!$M$7)*CHOOSE(ArtifactsInput!$N$7+1,6,7.2,8.4,9.6,10.8,12))/100)),MAX(0,Inputs!$B$43-((R131-1)*(1/Q131)))))/Inputs!$B$43),IF(Inputs!$B$38="pvp",MIN((Skills!T18*(1+(Inputs!$B$34+(ArtifactsInput!$M$7-ArtifactsInput!$M$7)*CHOOSE(ArtifactsInput!$N$7+1,6,7.2,8.4,9.6,10.8,12))/100)),15)/15,MIN(1,(Skills!T18*(1+(Inputs!$B$34+(ArtifactsInput!$M$7-ArtifactsInput!$M$7)*CHOOSE(ArtifactsInput!$N$7+1,6,7.2,8.4,9.6,10.8,12))/100))/(1/Q131)))))</f>
        <v/>
      </c>
    </row>
    <row r="148">
      <c r="A148" t="inlineStr">
        <is>
          <t>Global Final Damage Bonus % (Enrage + Combo Synergy)</t>
        </is>
      </c>
      <c r="B148">
        <f>((C130=TRUE)*F130*IF(AND(Inputs!$B$38&lt;&gt;"pvp",Inputs!$B$43&gt;0),(((R130-1)*MIN((Skills!T17*(1+(Inputs!$B$34+(ArtifactsInput!$M$7-ArtifactsInput!$M$7)*CHOOSE(ArtifactsInput!$N$7+1,6,7.2,8.4,9.6,10.8,12))/100)),(1/Q130))+MIN((Skills!T17*(1+(Inputs!$B$34+(ArtifactsInput!$M$7-ArtifactsInput!$M$7)*CHOOSE(ArtifactsInput!$N$7+1,6,7.2,8.4,9.6,10.8,12))/100)),MAX(0,Inputs!$B$43-((R130-1)*(1/Q130)))))/Inputs!$B$43),IF(Inputs!$B$38="pvp",MIN((Skills!T17*(1+(Inputs!$B$34+(ArtifactsInput!$M$7-ArtifactsInput!$M$7)*CHOOSE(ArtifactsInput!$N$7+1,6,7.2,8.4,9.6,10.8,12))/100)),15)/15,MIN(1,(Skills!T17*(1+(Inputs!$B$34+(ArtifactsInput!$M$7-ArtifactsInput!$M$7)*CHOOSE(ArtifactsInput!$N$7+1,6,7.2,8.4,9.6,10.8,12))/100))/(1/Q130)))))+((C127=TRUE)*F127*IF(Inputs!$B$3&gt;=118,8,IF(Inputs!$B$3&gt;=110,7,5)))+IF(Inputs!$B$3&gt;=98,5,0)</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Skills!G2*IF(Skills!H2&gt;0,IF(Inputs!$B$38="pvp",MIN(Skills!I2,15),Skills!I2)/Skills!H2,1)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Skills!G5*IF(Skills!H5&gt;0,IF(Inputs!$B$38="pvp",MIN(Skills!I5,15),Skills!I5)/Skills!H5,1)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IFERROR(1/(IF(Inputs!$B$38="pvp",15,MAX(0.1,Skills!D5-IF(TRUE=TRUE,Inputs!$B$32,0)))*(1-IF(AND(ArtifactsInput!$M$27,Inputs!$B$4="Chapter Hunt"),CHOOSE(ArtifactsInput!$N$27+1,20,24,28,32,36,40),0)/100)),0)</f>
        <v/>
      </c>
      <c r="R160">
        <f>IF(AND(Inputs!$B$38&lt;&gt;"pvp",Inputs!$B$43&gt;0),IF(MAX(0,Inputs!$B$43-B191)&lt;=0,0,(INT(MAX(0,Inputs!$B$43-B191)/(IF(Inputs!$B$38="pvp",15,MAX(0.1,Skills!D5-IF(TRUE=TRUE,Inputs!$B$32,0)))*(1-IF(AND(ArtifactsInput!$M$27,Inputs!$B$4="Chapter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$20+0+Skills!P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TRUE=TRUE,Inputs!$B$32,0)))*(1-IF(AND(ArtifactsInput!$M$27,Inputs!$B$4="Chapter Hunt"),CHOOSE(ArtifactsInput!$N$27+1,20,24,28,32,36,40),0)/100)))))/Skills!H5,1)))/Inputs!$B$43),G160*Q160))*IF(Inputs!$B$38="pvp",1,(1+(Inputs!$B$21+Skills!Q5+(((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Skills!G6*IF(Skills!H6&gt;0,IF(Inputs!$B$38="pvp",MIN(Skills!I6,15),Skills!I6)/Skills!H6,1)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IFERROR(1/(IF(Inputs!$B$38="pvp",15,MAX(0.1,Skills!D6-IF(TRUE=TRUE,Inputs!$B$32,0)))*(1-IF(AND(ArtifactsInput!$M$27,Inputs!$B$4="Chapter Hunt"),CHOOSE(ArtifactsInput!$N$27+1,20,24,28,32,36,40),0)/100)),0)</f>
        <v/>
      </c>
      <c r="R161">
        <f>IF(AND(Inputs!$B$38&lt;&gt;"pvp",Inputs!$B$43&gt;0),IF(MAX(0,Inputs!$B$43-B191)&lt;=0,0,(INT(MAX(0,Inputs!$B$43-B191)/(IF(Inputs!$B$38="pvp",15,MAX(0.1,Skills!D6-IF(TRUE=TRUE,Inputs!$B$32,0)))*(1-IF(AND(ArtifactsInput!$M$27,Inputs!$B$4="Chapter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$20+0+Skills!P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TRUE=TRUE,Inputs!$B$32,0)))*(1-IF(AND(ArtifactsInput!$M$27,Inputs!$B$4="Chapter Hunt"),CHOOSE(ArtifactsInput!$N$27+1,20,24,28,32,36,40),0)/100)))))/Skills!H6,1)))/Inputs!$B$43),G161*Q161))*IF(Inputs!$B$38="pvp",1,(1+(Inputs!$B$21+Skills!Q6+(((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Skills!G7*IF(Skills!H7&gt;0,IF(Inputs!$B$38="pvp",MIN(Skills!I7,15),Skills!I7)/Skills!H7,1)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IFERROR(1/(IF(Inputs!$B$38="pvp",15,MAX(0.1,Skills!D7-IF(TRUE=TRUE,Inputs!$B$32,0)))*(1-IF(AND(ArtifactsInput!$M$27,Inputs!$B$4="Chapter Hunt"),CHOOSE(ArtifactsInput!$N$27+1,20,24,28,32,36,40),0)/100)),0)</f>
        <v/>
      </c>
      <c r="R162">
        <f>IF(AND(Inputs!$B$38&lt;&gt;"pvp",Inputs!$B$43&gt;0),IF(MAX(0,Inputs!$B$43-B191)&lt;=0,0,(INT(MAX(0,Inputs!$B$43-B191)/(IF(Inputs!$B$38="pvp",15,MAX(0.1,Skills!D7-IF(TRUE=TRUE,Inputs!$B$32,0)))*(1-IF(AND(ArtifactsInput!$M$27,Inputs!$B$4="Chapter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$20+0+Skills!P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TRUE=TRUE,Inputs!$B$32,0)))*(1-IF(AND(ArtifactsInput!$M$27,Inputs!$B$4="Chapter Hunt"),CHOOSE(ArtifactsInput!$N$27+1,20,24,28,32,36,40),0)/100)))))/Skills!H7,1)))/Inputs!$B$43),G162*Q162))*IF(Inputs!$B$38="pvp",1,(1+(Inputs!$B$21+Skills!Q7+(((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Skills!G8*IF(Skills!H8&gt;0,IF(Inputs!$B$38="pvp",MIN(Skills!I8,15),Skills!I8)/Skills!H8,1)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IFERROR(1/(IF(Inputs!$B$38="pvp",15,MAX(0.1,Skills!D8-IF(TRUE=TRUE,Inputs!$B$32,0)))*(1-IF(AND(ArtifactsInput!$M$27,Inputs!$B$4="Chapter Hunt"),CHOOSE(ArtifactsInput!$N$27+1,20,24,28,32,36,40),0)/100)),0)</f>
        <v/>
      </c>
      <c r="R163">
        <f>IF(AND(Inputs!$B$38&lt;&gt;"pvp",Inputs!$B$43&gt;0),IF(MAX(0,Inputs!$B$43-B191)&lt;=0,0,(INT(MAX(0,Inputs!$B$43-B191)/(IF(Inputs!$B$38="pvp",15,MAX(0.1,Skills!D8-IF(TRUE=TRUE,Inputs!$B$32,0)))*(1-IF(AND(ArtifactsInput!$M$27,Inputs!$B$4="Chapter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$20+0+Skills!P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TRUE=TRUE,Inputs!$B$32,0)))*(1-IF(AND(ArtifactsInput!$M$27,Inputs!$B$4="Chapter Hunt"),CHOOSE(ArtifactsInput!$N$27+1,20,24,28,32,36,40),0)/100)))))/Skills!H8,1)))/Inputs!$B$43),G163*Q163))*IF(Inputs!$B$38="pvp",1,(1+(Inputs!$B$21+Skills!Q8+(((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Skills!G9*IF(Skills!H9&gt;0,IF(Inputs!$B$38="pvp",MIN(Skills!I9,15),Skills!I9)/Skills!H9,1)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138,MAX(0,IF(Inputs!$B$3&gt;=118,8,IF(Inputs!$B$3&gt;=110,7,5))-5)*50,0),0)/100)*(1+(IF(Skills!A9="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IFERROR(1/(IF(Inputs!$B$38="pvp",15,MAX(0.1,Skills!D9-IF(TRUE=TRUE,Inputs!$B$32,0)))*(1-IF(AND(ArtifactsInput!$M$27,Inputs!$B$4="Chapter Hunt"),CHOOSE(ArtifactsInput!$N$27+1,20,24,28,32,36,40),0)/100)),0)</f>
        <v/>
      </c>
      <c r="R164">
        <f>IF(AND(Inputs!$B$38&lt;&gt;"pvp",Inputs!$B$43&gt;0),IF(MAX(0,Inputs!$B$43-B191)&lt;=0,0,(INT(MAX(0,Inputs!$B$43-B191)/(IF(Inputs!$B$38="pvp",15,MAX(0.1,Skills!D9-IF(TRUE=TRUE,Inputs!$B$32,0)))*(1-IF(AND(ArtifactsInput!$M$27,Inputs!$B$4="Chapter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TRUE=TRUE,Inputs!$B$32,0)))*(1-IF(AND(ArtifactsInput!$M$27,Inputs!$B$4="Chapter Hunt"),CHOOSE(ArtifactsInput!$N$27+1,20,24,28,32,36,40),0)/100)))))/Skills!H9,1)))/Inputs!$B$43),G164*Q164))*IF(Inputs!$B$38="pvp",1,1+(Inputs!$B$20+0+Skills!P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TRUE=TRUE,Inputs!$B$32,0)))*(1-IF(AND(ArtifactsInput!$M$27,Inputs!$B$4="Chapter Hunt"),CHOOSE(ArtifactsInput!$N$27+1,20,24,28,32,36,40),0)/100)))))/Skills!H9,1)))/Inputs!$B$43),G164*Q164))*IF(Inputs!$B$38="pvp",1,(1+(Inputs!$B$21+Skills!Q9+(((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Skills!G10*IF(Skills!H10&gt;0,IF(Inputs!$B$38="pvp",MIN(Skills!I10,15),Skills!I10)/Skills!H10,1)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138,MAX(0,IF(Inputs!$B$3&gt;=118,8,IF(Inputs!$B$3&gt;=110,7,5))-5)*50,0),0)/100)*(1+(IF(Skills!A10="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IFERROR(1/(IF(Inputs!$B$38="pvp",15,MAX(0.1,Skills!D10-IF(TRUE=TRUE,Inputs!$B$32,0)))*(1-IF(AND(ArtifactsInput!$M$27,Inputs!$B$4="Chapter Hunt"),CHOOSE(ArtifactsInput!$N$27+1,20,24,28,32,36,40),0)/100)),0)</f>
        <v/>
      </c>
      <c r="R165">
        <f>IF(AND(Inputs!$B$38&lt;&gt;"pvp",Inputs!$B$43&gt;0),IF(MAX(0,Inputs!$B$43-B191)&lt;=0,0,(INT(MAX(0,Inputs!$B$43-B191)/(IF(Inputs!$B$38="pvp",15,MAX(0.1,Skills!D10-IF(TRUE=TRUE,Inputs!$B$32,0)))*(1-IF(AND(ArtifactsInput!$M$27,Inputs!$B$4="Chapter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$20+0+Skills!P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TRUE=TRUE,Inputs!$B$32,0)))*(1-IF(AND(ArtifactsInput!$M$27,Inputs!$B$4="Chapter Hunt"),CHOOSE(ArtifactsInput!$N$27+1,20,24,28,32,36,40),0)/100)))))/Skills!H10,1)))/Inputs!$B$43),G165*Q165))*IF(Inputs!$B$38="pvp",1,(1+(Inputs!$B$21+Skills!Q10+(((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Skills!G11*IF(Skills!H11&gt;0,IF(Inputs!$B$38="pvp",MIN(Skills!I11,15),Skills!I11)/Skills!H11,1)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(100-(100-((Inputs!$B$19+0)))*(1-IF(Inputs!$B$3&gt;=130,IF(Inputs!$B$3&gt;=118,8,IF(Inputs!$B$3&gt;=110,7,5)),0)/100)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138,MAX(0,IF(Inputs!$B$3&gt;=118,8,IF(Inputs!$B$3&gt;=110,7,5))-5)*50,0),0)/100)*(1+(IF(Skills!A11="RAGING_BLOW",Inputs!$B$17+((C176=TRUE)*(F176-Calc!F21))+((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IFERROR(1/(IF(Inputs!$B$38="pvp",15,MAX(0.1,Skills!D11-IF(TRUE=TRUE,Inputs!$B$32,0)))*(1-IF(AND(ArtifactsInput!$M$27,Inputs!$B$4="Chapter Hunt"),CHOOSE(ArtifactsInput!$N$27+1,20,24,28,32,36,40),0)/100)),0)</f>
        <v/>
      </c>
      <c r="R166">
        <f>IF(AND(Inputs!$B$38&lt;&gt;"pvp",Inputs!$B$43&gt;0),IF(MAX(0,Inputs!$B$43-B191)&lt;=0,0,(INT(MAX(0,Inputs!$B$43-B191)/(IF(Inputs!$B$38="pvp",15,MAX(0.1,Skills!D11-IF(TRUE=TRUE,Inputs!$B$32,0)))*(1-IF(AND(ArtifactsInput!$M$27,Inputs!$B$4="Chapter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$20+0+Skills!P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Inputs!$B$38&lt;&gt;"pvp",Inputs!$B$43=0),1,IF(IF(Inputs!$B$38="pvp",15,Inputs!$B$43)-(B191)&lt;=0,1,MAX(0,IF(Inputs!$B$38="pvp",15,Inputs!$B$43)-MAX(5,B191))/(IF(Inputs!$B$38="pvp",15,Inputs!$B$43)-(B191)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TRUE=TRUE,Inputs!$B$32,0)))*(1-IF(AND(ArtifactsInput!$M$27,Inputs!$B$4="Chapter Hunt"),CHOOSE(ArtifactsInput!$N$27+1,20,24,28,32,36,40),0)/100)))))/Skills!H11,1)))/Inputs!$B$43),G166*Q166))*IF(Inputs!$B$38="pvp",1,(1+(Inputs!$B$21+Skills!Q11+(((C171=TRUE)*F171*(Skills!J16/100)*IF(AND(Inputs!$B$38&lt;&gt;"pvp",Inputs!$B$43&gt;0),(((R171-1)*MIN((Skills!T16*(1+(Inputs!$B$34+(ArtifactsInput!$M$7-ArtifactsInput!$M$7)*CHOOSE(ArtifactsInput!$N$7+1,6,7.2,8.4,9.6,10.8,12))/100)),(1/Q171))+MIN((Skills!T16*(1+(Inputs!$B$34+(ArtifactsInput!$M$7-ArtifactsInput!$M$7)*CHOOSE(ArtifactsInput!$N$7+1,6,7.2,8.4,9.6,10.8,12))/100)),MAX(0,Inputs!$B$43-((R171-1)*(1/Q171)))))/Inputs!$B$43),IF(Inputs!$B$38="pvp",MIN((Skills!T16*(1+(Inputs!$B$34+(ArtifactsInput!$M$7-ArtifactsInput!$M$7)*CHOOSE(ArtifactsInput!$N$7+1,6,7.2,8.4,9.6,10.8,12))/100)),15)/15,MIN(1,(Skills!T16*(1+(Inputs!$B$34+(ArtifactsInput!$M$7-ArtifactsInput!$M$7)*CHOOSE(ArtifactsInput!$N$7+1,6,7.2,8.4,9.6,10.8,12))/100))/(1/Q171)))))+((C163=TRUE)*IF(Inputs!$B$3&gt;=126,10*MIN(1,15*Q163),0))+((C160=TRUE)*((100/10)*(INDEX(FactorTable!$B$2:$Y$301,MATCH(ROUND(MIN(300,MAX(1,MAX(0,(Inputs!$B$3-100)*3)+Inputs!$B$28+Inputs!$B$29)),0),FactorTable!$A$2:$A$301,0),22)/1000))*(1+IF(Inputs!$B$3&gt;=134,0.5,0))*MIN(1,10*(1+(Inputs!$B$34+(ArtifactsInput!$M$7-ArtifactsInput!$M$7)*CHOOSE(ArtifactsInput!$N$7+1,6,7.2,8.4,9.6,10.8,12))/100)*Q160)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Skills!G13*IF(Skills!H13&gt;0,IF(Inputs!$B$38="pvp",MIN(Skills!I13,15),Skills!I13)/Skills!H13,1)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Skills!G14*IF(Skills!H14&gt;0,IF(Inputs!$B$38="pvp",MIN(Skills!I14,15),Skills!I14)/Skills!H14,1)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Skills!G15*IF(Skills!H15&gt;0,IF(Inputs!$B$38="pvp",MIN(Skills!I15,15),Skills!I15)/Skills!H15,1)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IFERROR(1/(IF(Inputs!$B$38="pvp",15,MAX(0.1,Skills!D15-IF(TRUE=TRUE,Inputs!$B$32,0)))*(1-IF(AND(ArtifactsInput!$M$27,Inputs!$B$4="Chapter Hunt"),CHOOSE(ArtifactsInput!$N$27+1,20,24,28,32,36,40),0)/100)),0)</f>
        <v/>
      </c>
      <c r="R170">
        <f>IF(AND(Inputs!$B$38&lt;&gt;"pvp",Inputs!$B$43&gt;0),IF(Inputs!$B$43&lt;=0,0,(INT(Inputs!$B$43/(IF(Inputs!$B$38="pvp",15,MAX(0.1,Skills!D15-IF(TRUE=TRUE,Inputs!$B$32,0)))*(1-IF(AND(ArtifactsInput!$M$27,Inputs!$B$4="Chapter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Skills!G16*IF(Skills!H16&gt;0,IF(Inputs!$B$38="pvp",MIN(Skills!I16,15),Skills!I16)/Skills!H16,1)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IFERROR(1/(IF(Inputs!$B$38="pvp",15,MAX(0.1,Skills!D16-IF(TRUE=TRUE,Inputs!$B$32,0)))*(1-IF(AND(ArtifactsInput!$M$27,Inputs!$B$4="Chapter Hunt"),CHOOSE(ArtifactsInput!$N$27+1,20,24,28,32,36,40),0)/100)),0)</f>
        <v/>
      </c>
      <c r="R171">
        <f>IF(AND(Inputs!$B$38&lt;&gt;"pvp",Inputs!$B$43&gt;0),IF(Inputs!$B$43&lt;=0,0,(INT(Inputs!$B$43/(IF(Inputs!$B$38="pvp",15,MAX(0.1,Skills!D16-IF(TRUE=TRUE,Inputs!$B$32,0)))*(1-IF(AND(ArtifactsInput!$M$27,Inputs!$B$4="Chapter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Skills!G17*IF(Skills!H17&gt;0,IF(Inputs!$B$38="pvp",MIN(Skills!I17,15),Skills!I17)/Skills!H17,1)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IFERROR(1/(IF(Inputs!$B$38="pvp",15,MAX(0.1,Skills!D17-IF(TRUE=TRUE,Inputs!$B$32,0)))*(1-IF(AND(ArtifactsInput!$M$27,Inputs!$B$4="Chapter Hunt"),CHOOSE(ArtifactsInput!$N$27+1,20,24,28,32,36,40),0)/100)),0)</f>
        <v/>
      </c>
      <c r="R172">
        <f>IF(AND(Inputs!$B$38&lt;&gt;"pvp",Inputs!$B$43&gt;0),IF(Inputs!$B$43&lt;=0,0,(INT(Inputs!$B$43/(IF(Inputs!$B$38="pvp",15,MAX(0.1,Skills!D17-IF(TRUE=TRUE,Inputs!$B$32,0)))*(1-IF(AND(ArtifactsInput!$M$27,Inputs!$B$4="Chapter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Skills!G18*IF(Skills!H18&gt;0,IF(Inputs!$B$38="pvp",MIN(Skills!I18,15),Skills!I18)/Skills!H18,1)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IFERROR(1/(IF(Inputs!$B$38="pvp",15,MAX(0.1,Skills!D18-IF(TRUE=TRUE,Inputs!$B$32,0)))*(1-IF(AND(ArtifactsInput!$M$27,Inputs!$B$4="Chapter Hunt"),CHOOSE(ArtifactsInput!$N$27+1,20,24,28,32,36,40),0)/100)),0)</f>
        <v/>
      </c>
      <c r="R173">
        <f>IF(AND(Inputs!$B$38&lt;&gt;"pvp",Inputs!$B$43&gt;0),IF(Inputs!$B$43&lt;=0,0,(INT(Inputs!$B$43/(IF(Inputs!$B$38="pvp",15,MAX(0.1,Skills!D18-IF(TRUE=TRUE,Inputs!$B$32,0)))*(1-IF(AND(ArtifactsInput!$M$27,Inputs!$B$4="Chapter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Skills!G19*IF(Skills!H19&gt;0,IF(Inputs!$B$38="pvp",MIN(Skills!I19,15),Skills!I19)/Skills!H19,1)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IFERROR(1/(IF(Inputs!$B$38="pvp",15,MAX(0.1,Skills!D19-IF(TRUE=TRUE,Inputs!$B$32,0)))*(1-IF(AND(ArtifactsInput!$M$27,Inputs!$B$4="Chapter Hunt"),CHOOSE(ArtifactsInput!$N$27+1,20,24,28,32,36,40),0)/100)),0)</f>
        <v/>
      </c>
      <c r="R174">
        <f>IF(AND(Inputs!$B$38&lt;&gt;"pvp",Inputs!$B$43&gt;0),IF(Inputs!$B$43&lt;=0,0,(INT(Inputs!$B$43/(IF(Inputs!$B$38="pvp",15,MAX(0.1,Skills!D19-IF(TRUE=TRUE,Inputs!$B$32,0)))*(1-IF(AND(ArtifactsInput!$M$27,Inputs!$B$4="Chapter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Skills!G20*IF(Skills!H20&gt;0,IF(Inputs!$B$38="pvp",MIN(Skills!I20,15),Skills!I20)/Skills!H20,1)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Skills!G21*IF(Skills!H21&gt;0,IF(Inputs!$B$38="pvp",MIN(Skills!I21,15),Skills!I21)/Skills!H21,1)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Skills!G22*IF(Skills!H22&gt;0,IF(Inputs!$B$38="pvp",MIN(Skills!I22,15),Skills!I22)/Skills!H22,1)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Skills!G23*IF(Skills!H23&gt;0,IF(Inputs!$B$38="pvp",MIN(Skills!I23,15),Skills!I23)/Skills!H23,1)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Skills!G24*IF(Skills!H24&gt;0,IF(Inputs!$B$38="pvp",MIN(Skills!I24,15),Skills!I24)/Skills!H24,1)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Skills!G25*IF(Skills!H25&gt;0,IF(Inputs!$B$38="pvp",MIN(Skills!I25,15),Skills!I25)/Skills!H25,1)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Skills!G26*IF(Skills!H26&gt;0,IF(Inputs!$B$38="pvp",MIN(Skills!I26,15),Skills!I26)/Skills!H26,1)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118,8,IF(Inputs!$B$3&gt;=110,7,5)))+((C170=TRUE)*F170*IF(AND(Inputs!$B$38&lt;&gt;"pvp",Inputs!$B$43&gt;0),(((R170-1)*MIN((Skills!T15*(1+(Inputs!$B$34+(ArtifactsInput!$M$7-ArtifactsInput!$M$7)*CHOOSE(ArtifactsInput!$N$7+1,6,7.2,8.4,9.6,10.8,12))/100)),(1/Q170))+MIN((Skills!T15*(1+(Inputs!$B$34+(ArtifactsInput!$M$7-ArtifactsInput!$M$7)*CHOOSE(ArtifactsInput!$N$7+1,6,7.2,8.4,9.6,10.8,12))/100)),MAX(0,Inputs!$B$43-((R170-1)*(1/Q170)))))/Inputs!$B$43),IF(Inputs!$B$38="pvp",MIN((Skills!T15*(1+(Inputs!$B$34+(ArtifactsInput!$M$7-ArtifactsInput!$M$7)*CHOOSE(ArtifactsInput!$N$7+1,6,7.2,8.4,9.6,10.8,12))/100)),15)/15,MIN(1,(Skills!T15*(1+(Inputs!$B$34+(ArtifactsInput!$M$7-ArtifactsInput!$M$7)*CHOOSE(ArtifactsInput!$N$7+1,6,7.2,8.4,9.6,10.8,12))/100))/(1/Q170)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MIN((Skills!T19*(1+(Inputs!$B$34+(ArtifactsInput!$M$7-ArtifactsInput!$M$7)*CHOOSE(ArtifactsInput!$N$7+1,6,7.2,8.4,9.6,10.8,12))/100)),(1/Q174))+MIN((Skills!T19*(1+(Inputs!$B$34+(ArtifactsInput!$M$7-ArtifactsInput!$M$7)*CHOOSE(ArtifactsInput!$N$7+1,6,7.2,8.4,9.6,10.8,12))/100)),MAX(0,Inputs!$B$43-((R174-1)*(1/Q174)))))/Inputs!$B$43),IF(Inputs!$B$38="pvp",MIN((Skills!T19*(1+(Inputs!$B$34+(ArtifactsInput!$M$7-ArtifactsInput!$M$7)*CHOOSE(ArtifactsInput!$N$7+1,6,7.2,8.4,9.6,10.8,12))/100)),15)/15,MIN(1,(Skills!T19*(1+(Inputs!$B$34+(ArtifactsInput!$M$7-ArtifactsInput!$M$7)*CHOOSE(ArtifactsInput!$N$7+1,6,7.2,8.4,9.6,10.8,12))/100))/(1/Q174)))))</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MIN((Skills!T18*(1+(Inputs!$B$34+(ArtifactsInput!$M$7-ArtifactsInput!$M$7)*CHOOSE(ArtifactsInput!$N$7+1,6,7.2,8.4,9.6,10.8,12))/100)),(1/Q173))+MIN((Skills!T18*(1+(Inputs!$B$34+(ArtifactsInput!$M$7-ArtifactsInput!$M$7)*CHOOSE(ArtifactsInput!$N$7+1,6,7.2,8.4,9.6,10.8,12))/100)),MAX(0,Inputs!$B$43-((R173-1)*(1/Q173)))))/Inputs!$B$43),IF(Inputs!$B$38="pvp",MIN((Skills!T18*(1+(Inputs!$B$34+(ArtifactsInput!$M$7-ArtifactsInput!$M$7)*CHOOSE(ArtifactsInput!$N$7+1,6,7.2,8.4,9.6,10.8,12))/100)),15)/15,MIN(1,(Skills!T18*(1+(Inputs!$B$34+(ArtifactsInput!$M$7-ArtifactsInput!$M$7)*CHOOSE(ArtifactsInput!$N$7+1,6,7.2,8.4,9.6,10.8,12))/100))/(1/Q173)))))</f>
        <v/>
      </c>
    </row>
    <row r="190">
      <c r="A190" t="inlineStr">
        <is>
          <t>Global Final Damage Bonus % (Enrage + Combo Synergy)</t>
        </is>
      </c>
      <c r="B190">
        <f>((C172=TRUE)*F172*IF(AND(Inputs!$B$38&lt;&gt;"pvp",Inputs!$B$43&gt;0),(((R172-1)*MIN((Skills!T17*(1+(Inputs!$B$34+(ArtifactsInput!$M$7-ArtifactsInput!$M$7)*CHOOSE(ArtifactsInput!$N$7+1,6,7.2,8.4,9.6,10.8,12))/100)),(1/Q172))+MIN((Skills!T17*(1+(Inputs!$B$34+(ArtifactsInput!$M$7-ArtifactsInput!$M$7)*CHOOSE(ArtifactsInput!$N$7+1,6,7.2,8.4,9.6,10.8,12))/100)),MAX(0,Inputs!$B$43-((R172-1)*(1/Q172)))))/Inputs!$B$43),IF(Inputs!$B$38="pvp",MIN((Skills!T17*(1+(Inputs!$B$34+(ArtifactsInput!$M$7-ArtifactsInput!$M$7)*CHOOSE(ArtifactsInput!$N$7+1,6,7.2,8.4,9.6,10.8,12))/100)),15)/15,MIN(1,(Skills!T17*(1+(Inputs!$B$34+(ArtifactsInput!$M$7-ArtifactsInput!$M$7)*CHOOSE(ArtifactsInput!$N$7+1,6,7.2,8.4,9.6,10.8,12))/100))/(1/Q172)))))+((C169=TRUE)*F169*IF(Inputs!$B$3&gt;=118,8,IF(Inputs!$B$3&gt;=110,7,5)))+IF(Inputs!$B$3&gt;=98,5,0)</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Skills!G2*IF(Skills!H2&gt;0,IF(Inputs!$B$38="pvp",MIN(Skills!I2,15),Skills!I2)/Skills!H2,1)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Skills!G5*IF(Skills!H5&gt;0,IF(Inputs!$B$38="pvp",MIN(Skills!I5,15),Skills!I5)/Skills!H5,1)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IFERROR(1/(IF(Inputs!$B$38="pvp",15,MAX(0.1,Skills!D5-IF(TRUE=TRUE,Inputs!$B$32,0)))*(1-IF(AND(ArtifactsInput!$M$27,Inputs!$B$4="Chapter Hunt"),CHOOSE(ArtifactsInput!$N$27+1,20,24,28,32,36,40),0)/100)),0)</f>
        <v/>
      </c>
      <c r="R202">
        <f>IF(AND(Inputs!$B$38&lt;&gt;"pvp",Inputs!$B$43&gt;0),IF(MAX(0,Inputs!$B$43-B233)&lt;=0,0,(INT(MAX(0,Inputs!$B$43-B233)/(IF(Inputs!$B$38="pvp",15,MAX(0.1,Skills!D5-IF(TRUE=TRUE,Inputs!$B$32,0)))*(1-IF(AND(ArtifactsInput!$M$27,Inputs!$B$4="Chapter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$20+0+Skills!P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TRUE=TRUE,Inputs!$B$32,0)))*(1-IF(AND(ArtifactsInput!$M$27,Inputs!$B$4="Chapter Hunt"),CHOOSE(ArtifactsInput!$N$27+1,20,24,28,32,36,40),0)/100)))))/Skills!H5,1)))/Inputs!$B$43),G202*Q202))*IF(Inputs!$B$38="pvp",1,(1+(Inputs!$B$21+Skills!Q5+(((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Skills!G6*IF(Skills!H6&gt;0,IF(Inputs!$B$38="pvp",MIN(Skills!I6,15),Skills!I6)/Skills!H6,1)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IFERROR(1/(IF(Inputs!$B$38="pvp",15,MAX(0.1,Skills!D6-IF(TRUE=TRUE,Inputs!$B$32,0)))*(1-IF(AND(ArtifactsInput!$M$27,Inputs!$B$4="Chapter Hunt"),CHOOSE(ArtifactsInput!$N$27+1,20,24,28,32,36,40),0)/100)),0)</f>
        <v/>
      </c>
      <c r="R203">
        <f>IF(AND(Inputs!$B$38&lt;&gt;"pvp",Inputs!$B$43&gt;0),IF(MAX(0,Inputs!$B$43-B233)&lt;=0,0,(INT(MAX(0,Inputs!$B$43-B233)/(IF(Inputs!$B$38="pvp",15,MAX(0.1,Skills!D6-IF(TRUE=TRUE,Inputs!$B$32,0)))*(1-IF(AND(ArtifactsInput!$M$27,Inputs!$B$4="Chapter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$20+0+Skills!P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TRUE=TRUE,Inputs!$B$32,0)))*(1-IF(AND(ArtifactsInput!$M$27,Inputs!$B$4="Chapter Hunt"),CHOOSE(ArtifactsInput!$N$27+1,20,24,28,32,36,40),0)/100)))))/Skills!H6,1)))/Inputs!$B$43),G203*Q203))*IF(Inputs!$B$38="pvp",1,(1+(Inputs!$B$21+Skills!Q6+(((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Skills!G7*IF(Skills!H7&gt;0,IF(Inputs!$B$38="pvp",MIN(Skills!I7,15),Skills!I7)/Skills!H7,1)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IFERROR(1/(IF(Inputs!$B$38="pvp",15,MAX(0.1,Skills!D7-IF(TRUE=TRUE,Inputs!$B$32,0)))*(1-IF(AND(ArtifactsInput!$M$27,Inputs!$B$4="Chapter Hunt"),CHOOSE(ArtifactsInput!$N$27+1,20,24,28,32,36,40),0)/100)),0)</f>
        <v/>
      </c>
      <c r="R204">
        <f>IF(AND(Inputs!$B$38&lt;&gt;"pvp",Inputs!$B$43&gt;0),IF(MAX(0,Inputs!$B$43-B233)&lt;=0,0,(INT(MAX(0,Inputs!$B$43-B233)/(IF(Inputs!$B$38="pvp",15,MAX(0.1,Skills!D7-IF(TRUE=TRUE,Inputs!$B$32,0)))*(1-IF(AND(ArtifactsInput!$M$27,Inputs!$B$4="Chapter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$20+0+Skills!P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TRUE=TRUE,Inputs!$B$32,0)))*(1-IF(AND(ArtifactsInput!$M$27,Inputs!$B$4="Chapter Hunt"),CHOOSE(ArtifactsInput!$N$27+1,20,24,28,32,36,40),0)/100)))))/Skills!H7,1)))/Inputs!$B$43),G204*Q204))*IF(Inputs!$B$38="pvp",1,(1+(Inputs!$B$21+Skills!Q7+(((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Skills!G8*IF(Skills!H8&gt;0,IF(Inputs!$B$38="pvp",MIN(Skills!I8,15),Skills!I8)/Skills!H8,1)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IFERROR(1/(IF(Inputs!$B$38="pvp",15,MAX(0.1,Skills!D8-IF(TRUE=TRUE,Inputs!$B$32,0)))*(1-IF(AND(ArtifactsInput!$M$27,Inputs!$B$4="Chapter Hunt"),CHOOSE(ArtifactsInput!$N$27+1,20,24,28,32,36,40),0)/100)),0)</f>
        <v/>
      </c>
      <c r="R205">
        <f>IF(AND(Inputs!$B$38&lt;&gt;"pvp",Inputs!$B$43&gt;0),IF(MAX(0,Inputs!$B$43-B233)&lt;=0,0,(INT(MAX(0,Inputs!$B$43-B233)/(IF(Inputs!$B$38="pvp",15,MAX(0.1,Skills!D8-IF(TRUE=TRUE,Inputs!$B$32,0)))*(1-IF(AND(ArtifactsInput!$M$27,Inputs!$B$4="Chapter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$20+0+Skills!P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TRUE=TRUE,Inputs!$B$32,0)))*(1-IF(AND(ArtifactsInput!$M$27,Inputs!$B$4="Chapter Hunt"),CHOOSE(ArtifactsInput!$N$27+1,20,24,28,32,36,40),0)/100)))))/Skills!H8,1)))/Inputs!$B$43),G205*Q205))*IF(Inputs!$B$38="pvp",1,(1+(Inputs!$B$21+Skills!Q8+(((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Skills!G9*IF(Skills!H9&gt;0,IF(Inputs!$B$38="pvp",MIN(Skills!I9,15),Skills!I9)/Skills!H9,1)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138,MAX(0,IF(Inputs!$B$3&gt;=118,8,IF(Inputs!$B$3&gt;=110,7,5))-5)*50,0),0)/100)*(1+(IF(Skills!A9="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IFERROR(1/(IF(Inputs!$B$38="pvp",15,MAX(0.1,Skills!D9-IF(TRUE=TRUE,Inputs!$B$32,0)))*(1-IF(AND(ArtifactsInput!$M$27,Inputs!$B$4="Chapter Hunt"),CHOOSE(ArtifactsInput!$N$27+1,20,24,28,32,36,40),0)/100)),0)</f>
        <v/>
      </c>
      <c r="R206">
        <f>IF(AND(Inputs!$B$38&lt;&gt;"pvp",Inputs!$B$43&gt;0),IF(MAX(0,Inputs!$B$43-B233)&lt;=0,0,(INT(MAX(0,Inputs!$B$43-B233)/(IF(Inputs!$B$38="pvp",15,MAX(0.1,Skills!D9-IF(TRUE=TRUE,Inputs!$B$32,0)))*(1-IF(AND(ArtifactsInput!$M$27,Inputs!$B$4="Chapter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TRUE=TRUE,Inputs!$B$32,0)))*(1-IF(AND(ArtifactsInput!$M$27,Inputs!$B$4="Chapter Hunt"),CHOOSE(ArtifactsInput!$N$27+1,20,24,28,32,36,40),0)/100)))))/Skills!H9,1)))/Inputs!$B$43),G206*Q206))*IF(Inputs!$B$38="pvp",1,1+(Inputs!$B$20+0+Skills!P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TRUE=TRUE,Inputs!$B$32,0)))*(1-IF(AND(ArtifactsInput!$M$27,Inputs!$B$4="Chapter Hunt"),CHOOSE(ArtifactsInput!$N$27+1,20,24,28,32,36,40),0)/100)))))/Skills!H9,1)))/Inputs!$B$43),G206*Q206))*IF(Inputs!$B$38="pvp",1,(1+(Inputs!$B$21+Skills!Q9+(((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Skills!G10*IF(Skills!H10&gt;0,IF(Inputs!$B$38="pvp",MIN(Skills!I10,15),Skills!I10)/Skills!H10,1)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138,MAX(0,IF(Inputs!$B$3&gt;=118,8,IF(Inputs!$B$3&gt;=110,7,5))-5)*50,0),0)/100)*(1+(IF(Skills!A10="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IFERROR(1/(IF(Inputs!$B$38="pvp",15,MAX(0.1,Skills!D10-IF(TRUE=TRUE,Inputs!$B$32,0)))*(1-IF(AND(ArtifactsInput!$M$27,Inputs!$B$4="Chapter Hunt"),CHOOSE(ArtifactsInput!$N$27+1,20,24,28,32,36,40),0)/100)),0)</f>
        <v/>
      </c>
      <c r="R207">
        <f>IF(AND(Inputs!$B$38&lt;&gt;"pvp",Inputs!$B$43&gt;0),IF(MAX(0,Inputs!$B$43-B233)&lt;=0,0,(INT(MAX(0,Inputs!$B$43-B233)/(IF(Inputs!$B$38="pvp",15,MAX(0.1,Skills!D10-IF(TRUE=TRUE,Inputs!$B$32,0)))*(1-IF(AND(ArtifactsInput!$M$27,Inputs!$B$4="Chapter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$20+0+Skills!P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TRUE=TRUE,Inputs!$B$32,0)))*(1-IF(AND(ArtifactsInput!$M$27,Inputs!$B$4="Chapter Hunt"),CHOOSE(ArtifactsInput!$N$27+1,20,24,28,32,36,40),0)/100)))))/Skills!H10,1)))/Inputs!$B$43),G207*Q207))*IF(Inputs!$B$38="pvp",1,(1+(Inputs!$B$21+Skills!Q10+(((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Skills!G11*IF(Skills!H11&gt;0,IF(Inputs!$B$38="pvp",MIN(Skills!I11,15),Skills!I11)/Skills!H11,1)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(100-(100-((Inputs!$B$19+0)))*(1-IF(Inputs!$B$3&gt;=130,IF(Inputs!$B$3&gt;=118,8,IF(Inputs!$B$3&gt;=110,7,5)),0)/100)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138,MAX(0,IF(Inputs!$B$3&gt;=118,8,IF(Inputs!$B$3&gt;=110,7,5))-5)*50,0),0)/100)*(1+(IF(Skills!A11="RAGING_BLOW",Inputs!$B$17+((C218=TRUE)*(F218-Calc!F21))+((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IFERROR(1/(IF(Inputs!$B$38="pvp",15,MAX(0.1,Skills!D11-IF(TRUE=TRUE,Inputs!$B$32,0)))*(1-IF(AND(ArtifactsInput!$M$27,Inputs!$B$4="Chapter Hunt"),CHOOSE(ArtifactsInput!$N$27+1,20,24,28,32,36,40),0)/100)),0)</f>
        <v/>
      </c>
      <c r="R208">
        <f>IF(AND(Inputs!$B$38&lt;&gt;"pvp",Inputs!$B$43&gt;0),IF(MAX(0,Inputs!$B$43-B233)&lt;=0,0,(INT(MAX(0,Inputs!$B$43-B233)/(IF(Inputs!$B$38="pvp",15,MAX(0.1,Skills!D11-IF(TRUE=TRUE,Inputs!$B$32,0)))*(1-IF(AND(ArtifactsInput!$M$27,Inputs!$B$4="Chapter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$20+0+Skills!P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Inputs!$B$38&lt;&gt;"pvp",Inputs!$B$43=0),1,IF(IF(Inputs!$B$38="pvp",15,Inputs!$B$43)-(B233)&lt;=0,1,MAX(0,IF(Inputs!$B$38="pvp",15,Inputs!$B$43)-MAX(5,B233))/(IF(Inputs!$B$38="pvp",15,Inputs!$B$43)-(B233)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TRUE=TRUE,Inputs!$B$32,0)))*(1-IF(AND(ArtifactsInput!$M$27,Inputs!$B$4="Chapter Hunt"),CHOOSE(ArtifactsInput!$N$27+1,20,24,28,32,36,40),0)/100)))))/Skills!H11,1)))/Inputs!$B$43),G208*Q208))*IF(Inputs!$B$38="pvp",1,(1+(Inputs!$B$21+Skills!Q11+(((C213=TRUE)*F213*(Skills!J16/100)*IF(AND(Inputs!$B$38&lt;&gt;"pvp",Inputs!$B$43&gt;0),(((R213-1)*MIN((Skills!T16*(1+(Inputs!$B$34+(ArtifactsInput!$M$7-ArtifactsInput!$M$7)*CHOOSE(ArtifactsInput!$N$7+1,6,7.2,8.4,9.6,10.8,12))/100)),(1/Q213))+MIN((Skills!T16*(1+(Inputs!$B$34+(ArtifactsInput!$M$7-ArtifactsInput!$M$7)*CHOOSE(ArtifactsInput!$N$7+1,6,7.2,8.4,9.6,10.8,12))/100)),MAX(0,Inputs!$B$43-((R213-1)*(1/Q213)))))/Inputs!$B$43),IF(Inputs!$B$38="pvp",MIN((Skills!T16*(1+(Inputs!$B$34+(ArtifactsInput!$M$7-ArtifactsInput!$M$7)*CHOOSE(ArtifactsInput!$N$7+1,6,7.2,8.4,9.6,10.8,12))/100)),15)/15,MIN(1,(Skills!T16*(1+(Inputs!$B$34+(ArtifactsInput!$M$7-ArtifactsInput!$M$7)*CHOOSE(ArtifactsInput!$N$7+1,6,7.2,8.4,9.6,10.8,12))/100))/(1/Q213)))))+((C205=TRUE)*IF(Inputs!$B$3&gt;=126,10*MIN(1,15*Q205),0))+((C202=TRUE)*((100/10)*(INDEX(FactorTable!$B$2:$Y$301,MATCH(ROUND(MIN(300,MAX(1,MAX(0,(Inputs!$B$3-100)*3)+Inputs!$B$28+Inputs!$B$29)),0),FactorTable!$A$2:$A$301,0),22)/1000))*(1+IF(Inputs!$B$3&gt;=134,0.5,0))*MIN(1,10*(1+(Inputs!$B$34+(ArtifactsInput!$M$7-ArtifactsInput!$M$7)*CHOOSE(ArtifactsInput!$N$7+1,6,7.2,8.4,9.6,10.8,12))/100)*Q202)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Skills!G13*IF(Skills!H13&gt;0,IF(Inputs!$B$38="pvp",MIN(Skills!I13,15),Skills!I13)/Skills!H13,1)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Skills!G14*IF(Skills!H14&gt;0,IF(Inputs!$B$38="pvp",MIN(Skills!I14,15),Skills!I14)/Skills!H14,1)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Skills!G15*IF(Skills!H15&gt;0,IF(Inputs!$B$38="pvp",MIN(Skills!I15,15),Skills!I15)/Skills!H15,1)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IFERROR(1/(IF(Inputs!$B$38="pvp",15,MAX(0.1,Skills!D15-IF(TRUE=TRUE,Inputs!$B$32,0)))*(1-IF(AND(ArtifactsInput!$M$27,Inputs!$B$4="Chapter Hunt"),CHOOSE(ArtifactsInput!$N$27+1,20,24,28,32,36,40),0)/100)),0)</f>
        <v/>
      </c>
      <c r="R212">
        <f>IF(AND(Inputs!$B$38&lt;&gt;"pvp",Inputs!$B$43&gt;0),IF(Inputs!$B$43&lt;=0,0,(INT(Inputs!$B$43/(IF(Inputs!$B$38="pvp",15,MAX(0.1,Skills!D15-IF(TRUE=TRUE,Inputs!$B$32,0)))*(1-IF(AND(ArtifactsInput!$M$27,Inputs!$B$4="Chapter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Skills!G16*IF(Skills!H16&gt;0,IF(Inputs!$B$38="pvp",MIN(Skills!I16,15),Skills!I16)/Skills!H16,1)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IFERROR(1/(IF(Inputs!$B$38="pvp",15,MAX(0.1,Skills!D16-IF(TRUE=TRUE,Inputs!$B$32,0)))*(1-IF(AND(ArtifactsInput!$M$27,Inputs!$B$4="Chapter Hunt"),CHOOSE(ArtifactsInput!$N$27+1,20,24,28,32,36,40),0)/100)),0)</f>
        <v/>
      </c>
      <c r="R213">
        <f>IF(AND(Inputs!$B$38&lt;&gt;"pvp",Inputs!$B$43&gt;0),IF(Inputs!$B$43&lt;=0,0,(INT(Inputs!$B$43/(IF(Inputs!$B$38="pvp",15,MAX(0.1,Skills!D16-IF(TRUE=TRUE,Inputs!$B$32,0)))*(1-IF(AND(ArtifactsInput!$M$27,Inputs!$B$4="Chapter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Skills!G17*IF(Skills!H17&gt;0,IF(Inputs!$B$38="pvp",MIN(Skills!I17,15),Skills!I17)/Skills!H17,1)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IFERROR(1/(IF(Inputs!$B$38="pvp",15,MAX(0.1,Skills!D17-IF(TRUE=TRUE,Inputs!$B$32,0)))*(1-IF(AND(ArtifactsInput!$M$27,Inputs!$B$4="Chapter Hunt"),CHOOSE(ArtifactsInput!$N$27+1,20,24,28,32,36,40),0)/100)),0)</f>
        <v/>
      </c>
      <c r="R214">
        <f>IF(AND(Inputs!$B$38&lt;&gt;"pvp",Inputs!$B$43&gt;0),IF(Inputs!$B$43&lt;=0,0,(INT(Inputs!$B$43/(IF(Inputs!$B$38="pvp",15,MAX(0.1,Skills!D17-IF(TRUE=TRUE,Inputs!$B$32,0)))*(1-IF(AND(ArtifactsInput!$M$27,Inputs!$B$4="Chapter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Skills!G18*IF(Skills!H18&gt;0,IF(Inputs!$B$38="pvp",MIN(Skills!I18,15),Skills!I18)/Skills!H18,1)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IFERROR(1/(IF(Inputs!$B$38="pvp",15,MAX(0.1,Skills!D18-IF(TRUE=TRUE,Inputs!$B$32,0)))*(1-IF(AND(ArtifactsInput!$M$27,Inputs!$B$4="Chapter Hunt"),CHOOSE(ArtifactsInput!$N$27+1,20,24,28,32,36,40),0)/100)),0)</f>
        <v/>
      </c>
      <c r="R215">
        <f>IF(AND(Inputs!$B$38&lt;&gt;"pvp",Inputs!$B$43&gt;0),IF(Inputs!$B$43&lt;=0,0,(INT(Inputs!$B$43/(IF(Inputs!$B$38="pvp",15,MAX(0.1,Skills!D18-IF(TRUE=TRUE,Inputs!$B$32,0)))*(1-IF(AND(ArtifactsInput!$M$27,Inputs!$B$4="Chapter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Skills!G19*IF(Skills!H19&gt;0,IF(Inputs!$B$38="pvp",MIN(Skills!I19,15),Skills!I19)/Skills!H19,1)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IFERROR(1/(IF(Inputs!$B$38="pvp",15,MAX(0.1,Skills!D19-IF(TRUE=TRUE,Inputs!$B$32,0)))*(1-IF(AND(ArtifactsInput!$M$27,Inputs!$B$4="Chapter Hunt"),CHOOSE(ArtifactsInput!$N$27+1,20,24,28,32,36,40),0)/100)),0)</f>
        <v/>
      </c>
      <c r="R216">
        <f>IF(AND(Inputs!$B$38&lt;&gt;"pvp",Inputs!$B$43&gt;0),IF(Inputs!$B$43&lt;=0,0,(INT(Inputs!$B$43/(IF(Inputs!$B$38="pvp",15,MAX(0.1,Skills!D19-IF(TRUE=TRUE,Inputs!$B$32,0)))*(1-IF(AND(ArtifactsInput!$M$27,Inputs!$B$4="Chapter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Skills!G20*IF(Skills!H20&gt;0,IF(Inputs!$B$38="pvp",MIN(Skills!I20,15),Skills!I20)/Skills!H20,1)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Skills!G21*IF(Skills!H21&gt;0,IF(Inputs!$B$38="pvp",MIN(Skills!I21,15),Skills!I21)/Skills!H21,1)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Skills!G22*IF(Skills!H22&gt;0,IF(Inputs!$B$38="pvp",MIN(Skills!I22,15),Skills!I22)/Skills!H22,1)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Skills!G23*IF(Skills!H23&gt;0,IF(Inputs!$B$38="pvp",MIN(Skills!I23,15),Skills!I23)/Skills!H23,1)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Skills!G24*IF(Skills!H24&gt;0,IF(Inputs!$B$38="pvp",MIN(Skills!I24,15),Skills!I24)/Skills!H24,1)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Skills!G25*IF(Skills!H25&gt;0,IF(Inputs!$B$38="pvp",MIN(Skills!I25,15),Skills!I25)/Skills!H25,1)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Skills!G26*IF(Skills!H26&gt;0,IF(Inputs!$B$38="pvp",MIN(Skills!I26,15),Skills!I26)/Skills!H26,1)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118,8,IF(Inputs!$B$3&gt;=110,7,5)))+((C212=TRUE)*F212*IF(AND(Inputs!$B$38&lt;&gt;"pvp",Inputs!$B$43&gt;0),(((R212-1)*MIN((Skills!T15*(1+(Inputs!$B$34+(ArtifactsInput!$M$7-ArtifactsInput!$M$7)*CHOOSE(ArtifactsInput!$N$7+1,6,7.2,8.4,9.6,10.8,12))/100)),(1/Q212))+MIN((Skills!T15*(1+(Inputs!$B$34+(ArtifactsInput!$M$7-ArtifactsInput!$M$7)*CHOOSE(ArtifactsInput!$N$7+1,6,7.2,8.4,9.6,10.8,12))/100)),MAX(0,Inputs!$B$43-((R212-1)*(1/Q212)))))/Inputs!$B$43),IF(Inputs!$B$38="pvp",MIN((Skills!T15*(1+(Inputs!$B$34+(ArtifactsInput!$M$7-ArtifactsInput!$M$7)*CHOOSE(ArtifactsInput!$N$7+1,6,7.2,8.4,9.6,10.8,12))/100)),15)/15,MIN(1,(Skills!T15*(1+(Inputs!$B$34+(ArtifactsInput!$M$7-ArtifactsInput!$M$7)*CHOOSE(ArtifactsInput!$N$7+1,6,7.2,8.4,9.6,10.8,12))/100))/(1/Q212)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MIN((Skills!T19*(1+(Inputs!$B$34+(ArtifactsInput!$M$7-ArtifactsInput!$M$7)*CHOOSE(ArtifactsInput!$N$7+1,6,7.2,8.4,9.6,10.8,12))/100)),(1/Q216))+MIN((Skills!T19*(1+(Inputs!$B$34+(ArtifactsInput!$M$7-ArtifactsInput!$M$7)*CHOOSE(ArtifactsInput!$N$7+1,6,7.2,8.4,9.6,10.8,12))/100)),MAX(0,Inputs!$B$43-((R216-1)*(1/Q216)))))/Inputs!$B$43),IF(Inputs!$B$38="pvp",MIN((Skills!T19*(1+(Inputs!$B$34+(ArtifactsInput!$M$7-ArtifactsInput!$M$7)*CHOOSE(ArtifactsInput!$N$7+1,6,7.2,8.4,9.6,10.8,12))/100)),15)/15,MIN(1,(Skills!T19*(1+(Inputs!$B$34+(ArtifactsInput!$M$7-ArtifactsInput!$M$7)*CHOOSE(ArtifactsInput!$N$7+1,6,7.2,8.4,9.6,10.8,12))/100))/(1/Q216)))))</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MIN((Skills!T18*(1+(Inputs!$B$34+(ArtifactsInput!$M$7-ArtifactsInput!$M$7)*CHOOSE(ArtifactsInput!$N$7+1,6,7.2,8.4,9.6,10.8,12))/100)),(1/Q215))+MIN((Skills!T18*(1+(Inputs!$B$34+(ArtifactsInput!$M$7-ArtifactsInput!$M$7)*CHOOSE(ArtifactsInput!$N$7+1,6,7.2,8.4,9.6,10.8,12))/100)),MAX(0,Inputs!$B$43-((R215-1)*(1/Q215)))))/Inputs!$B$43),IF(Inputs!$B$38="pvp",MIN((Skills!T18*(1+(Inputs!$B$34+(ArtifactsInput!$M$7-ArtifactsInput!$M$7)*CHOOSE(ArtifactsInput!$N$7+1,6,7.2,8.4,9.6,10.8,12))/100)),15)/15,MIN(1,(Skills!T18*(1+(Inputs!$B$34+(ArtifactsInput!$M$7-ArtifactsInput!$M$7)*CHOOSE(ArtifactsInput!$N$7+1,6,7.2,8.4,9.6,10.8,12))/100))/(1/Q215)))))</f>
        <v/>
      </c>
    </row>
    <row r="232">
      <c r="A232" t="inlineStr">
        <is>
          <t>Global Final Damage Bonus % (Enrage + Combo Synergy)</t>
        </is>
      </c>
      <c r="B232">
        <f>((C214=TRUE)*F214*IF(AND(Inputs!$B$38&lt;&gt;"pvp",Inputs!$B$43&gt;0),(((R214-1)*MIN((Skills!T17*(1+(Inputs!$B$34+(ArtifactsInput!$M$7-ArtifactsInput!$M$7)*CHOOSE(ArtifactsInput!$N$7+1,6,7.2,8.4,9.6,10.8,12))/100)),(1/Q214))+MIN((Skills!T17*(1+(Inputs!$B$34+(ArtifactsInput!$M$7-ArtifactsInput!$M$7)*CHOOSE(ArtifactsInput!$N$7+1,6,7.2,8.4,9.6,10.8,12))/100)),MAX(0,Inputs!$B$43-((R214-1)*(1/Q214)))))/Inputs!$B$43),IF(Inputs!$B$38="pvp",MIN((Skills!T17*(1+(Inputs!$B$34+(ArtifactsInput!$M$7-ArtifactsInput!$M$7)*CHOOSE(ArtifactsInput!$N$7+1,6,7.2,8.4,9.6,10.8,12))/100)),15)/15,MIN(1,(Skills!T17*(1+(Inputs!$B$34+(ArtifactsInput!$M$7-ArtifactsInput!$M$7)*CHOOSE(ArtifactsInput!$N$7+1,6,7.2,8.4,9.6,10.8,12))/100))/(1/Q214)))))+((C211=TRUE)*F211*IF(Inputs!$B$3&gt;=118,8,IF(Inputs!$B$3&gt;=110,7,5)))+IF(Inputs!$B$3&gt;=98,5,0)</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Skills!G2*IF(Skills!H2&gt;0,IF(Inputs!$B$38="pvp",MIN(Skills!I2,15),Skills!I2)/Skills!H2,1)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Skills!G5*IF(Skills!H5&gt;0,IF(Inputs!$B$38="pvp",MIN(Skills!I5,15),Skills!I5)/Skills!H5,1)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IFERROR(1/(IF(Inputs!$B$38="pvp",15,MAX(0.1,Skills!D5-IF(TRUE=TRUE,Inputs!$B$32,0)))*(1-IF(AND(ArtifactsInput!$M$27,Inputs!$B$4="Chapter Hunt"),CHOOSE(ArtifactsInput!$N$27+1,20,24,28,32,36,40),0)/100)),0)</f>
        <v/>
      </c>
      <c r="R244">
        <f>IF(AND(Inputs!$B$38&lt;&gt;"pvp",Inputs!$B$43&gt;0),IF(MAX(0,Inputs!$B$43-B275)&lt;=0,0,(INT(MAX(0,Inputs!$B$43-B275)/(IF(Inputs!$B$38="pvp",15,MAX(0.1,Skills!D5-IF(TRUE=TRUE,Inputs!$B$32,0)))*(1-IF(AND(ArtifactsInput!$M$27,Inputs!$B$4="Chapter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$20+0+Skills!P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TRUE=TRUE,Inputs!$B$32,0)))*(1-IF(AND(ArtifactsInput!$M$27,Inputs!$B$4="Chapter Hunt"),CHOOSE(ArtifactsInput!$N$27+1,20,24,28,32,36,40),0)/100)))))/Skills!H5,1)))/Inputs!$B$43),G244*Q244))*IF(Inputs!$B$38="pvp",1,(1+(Inputs!$B$21+Skills!Q5+(((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Skills!G6*IF(Skills!H6&gt;0,IF(Inputs!$B$38="pvp",MIN(Skills!I6,15),Skills!I6)/Skills!H6,1)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IFERROR(1/(IF(Inputs!$B$38="pvp",15,MAX(0.1,Skills!D6-IF(TRUE=TRUE,Inputs!$B$32,0)))*(1-IF(AND(ArtifactsInput!$M$27,Inputs!$B$4="Chapter Hunt"),CHOOSE(ArtifactsInput!$N$27+1,20,24,28,32,36,40),0)/100)),0)</f>
        <v/>
      </c>
      <c r="R245">
        <f>IF(AND(Inputs!$B$38&lt;&gt;"pvp",Inputs!$B$43&gt;0),IF(MAX(0,Inputs!$B$43-B275)&lt;=0,0,(INT(MAX(0,Inputs!$B$43-B275)/(IF(Inputs!$B$38="pvp",15,MAX(0.1,Skills!D6-IF(TRUE=TRUE,Inputs!$B$32,0)))*(1-IF(AND(ArtifactsInput!$M$27,Inputs!$B$4="Chapter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$20+0+Skills!P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TRUE=TRUE,Inputs!$B$32,0)))*(1-IF(AND(ArtifactsInput!$M$27,Inputs!$B$4="Chapter Hunt"),CHOOSE(ArtifactsInput!$N$27+1,20,24,28,32,36,40),0)/100)))))/Skills!H6,1)))/Inputs!$B$43),G245*Q245))*IF(Inputs!$B$38="pvp",1,(1+(Inputs!$B$21+Skills!Q6+(((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Skills!G7*IF(Skills!H7&gt;0,IF(Inputs!$B$38="pvp",MIN(Skills!I7,15),Skills!I7)/Skills!H7,1)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IFERROR(1/(IF(Inputs!$B$38="pvp",15,MAX(0.1,Skills!D7-IF(TRUE=TRUE,Inputs!$B$32,0)))*(1-IF(AND(ArtifactsInput!$M$27,Inputs!$B$4="Chapter Hunt"),CHOOSE(ArtifactsInput!$N$27+1,20,24,28,32,36,40),0)/100)),0)</f>
        <v/>
      </c>
      <c r="R246">
        <f>IF(AND(Inputs!$B$38&lt;&gt;"pvp",Inputs!$B$43&gt;0),IF(MAX(0,Inputs!$B$43-B275)&lt;=0,0,(INT(MAX(0,Inputs!$B$43-B275)/(IF(Inputs!$B$38="pvp",15,MAX(0.1,Skills!D7-IF(TRUE=TRUE,Inputs!$B$32,0)))*(1-IF(AND(ArtifactsInput!$M$27,Inputs!$B$4="Chapter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$20+0+Skills!P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TRUE=TRUE,Inputs!$B$32,0)))*(1-IF(AND(ArtifactsInput!$M$27,Inputs!$B$4="Chapter Hunt"),CHOOSE(ArtifactsInput!$N$27+1,20,24,28,32,36,40),0)/100)))))/Skills!H7,1)))/Inputs!$B$43),G246*Q246))*IF(Inputs!$B$38="pvp",1,(1+(Inputs!$B$21+Skills!Q7+(((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Skills!G8*IF(Skills!H8&gt;0,IF(Inputs!$B$38="pvp",MIN(Skills!I8,15),Skills!I8)/Skills!H8,1)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IFERROR(1/(IF(Inputs!$B$38="pvp",15,MAX(0.1,Skills!D8-IF(TRUE=TRUE,Inputs!$B$32,0)))*(1-IF(AND(ArtifactsInput!$M$27,Inputs!$B$4="Chapter Hunt"),CHOOSE(ArtifactsInput!$N$27+1,20,24,28,32,36,40),0)/100)),0)</f>
        <v/>
      </c>
      <c r="R247">
        <f>IF(AND(Inputs!$B$38&lt;&gt;"pvp",Inputs!$B$43&gt;0),IF(MAX(0,Inputs!$B$43-B275)&lt;=0,0,(INT(MAX(0,Inputs!$B$43-B275)/(IF(Inputs!$B$38="pvp",15,MAX(0.1,Skills!D8-IF(TRUE=TRUE,Inputs!$B$32,0)))*(1-IF(AND(ArtifactsInput!$M$27,Inputs!$B$4="Chapter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$20+0+Skills!P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TRUE=TRUE,Inputs!$B$32,0)))*(1-IF(AND(ArtifactsInput!$M$27,Inputs!$B$4="Chapter Hunt"),CHOOSE(ArtifactsInput!$N$27+1,20,24,28,32,36,40),0)/100)))))/Skills!H8,1)))/Inputs!$B$43),G247*Q247))*IF(Inputs!$B$38="pvp",1,(1+(Inputs!$B$21+Skills!Q8+(((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Skills!G9*IF(Skills!H9&gt;0,IF(Inputs!$B$38="pvp",MIN(Skills!I9,15),Skills!I9)/Skills!H9,1)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138,MAX(0,IF(Inputs!$B$3&gt;=118,8,IF(Inputs!$B$3&gt;=110,7,5))-5)*50,0),0)/100)*(1+(IF(Skills!A9="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IFERROR(1/(IF(Inputs!$B$38="pvp",15,MAX(0.1,Skills!D9-IF(TRUE=TRUE,Inputs!$B$32,0)))*(1-IF(AND(ArtifactsInput!$M$27,Inputs!$B$4="Chapter Hunt"),CHOOSE(ArtifactsInput!$N$27+1,20,24,28,32,36,40),0)/100)),0)</f>
        <v/>
      </c>
      <c r="R248">
        <f>IF(AND(Inputs!$B$38&lt;&gt;"pvp",Inputs!$B$43&gt;0),IF(MAX(0,Inputs!$B$43-B275)&lt;=0,0,(INT(MAX(0,Inputs!$B$43-B275)/(IF(Inputs!$B$38="pvp",15,MAX(0.1,Skills!D9-IF(TRUE=TRUE,Inputs!$B$32,0)))*(1-IF(AND(ArtifactsInput!$M$27,Inputs!$B$4="Chapter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TRUE=TRUE,Inputs!$B$32,0)))*(1-IF(AND(ArtifactsInput!$M$27,Inputs!$B$4="Chapter Hunt"),CHOOSE(ArtifactsInput!$N$27+1,20,24,28,32,36,40),0)/100)))))/Skills!H9,1)))/Inputs!$B$43),G248*Q248))*IF(Inputs!$B$38="pvp",1,1+(Inputs!$B$20+0+Skills!P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TRUE=TRUE,Inputs!$B$32,0)))*(1-IF(AND(ArtifactsInput!$M$27,Inputs!$B$4="Chapter Hunt"),CHOOSE(ArtifactsInput!$N$27+1,20,24,28,32,36,40),0)/100)))))/Skills!H9,1)))/Inputs!$B$43),G248*Q248))*IF(Inputs!$B$38="pvp",1,(1+(Inputs!$B$21+Skills!Q9+(((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Skills!G10*IF(Skills!H10&gt;0,IF(Inputs!$B$38="pvp",MIN(Skills!I10,15),Skills!I10)/Skills!H10,1)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138,MAX(0,IF(Inputs!$B$3&gt;=118,8,IF(Inputs!$B$3&gt;=110,7,5))-5)*50,0),0)/100)*(1+(IF(Skills!A10="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IFERROR(1/(IF(Inputs!$B$38="pvp",15,MAX(0.1,Skills!D10-IF(TRUE=TRUE,Inputs!$B$32,0)))*(1-IF(AND(ArtifactsInput!$M$27,Inputs!$B$4="Chapter Hunt"),CHOOSE(ArtifactsInput!$N$27+1,20,24,28,32,36,40),0)/100)),0)</f>
        <v/>
      </c>
      <c r="R249">
        <f>IF(AND(Inputs!$B$38&lt;&gt;"pvp",Inputs!$B$43&gt;0),IF(MAX(0,Inputs!$B$43-B275)&lt;=0,0,(INT(MAX(0,Inputs!$B$43-B275)/(IF(Inputs!$B$38="pvp",15,MAX(0.1,Skills!D10-IF(TRUE=TRUE,Inputs!$B$32,0)))*(1-IF(AND(ArtifactsInput!$M$27,Inputs!$B$4="Chapter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$20+0+Skills!P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TRUE=TRUE,Inputs!$B$32,0)))*(1-IF(AND(ArtifactsInput!$M$27,Inputs!$B$4="Chapter Hunt"),CHOOSE(ArtifactsInput!$N$27+1,20,24,28,32,36,40),0)/100)))))/Skills!H10,1)))/Inputs!$B$43),G249*Q249))*IF(Inputs!$B$38="pvp",1,(1+(Inputs!$B$21+Skills!Q10+(((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Skills!G11*IF(Skills!H11&gt;0,IF(Inputs!$B$38="pvp",MIN(Skills!I11,15),Skills!I11)/Skills!H11,1)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(100-(100-((Inputs!$B$19+0)))*(1-IF(Inputs!$B$3&gt;=130,IF(Inputs!$B$3&gt;=118,8,IF(Inputs!$B$3&gt;=110,7,5)),0)/100)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138,MAX(0,IF(Inputs!$B$3&gt;=118,8,IF(Inputs!$B$3&gt;=110,7,5))-5)*50,0),0)/100)*(1+(IF(Skills!A11="RAGING_BLOW",Inputs!$B$17+((C260=TRUE)*(F260-Calc!F21))+((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IFERROR(1/(IF(Inputs!$B$38="pvp",15,MAX(0.1,Skills!D11-IF(TRUE=TRUE,Inputs!$B$32,0)))*(1-IF(AND(ArtifactsInput!$M$27,Inputs!$B$4="Chapter Hunt"),CHOOSE(ArtifactsInput!$N$27+1,20,24,28,32,36,40),0)/100)),0)</f>
        <v/>
      </c>
      <c r="R250">
        <f>IF(AND(Inputs!$B$38&lt;&gt;"pvp",Inputs!$B$43&gt;0),IF(MAX(0,Inputs!$B$43-B275)&lt;=0,0,(INT(MAX(0,Inputs!$B$43-B275)/(IF(Inputs!$B$38="pvp",15,MAX(0.1,Skills!D11-IF(TRUE=TRUE,Inputs!$B$32,0)))*(1-IF(AND(ArtifactsInput!$M$27,Inputs!$B$4="Chapter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$20+0+Skills!P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Inputs!$B$38&lt;&gt;"pvp",Inputs!$B$43=0),1,IF(IF(Inputs!$B$38="pvp",15,Inputs!$B$43)-(B275)&lt;=0,1,MAX(0,IF(Inputs!$B$38="pvp",15,Inputs!$B$43)-MAX(5,B275))/(IF(Inputs!$B$38="pvp",15,Inputs!$B$43)-(B275)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TRUE=TRUE,Inputs!$B$32,0)))*(1-IF(AND(ArtifactsInput!$M$27,Inputs!$B$4="Chapter Hunt"),CHOOSE(ArtifactsInput!$N$27+1,20,24,28,32,36,40),0)/100)))))/Skills!H11,1)))/Inputs!$B$43),G250*Q250))*IF(Inputs!$B$38="pvp",1,(1+(Inputs!$B$21+Skills!Q11+(((C255=TRUE)*F255*(Skills!J16/100)*IF(AND(Inputs!$B$38&lt;&gt;"pvp",Inputs!$B$43&gt;0),(((R255-1)*MIN((Skills!T16*(1+(Inputs!$B$34+(ArtifactsInput!$M$7-ArtifactsInput!$M$7)*CHOOSE(ArtifactsInput!$N$7+1,6,7.2,8.4,9.6,10.8,12))/100)),(1/Q255))+MIN((Skills!T16*(1+(Inputs!$B$34+(ArtifactsInput!$M$7-ArtifactsInput!$M$7)*CHOOSE(ArtifactsInput!$N$7+1,6,7.2,8.4,9.6,10.8,12))/100)),MAX(0,Inputs!$B$43-((R255-1)*(1/Q255)))))/Inputs!$B$43),IF(Inputs!$B$38="pvp",MIN((Skills!T16*(1+(Inputs!$B$34+(ArtifactsInput!$M$7-ArtifactsInput!$M$7)*CHOOSE(ArtifactsInput!$N$7+1,6,7.2,8.4,9.6,10.8,12))/100)),15)/15,MIN(1,(Skills!T16*(1+(Inputs!$B$34+(ArtifactsInput!$M$7-ArtifactsInput!$M$7)*CHOOSE(ArtifactsInput!$N$7+1,6,7.2,8.4,9.6,10.8,12))/100))/(1/Q255)))))+((C247=TRUE)*IF(Inputs!$B$3&gt;=126,10*MIN(1,15*Q247),0))+((C244=TRUE)*((100/10)*(INDEX(FactorTable!$B$2:$Y$301,MATCH(ROUND(MIN(300,MAX(1,MAX(0,(Inputs!$B$3-100)*3)+Inputs!$B$28+Inputs!$B$29)),0),FactorTable!$A$2:$A$301,0),22)/1000))*(1+IF(Inputs!$B$3&gt;=134,0.5,0))*MIN(1,10*(1+(Inputs!$B$34+(ArtifactsInput!$M$7-ArtifactsInput!$M$7)*CHOOSE(ArtifactsInput!$N$7+1,6,7.2,8.4,9.6,10.8,12))/100)*Q244)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Skills!G13*IF(Skills!H13&gt;0,IF(Inputs!$B$38="pvp",MIN(Skills!I13,15),Skills!I13)/Skills!H13,1)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Skills!G14*IF(Skills!H14&gt;0,IF(Inputs!$B$38="pvp",MIN(Skills!I14,15),Skills!I14)/Skills!H14,1)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Skills!G15*IF(Skills!H15&gt;0,IF(Inputs!$B$38="pvp",MIN(Skills!I15,15),Skills!I15)/Skills!H15,1)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IFERROR(1/(IF(Inputs!$B$38="pvp",15,MAX(0.1,Skills!D15-IF(TRUE=TRUE,Inputs!$B$32,0)))*(1-IF(AND(ArtifactsInput!$M$27,Inputs!$B$4="Chapter Hunt"),CHOOSE(ArtifactsInput!$N$27+1,20,24,28,32,36,40),0)/100)),0)</f>
        <v/>
      </c>
      <c r="R254">
        <f>IF(AND(Inputs!$B$38&lt;&gt;"pvp",Inputs!$B$43&gt;0),IF(Inputs!$B$43&lt;=0,0,(INT(Inputs!$B$43/(IF(Inputs!$B$38="pvp",15,MAX(0.1,Skills!D15-IF(TRUE=TRUE,Inputs!$B$32,0)))*(1-IF(AND(ArtifactsInput!$M$27,Inputs!$B$4="Chapter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Skills!G16*IF(Skills!H16&gt;0,IF(Inputs!$B$38="pvp",MIN(Skills!I16,15),Skills!I16)/Skills!H16,1)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IFERROR(1/(IF(Inputs!$B$38="pvp",15,MAX(0.1,Skills!D16-IF(TRUE=TRUE,Inputs!$B$32,0)))*(1-IF(AND(ArtifactsInput!$M$27,Inputs!$B$4="Chapter Hunt"),CHOOSE(ArtifactsInput!$N$27+1,20,24,28,32,36,40),0)/100)),0)</f>
        <v/>
      </c>
      <c r="R255">
        <f>IF(AND(Inputs!$B$38&lt;&gt;"pvp",Inputs!$B$43&gt;0),IF(Inputs!$B$43&lt;=0,0,(INT(Inputs!$B$43/(IF(Inputs!$B$38="pvp",15,MAX(0.1,Skills!D16-IF(TRUE=TRUE,Inputs!$B$32,0)))*(1-IF(AND(ArtifactsInput!$M$27,Inputs!$B$4="Chapter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Skills!G17*IF(Skills!H17&gt;0,IF(Inputs!$B$38="pvp",MIN(Skills!I17,15),Skills!I17)/Skills!H17,1)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IFERROR(1/(IF(Inputs!$B$38="pvp",15,MAX(0.1,Skills!D17-IF(TRUE=TRUE,Inputs!$B$32,0)))*(1-IF(AND(ArtifactsInput!$M$27,Inputs!$B$4="Chapter Hunt"),CHOOSE(ArtifactsInput!$N$27+1,20,24,28,32,36,40),0)/100)),0)</f>
        <v/>
      </c>
      <c r="R256">
        <f>IF(AND(Inputs!$B$38&lt;&gt;"pvp",Inputs!$B$43&gt;0),IF(Inputs!$B$43&lt;=0,0,(INT(Inputs!$B$43/(IF(Inputs!$B$38="pvp",15,MAX(0.1,Skills!D17-IF(TRUE=TRUE,Inputs!$B$32,0)))*(1-IF(AND(ArtifactsInput!$M$27,Inputs!$B$4="Chapter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Skills!G18*IF(Skills!H18&gt;0,IF(Inputs!$B$38="pvp",MIN(Skills!I18,15),Skills!I18)/Skills!H18,1)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IFERROR(1/(IF(Inputs!$B$38="pvp",15,MAX(0.1,Skills!D18-IF(TRUE=TRUE,Inputs!$B$32,0)))*(1-IF(AND(ArtifactsInput!$M$27,Inputs!$B$4="Chapter Hunt"),CHOOSE(ArtifactsInput!$N$27+1,20,24,28,32,36,40),0)/100)),0)</f>
        <v/>
      </c>
      <c r="R257">
        <f>IF(AND(Inputs!$B$38&lt;&gt;"pvp",Inputs!$B$43&gt;0),IF(Inputs!$B$43&lt;=0,0,(INT(Inputs!$B$43/(IF(Inputs!$B$38="pvp",15,MAX(0.1,Skills!D18-IF(TRUE=TRUE,Inputs!$B$32,0)))*(1-IF(AND(ArtifactsInput!$M$27,Inputs!$B$4="Chapter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Skills!G19*IF(Skills!H19&gt;0,IF(Inputs!$B$38="pvp",MIN(Skills!I19,15),Skills!I19)/Skills!H19,1)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IFERROR(1/(IF(Inputs!$B$38="pvp",15,MAX(0.1,Skills!D19-IF(TRUE=TRUE,Inputs!$B$32,0)))*(1-IF(AND(ArtifactsInput!$M$27,Inputs!$B$4="Chapter Hunt"),CHOOSE(ArtifactsInput!$N$27+1,20,24,28,32,36,40),0)/100)),0)</f>
        <v/>
      </c>
      <c r="R258">
        <f>IF(AND(Inputs!$B$38&lt;&gt;"pvp",Inputs!$B$43&gt;0),IF(Inputs!$B$43&lt;=0,0,(INT(Inputs!$B$43/(IF(Inputs!$B$38="pvp",15,MAX(0.1,Skills!D19-IF(TRUE=TRUE,Inputs!$B$32,0)))*(1-IF(AND(ArtifactsInput!$M$27,Inputs!$B$4="Chapter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Skills!G20*IF(Skills!H20&gt;0,IF(Inputs!$B$38="pvp",MIN(Skills!I20,15),Skills!I20)/Skills!H20,1)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Skills!G21*IF(Skills!H21&gt;0,IF(Inputs!$B$38="pvp",MIN(Skills!I21,15),Skills!I21)/Skills!H21,1)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Skills!G22*IF(Skills!H22&gt;0,IF(Inputs!$B$38="pvp",MIN(Skills!I22,15),Skills!I22)/Skills!H22,1)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Skills!G23*IF(Skills!H23&gt;0,IF(Inputs!$B$38="pvp",MIN(Skills!I23,15),Skills!I23)/Skills!H23,1)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Skills!G24*IF(Skills!H24&gt;0,IF(Inputs!$B$38="pvp",MIN(Skills!I24,15),Skills!I24)/Skills!H24,1)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Skills!G25*IF(Skills!H25&gt;0,IF(Inputs!$B$38="pvp",MIN(Skills!I25,15),Skills!I25)/Skills!H25,1)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Skills!G26*IF(Skills!H26&gt;0,IF(Inputs!$B$38="pvp",MIN(Skills!I26,15),Skills!I26)/Skills!H26,1)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118,8,IF(Inputs!$B$3&gt;=110,7,5)))+((C254=TRUE)*F254*IF(AND(Inputs!$B$38&lt;&gt;"pvp",Inputs!$B$43&gt;0),(((R254-1)*MIN((Skills!T15*(1+(Inputs!$B$34+(ArtifactsInput!$M$7-ArtifactsInput!$M$7)*CHOOSE(ArtifactsInput!$N$7+1,6,7.2,8.4,9.6,10.8,12))/100)),(1/Q254))+MIN((Skills!T15*(1+(Inputs!$B$34+(ArtifactsInput!$M$7-ArtifactsInput!$M$7)*CHOOSE(ArtifactsInput!$N$7+1,6,7.2,8.4,9.6,10.8,12))/100)),MAX(0,Inputs!$B$43-((R254-1)*(1/Q254)))))/Inputs!$B$43),IF(Inputs!$B$38="pvp",MIN((Skills!T15*(1+(Inputs!$B$34+(ArtifactsInput!$M$7-ArtifactsInput!$M$7)*CHOOSE(ArtifactsInput!$N$7+1,6,7.2,8.4,9.6,10.8,12))/100)),15)/15,MIN(1,(Skills!T15*(1+(Inputs!$B$34+(ArtifactsInput!$M$7-ArtifactsInput!$M$7)*CHOOSE(ArtifactsInput!$N$7+1,6,7.2,8.4,9.6,10.8,12))/100))/(1/Q254)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MIN((Skills!T19*(1+(Inputs!$B$34+(ArtifactsInput!$M$7-ArtifactsInput!$M$7)*CHOOSE(ArtifactsInput!$N$7+1,6,7.2,8.4,9.6,10.8,12))/100)),(1/Q258))+MIN((Skills!T19*(1+(Inputs!$B$34+(ArtifactsInput!$M$7-ArtifactsInput!$M$7)*CHOOSE(ArtifactsInput!$N$7+1,6,7.2,8.4,9.6,10.8,12))/100)),MAX(0,Inputs!$B$43-((R258-1)*(1/Q258)))))/Inputs!$B$43),IF(Inputs!$B$38="pvp",MIN((Skills!T19*(1+(Inputs!$B$34+(ArtifactsInput!$M$7-ArtifactsInput!$M$7)*CHOOSE(ArtifactsInput!$N$7+1,6,7.2,8.4,9.6,10.8,12))/100)),15)/15,MIN(1,(Skills!T19*(1+(Inputs!$B$34+(ArtifactsInput!$M$7-ArtifactsInput!$M$7)*CHOOSE(ArtifactsInput!$N$7+1,6,7.2,8.4,9.6,10.8,12))/100))/(1/Q258)))))</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MIN((Skills!T18*(1+(Inputs!$B$34+(ArtifactsInput!$M$7-ArtifactsInput!$M$7)*CHOOSE(ArtifactsInput!$N$7+1,6,7.2,8.4,9.6,10.8,12))/100)),(1/Q257))+MIN((Skills!T18*(1+(Inputs!$B$34+(ArtifactsInput!$M$7-ArtifactsInput!$M$7)*CHOOSE(ArtifactsInput!$N$7+1,6,7.2,8.4,9.6,10.8,12))/100)),MAX(0,Inputs!$B$43-((R257-1)*(1/Q257)))))/Inputs!$B$43),IF(Inputs!$B$38="pvp",MIN((Skills!T18*(1+(Inputs!$B$34+(ArtifactsInput!$M$7-ArtifactsInput!$M$7)*CHOOSE(ArtifactsInput!$N$7+1,6,7.2,8.4,9.6,10.8,12))/100)),15)/15,MIN(1,(Skills!T18*(1+(Inputs!$B$34+(ArtifactsInput!$M$7-ArtifactsInput!$M$7)*CHOOSE(ArtifactsInput!$N$7+1,6,7.2,8.4,9.6,10.8,12))/100))/(1/Q257)))))</f>
        <v/>
      </c>
    </row>
    <row r="274">
      <c r="A274" t="inlineStr">
        <is>
          <t>Global Final Damage Bonus % (Enrage + Combo Synergy)</t>
        </is>
      </c>
      <c r="B274">
        <f>((C256=TRUE)*F256*IF(AND(Inputs!$B$38&lt;&gt;"pvp",Inputs!$B$43&gt;0),(((R256-1)*MIN((Skills!T17*(1+(Inputs!$B$34+(ArtifactsInput!$M$7-ArtifactsInput!$M$7)*CHOOSE(ArtifactsInput!$N$7+1,6,7.2,8.4,9.6,10.8,12))/100)),(1/Q256))+MIN((Skills!T17*(1+(Inputs!$B$34+(ArtifactsInput!$M$7-ArtifactsInput!$M$7)*CHOOSE(ArtifactsInput!$N$7+1,6,7.2,8.4,9.6,10.8,12))/100)),MAX(0,Inputs!$B$43-((R256-1)*(1/Q256)))))/Inputs!$B$43),IF(Inputs!$B$38="pvp",MIN((Skills!T17*(1+(Inputs!$B$34+(ArtifactsInput!$M$7-ArtifactsInput!$M$7)*CHOOSE(ArtifactsInput!$N$7+1,6,7.2,8.4,9.6,10.8,12))/100)),15)/15,MIN(1,(Skills!T17*(1+(Inputs!$B$34+(ArtifactsInput!$M$7-ArtifactsInput!$M$7)*CHOOSE(ArtifactsInput!$N$7+1,6,7.2,8.4,9.6,10.8,12))/100))/(1/Q256)))))+((C253=TRUE)*F253*IF(Inputs!$B$3&gt;=118,8,IF(Inputs!$B$3&gt;=110,7,5)))+IF(Inputs!$B$3&gt;=98,5,0)</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Skills!G2*IF(Skills!H2&gt;0,IF(Inputs!$B$38="pvp",MIN(Skills!I2,15),Skills!I2)/Skills!H2,1)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Skills!G5*IF(Skills!H5&gt;0,IF(Inputs!$B$38="pvp",MIN(Skills!I5,15),Skills!I5)/Skills!H5,1)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IFERROR(1/(IF(Inputs!$B$38="pvp",15,MAX(0.1,Skills!D5-IF(TRUE=TRUE,Inputs!$B$32,0)))*(1-IF(AND(ArtifactsInput!$M$27,Inputs!$B$4="Chapter Hunt"),CHOOSE(ArtifactsInput!$N$27+1,20,24,28,32,36,40),0)/100)),0)</f>
        <v/>
      </c>
      <c r="R286">
        <f>IF(AND(Inputs!$B$38&lt;&gt;"pvp",Inputs!$B$43&gt;0),IF(MAX(0,Inputs!$B$43-B317)&lt;=0,0,(INT(MAX(0,Inputs!$B$43-B317)/(IF(Inputs!$B$38="pvp",15,MAX(0.1,Skills!D5-IF(TRUE=TRUE,Inputs!$B$32,0)))*(1-IF(AND(ArtifactsInput!$M$27,Inputs!$B$4="Chapter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$20+1)+0+Skills!P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TRUE=TRUE,Inputs!$B$32,0)))*(1-IF(AND(ArtifactsInput!$M$27,Inputs!$B$4="Chapter Hunt"),CHOOSE(ArtifactsInput!$N$27+1,20,24,28,32,36,40),0)/100)))))/Skills!H5,1)))/Inputs!$B$43),G286*Q286))*IF(Inputs!$B$38="pvp",1,(1+(Inputs!$B$21+Skills!Q5+(((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Skills!G6*IF(Skills!H6&gt;0,IF(Inputs!$B$38="pvp",MIN(Skills!I6,15),Skills!I6)/Skills!H6,1)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IFERROR(1/(IF(Inputs!$B$38="pvp",15,MAX(0.1,Skills!D6-IF(TRUE=TRUE,Inputs!$B$32,0)))*(1-IF(AND(ArtifactsInput!$M$27,Inputs!$B$4="Chapter Hunt"),CHOOSE(ArtifactsInput!$N$27+1,20,24,28,32,36,40),0)/100)),0)</f>
        <v/>
      </c>
      <c r="R287">
        <f>IF(AND(Inputs!$B$38&lt;&gt;"pvp",Inputs!$B$43&gt;0),IF(MAX(0,Inputs!$B$43-B317)&lt;=0,0,(INT(MAX(0,Inputs!$B$43-B317)/(IF(Inputs!$B$38="pvp",15,MAX(0.1,Skills!D6-IF(TRUE=TRUE,Inputs!$B$32,0)))*(1-IF(AND(ArtifactsInput!$M$27,Inputs!$B$4="Chapter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$20+1)+0+Skills!P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TRUE=TRUE,Inputs!$B$32,0)))*(1-IF(AND(ArtifactsInput!$M$27,Inputs!$B$4="Chapter Hunt"),CHOOSE(ArtifactsInput!$N$27+1,20,24,28,32,36,40),0)/100)))))/Skills!H6,1)))/Inputs!$B$43),G287*Q287))*IF(Inputs!$B$38="pvp",1,(1+(Inputs!$B$21+Skills!Q6+(((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Skills!G7*IF(Skills!H7&gt;0,IF(Inputs!$B$38="pvp",MIN(Skills!I7,15),Skills!I7)/Skills!H7,1)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IFERROR(1/(IF(Inputs!$B$38="pvp",15,MAX(0.1,Skills!D7-IF(TRUE=TRUE,Inputs!$B$32,0)))*(1-IF(AND(ArtifactsInput!$M$27,Inputs!$B$4="Chapter Hunt"),CHOOSE(ArtifactsInput!$N$27+1,20,24,28,32,36,40),0)/100)),0)</f>
        <v/>
      </c>
      <c r="R288">
        <f>IF(AND(Inputs!$B$38&lt;&gt;"pvp",Inputs!$B$43&gt;0),IF(MAX(0,Inputs!$B$43-B317)&lt;=0,0,(INT(MAX(0,Inputs!$B$43-B317)/(IF(Inputs!$B$38="pvp",15,MAX(0.1,Skills!D7-IF(TRUE=TRUE,Inputs!$B$32,0)))*(1-IF(AND(ArtifactsInput!$M$27,Inputs!$B$4="Chapter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$20+1)+0+Skills!P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TRUE=TRUE,Inputs!$B$32,0)))*(1-IF(AND(ArtifactsInput!$M$27,Inputs!$B$4="Chapter Hunt"),CHOOSE(ArtifactsInput!$N$27+1,20,24,28,32,36,40),0)/100)))))/Skills!H7,1)))/Inputs!$B$43),G288*Q288))*IF(Inputs!$B$38="pvp",1,(1+(Inputs!$B$21+Skills!Q7+(((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Skills!G8*IF(Skills!H8&gt;0,IF(Inputs!$B$38="pvp",MIN(Skills!I8,15),Skills!I8)/Skills!H8,1)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IFERROR(1/(IF(Inputs!$B$38="pvp",15,MAX(0.1,Skills!D8-IF(TRUE=TRUE,Inputs!$B$32,0)))*(1-IF(AND(ArtifactsInput!$M$27,Inputs!$B$4="Chapter Hunt"),CHOOSE(ArtifactsInput!$N$27+1,20,24,28,32,36,40),0)/100)),0)</f>
        <v/>
      </c>
      <c r="R289">
        <f>IF(AND(Inputs!$B$38&lt;&gt;"pvp",Inputs!$B$43&gt;0),IF(MAX(0,Inputs!$B$43-B317)&lt;=0,0,(INT(MAX(0,Inputs!$B$43-B317)/(IF(Inputs!$B$38="pvp",15,MAX(0.1,Skills!D8-IF(TRUE=TRUE,Inputs!$B$32,0)))*(1-IF(AND(ArtifactsInput!$M$27,Inputs!$B$4="Chapter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$20+1)+0+Skills!P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TRUE=TRUE,Inputs!$B$32,0)))*(1-IF(AND(ArtifactsInput!$M$27,Inputs!$B$4="Chapter Hunt"),CHOOSE(ArtifactsInput!$N$27+1,20,24,28,32,36,40),0)/100)))))/Skills!H8,1)))/Inputs!$B$43),G289*Q289))*IF(Inputs!$B$38="pvp",1,(1+(Inputs!$B$21+Skills!Q8+(((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Skills!G9*IF(Skills!H9&gt;0,IF(Inputs!$B$38="pvp",MIN(Skills!I9,15),Skills!I9)/Skills!H9,1)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138,MAX(0,IF(Inputs!$B$3&gt;=118,8,IF(Inputs!$B$3&gt;=110,7,5))-5)*50,0),0)/100)*(1+(IF(Skills!A9="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IFERROR(1/(IF(Inputs!$B$38="pvp",15,MAX(0.1,Skills!D9-IF(TRUE=TRUE,Inputs!$B$32,0)))*(1-IF(AND(ArtifactsInput!$M$27,Inputs!$B$4="Chapter Hunt"),CHOOSE(ArtifactsInput!$N$27+1,20,24,28,32,36,40),0)/100)),0)</f>
        <v/>
      </c>
      <c r="R290">
        <f>IF(AND(Inputs!$B$38&lt;&gt;"pvp",Inputs!$B$43&gt;0),IF(MAX(0,Inputs!$B$43-B317)&lt;=0,0,(INT(MAX(0,Inputs!$B$43-B317)/(IF(Inputs!$B$38="pvp",15,MAX(0.1,Skills!D9-IF(TRUE=TRUE,Inputs!$B$32,0)))*(1-IF(AND(ArtifactsInput!$M$27,Inputs!$B$4="Chapter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TRUE=TRUE,Inputs!$B$32,0)))*(1-IF(AND(ArtifactsInput!$M$27,Inputs!$B$4="Chapter Hunt"),CHOOSE(ArtifactsInput!$N$27+1,20,24,28,32,36,40),0)/100)))))/Skills!H9,1)))/Inputs!$B$43),G290*Q290))*IF(Inputs!$B$38="pvp",1,1+((Inputs!$B$20+1)+0+Skills!P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TRUE=TRUE,Inputs!$B$32,0)))*(1-IF(AND(ArtifactsInput!$M$27,Inputs!$B$4="Chapter Hunt"),CHOOSE(ArtifactsInput!$N$27+1,20,24,28,32,36,40),0)/100)))))/Skills!H9,1)))/Inputs!$B$43),G290*Q290))*IF(Inputs!$B$38="pvp",1,(1+(Inputs!$B$21+Skills!Q9+(((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Skills!G10*IF(Skills!H10&gt;0,IF(Inputs!$B$38="pvp",MIN(Skills!I10,15),Skills!I10)/Skills!H10,1)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138,MAX(0,IF(Inputs!$B$3&gt;=118,8,IF(Inputs!$B$3&gt;=110,7,5))-5)*50,0),0)/100)*(1+(IF(Skills!A10="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IFERROR(1/(IF(Inputs!$B$38="pvp",15,MAX(0.1,Skills!D10-IF(TRUE=TRUE,Inputs!$B$32,0)))*(1-IF(AND(ArtifactsInput!$M$27,Inputs!$B$4="Chapter Hunt"),CHOOSE(ArtifactsInput!$N$27+1,20,24,28,32,36,40),0)/100)),0)</f>
        <v/>
      </c>
      <c r="R291">
        <f>IF(AND(Inputs!$B$38&lt;&gt;"pvp",Inputs!$B$43&gt;0),IF(MAX(0,Inputs!$B$43-B317)&lt;=0,0,(INT(MAX(0,Inputs!$B$43-B317)/(IF(Inputs!$B$38="pvp",15,MAX(0.1,Skills!D10-IF(TRUE=TRUE,Inputs!$B$32,0)))*(1-IF(AND(ArtifactsInput!$M$27,Inputs!$B$4="Chapter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$20+1)+0+Skills!P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TRUE=TRUE,Inputs!$B$32,0)))*(1-IF(AND(ArtifactsInput!$M$27,Inputs!$B$4="Chapter Hunt"),CHOOSE(ArtifactsInput!$N$27+1,20,24,28,32,36,40),0)/100)))))/Skills!H10,1)))/Inputs!$B$43),G291*Q291))*IF(Inputs!$B$38="pvp",1,(1+(Inputs!$B$21+Skills!Q10+(((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Skills!G11*IF(Skills!H11&gt;0,IF(Inputs!$B$38="pvp",MIN(Skills!I11,15),Skills!I11)/Skills!H11,1)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(100-(100-((Inputs!$B$19+0)))*(1-IF(Inputs!$B$3&gt;=130,IF(Inputs!$B$3&gt;=118,8,IF(Inputs!$B$3&gt;=110,7,5)),0)/100)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138,MAX(0,IF(Inputs!$B$3&gt;=118,8,IF(Inputs!$B$3&gt;=110,7,5))-5)*50,0),0)/100)*(1+(IF(Skills!A11="RAGING_BLOW",Inputs!$B$17+((C302=TRUE)*(F302-Calc!F21))+((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IFERROR(1/(IF(Inputs!$B$38="pvp",15,MAX(0.1,Skills!D11-IF(TRUE=TRUE,Inputs!$B$32,0)))*(1-IF(AND(ArtifactsInput!$M$27,Inputs!$B$4="Chapter Hunt"),CHOOSE(ArtifactsInput!$N$27+1,20,24,28,32,36,40),0)/100)),0)</f>
        <v/>
      </c>
      <c r="R292">
        <f>IF(AND(Inputs!$B$38&lt;&gt;"pvp",Inputs!$B$43&gt;0),IF(MAX(0,Inputs!$B$43-B317)&lt;=0,0,(INT(MAX(0,Inputs!$B$43-B317)/(IF(Inputs!$B$38="pvp",15,MAX(0.1,Skills!D11-IF(TRUE=TRUE,Inputs!$B$32,0)))*(1-IF(AND(ArtifactsInput!$M$27,Inputs!$B$4="Chapter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$20+1)+0+Skills!P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Inputs!$B$38&lt;&gt;"pvp",Inputs!$B$43=0),1,IF(IF(Inputs!$B$38="pvp",15,Inputs!$B$43)-(B317)&lt;=0,1,MAX(0,IF(Inputs!$B$38="pvp",15,Inputs!$B$43)-MAX(5,B317))/(IF(Inputs!$B$38="pvp",15,Inputs!$B$43)-(B317)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TRUE=TRUE,Inputs!$B$32,0)))*(1-IF(AND(ArtifactsInput!$M$27,Inputs!$B$4="Chapter Hunt"),CHOOSE(ArtifactsInput!$N$27+1,20,24,28,32,36,40),0)/100)))))/Skills!H11,1)))/Inputs!$B$43),G292*Q292))*IF(Inputs!$B$38="pvp",1,(1+(Inputs!$B$21+Skills!Q11+(((C297=TRUE)*F297*(Skills!J16/100)*IF(AND(Inputs!$B$38&lt;&gt;"pvp",Inputs!$B$43&gt;0),(((R297-1)*MIN((Skills!T16*(1+(Inputs!$B$34+(ArtifactsInput!$M$7-ArtifactsInput!$M$7)*CHOOSE(ArtifactsInput!$N$7+1,6,7.2,8.4,9.6,10.8,12))/100)),(1/Q297))+MIN((Skills!T16*(1+(Inputs!$B$34+(ArtifactsInput!$M$7-ArtifactsInput!$M$7)*CHOOSE(ArtifactsInput!$N$7+1,6,7.2,8.4,9.6,10.8,12))/100)),MAX(0,Inputs!$B$43-((R297-1)*(1/Q297)))))/Inputs!$B$43),IF(Inputs!$B$38="pvp",MIN((Skills!T16*(1+(Inputs!$B$34+(ArtifactsInput!$M$7-ArtifactsInput!$M$7)*CHOOSE(ArtifactsInput!$N$7+1,6,7.2,8.4,9.6,10.8,12))/100)),15)/15,MIN(1,(Skills!T16*(1+(Inputs!$B$34+(ArtifactsInput!$M$7-ArtifactsInput!$M$7)*CHOOSE(ArtifactsInput!$N$7+1,6,7.2,8.4,9.6,10.8,12))/100))/(1/Q297)))))+((C289=TRUE)*IF(Inputs!$B$3&gt;=126,10*MIN(1,15*Q289),0))+((C286=TRUE)*((100/10)*(INDEX(FactorTable!$B$2:$Y$301,MATCH(ROUND(MIN(300,MAX(1,MAX(0,(Inputs!$B$3-100)*3)+Inputs!$B$28+Inputs!$B$29)),0),FactorTable!$A$2:$A$301,0),22)/1000))*(1+IF(Inputs!$B$3&gt;=134,0.5,0))*MIN(1,10*(1+(Inputs!$B$34+(ArtifactsInput!$M$7-ArtifactsInput!$M$7)*CHOOSE(ArtifactsInput!$N$7+1,6,7.2,8.4,9.6,10.8,12))/100)*Q286)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Skills!G13*IF(Skills!H13&gt;0,IF(Inputs!$B$38="pvp",MIN(Skills!I13,15),Skills!I13)/Skills!H13,1)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Skills!G14*IF(Skills!H14&gt;0,IF(Inputs!$B$38="pvp",MIN(Skills!I14,15),Skills!I14)/Skills!H14,1)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Skills!G15*IF(Skills!H15&gt;0,IF(Inputs!$B$38="pvp",MIN(Skills!I15,15),Skills!I15)/Skills!H15,1)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IFERROR(1/(IF(Inputs!$B$38="pvp",15,MAX(0.1,Skills!D15-IF(TRUE=TRUE,Inputs!$B$32,0)))*(1-IF(AND(ArtifactsInput!$M$27,Inputs!$B$4="Chapter Hunt"),CHOOSE(ArtifactsInput!$N$27+1,20,24,28,32,36,40),0)/100)),0)</f>
        <v/>
      </c>
      <c r="R296">
        <f>IF(AND(Inputs!$B$38&lt;&gt;"pvp",Inputs!$B$43&gt;0),IF(Inputs!$B$43&lt;=0,0,(INT(Inputs!$B$43/(IF(Inputs!$B$38="pvp",15,MAX(0.1,Skills!D15-IF(TRUE=TRUE,Inputs!$B$32,0)))*(1-IF(AND(ArtifactsInput!$M$27,Inputs!$B$4="Chapter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Skills!G16*IF(Skills!H16&gt;0,IF(Inputs!$B$38="pvp",MIN(Skills!I16,15),Skills!I16)/Skills!H16,1)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IFERROR(1/(IF(Inputs!$B$38="pvp",15,MAX(0.1,Skills!D16-IF(TRUE=TRUE,Inputs!$B$32,0)))*(1-IF(AND(ArtifactsInput!$M$27,Inputs!$B$4="Chapter Hunt"),CHOOSE(ArtifactsInput!$N$27+1,20,24,28,32,36,40),0)/100)),0)</f>
        <v/>
      </c>
      <c r="R297">
        <f>IF(AND(Inputs!$B$38&lt;&gt;"pvp",Inputs!$B$43&gt;0),IF(Inputs!$B$43&lt;=0,0,(INT(Inputs!$B$43/(IF(Inputs!$B$38="pvp",15,MAX(0.1,Skills!D16-IF(TRUE=TRUE,Inputs!$B$32,0)))*(1-IF(AND(ArtifactsInput!$M$27,Inputs!$B$4="Chapter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Skills!G17*IF(Skills!H17&gt;0,IF(Inputs!$B$38="pvp",MIN(Skills!I17,15),Skills!I17)/Skills!H17,1)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IFERROR(1/(IF(Inputs!$B$38="pvp",15,MAX(0.1,Skills!D17-IF(TRUE=TRUE,Inputs!$B$32,0)))*(1-IF(AND(ArtifactsInput!$M$27,Inputs!$B$4="Chapter Hunt"),CHOOSE(ArtifactsInput!$N$27+1,20,24,28,32,36,40),0)/100)),0)</f>
        <v/>
      </c>
      <c r="R298">
        <f>IF(AND(Inputs!$B$38&lt;&gt;"pvp",Inputs!$B$43&gt;0),IF(Inputs!$B$43&lt;=0,0,(INT(Inputs!$B$43/(IF(Inputs!$B$38="pvp",15,MAX(0.1,Skills!D17-IF(TRUE=TRUE,Inputs!$B$32,0)))*(1-IF(AND(ArtifactsInput!$M$27,Inputs!$B$4="Chapter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Skills!G18*IF(Skills!H18&gt;0,IF(Inputs!$B$38="pvp",MIN(Skills!I18,15),Skills!I18)/Skills!H18,1)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IFERROR(1/(IF(Inputs!$B$38="pvp",15,MAX(0.1,Skills!D18-IF(TRUE=TRUE,Inputs!$B$32,0)))*(1-IF(AND(ArtifactsInput!$M$27,Inputs!$B$4="Chapter Hunt"),CHOOSE(ArtifactsInput!$N$27+1,20,24,28,32,36,40),0)/100)),0)</f>
        <v/>
      </c>
      <c r="R299">
        <f>IF(AND(Inputs!$B$38&lt;&gt;"pvp",Inputs!$B$43&gt;0),IF(Inputs!$B$43&lt;=0,0,(INT(Inputs!$B$43/(IF(Inputs!$B$38="pvp",15,MAX(0.1,Skills!D18-IF(TRUE=TRUE,Inputs!$B$32,0)))*(1-IF(AND(ArtifactsInput!$M$27,Inputs!$B$4="Chapter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Skills!G19*IF(Skills!H19&gt;0,IF(Inputs!$B$38="pvp",MIN(Skills!I19,15),Skills!I19)/Skills!H19,1)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IFERROR(1/(IF(Inputs!$B$38="pvp",15,MAX(0.1,Skills!D19-IF(TRUE=TRUE,Inputs!$B$32,0)))*(1-IF(AND(ArtifactsInput!$M$27,Inputs!$B$4="Chapter Hunt"),CHOOSE(ArtifactsInput!$N$27+1,20,24,28,32,36,40),0)/100)),0)</f>
        <v/>
      </c>
      <c r="R300">
        <f>IF(AND(Inputs!$B$38&lt;&gt;"pvp",Inputs!$B$43&gt;0),IF(Inputs!$B$43&lt;=0,0,(INT(Inputs!$B$43/(IF(Inputs!$B$38="pvp",15,MAX(0.1,Skills!D19-IF(TRUE=TRUE,Inputs!$B$32,0)))*(1-IF(AND(ArtifactsInput!$M$27,Inputs!$B$4="Chapter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Skills!G20*IF(Skills!H20&gt;0,IF(Inputs!$B$38="pvp",MIN(Skills!I20,15),Skills!I20)/Skills!H20,1)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Skills!G21*IF(Skills!H21&gt;0,IF(Inputs!$B$38="pvp",MIN(Skills!I21,15),Skills!I21)/Skills!H21,1)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Skills!G22*IF(Skills!H22&gt;0,IF(Inputs!$B$38="pvp",MIN(Skills!I22,15),Skills!I22)/Skills!H22,1)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Skills!G23*IF(Skills!H23&gt;0,IF(Inputs!$B$38="pvp",MIN(Skills!I23,15),Skills!I23)/Skills!H23,1)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Skills!G24*IF(Skills!H24&gt;0,IF(Inputs!$B$38="pvp",MIN(Skills!I24,15),Skills!I24)/Skills!H24,1)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Skills!G25*IF(Skills!H25&gt;0,IF(Inputs!$B$38="pvp",MIN(Skills!I25,15),Skills!I25)/Skills!H25,1)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Skills!G26*IF(Skills!H26&gt;0,IF(Inputs!$B$38="pvp",MIN(Skills!I26,15),Skills!I26)/Skills!H26,1)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118,8,IF(Inputs!$B$3&gt;=110,7,5)))+((C296=TRUE)*F296*IF(AND(Inputs!$B$38&lt;&gt;"pvp",Inputs!$B$43&gt;0),(((R296-1)*MIN((Skills!T15*(1+(Inputs!$B$34+(ArtifactsInput!$M$7-ArtifactsInput!$M$7)*CHOOSE(ArtifactsInput!$N$7+1,6,7.2,8.4,9.6,10.8,12))/100)),(1/Q296))+MIN((Skills!T15*(1+(Inputs!$B$34+(ArtifactsInput!$M$7-ArtifactsInput!$M$7)*CHOOSE(ArtifactsInput!$N$7+1,6,7.2,8.4,9.6,10.8,12))/100)),MAX(0,Inputs!$B$43-((R296-1)*(1/Q296)))))/Inputs!$B$43),IF(Inputs!$B$38="pvp",MIN((Skills!T15*(1+(Inputs!$B$34+(ArtifactsInput!$M$7-ArtifactsInput!$M$7)*CHOOSE(ArtifactsInput!$N$7+1,6,7.2,8.4,9.6,10.8,12))/100)),15)/15,MIN(1,(Skills!T15*(1+(Inputs!$B$34+(ArtifactsInput!$M$7-ArtifactsInput!$M$7)*CHOOSE(ArtifactsInput!$N$7+1,6,7.2,8.4,9.6,10.8,12))/100))/(1/Q296)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MIN((Skills!T19*(1+(Inputs!$B$34+(ArtifactsInput!$M$7-ArtifactsInput!$M$7)*CHOOSE(ArtifactsInput!$N$7+1,6,7.2,8.4,9.6,10.8,12))/100)),(1/Q300))+MIN((Skills!T19*(1+(Inputs!$B$34+(ArtifactsInput!$M$7-ArtifactsInput!$M$7)*CHOOSE(ArtifactsInput!$N$7+1,6,7.2,8.4,9.6,10.8,12))/100)),MAX(0,Inputs!$B$43-((R300-1)*(1/Q300)))))/Inputs!$B$43),IF(Inputs!$B$38="pvp",MIN((Skills!T19*(1+(Inputs!$B$34+(ArtifactsInput!$M$7-ArtifactsInput!$M$7)*CHOOSE(ArtifactsInput!$N$7+1,6,7.2,8.4,9.6,10.8,12))/100)),15)/15,MIN(1,(Skills!T19*(1+(Inputs!$B$34+(ArtifactsInput!$M$7-ArtifactsInput!$M$7)*CHOOSE(ArtifactsInput!$N$7+1,6,7.2,8.4,9.6,10.8,12))/100))/(1/Q300)))))</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MIN((Skills!T18*(1+(Inputs!$B$34+(ArtifactsInput!$M$7-ArtifactsInput!$M$7)*CHOOSE(ArtifactsInput!$N$7+1,6,7.2,8.4,9.6,10.8,12))/100)),(1/Q299))+MIN((Skills!T18*(1+(Inputs!$B$34+(ArtifactsInput!$M$7-ArtifactsInput!$M$7)*CHOOSE(ArtifactsInput!$N$7+1,6,7.2,8.4,9.6,10.8,12))/100)),MAX(0,Inputs!$B$43-((R299-1)*(1/Q299)))))/Inputs!$B$43),IF(Inputs!$B$38="pvp",MIN((Skills!T18*(1+(Inputs!$B$34+(ArtifactsInput!$M$7-ArtifactsInput!$M$7)*CHOOSE(ArtifactsInput!$N$7+1,6,7.2,8.4,9.6,10.8,12))/100)),15)/15,MIN(1,(Skills!T18*(1+(Inputs!$B$34+(ArtifactsInput!$M$7-ArtifactsInput!$M$7)*CHOOSE(ArtifactsInput!$N$7+1,6,7.2,8.4,9.6,10.8,12))/100))/(1/Q299)))))</f>
        <v/>
      </c>
    </row>
    <row r="316">
      <c r="A316" t="inlineStr">
        <is>
          <t>Global Final Damage Bonus % (Enrage + Combo Synergy)</t>
        </is>
      </c>
      <c r="B316">
        <f>((C298=TRUE)*F298*IF(AND(Inputs!$B$38&lt;&gt;"pvp",Inputs!$B$43&gt;0),(((R298-1)*MIN((Skills!T17*(1+(Inputs!$B$34+(ArtifactsInput!$M$7-ArtifactsInput!$M$7)*CHOOSE(ArtifactsInput!$N$7+1,6,7.2,8.4,9.6,10.8,12))/100)),(1/Q298))+MIN((Skills!T17*(1+(Inputs!$B$34+(ArtifactsInput!$M$7-ArtifactsInput!$M$7)*CHOOSE(ArtifactsInput!$N$7+1,6,7.2,8.4,9.6,10.8,12))/100)),MAX(0,Inputs!$B$43-((R298-1)*(1/Q298)))))/Inputs!$B$43),IF(Inputs!$B$38="pvp",MIN((Skills!T17*(1+(Inputs!$B$34+(ArtifactsInput!$M$7-ArtifactsInput!$M$7)*CHOOSE(ArtifactsInput!$N$7+1,6,7.2,8.4,9.6,10.8,12))/100)),15)/15,MIN(1,(Skills!T17*(1+(Inputs!$B$34+(ArtifactsInput!$M$7-ArtifactsInput!$M$7)*CHOOSE(ArtifactsInput!$N$7+1,6,7.2,8.4,9.6,10.8,12))/100))/(1/Q298)))))+((C295=TRUE)*F295*IF(Inputs!$B$3&gt;=118,8,IF(Inputs!$B$3&gt;=110,7,5)))+IF(Inputs!$B$3&gt;=98,5,0)</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Skills!G2*IF(Skills!H2&gt;0,IF(Inputs!$B$38="pvp",MIN(Skills!I2,15),Skills!I2)/Skills!H2,1)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Skills!G5*IF(Skills!H5&gt;0,IF(Inputs!$B$38="pvp",MIN(Skills!I5,15),Skills!I5)/Skills!H5,1)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IFERROR(1/(IF(Inputs!$B$38="pvp",15,MAX(0.1,Skills!D5-IF(TRUE=TRUE,Inputs!$B$32,0)))*(1-IF(AND(ArtifactsInput!$M$27,Inputs!$B$4="Chapter Hunt"),CHOOSE(ArtifactsInput!$N$27+1,20,24,28,32,36,40),0)/100)),0)</f>
        <v/>
      </c>
      <c r="R328">
        <f>IF(AND(Inputs!$B$38&lt;&gt;"pvp",Inputs!$B$43&gt;0),IF(MAX(0,Inputs!$B$43-B359)&lt;=0,0,(INT(MAX(0,Inputs!$B$43-B359)/(IF(Inputs!$B$38="pvp",15,MAX(0.1,Skills!D5-IF(TRUE=TRUE,Inputs!$B$32,0)))*(1-IF(AND(ArtifactsInput!$M$27,Inputs!$B$4="Chapter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$20+0+Skills!P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TRUE=TRUE,Inputs!$B$32,0)))*(1-IF(AND(ArtifactsInput!$M$27,Inputs!$B$4="Chapter Hunt"),CHOOSE(ArtifactsInput!$N$27+1,20,24,28,32,36,40),0)/100)))))/Skills!H5,1)))/Inputs!$B$43),G328*Q328))*IF(Inputs!$B$38="pvp",1,(1+((Inputs!$B$21+1)+Skills!Q5+(((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Skills!G6*IF(Skills!H6&gt;0,IF(Inputs!$B$38="pvp",MIN(Skills!I6,15),Skills!I6)/Skills!H6,1)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IFERROR(1/(IF(Inputs!$B$38="pvp",15,MAX(0.1,Skills!D6-IF(TRUE=TRUE,Inputs!$B$32,0)))*(1-IF(AND(ArtifactsInput!$M$27,Inputs!$B$4="Chapter Hunt"),CHOOSE(ArtifactsInput!$N$27+1,20,24,28,32,36,40),0)/100)),0)</f>
        <v/>
      </c>
      <c r="R329">
        <f>IF(AND(Inputs!$B$38&lt;&gt;"pvp",Inputs!$B$43&gt;0),IF(MAX(0,Inputs!$B$43-B359)&lt;=0,0,(INT(MAX(0,Inputs!$B$43-B359)/(IF(Inputs!$B$38="pvp",15,MAX(0.1,Skills!D6-IF(TRUE=TRUE,Inputs!$B$32,0)))*(1-IF(AND(ArtifactsInput!$M$27,Inputs!$B$4="Chapter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$20+0+Skills!P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TRUE=TRUE,Inputs!$B$32,0)))*(1-IF(AND(ArtifactsInput!$M$27,Inputs!$B$4="Chapter Hunt"),CHOOSE(ArtifactsInput!$N$27+1,20,24,28,32,36,40),0)/100)))))/Skills!H6,1)))/Inputs!$B$43),G329*Q329))*IF(Inputs!$B$38="pvp",1,(1+((Inputs!$B$21+1)+Skills!Q6+(((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Skills!G7*IF(Skills!H7&gt;0,IF(Inputs!$B$38="pvp",MIN(Skills!I7,15),Skills!I7)/Skills!H7,1)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IFERROR(1/(IF(Inputs!$B$38="pvp",15,MAX(0.1,Skills!D7-IF(TRUE=TRUE,Inputs!$B$32,0)))*(1-IF(AND(ArtifactsInput!$M$27,Inputs!$B$4="Chapter Hunt"),CHOOSE(ArtifactsInput!$N$27+1,20,24,28,32,36,40),0)/100)),0)</f>
        <v/>
      </c>
      <c r="R330">
        <f>IF(AND(Inputs!$B$38&lt;&gt;"pvp",Inputs!$B$43&gt;0),IF(MAX(0,Inputs!$B$43-B359)&lt;=0,0,(INT(MAX(0,Inputs!$B$43-B359)/(IF(Inputs!$B$38="pvp",15,MAX(0.1,Skills!D7-IF(TRUE=TRUE,Inputs!$B$32,0)))*(1-IF(AND(ArtifactsInput!$M$27,Inputs!$B$4="Chapter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$20+0+Skills!P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TRUE=TRUE,Inputs!$B$32,0)))*(1-IF(AND(ArtifactsInput!$M$27,Inputs!$B$4="Chapter Hunt"),CHOOSE(ArtifactsInput!$N$27+1,20,24,28,32,36,40),0)/100)))))/Skills!H7,1)))/Inputs!$B$43),G330*Q330))*IF(Inputs!$B$38="pvp",1,(1+((Inputs!$B$21+1)+Skills!Q7+(((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Skills!G8*IF(Skills!H8&gt;0,IF(Inputs!$B$38="pvp",MIN(Skills!I8,15),Skills!I8)/Skills!H8,1)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IFERROR(1/(IF(Inputs!$B$38="pvp",15,MAX(0.1,Skills!D8-IF(TRUE=TRUE,Inputs!$B$32,0)))*(1-IF(AND(ArtifactsInput!$M$27,Inputs!$B$4="Chapter Hunt"),CHOOSE(ArtifactsInput!$N$27+1,20,24,28,32,36,40),0)/100)),0)</f>
        <v/>
      </c>
      <c r="R331">
        <f>IF(AND(Inputs!$B$38&lt;&gt;"pvp",Inputs!$B$43&gt;0),IF(MAX(0,Inputs!$B$43-B359)&lt;=0,0,(INT(MAX(0,Inputs!$B$43-B359)/(IF(Inputs!$B$38="pvp",15,MAX(0.1,Skills!D8-IF(TRUE=TRUE,Inputs!$B$32,0)))*(1-IF(AND(ArtifactsInput!$M$27,Inputs!$B$4="Chapter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$20+0+Skills!P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TRUE=TRUE,Inputs!$B$32,0)))*(1-IF(AND(ArtifactsInput!$M$27,Inputs!$B$4="Chapter Hunt"),CHOOSE(ArtifactsInput!$N$27+1,20,24,28,32,36,40),0)/100)))))/Skills!H8,1)))/Inputs!$B$43),G331*Q331))*IF(Inputs!$B$38="pvp",1,(1+((Inputs!$B$21+1)+Skills!Q8+(((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Skills!G9*IF(Skills!H9&gt;0,IF(Inputs!$B$38="pvp",MIN(Skills!I9,15),Skills!I9)/Skills!H9,1)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138,MAX(0,IF(Inputs!$B$3&gt;=118,8,IF(Inputs!$B$3&gt;=110,7,5))-5)*50,0),0)/100)*(1+(IF(Skills!A9="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IFERROR(1/(IF(Inputs!$B$38="pvp",15,MAX(0.1,Skills!D9-IF(TRUE=TRUE,Inputs!$B$32,0)))*(1-IF(AND(ArtifactsInput!$M$27,Inputs!$B$4="Chapter Hunt"),CHOOSE(ArtifactsInput!$N$27+1,20,24,28,32,36,40),0)/100)),0)</f>
        <v/>
      </c>
      <c r="R332">
        <f>IF(AND(Inputs!$B$38&lt;&gt;"pvp",Inputs!$B$43&gt;0),IF(MAX(0,Inputs!$B$43-B359)&lt;=0,0,(INT(MAX(0,Inputs!$B$43-B359)/(IF(Inputs!$B$38="pvp",15,MAX(0.1,Skills!D9-IF(TRUE=TRUE,Inputs!$B$32,0)))*(1-IF(AND(ArtifactsInput!$M$27,Inputs!$B$4="Chapter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TRUE=TRUE,Inputs!$B$32,0)))*(1-IF(AND(ArtifactsInput!$M$27,Inputs!$B$4="Chapter Hunt"),CHOOSE(ArtifactsInput!$N$27+1,20,24,28,32,36,40),0)/100)))))/Skills!H9,1)))/Inputs!$B$43),G332*Q332))*IF(Inputs!$B$38="pvp",1,1+(Inputs!$B$20+0+Skills!P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TRUE=TRUE,Inputs!$B$32,0)))*(1-IF(AND(ArtifactsInput!$M$27,Inputs!$B$4="Chapter Hunt"),CHOOSE(ArtifactsInput!$N$27+1,20,24,28,32,36,40),0)/100)))))/Skills!H9,1)))/Inputs!$B$43),G332*Q332))*IF(Inputs!$B$38="pvp",1,(1+((Inputs!$B$21+1)+Skills!Q9+(((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Skills!G10*IF(Skills!H10&gt;0,IF(Inputs!$B$38="pvp",MIN(Skills!I10,15),Skills!I10)/Skills!H10,1)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138,MAX(0,IF(Inputs!$B$3&gt;=118,8,IF(Inputs!$B$3&gt;=110,7,5))-5)*50,0),0)/100)*(1+(IF(Skills!A10="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IFERROR(1/(IF(Inputs!$B$38="pvp",15,MAX(0.1,Skills!D10-IF(TRUE=TRUE,Inputs!$B$32,0)))*(1-IF(AND(ArtifactsInput!$M$27,Inputs!$B$4="Chapter Hunt"),CHOOSE(ArtifactsInput!$N$27+1,20,24,28,32,36,40),0)/100)),0)</f>
        <v/>
      </c>
      <c r="R333">
        <f>IF(AND(Inputs!$B$38&lt;&gt;"pvp",Inputs!$B$43&gt;0),IF(MAX(0,Inputs!$B$43-B359)&lt;=0,0,(INT(MAX(0,Inputs!$B$43-B359)/(IF(Inputs!$B$38="pvp",15,MAX(0.1,Skills!D10-IF(TRUE=TRUE,Inputs!$B$32,0)))*(1-IF(AND(ArtifactsInput!$M$27,Inputs!$B$4="Chapter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$20+0+Skills!P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TRUE=TRUE,Inputs!$B$32,0)))*(1-IF(AND(ArtifactsInput!$M$27,Inputs!$B$4="Chapter Hunt"),CHOOSE(ArtifactsInput!$N$27+1,20,24,28,32,36,40),0)/100)))))/Skills!H10,1)))/Inputs!$B$43),G333*Q333))*IF(Inputs!$B$38="pvp",1,(1+((Inputs!$B$21+1)+Skills!Q10+(((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Skills!G11*IF(Skills!H11&gt;0,IF(Inputs!$B$38="pvp",MIN(Skills!I11,15),Skills!I11)/Skills!H11,1)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(100-(100-((Inputs!$B$19+0)))*(1-IF(Inputs!$B$3&gt;=130,IF(Inputs!$B$3&gt;=118,8,IF(Inputs!$B$3&gt;=110,7,5)),0)/100)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138,MAX(0,IF(Inputs!$B$3&gt;=118,8,IF(Inputs!$B$3&gt;=110,7,5))-5)*50,0),0)/100)*(1+(IF(Skills!A11="RAGING_BLOW",Inputs!$B$17+((C344=TRUE)*(F344-Calc!F21))+((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IFERROR(1/(IF(Inputs!$B$38="pvp",15,MAX(0.1,Skills!D11-IF(TRUE=TRUE,Inputs!$B$32,0)))*(1-IF(AND(ArtifactsInput!$M$27,Inputs!$B$4="Chapter Hunt"),CHOOSE(ArtifactsInput!$N$27+1,20,24,28,32,36,40),0)/100)),0)</f>
        <v/>
      </c>
      <c r="R334">
        <f>IF(AND(Inputs!$B$38&lt;&gt;"pvp",Inputs!$B$43&gt;0),IF(MAX(0,Inputs!$B$43-B359)&lt;=0,0,(INT(MAX(0,Inputs!$B$43-B359)/(IF(Inputs!$B$38="pvp",15,MAX(0.1,Skills!D11-IF(TRUE=TRUE,Inputs!$B$32,0)))*(1-IF(AND(ArtifactsInput!$M$27,Inputs!$B$4="Chapter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$20+0+Skills!P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Inputs!$B$38&lt;&gt;"pvp",Inputs!$B$43=0),1,IF(IF(Inputs!$B$38="pvp",15,Inputs!$B$43)-(B359)&lt;=0,1,MAX(0,IF(Inputs!$B$38="pvp",15,Inputs!$B$43)-MAX(5,B359))/(IF(Inputs!$B$38="pvp",15,Inputs!$B$43)-(B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TRUE=TRUE,Inputs!$B$32,0)))*(1-IF(AND(ArtifactsInput!$M$27,Inputs!$B$4="Chapter Hunt"),CHOOSE(ArtifactsInput!$N$27+1,20,24,28,32,36,40),0)/100)))))/Skills!H11,1)))/Inputs!$B$43),G334*Q334))*IF(Inputs!$B$38="pvp",1,(1+((Inputs!$B$21+1)+Skills!Q11+(((C339=TRUE)*F339*(Skills!J16/100)*IF(AND(Inputs!$B$38&lt;&gt;"pvp",Inputs!$B$43&gt;0),(((R339-1)*MIN((Skills!T16*(1+(Inputs!$B$34+(ArtifactsInput!$M$7-ArtifactsInput!$M$7)*CHOOSE(ArtifactsInput!$N$7+1,6,7.2,8.4,9.6,10.8,12))/100)),(1/Q339))+MIN((Skills!T16*(1+(Inputs!$B$34+(ArtifactsInput!$M$7-ArtifactsInput!$M$7)*CHOOSE(ArtifactsInput!$N$7+1,6,7.2,8.4,9.6,10.8,12))/100)),MAX(0,Inputs!$B$43-((R339-1)*(1/Q339)))))/Inputs!$B$43),IF(Inputs!$B$38="pvp",MIN((Skills!T16*(1+(Inputs!$B$34+(ArtifactsInput!$M$7-ArtifactsInput!$M$7)*CHOOSE(ArtifactsInput!$N$7+1,6,7.2,8.4,9.6,10.8,12))/100)),15)/15,MIN(1,(Skills!T16*(1+(Inputs!$B$34+(ArtifactsInput!$M$7-ArtifactsInput!$M$7)*CHOOSE(ArtifactsInput!$N$7+1,6,7.2,8.4,9.6,10.8,12))/100))/(1/Q339)))))+((C331=TRUE)*IF(Inputs!$B$3&gt;=126,10*MIN(1,15*Q331),0))+((C328=TRUE)*((100/10)*(INDEX(FactorTable!$B$2:$Y$301,MATCH(ROUND(MIN(300,MAX(1,MAX(0,(Inputs!$B$3-100)*3)+Inputs!$B$28+Inputs!$B$29)),0),FactorTable!$A$2:$A$301,0),22)/1000))*(1+IF(Inputs!$B$3&gt;=134,0.5,0))*MIN(1,10*(1+(Inputs!$B$34+(ArtifactsInput!$M$7-ArtifactsInput!$M$7)*CHOOSE(ArtifactsInput!$N$7+1,6,7.2,8.4,9.6,10.8,12))/100)*Q328)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Skills!G13*IF(Skills!H13&gt;0,IF(Inputs!$B$38="pvp",MIN(Skills!I13,15),Skills!I13)/Skills!H13,1)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Skills!G14*IF(Skills!H14&gt;0,IF(Inputs!$B$38="pvp",MIN(Skills!I14,15),Skills!I14)/Skills!H14,1)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Skills!G15*IF(Skills!H15&gt;0,IF(Inputs!$B$38="pvp",MIN(Skills!I15,15),Skills!I15)/Skills!H15,1)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IFERROR(1/(IF(Inputs!$B$38="pvp",15,MAX(0.1,Skills!D15-IF(TRUE=TRUE,Inputs!$B$32,0)))*(1-IF(AND(ArtifactsInput!$M$27,Inputs!$B$4="Chapter Hunt"),CHOOSE(ArtifactsInput!$N$27+1,20,24,28,32,36,40),0)/100)),0)</f>
        <v/>
      </c>
      <c r="R338">
        <f>IF(AND(Inputs!$B$38&lt;&gt;"pvp",Inputs!$B$43&gt;0),IF(Inputs!$B$43&lt;=0,0,(INT(Inputs!$B$43/(IF(Inputs!$B$38="pvp",15,MAX(0.1,Skills!D15-IF(TRUE=TRUE,Inputs!$B$32,0)))*(1-IF(AND(ArtifactsInput!$M$27,Inputs!$B$4="Chapter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Skills!G16*IF(Skills!H16&gt;0,IF(Inputs!$B$38="pvp",MIN(Skills!I16,15),Skills!I16)/Skills!H16,1)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IFERROR(1/(IF(Inputs!$B$38="pvp",15,MAX(0.1,Skills!D16-IF(TRUE=TRUE,Inputs!$B$32,0)))*(1-IF(AND(ArtifactsInput!$M$27,Inputs!$B$4="Chapter Hunt"),CHOOSE(ArtifactsInput!$N$27+1,20,24,28,32,36,40),0)/100)),0)</f>
        <v/>
      </c>
      <c r="R339">
        <f>IF(AND(Inputs!$B$38&lt;&gt;"pvp",Inputs!$B$43&gt;0),IF(Inputs!$B$43&lt;=0,0,(INT(Inputs!$B$43/(IF(Inputs!$B$38="pvp",15,MAX(0.1,Skills!D16-IF(TRUE=TRUE,Inputs!$B$32,0)))*(1-IF(AND(ArtifactsInput!$M$27,Inputs!$B$4="Chapter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Skills!G17*IF(Skills!H17&gt;0,IF(Inputs!$B$38="pvp",MIN(Skills!I17,15),Skills!I17)/Skills!H17,1)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IFERROR(1/(IF(Inputs!$B$38="pvp",15,MAX(0.1,Skills!D17-IF(TRUE=TRUE,Inputs!$B$32,0)))*(1-IF(AND(ArtifactsInput!$M$27,Inputs!$B$4="Chapter Hunt"),CHOOSE(ArtifactsInput!$N$27+1,20,24,28,32,36,40),0)/100)),0)</f>
        <v/>
      </c>
      <c r="R340">
        <f>IF(AND(Inputs!$B$38&lt;&gt;"pvp",Inputs!$B$43&gt;0),IF(Inputs!$B$43&lt;=0,0,(INT(Inputs!$B$43/(IF(Inputs!$B$38="pvp",15,MAX(0.1,Skills!D17-IF(TRUE=TRUE,Inputs!$B$32,0)))*(1-IF(AND(ArtifactsInput!$M$27,Inputs!$B$4="Chapter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Skills!G18*IF(Skills!H18&gt;0,IF(Inputs!$B$38="pvp",MIN(Skills!I18,15),Skills!I18)/Skills!H18,1)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IFERROR(1/(IF(Inputs!$B$38="pvp",15,MAX(0.1,Skills!D18-IF(TRUE=TRUE,Inputs!$B$32,0)))*(1-IF(AND(ArtifactsInput!$M$27,Inputs!$B$4="Chapter Hunt"),CHOOSE(ArtifactsInput!$N$27+1,20,24,28,32,36,40),0)/100)),0)</f>
        <v/>
      </c>
      <c r="R341">
        <f>IF(AND(Inputs!$B$38&lt;&gt;"pvp",Inputs!$B$43&gt;0),IF(Inputs!$B$43&lt;=0,0,(INT(Inputs!$B$43/(IF(Inputs!$B$38="pvp",15,MAX(0.1,Skills!D18-IF(TRUE=TRUE,Inputs!$B$32,0)))*(1-IF(AND(ArtifactsInput!$M$27,Inputs!$B$4="Chapter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Skills!G19*IF(Skills!H19&gt;0,IF(Inputs!$B$38="pvp",MIN(Skills!I19,15),Skills!I19)/Skills!H19,1)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IFERROR(1/(IF(Inputs!$B$38="pvp",15,MAX(0.1,Skills!D19-IF(TRUE=TRUE,Inputs!$B$32,0)))*(1-IF(AND(ArtifactsInput!$M$27,Inputs!$B$4="Chapter Hunt"),CHOOSE(ArtifactsInput!$N$27+1,20,24,28,32,36,40),0)/100)),0)</f>
        <v/>
      </c>
      <c r="R342">
        <f>IF(AND(Inputs!$B$38&lt;&gt;"pvp",Inputs!$B$43&gt;0),IF(Inputs!$B$43&lt;=0,0,(INT(Inputs!$B$43/(IF(Inputs!$B$38="pvp",15,MAX(0.1,Skills!D19-IF(TRUE=TRUE,Inputs!$B$32,0)))*(1-IF(AND(ArtifactsInput!$M$27,Inputs!$B$4="Chapter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Skills!G20*IF(Skills!H20&gt;0,IF(Inputs!$B$38="pvp",MIN(Skills!I20,15),Skills!I20)/Skills!H20,1)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Skills!G21*IF(Skills!H21&gt;0,IF(Inputs!$B$38="pvp",MIN(Skills!I21,15),Skills!I21)/Skills!H21,1)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Skills!G22*IF(Skills!H22&gt;0,IF(Inputs!$B$38="pvp",MIN(Skills!I22,15),Skills!I22)/Skills!H22,1)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Skills!G23*IF(Skills!H23&gt;0,IF(Inputs!$B$38="pvp",MIN(Skills!I23,15),Skills!I23)/Skills!H23,1)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Skills!G24*IF(Skills!H24&gt;0,IF(Inputs!$B$38="pvp",MIN(Skills!I24,15),Skills!I24)/Skills!H24,1)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Skills!G25*IF(Skills!H25&gt;0,IF(Inputs!$B$38="pvp",MIN(Skills!I25,15),Skills!I25)/Skills!H25,1)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Skills!G26*IF(Skills!H26&gt;0,IF(Inputs!$B$38="pvp",MIN(Skills!I26,15),Skills!I26)/Skills!H26,1)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118,8,IF(Inputs!$B$3&gt;=110,7,5)))+((C338=TRUE)*F338*IF(AND(Inputs!$B$38&lt;&gt;"pvp",Inputs!$B$43&gt;0),(((R338-1)*MIN((Skills!T15*(1+(Inputs!$B$34+(ArtifactsInput!$M$7-ArtifactsInput!$M$7)*CHOOSE(ArtifactsInput!$N$7+1,6,7.2,8.4,9.6,10.8,12))/100)),(1/Q338))+MIN((Skills!T15*(1+(Inputs!$B$34+(ArtifactsInput!$M$7-ArtifactsInput!$M$7)*CHOOSE(ArtifactsInput!$N$7+1,6,7.2,8.4,9.6,10.8,12))/100)),MAX(0,Inputs!$B$43-((R338-1)*(1/Q338)))))/Inputs!$B$43),IF(Inputs!$B$38="pvp",MIN((Skills!T15*(1+(Inputs!$B$34+(ArtifactsInput!$M$7-ArtifactsInput!$M$7)*CHOOSE(ArtifactsInput!$N$7+1,6,7.2,8.4,9.6,10.8,12))/100)),15)/15,MIN(1,(Skills!T15*(1+(Inputs!$B$34+(ArtifactsInput!$M$7-ArtifactsInput!$M$7)*CHOOSE(ArtifactsInput!$N$7+1,6,7.2,8.4,9.6,10.8,12))/100))/(1/Q338)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MIN((Skills!T19*(1+(Inputs!$B$34+(ArtifactsInput!$M$7-ArtifactsInput!$M$7)*CHOOSE(ArtifactsInput!$N$7+1,6,7.2,8.4,9.6,10.8,12))/100)),(1/Q342))+MIN((Skills!T19*(1+(Inputs!$B$34+(ArtifactsInput!$M$7-ArtifactsInput!$M$7)*CHOOSE(ArtifactsInput!$N$7+1,6,7.2,8.4,9.6,10.8,12))/100)),MAX(0,Inputs!$B$43-((R342-1)*(1/Q342)))))/Inputs!$B$43),IF(Inputs!$B$38="pvp",MIN((Skills!T19*(1+(Inputs!$B$34+(ArtifactsInput!$M$7-ArtifactsInput!$M$7)*CHOOSE(ArtifactsInput!$N$7+1,6,7.2,8.4,9.6,10.8,12))/100)),15)/15,MIN(1,(Skills!T19*(1+(Inputs!$B$34+(ArtifactsInput!$M$7-ArtifactsInput!$M$7)*CHOOSE(ArtifactsInput!$N$7+1,6,7.2,8.4,9.6,10.8,12))/100))/(1/Q342)))))</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MIN((Skills!T18*(1+(Inputs!$B$34+(ArtifactsInput!$M$7-ArtifactsInput!$M$7)*CHOOSE(ArtifactsInput!$N$7+1,6,7.2,8.4,9.6,10.8,12))/100)),(1/Q341))+MIN((Skills!T18*(1+(Inputs!$B$34+(ArtifactsInput!$M$7-ArtifactsInput!$M$7)*CHOOSE(ArtifactsInput!$N$7+1,6,7.2,8.4,9.6,10.8,12))/100)),MAX(0,Inputs!$B$43-((R341-1)*(1/Q341)))))/Inputs!$B$43),IF(Inputs!$B$38="pvp",MIN((Skills!T18*(1+(Inputs!$B$34+(ArtifactsInput!$M$7-ArtifactsInput!$M$7)*CHOOSE(ArtifactsInput!$N$7+1,6,7.2,8.4,9.6,10.8,12))/100)),15)/15,MIN(1,(Skills!T18*(1+(Inputs!$B$34+(ArtifactsInput!$M$7-ArtifactsInput!$M$7)*CHOOSE(ArtifactsInput!$N$7+1,6,7.2,8.4,9.6,10.8,12))/100))/(1/Q341)))))</f>
        <v/>
      </c>
    </row>
    <row r="358">
      <c r="A358" t="inlineStr">
        <is>
          <t>Global Final Damage Bonus % (Enrage + Combo Synergy)</t>
        </is>
      </c>
      <c r="B358">
        <f>((C340=TRUE)*F340*IF(AND(Inputs!$B$38&lt;&gt;"pvp",Inputs!$B$43&gt;0),(((R340-1)*MIN((Skills!T17*(1+(Inputs!$B$34+(ArtifactsInput!$M$7-ArtifactsInput!$M$7)*CHOOSE(ArtifactsInput!$N$7+1,6,7.2,8.4,9.6,10.8,12))/100)),(1/Q340))+MIN((Skills!T17*(1+(Inputs!$B$34+(ArtifactsInput!$M$7-ArtifactsInput!$M$7)*CHOOSE(ArtifactsInput!$N$7+1,6,7.2,8.4,9.6,10.8,12))/100)),MAX(0,Inputs!$B$43-((R340-1)*(1/Q340)))))/Inputs!$B$43),IF(Inputs!$B$38="pvp",MIN((Skills!T17*(1+(Inputs!$B$34+(ArtifactsInput!$M$7-ArtifactsInput!$M$7)*CHOOSE(ArtifactsInput!$N$7+1,6,7.2,8.4,9.6,10.8,12))/100)),15)/15,MIN(1,(Skills!T17*(1+(Inputs!$B$34+(ArtifactsInput!$M$7-ArtifactsInput!$M$7)*CHOOSE(ArtifactsInput!$N$7+1,6,7.2,8.4,9.6,10.8,12))/100))/(1/Q340)))))+((C337=TRUE)*F337*IF(Inputs!$B$3&gt;=118,8,IF(Inputs!$B$3&gt;=110,7,5)))+IF(Inputs!$B$3&gt;=98,5,0)</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Skills!G2*IF(Skills!H2&gt;0,IF(Inputs!$B$38="pvp",MIN(Skills!I2,15),Skills!I2)/Skills!H2,1)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Skills!G5*IF(Skills!H5&gt;0,IF(Inputs!$B$38="pvp",MIN(Skills!I5,15),Skills!I5)/Skills!H5,1)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IFERROR(1/(IF(Inputs!$B$38="pvp",15,MAX(0.1,Skills!D5-IF(TRUE=TRUE,Inputs!$B$32,0)))*(1-IF(AND(ArtifactsInput!$M$27,Inputs!$B$4="Chapter Hunt"),CHOOSE(ArtifactsInput!$N$27+1,20,24,28,32,36,40),0)/100)),0)</f>
        <v/>
      </c>
      <c r="R370">
        <f>IF(AND(Inputs!$B$38&lt;&gt;"pvp",Inputs!$B$43&gt;0),IF(MAX(0,Inputs!$B$43-B401)&lt;=0,0,(INT(MAX(0,Inputs!$B$43-B401)/(IF(Inputs!$B$38="pvp",15,MAX(0.1,Skills!D5-IF(TRUE=TRUE,Inputs!$B$32,0)))*(1-IF(AND(ArtifactsInput!$M$27,Inputs!$B$4="Chapter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$20+0+Skills!P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TRUE=TRUE,Inputs!$B$32,0)))*(1-IF(AND(ArtifactsInput!$M$27,Inputs!$B$4="Chapter Hunt"),CHOOSE(ArtifactsInput!$N$27+1,20,24,28,32,36,40),0)/100)))))/Skills!H5,1)))/Inputs!$B$43),G370*Q370))*IF(Inputs!$B$38="pvp",1,(1+(Inputs!$B$21+Skills!Q5+(((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Skills!G6*IF(Skills!H6&gt;0,IF(Inputs!$B$38="pvp",MIN(Skills!I6,15),Skills!I6)/Skills!H6,1)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IFERROR(1/(IF(Inputs!$B$38="pvp",15,MAX(0.1,Skills!D6-IF(TRUE=TRUE,Inputs!$B$32,0)))*(1-IF(AND(ArtifactsInput!$M$27,Inputs!$B$4="Chapter Hunt"),CHOOSE(ArtifactsInput!$N$27+1,20,24,28,32,36,40),0)/100)),0)</f>
        <v/>
      </c>
      <c r="R371">
        <f>IF(AND(Inputs!$B$38&lt;&gt;"pvp",Inputs!$B$43&gt;0),IF(MAX(0,Inputs!$B$43-B401)&lt;=0,0,(INT(MAX(0,Inputs!$B$43-B401)/(IF(Inputs!$B$38="pvp",15,MAX(0.1,Skills!D6-IF(TRUE=TRUE,Inputs!$B$32,0)))*(1-IF(AND(ArtifactsInput!$M$27,Inputs!$B$4="Chapter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$20+0+Skills!P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TRUE=TRUE,Inputs!$B$32,0)))*(1-IF(AND(ArtifactsInput!$M$27,Inputs!$B$4="Chapter Hunt"),CHOOSE(ArtifactsInput!$N$27+1,20,24,28,32,36,40),0)/100)))))/Skills!H6,1)))/Inputs!$B$43),G371*Q371))*IF(Inputs!$B$38="pvp",1,(1+(Inputs!$B$21+Skills!Q6+(((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Skills!G7*IF(Skills!H7&gt;0,IF(Inputs!$B$38="pvp",MIN(Skills!I7,15),Skills!I7)/Skills!H7,1)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IFERROR(1/(IF(Inputs!$B$38="pvp",15,MAX(0.1,Skills!D7-IF(TRUE=TRUE,Inputs!$B$32,0)))*(1-IF(AND(ArtifactsInput!$M$27,Inputs!$B$4="Chapter Hunt"),CHOOSE(ArtifactsInput!$N$27+1,20,24,28,32,36,40),0)/100)),0)</f>
        <v/>
      </c>
      <c r="R372">
        <f>IF(AND(Inputs!$B$38&lt;&gt;"pvp",Inputs!$B$43&gt;0),IF(MAX(0,Inputs!$B$43-B401)&lt;=0,0,(INT(MAX(0,Inputs!$B$43-B401)/(IF(Inputs!$B$38="pvp",15,MAX(0.1,Skills!D7-IF(TRUE=TRUE,Inputs!$B$32,0)))*(1-IF(AND(ArtifactsInput!$M$27,Inputs!$B$4="Chapter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$20+0+Skills!P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TRUE=TRUE,Inputs!$B$32,0)))*(1-IF(AND(ArtifactsInput!$M$27,Inputs!$B$4="Chapter Hunt"),CHOOSE(ArtifactsInput!$N$27+1,20,24,28,32,36,40),0)/100)))))/Skills!H7,1)))/Inputs!$B$43),G372*Q372))*IF(Inputs!$B$38="pvp",1,(1+(Inputs!$B$21+Skills!Q7+(((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Skills!G8*IF(Skills!H8&gt;0,IF(Inputs!$B$38="pvp",MIN(Skills!I8,15),Skills!I8)/Skills!H8,1)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IFERROR(1/(IF(Inputs!$B$38="pvp",15,MAX(0.1,Skills!D8-IF(TRUE=TRUE,Inputs!$B$32,0)))*(1-IF(AND(ArtifactsInput!$M$27,Inputs!$B$4="Chapter Hunt"),CHOOSE(ArtifactsInput!$N$27+1,20,24,28,32,36,40),0)/100)),0)</f>
        <v/>
      </c>
      <c r="R373">
        <f>IF(AND(Inputs!$B$38&lt;&gt;"pvp",Inputs!$B$43&gt;0),IF(MAX(0,Inputs!$B$43-B401)&lt;=0,0,(INT(MAX(0,Inputs!$B$43-B401)/(IF(Inputs!$B$38="pvp",15,MAX(0.1,Skills!D8-IF(TRUE=TRUE,Inputs!$B$32,0)))*(1-IF(AND(ArtifactsInput!$M$27,Inputs!$B$4="Chapter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$20+0+Skills!P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TRUE=TRUE,Inputs!$B$32,0)))*(1-IF(AND(ArtifactsInput!$M$27,Inputs!$B$4="Chapter Hunt"),CHOOSE(ArtifactsInput!$N$27+1,20,24,28,32,36,40),0)/100)))))/Skills!H8,1)))/Inputs!$B$43),G373*Q373))*IF(Inputs!$B$38="pvp",1,(1+(Inputs!$B$21+Skills!Q8+(((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Skills!G9*IF(Skills!H9&gt;0,IF(Inputs!$B$38="pvp",MIN(Skills!I9,15),Skills!I9)/Skills!H9,1)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138,MAX(0,IF(Inputs!$B$3&gt;=118,8,IF(Inputs!$B$3&gt;=110,7,5))-5)*50,0),0)/100)*(1+(IF(Skills!A9="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IFERROR(1/(IF(Inputs!$B$38="pvp",15,MAX(0.1,Skills!D9-IF(TRUE=TRUE,Inputs!$B$32,0)))*(1-IF(AND(ArtifactsInput!$M$27,Inputs!$B$4="Chapter Hunt"),CHOOSE(ArtifactsInput!$N$27+1,20,24,28,32,36,40),0)/100)),0)</f>
        <v/>
      </c>
      <c r="R374">
        <f>IF(AND(Inputs!$B$38&lt;&gt;"pvp",Inputs!$B$43&gt;0),IF(MAX(0,Inputs!$B$43-B401)&lt;=0,0,(INT(MAX(0,Inputs!$B$43-B401)/(IF(Inputs!$B$38="pvp",15,MAX(0.1,Skills!D9-IF(TRUE=TRUE,Inputs!$B$32,0)))*(1-IF(AND(ArtifactsInput!$M$27,Inputs!$B$4="Chapter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TRUE=TRUE,Inputs!$B$32,0)))*(1-IF(AND(ArtifactsInput!$M$27,Inputs!$B$4="Chapter Hunt"),CHOOSE(ArtifactsInput!$N$27+1,20,24,28,32,36,40),0)/100)))))/Skills!H9,1)))/Inputs!$B$43),G374*Q374))*IF(Inputs!$B$38="pvp",1,1+(Inputs!$B$20+0+Skills!P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TRUE=TRUE,Inputs!$B$32,0)))*(1-IF(AND(ArtifactsInput!$M$27,Inputs!$B$4="Chapter Hunt"),CHOOSE(ArtifactsInput!$N$27+1,20,24,28,32,36,40),0)/100)))))/Skills!H9,1)))/Inputs!$B$43),G374*Q374))*IF(Inputs!$B$38="pvp",1,(1+(Inputs!$B$21+Skills!Q9+(((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Skills!G10*IF(Skills!H10&gt;0,IF(Inputs!$B$38="pvp",MIN(Skills!I10,15),Skills!I10)/Skills!H10,1)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138,MAX(0,IF(Inputs!$B$3&gt;=118,8,IF(Inputs!$B$3&gt;=110,7,5))-5)*50,0),0)/100)*(1+(IF(Skills!A10="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IFERROR(1/(IF(Inputs!$B$38="pvp",15,MAX(0.1,Skills!D10-IF(TRUE=TRUE,Inputs!$B$32,0)))*(1-IF(AND(ArtifactsInput!$M$27,Inputs!$B$4="Chapter Hunt"),CHOOSE(ArtifactsInput!$N$27+1,20,24,28,32,36,40),0)/100)),0)</f>
        <v/>
      </c>
      <c r="R375">
        <f>IF(AND(Inputs!$B$38&lt;&gt;"pvp",Inputs!$B$43&gt;0),IF(MAX(0,Inputs!$B$43-B401)&lt;=0,0,(INT(MAX(0,Inputs!$B$43-B401)/(IF(Inputs!$B$38="pvp",15,MAX(0.1,Skills!D10-IF(TRUE=TRUE,Inputs!$B$32,0)))*(1-IF(AND(ArtifactsInput!$M$27,Inputs!$B$4="Chapter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$20+0+Skills!P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TRUE=TRUE,Inputs!$B$32,0)))*(1-IF(AND(ArtifactsInput!$M$27,Inputs!$B$4="Chapter Hunt"),CHOOSE(ArtifactsInput!$N$27+1,20,24,28,32,36,40),0)/100)))))/Skills!H10,1)))/Inputs!$B$43),G375*Q375))*IF(Inputs!$B$38="pvp",1,(1+(Inputs!$B$21+Skills!Q10+(((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Skills!G11*IF(Skills!H11&gt;0,IF(Inputs!$B$38="pvp",MIN(Skills!I11,15),Skills!I11)/Skills!H11,1)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(100-(100-((Inputs!$B$19+0)))*(1-IF(Inputs!$B$3&gt;=130,IF(Inputs!$B$3&gt;=118,8,IF(Inputs!$B$3&gt;=110,7,5)),0)/100)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138,MAX(0,IF(Inputs!$B$3&gt;=118,8,IF(Inputs!$B$3&gt;=110,7,5))-5)*50,0),0)/100)*(1+(IF(Skills!A11="RAGING_BLOW",Inputs!$B$17+((C386=TRUE)*(F386-Calc!F21))+((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IFERROR(1/(IF(Inputs!$B$38="pvp",15,MAX(0.1,Skills!D11-IF(TRUE=TRUE,Inputs!$B$32,0)))*(1-IF(AND(ArtifactsInput!$M$27,Inputs!$B$4="Chapter Hunt"),CHOOSE(ArtifactsInput!$N$27+1,20,24,28,32,36,40),0)/100)),0)</f>
        <v/>
      </c>
      <c r="R376">
        <f>IF(AND(Inputs!$B$38&lt;&gt;"pvp",Inputs!$B$43&gt;0),IF(MAX(0,Inputs!$B$43-B401)&lt;=0,0,(INT(MAX(0,Inputs!$B$43-B401)/(IF(Inputs!$B$38="pvp",15,MAX(0.1,Skills!D11-IF(TRUE=TRUE,Inputs!$B$32,0)))*(1-IF(AND(ArtifactsInput!$M$27,Inputs!$B$4="Chapter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$20+0+Skills!P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Inputs!$B$38&lt;&gt;"pvp",Inputs!$B$43=0),1,IF(IF(Inputs!$B$38="pvp",15,Inputs!$B$43)-(B401)&lt;=0,1,MAX(0,IF(Inputs!$B$38="pvp",15,Inputs!$B$43)-MAX(5,B401))/(IF(Inputs!$B$38="pvp",15,Inputs!$B$43)-(B401)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TRUE=TRUE,Inputs!$B$32,0)))*(1-IF(AND(ArtifactsInput!$M$27,Inputs!$B$4="Chapter Hunt"),CHOOSE(ArtifactsInput!$N$27+1,20,24,28,32,36,40),0)/100)))))/Skills!H11,1)))/Inputs!$B$43),G376*Q376))*IF(Inputs!$B$38="pvp",1,(1+(Inputs!$B$21+Skills!Q11+(((C381=TRUE)*F381*(Skills!J16/100)*IF(AND(Inputs!$B$38&lt;&gt;"pvp",Inputs!$B$43&gt;0),(((R381-1)*MIN((Skills!T16*(1+(Inputs!$B$34+(ArtifactsInput!$M$7-ArtifactsInput!$M$7)*CHOOSE(ArtifactsInput!$N$7+1,6,7.2,8.4,9.6,10.8,12))/100)),(1/Q381))+MIN((Skills!T16*(1+(Inputs!$B$34+(ArtifactsInput!$M$7-ArtifactsInput!$M$7)*CHOOSE(ArtifactsInput!$N$7+1,6,7.2,8.4,9.6,10.8,12))/100)),MAX(0,Inputs!$B$43-((R381-1)*(1/Q381)))))/Inputs!$B$43),IF(Inputs!$B$38="pvp",MIN((Skills!T16*(1+(Inputs!$B$34+(ArtifactsInput!$M$7-ArtifactsInput!$M$7)*CHOOSE(ArtifactsInput!$N$7+1,6,7.2,8.4,9.6,10.8,12))/100)),15)/15,MIN(1,(Skills!T16*(1+(Inputs!$B$34+(ArtifactsInput!$M$7-ArtifactsInput!$M$7)*CHOOSE(ArtifactsInput!$N$7+1,6,7.2,8.4,9.6,10.8,12))/100))/(1/Q381)))))+((C373=TRUE)*IF(Inputs!$B$3&gt;=126,10*MIN(1,15*Q373),0))+((C370=TRUE)*((100/10)*(INDEX(FactorTable!$B$2:$Y$301,MATCH(ROUND(MIN(300,MAX(1,MAX(0,(Inputs!$B$3-100)*3)+Inputs!$B$28+Inputs!$B$29)),0),FactorTable!$A$2:$A$301,0),22)/1000))*(1+IF(Inputs!$B$3&gt;=134,0.5,0))*MIN(1,10*(1+(Inputs!$B$34+(ArtifactsInput!$M$7-ArtifactsInput!$M$7)*CHOOSE(ArtifactsInput!$N$7+1,6,7.2,8.4,9.6,10.8,12))/100)*Q370)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Skills!G13*IF(Skills!H13&gt;0,IF(Inputs!$B$38="pvp",MIN(Skills!I13,15),Skills!I13)/Skills!H13,1)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Skills!G14*IF(Skills!H14&gt;0,IF(Inputs!$B$38="pvp",MIN(Skills!I14,15),Skills!I14)/Skills!H14,1)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Skills!G15*IF(Skills!H15&gt;0,IF(Inputs!$B$38="pvp",MIN(Skills!I15,15),Skills!I15)/Skills!H15,1)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IFERROR(1/(IF(Inputs!$B$38="pvp",15,MAX(0.1,Skills!D15-IF(TRUE=TRUE,Inputs!$B$32,0)))*(1-IF(AND(ArtifactsInput!$M$27,Inputs!$B$4="Chapter Hunt"),CHOOSE(ArtifactsInput!$N$27+1,20,24,28,32,36,40),0)/100)),0)</f>
        <v/>
      </c>
      <c r="R380">
        <f>IF(AND(Inputs!$B$38&lt;&gt;"pvp",Inputs!$B$43&gt;0),IF(Inputs!$B$43&lt;=0,0,(INT(Inputs!$B$43/(IF(Inputs!$B$38="pvp",15,MAX(0.1,Skills!D15-IF(TRUE=TRUE,Inputs!$B$32,0)))*(1-IF(AND(ArtifactsInput!$M$27,Inputs!$B$4="Chapter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Skills!G16*IF(Skills!H16&gt;0,IF(Inputs!$B$38="pvp",MIN(Skills!I16,15),Skills!I16)/Skills!H16,1)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IFERROR(1/(IF(Inputs!$B$38="pvp",15,MAX(0.1,Skills!D16-IF(TRUE=TRUE,Inputs!$B$32,0)))*(1-IF(AND(ArtifactsInput!$M$27,Inputs!$B$4="Chapter Hunt"),CHOOSE(ArtifactsInput!$N$27+1,20,24,28,32,36,40),0)/100)),0)</f>
        <v/>
      </c>
      <c r="R381">
        <f>IF(AND(Inputs!$B$38&lt;&gt;"pvp",Inputs!$B$43&gt;0),IF(Inputs!$B$43&lt;=0,0,(INT(Inputs!$B$43/(IF(Inputs!$B$38="pvp",15,MAX(0.1,Skills!D16-IF(TRUE=TRUE,Inputs!$B$32,0)))*(1-IF(AND(ArtifactsInput!$M$27,Inputs!$B$4="Chapter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Skills!G17*IF(Skills!H17&gt;0,IF(Inputs!$B$38="pvp",MIN(Skills!I17,15),Skills!I17)/Skills!H17,1)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IFERROR(1/(IF(Inputs!$B$38="pvp",15,MAX(0.1,Skills!D17-IF(TRUE=TRUE,Inputs!$B$32,0)))*(1-IF(AND(ArtifactsInput!$M$27,Inputs!$B$4="Chapter Hunt"),CHOOSE(ArtifactsInput!$N$27+1,20,24,28,32,36,40),0)/100)),0)</f>
        <v/>
      </c>
      <c r="R382">
        <f>IF(AND(Inputs!$B$38&lt;&gt;"pvp",Inputs!$B$43&gt;0),IF(Inputs!$B$43&lt;=0,0,(INT(Inputs!$B$43/(IF(Inputs!$B$38="pvp",15,MAX(0.1,Skills!D17-IF(TRUE=TRUE,Inputs!$B$32,0)))*(1-IF(AND(ArtifactsInput!$M$27,Inputs!$B$4="Chapter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Skills!G18*IF(Skills!H18&gt;0,IF(Inputs!$B$38="pvp",MIN(Skills!I18,15),Skills!I18)/Skills!H18,1)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IFERROR(1/(IF(Inputs!$B$38="pvp",15,MAX(0.1,Skills!D18-IF(TRUE=TRUE,Inputs!$B$32,0)))*(1-IF(AND(ArtifactsInput!$M$27,Inputs!$B$4="Chapter Hunt"),CHOOSE(ArtifactsInput!$N$27+1,20,24,28,32,36,40),0)/100)),0)</f>
        <v/>
      </c>
      <c r="R383">
        <f>IF(AND(Inputs!$B$38&lt;&gt;"pvp",Inputs!$B$43&gt;0),IF(Inputs!$B$43&lt;=0,0,(INT(Inputs!$B$43/(IF(Inputs!$B$38="pvp",15,MAX(0.1,Skills!D18-IF(TRUE=TRUE,Inputs!$B$32,0)))*(1-IF(AND(ArtifactsInput!$M$27,Inputs!$B$4="Chapter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Skills!G19*IF(Skills!H19&gt;0,IF(Inputs!$B$38="pvp",MIN(Skills!I19,15),Skills!I19)/Skills!H19,1)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IFERROR(1/(IF(Inputs!$B$38="pvp",15,MAX(0.1,Skills!D19-IF(TRUE=TRUE,Inputs!$B$32,0)))*(1-IF(AND(ArtifactsInput!$M$27,Inputs!$B$4="Chapter Hunt"),CHOOSE(ArtifactsInput!$N$27+1,20,24,28,32,36,40),0)/100)),0)</f>
        <v/>
      </c>
      <c r="R384">
        <f>IF(AND(Inputs!$B$38&lt;&gt;"pvp",Inputs!$B$43&gt;0),IF(Inputs!$B$43&lt;=0,0,(INT(Inputs!$B$43/(IF(Inputs!$B$38="pvp",15,MAX(0.1,Skills!D19-IF(TRUE=TRUE,Inputs!$B$32,0)))*(1-IF(AND(ArtifactsInput!$M$27,Inputs!$B$4="Chapter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Skills!G20*IF(Skills!H20&gt;0,IF(Inputs!$B$38="pvp",MIN(Skills!I20,15),Skills!I20)/Skills!H20,1)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Skills!G21*IF(Skills!H21&gt;0,IF(Inputs!$B$38="pvp",MIN(Skills!I21,15),Skills!I21)/Skills!H21,1)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Skills!G22*IF(Skills!H22&gt;0,IF(Inputs!$B$38="pvp",MIN(Skills!I22,15),Skills!I22)/Skills!H22,1)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Skills!G23*IF(Skills!H23&gt;0,IF(Inputs!$B$38="pvp",MIN(Skills!I23,15),Skills!I23)/Skills!H23,1)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Skills!G24*IF(Skills!H24&gt;0,IF(Inputs!$B$38="pvp",MIN(Skills!I24,15),Skills!I24)/Skills!H24,1)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Skills!G25*IF(Skills!H25&gt;0,IF(Inputs!$B$38="pvp",MIN(Skills!I25,15),Skills!I25)/Skills!H25,1)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Skills!G26*IF(Skills!H26&gt;0,IF(Inputs!$B$38="pvp",MIN(Skills!I26,15),Skills!I26)/Skills!H26,1)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118,8,IF(Inputs!$B$3&gt;=110,7,5)))+((C380=TRUE)*F380*IF(AND(Inputs!$B$38&lt;&gt;"pvp",Inputs!$B$43&gt;0),(((R380-1)*MIN((Skills!T15*(1+(Inputs!$B$34+(ArtifactsInput!$M$7-ArtifactsInput!$M$7)*CHOOSE(ArtifactsInput!$N$7+1,6,7.2,8.4,9.6,10.8,12))/100)),(1/Q380))+MIN((Skills!T15*(1+(Inputs!$B$34+(ArtifactsInput!$M$7-ArtifactsInput!$M$7)*CHOOSE(ArtifactsInput!$N$7+1,6,7.2,8.4,9.6,10.8,12))/100)),MAX(0,Inputs!$B$43-((R380-1)*(1/Q380)))))/Inputs!$B$43),IF(Inputs!$B$38="pvp",MIN((Skills!T15*(1+(Inputs!$B$34+(ArtifactsInput!$M$7-ArtifactsInput!$M$7)*CHOOSE(ArtifactsInput!$N$7+1,6,7.2,8.4,9.6,10.8,12))/100)),15)/15,MIN(1,(Skills!T15*(1+(Inputs!$B$34+(ArtifactsInput!$M$7-ArtifactsInput!$M$7)*CHOOSE(ArtifactsInput!$N$7+1,6,7.2,8.4,9.6,10.8,12))/100))/(1/Q380)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MIN((Skills!T19*(1+(Inputs!$B$34+(ArtifactsInput!$M$7-ArtifactsInput!$M$7)*CHOOSE(ArtifactsInput!$N$7+1,6,7.2,8.4,9.6,10.8,12))/100)),(1/Q384))+MIN((Skills!T19*(1+(Inputs!$B$34+(ArtifactsInput!$M$7-ArtifactsInput!$M$7)*CHOOSE(ArtifactsInput!$N$7+1,6,7.2,8.4,9.6,10.8,12))/100)),MAX(0,Inputs!$B$43-((R384-1)*(1/Q384)))))/Inputs!$B$43),IF(Inputs!$B$38="pvp",MIN((Skills!T19*(1+(Inputs!$B$34+(ArtifactsInput!$M$7-ArtifactsInput!$M$7)*CHOOSE(ArtifactsInput!$N$7+1,6,7.2,8.4,9.6,10.8,12))/100)),15)/15,MIN(1,(Skills!T19*(1+(Inputs!$B$34+(ArtifactsInput!$M$7-ArtifactsInput!$M$7)*CHOOSE(ArtifactsInput!$N$7+1,6,7.2,8.4,9.6,10.8,12))/100))/(1/Q384)))))</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MIN((Skills!T18*(1+(Inputs!$B$34+(ArtifactsInput!$M$7-ArtifactsInput!$M$7)*CHOOSE(ArtifactsInput!$N$7+1,6,7.2,8.4,9.6,10.8,12))/100)),(1/Q383))+MIN((Skills!T18*(1+(Inputs!$B$34+(ArtifactsInput!$M$7-ArtifactsInput!$M$7)*CHOOSE(ArtifactsInput!$N$7+1,6,7.2,8.4,9.6,10.8,12))/100)),MAX(0,Inputs!$B$43-((R383-1)*(1/Q383)))))/Inputs!$B$43),IF(Inputs!$B$38="pvp",MIN((Skills!T18*(1+(Inputs!$B$34+(ArtifactsInput!$M$7-ArtifactsInput!$M$7)*CHOOSE(ArtifactsInput!$N$7+1,6,7.2,8.4,9.6,10.8,12))/100)),15)/15,MIN(1,(Skills!T18*(1+(Inputs!$B$34+(ArtifactsInput!$M$7-ArtifactsInput!$M$7)*CHOOSE(ArtifactsInput!$N$7+1,6,7.2,8.4,9.6,10.8,12))/100))/(1/Q383)))))</f>
        <v/>
      </c>
    </row>
    <row r="400">
      <c r="A400" t="inlineStr">
        <is>
          <t>Global Final Damage Bonus % (Enrage + Combo Synergy)</t>
        </is>
      </c>
      <c r="B400">
        <f>((C382=TRUE)*F382*IF(AND(Inputs!$B$38&lt;&gt;"pvp",Inputs!$B$43&gt;0),(((R382-1)*MIN((Skills!T17*(1+(Inputs!$B$34+(ArtifactsInput!$M$7-ArtifactsInput!$M$7)*CHOOSE(ArtifactsInput!$N$7+1,6,7.2,8.4,9.6,10.8,12))/100)),(1/Q382))+MIN((Skills!T17*(1+(Inputs!$B$34+(ArtifactsInput!$M$7-ArtifactsInput!$M$7)*CHOOSE(ArtifactsInput!$N$7+1,6,7.2,8.4,9.6,10.8,12))/100)),MAX(0,Inputs!$B$43-((R382-1)*(1/Q382)))))/Inputs!$B$43),IF(Inputs!$B$38="pvp",MIN((Skills!T17*(1+(Inputs!$B$34+(ArtifactsInput!$M$7-ArtifactsInput!$M$7)*CHOOSE(ArtifactsInput!$N$7+1,6,7.2,8.4,9.6,10.8,12))/100)),15)/15,MIN(1,(Skills!T17*(1+(Inputs!$B$34+(ArtifactsInput!$M$7-ArtifactsInput!$M$7)*CHOOSE(ArtifactsInput!$N$7+1,6,7.2,8.4,9.6,10.8,12))/100))/(1/Q382)))))+((C379=TRUE)*F379*IF(Inputs!$B$3&gt;=118,8,IF(Inputs!$B$3&gt;=110,7,5)))+IF(Inputs!$B$3&gt;=98,5,0)</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Skills!G2*IF(Skills!H2&gt;0,IF(Inputs!$B$38="pvp",MIN(Skills!I2,15),Skills!I2)/Skills!H2,1)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Skills!G5*IF(Skills!H5&gt;0,IF(Inputs!$B$38="pvp",MIN(Skills!I5,15),Skills!I5)/Skills!H5,1)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IFERROR(1/(IF(Inputs!$B$38="pvp",15,MAX(0.1,Skills!D5-IF(TRUE=TRUE,Inputs!$B$32,0)))*(1-IF(AND(ArtifactsInput!$M$27,Inputs!$B$4="Chapter Hunt"),CHOOSE(ArtifactsInput!$N$27+1,20,24,28,32,36,40),0)/100)),0)</f>
        <v/>
      </c>
      <c r="R412">
        <f>IF(AND(Inputs!$B$38&lt;&gt;"pvp",Inputs!$B$43&gt;0),IF(MAX(0,Inputs!$B$43-B443)&lt;=0,0,(INT(MAX(0,Inputs!$B$43-B443)/(IF(Inputs!$B$38="pvp",15,MAX(0.1,Skills!D5-IF(TRUE=TRUE,Inputs!$B$32,0)))*(1-IF(AND(ArtifactsInput!$M$27,Inputs!$B$4="Chapter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$20+0+Skills!P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TRUE=TRUE,Inputs!$B$32,0)))*(1-IF(AND(ArtifactsInput!$M$27,Inputs!$B$4="Chapter Hunt"),CHOOSE(ArtifactsInput!$N$27+1,20,24,28,32,36,40),0)/100)))))/Skills!H5,1)))/Inputs!$B$43),G412*Q412))*IF(Inputs!$B$38="pvp",1,(1+(Inputs!$B$21+Skills!Q5+(((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Skills!G6*IF(Skills!H6&gt;0,IF(Inputs!$B$38="pvp",MIN(Skills!I6,15),Skills!I6)/Skills!H6,1)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IFERROR(1/(IF(Inputs!$B$38="pvp",15,MAX(0.1,Skills!D6-IF(TRUE=TRUE,Inputs!$B$32,0)))*(1-IF(AND(ArtifactsInput!$M$27,Inputs!$B$4="Chapter Hunt"),CHOOSE(ArtifactsInput!$N$27+1,20,24,28,32,36,40),0)/100)),0)</f>
        <v/>
      </c>
      <c r="R413">
        <f>IF(AND(Inputs!$B$38&lt;&gt;"pvp",Inputs!$B$43&gt;0),IF(MAX(0,Inputs!$B$43-B443)&lt;=0,0,(INT(MAX(0,Inputs!$B$43-B443)/(IF(Inputs!$B$38="pvp",15,MAX(0.1,Skills!D6-IF(TRUE=TRUE,Inputs!$B$32,0)))*(1-IF(AND(ArtifactsInput!$M$27,Inputs!$B$4="Chapter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$20+0+Skills!P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TRUE=TRUE,Inputs!$B$32,0)))*(1-IF(AND(ArtifactsInput!$M$27,Inputs!$B$4="Chapter Hunt"),CHOOSE(ArtifactsInput!$N$27+1,20,24,28,32,36,40),0)/100)))))/Skills!H6,1)))/Inputs!$B$43),G413*Q413))*IF(Inputs!$B$38="pvp",1,(1+(Inputs!$B$21+Skills!Q6+(((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Skills!G7*IF(Skills!H7&gt;0,IF(Inputs!$B$38="pvp",MIN(Skills!I7,15),Skills!I7)/Skills!H7,1)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IFERROR(1/(IF(Inputs!$B$38="pvp",15,MAX(0.1,Skills!D7-IF(TRUE=TRUE,Inputs!$B$32,0)))*(1-IF(AND(ArtifactsInput!$M$27,Inputs!$B$4="Chapter Hunt"),CHOOSE(ArtifactsInput!$N$27+1,20,24,28,32,36,40),0)/100)),0)</f>
        <v/>
      </c>
      <c r="R414">
        <f>IF(AND(Inputs!$B$38&lt;&gt;"pvp",Inputs!$B$43&gt;0),IF(MAX(0,Inputs!$B$43-B443)&lt;=0,0,(INT(MAX(0,Inputs!$B$43-B443)/(IF(Inputs!$B$38="pvp",15,MAX(0.1,Skills!D7-IF(TRUE=TRUE,Inputs!$B$32,0)))*(1-IF(AND(ArtifactsInput!$M$27,Inputs!$B$4="Chapter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$20+0+Skills!P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TRUE=TRUE,Inputs!$B$32,0)))*(1-IF(AND(ArtifactsInput!$M$27,Inputs!$B$4="Chapter Hunt"),CHOOSE(ArtifactsInput!$N$27+1,20,24,28,32,36,40),0)/100)))))/Skills!H7,1)))/Inputs!$B$43),G414*Q414))*IF(Inputs!$B$38="pvp",1,(1+(Inputs!$B$21+Skills!Q7+(((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Skills!G8*IF(Skills!H8&gt;0,IF(Inputs!$B$38="pvp",MIN(Skills!I8,15),Skills!I8)/Skills!H8,1)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IFERROR(1/(IF(Inputs!$B$38="pvp",15,MAX(0.1,Skills!D8-IF(TRUE=TRUE,Inputs!$B$32,0)))*(1-IF(AND(ArtifactsInput!$M$27,Inputs!$B$4="Chapter Hunt"),CHOOSE(ArtifactsInput!$N$27+1,20,24,28,32,36,40),0)/100)),0)</f>
        <v/>
      </c>
      <c r="R415">
        <f>IF(AND(Inputs!$B$38&lt;&gt;"pvp",Inputs!$B$43&gt;0),IF(MAX(0,Inputs!$B$43-B443)&lt;=0,0,(INT(MAX(0,Inputs!$B$43-B443)/(IF(Inputs!$B$38="pvp",15,MAX(0.1,Skills!D8-IF(TRUE=TRUE,Inputs!$B$32,0)))*(1-IF(AND(ArtifactsInput!$M$27,Inputs!$B$4="Chapter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$20+0+Skills!P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TRUE=TRUE,Inputs!$B$32,0)))*(1-IF(AND(ArtifactsInput!$M$27,Inputs!$B$4="Chapter Hunt"),CHOOSE(ArtifactsInput!$N$27+1,20,24,28,32,36,40),0)/100)))))/Skills!H8,1)))/Inputs!$B$43),G415*Q415))*IF(Inputs!$B$38="pvp",1,(1+(Inputs!$B$21+Skills!Q8+(((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Skills!G9*IF(Skills!H9&gt;0,IF(Inputs!$B$38="pvp",MIN(Skills!I9,15),Skills!I9)/Skills!H9,1)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138,MAX(0,IF(Inputs!$B$3&gt;=118,8,IF(Inputs!$B$3&gt;=110,7,5))-5)*50,0),0)/100)*(1+(IF(Skills!A9="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IFERROR(1/(IF(Inputs!$B$38="pvp",15,MAX(0.1,Skills!D9-IF(TRUE=TRUE,Inputs!$B$32,0)))*(1-IF(AND(ArtifactsInput!$M$27,Inputs!$B$4="Chapter Hunt"),CHOOSE(ArtifactsInput!$N$27+1,20,24,28,32,36,40),0)/100)),0)</f>
        <v/>
      </c>
      <c r="R416">
        <f>IF(AND(Inputs!$B$38&lt;&gt;"pvp",Inputs!$B$43&gt;0),IF(MAX(0,Inputs!$B$43-B443)&lt;=0,0,(INT(MAX(0,Inputs!$B$43-B443)/(IF(Inputs!$B$38="pvp",15,MAX(0.1,Skills!D9-IF(TRUE=TRUE,Inputs!$B$32,0)))*(1-IF(AND(ArtifactsInput!$M$27,Inputs!$B$4="Chapter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TRUE=TRUE,Inputs!$B$32,0)))*(1-IF(AND(ArtifactsInput!$M$27,Inputs!$B$4="Chapter Hunt"),CHOOSE(ArtifactsInput!$N$27+1,20,24,28,32,36,40),0)/100)))))/Skills!H9,1)))/Inputs!$B$43),G416*Q416))*IF(Inputs!$B$38="pvp",1,1+(Inputs!$B$20+0+Skills!P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TRUE=TRUE,Inputs!$B$32,0)))*(1-IF(AND(ArtifactsInput!$M$27,Inputs!$B$4="Chapter Hunt"),CHOOSE(ArtifactsInput!$N$27+1,20,24,28,32,36,40),0)/100)))))/Skills!H9,1)))/Inputs!$B$43),G416*Q416))*IF(Inputs!$B$38="pvp",1,(1+(Inputs!$B$21+Skills!Q9+(((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Skills!G10*IF(Skills!H10&gt;0,IF(Inputs!$B$38="pvp",MIN(Skills!I10,15),Skills!I10)/Skills!H10,1)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138,MAX(0,IF(Inputs!$B$3&gt;=118,8,IF(Inputs!$B$3&gt;=110,7,5))-5)*50,0),0)/100)*(1+(IF(Skills!A10="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IFERROR(1/(IF(Inputs!$B$38="pvp",15,MAX(0.1,Skills!D10-IF(TRUE=TRUE,Inputs!$B$32,0)))*(1-IF(AND(ArtifactsInput!$M$27,Inputs!$B$4="Chapter Hunt"),CHOOSE(ArtifactsInput!$N$27+1,20,24,28,32,36,40),0)/100)),0)</f>
        <v/>
      </c>
      <c r="R417">
        <f>IF(AND(Inputs!$B$38&lt;&gt;"pvp",Inputs!$B$43&gt;0),IF(MAX(0,Inputs!$B$43-B443)&lt;=0,0,(INT(MAX(0,Inputs!$B$43-B443)/(IF(Inputs!$B$38="pvp",15,MAX(0.1,Skills!D10-IF(TRUE=TRUE,Inputs!$B$32,0)))*(1-IF(AND(ArtifactsInput!$M$27,Inputs!$B$4="Chapter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$20+0+Skills!P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TRUE=TRUE,Inputs!$B$32,0)))*(1-IF(AND(ArtifactsInput!$M$27,Inputs!$B$4="Chapter Hunt"),CHOOSE(ArtifactsInput!$N$27+1,20,24,28,32,36,40),0)/100)))))/Skills!H10,1)))/Inputs!$B$43),G417*Q417))*IF(Inputs!$B$38="pvp",1,(1+(Inputs!$B$21+Skills!Q10+(((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Skills!G11*IF(Skills!H11&gt;0,IF(Inputs!$B$38="pvp",MIN(Skills!I11,15),Skills!I11)/Skills!H11,1)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(100-(100-((Inputs!$B$19+0)))*(1-IF(Inputs!$B$3&gt;=130,IF(Inputs!$B$3&gt;=118,8,IF(Inputs!$B$3&gt;=110,7,5)),0)/100)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138,MAX(0,IF(Inputs!$B$3&gt;=118,8,IF(Inputs!$B$3&gt;=110,7,5))-5)*50,0),0)/100)*(1+(IF(Skills!A11="RAGING_BLOW",Inputs!$B$17+((C428=TRUE)*(F428-Calc!F21))+((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IFERROR(1/(IF(Inputs!$B$38="pvp",15,MAX(0.1,Skills!D11-IF(TRUE=TRUE,Inputs!$B$32,0)))*(1-IF(AND(ArtifactsInput!$M$27,Inputs!$B$4="Chapter Hunt"),CHOOSE(ArtifactsInput!$N$27+1,20,24,28,32,36,40),0)/100)),0)</f>
        <v/>
      </c>
      <c r="R418">
        <f>IF(AND(Inputs!$B$38&lt;&gt;"pvp",Inputs!$B$43&gt;0),IF(MAX(0,Inputs!$B$43-B443)&lt;=0,0,(INT(MAX(0,Inputs!$B$43-B443)/(IF(Inputs!$B$38="pvp",15,MAX(0.1,Skills!D11-IF(TRUE=TRUE,Inputs!$B$32,0)))*(1-IF(AND(ArtifactsInput!$M$27,Inputs!$B$4="Chapter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$20+0+Skills!P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Inputs!$B$38&lt;&gt;"pvp",Inputs!$B$43=0),1,IF(IF(Inputs!$B$38="pvp",15,Inputs!$B$43)-(B443)&lt;=0,1,MAX(0,IF(Inputs!$B$38="pvp",15,Inputs!$B$43)-MAX(5,B443))/(IF(Inputs!$B$38="pvp",15,Inputs!$B$43)-(B443)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TRUE=TRUE,Inputs!$B$32,0)))*(1-IF(AND(ArtifactsInput!$M$27,Inputs!$B$4="Chapter Hunt"),CHOOSE(ArtifactsInput!$N$27+1,20,24,28,32,36,40),0)/100)))))/Skills!H11,1)))/Inputs!$B$43),G418*Q418))*IF(Inputs!$B$38="pvp",1,(1+(Inputs!$B$21+Skills!Q11+(((C423=TRUE)*F423*(Skills!J16/100)*IF(AND(Inputs!$B$38&lt;&gt;"pvp",Inputs!$B$43&gt;0),(((R423-1)*MIN((Skills!T16*(1+(Inputs!$B$34+(ArtifactsInput!$M$7-ArtifactsInput!$M$7)*CHOOSE(ArtifactsInput!$N$7+1,6,7.2,8.4,9.6,10.8,12))/100)),(1/Q423))+MIN((Skills!T16*(1+(Inputs!$B$34+(ArtifactsInput!$M$7-ArtifactsInput!$M$7)*CHOOSE(ArtifactsInput!$N$7+1,6,7.2,8.4,9.6,10.8,12))/100)),MAX(0,Inputs!$B$43-((R423-1)*(1/Q423)))))/Inputs!$B$43),IF(Inputs!$B$38="pvp",MIN((Skills!T16*(1+(Inputs!$B$34+(ArtifactsInput!$M$7-ArtifactsInput!$M$7)*CHOOSE(ArtifactsInput!$N$7+1,6,7.2,8.4,9.6,10.8,12))/100)),15)/15,MIN(1,(Skills!T16*(1+(Inputs!$B$34+(ArtifactsInput!$M$7-ArtifactsInput!$M$7)*CHOOSE(ArtifactsInput!$N$7+1,6,7.2,8.4,9.6,10.8,12))/100))/(1/Q423)))))+((C415=TRUE)*IF(Inputs!$B$3&gt;=126,10*MIN(1,15*Q415),0))+((C412=TRUE)*((100/10)*(INDEX(FactorTable!$B$2:$Y$301,MATCH(ROUND(MIN(300,MAX(1,MAX(0,(Inputs!$B$3-100)*3)+Inputs!$B$28+Inputs!$B$29)),0),FactorTable!$A$2:$A$301,0),22)/1000))*(1+IF(Inputs!$B$3&gt;=134,0.5,0))*MIN(1,10*(1+(Inputs!$B$34+(ArtifactsInput!$M$7-ArtifactsInput!$M$7)*CHOOSE(ArtifactsInput!$N$7+1,6,7.2,8.4,9.6,10.8,12))/100)*Q412)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Skills!G13*IF(Skills!H13&gt;0,IF(Inputs!$B$38="pvp",MIN(Skills!I13,15),Skills!I13)/Skills!H13,1)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Skills!G14*IF(Skills!H14&gt;0,IF(Inputs!$B$38="pvp",MIN(Skills!I14,15),Skills!I14)/Skills!H14,1)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Skills!G15*IF(Skills!H15&gt;0,IF(Inputs!$B$38="pvp",MIN(Skills!I15,15),Skills!I15)/Skills!H15,1)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IFERROR(1/(IF(Inputs!$B$38="pvp",15,MAX(0.1,Skills!D15-IF(TRUE=TRUE,Inputs!$B$32,0)))*(1-IF(AND(ArtifactsInput!$M$27,Inputs!$B$4="Chapter Hunt"),CHOOSE(ArtifactsInput!$N$27+1,20,24,28,32,36,40),0)/100)),0)</f>
        <v/>
      </c>
      <c r="R422">
        <f>IF(AND(Inputs!$B$38&lt;&gt;"pvp",Inputs!$B$43&gt;0),IF(Inputs!$B$43&lt;=0,0,(INT(Inputs!$B$43/(IF(Inputs!$B$38="pvp",15,MAX(0.1,Skills!D15-IF(TRUE=TRUE,Inputs!$B$32,0)))*(1-IF(AND(ArtifactsInput!$M$27,Inputs!$B$4="Chapter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Skills!G16*IF(Skills!H16&gt;0,IF(Inputs!$B$38="pvp",MIN(Skills!I16,15),Skills!I16)/Skills!H16,1)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IFERROR(1/(IF(Inputs!$B$38="pvp",15,MAX(0.1,Skills!D16-IF(TRUE=TRUE,Inputs!$B$32,0)))*(1-IF(AND(ArtifactsInput!$M$27,Inputs!$B$4="Chapter Hunt"),CHOOSE(ArtifactsInput!$N$27+1,20,24,28,32,36,40),0)/100)),0)</f>
        <v/>
      </c>
      <c r="R423">
        <f>IF(AND(Inputs!$B$38&lt;&gt;"pvp",Inputs!$B$43&gt;0),IF(Inputs!$B$43&lt;=0,0,(INT(Inputs!$B$43/(IF(Inputs!$B$38="pvp",15,MAX(0.1,Skills!D16-IF(TRUE=TRUE,Inputs!$B$32,0)))*(1-IF(AND(ArtifactsInput!$M$27,Inputs!$B$4="Chapter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Skills!G17*IF(Skills!H17&gt;0,IF(Inputs!$B$38="pvp",MIN(Skills!I17,15),Skills!I17)/Skills!H17,1)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IFERROR(1/(IF(Inputs!$B$38="pvp",15,MAX(0.1,Skills!D17-IF(TRUE=TRUE,Inputs!$B$32,0)))*(1-IF(AND(ArtifactsInput!$M$27,Inputs!$B$4="Chapter Hunt"),CHOOSE(ArtifactsInput!$N$27+1,20,24,28,32,36,40),0)/100)),0)</f>
        <v/>
      </c>
      <c r="R424">
        <f>IF(AND(Inputs!$B$38&lt;&gt;"pvp",Inputs!$B$43&gt;0),IF(Inputs!$B$43&lt;=0,0,(INT(Inputs!$B$43/(IF(Inputs!$B$38="pvp",15,MAX(0.1,Skills!D17-IF(TRUE=TRUE,Inputs!$B$32,0)))*(1-IF(AND(ArtifactsInput!$M$27,Inputs!$B$4="Chapter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Skills!G18*IF(Skills!H18&gt;0,IF(Inputs!$B$38="pvp",MIN(Skills!I18,15),Skills!I18)/Skills!H18,1)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IFERROR(1/(IF(Inputs!$B$38="pvp",15,MAX(0.1,Skills!D18-IF(TRUE=TRUE,Inputs!$B$32,0)))*(1-IF(AND(ArtifactsInput!$M$27,Inputs!$B$4="Chapter Hunt"),CHOOSE(ArtifactsInput!$N$27+1,20,24,28,32,36,40),0)/100)),0)</f>
        <v/>
      </c>
      <c r="R425">
        <f>IF(AND(Inputs!$B$38&lt;&gt;"pvp",Inputs!$B$43&gt;0),IF(Inputs!$B$43&lt;=0,0,(INT(Inputs!$B$43/(IF(Inputs!$B$38="pvp",15,MAX(0.1,Skills!D18-IF(TRUE=TRUE,Inputs!$B$32,0)))*(1-IF(AND(ArtifactsInput!$M$27,Inputs!$B$4="Chapter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Skills!G19*IF(Skills!H19&gt;0,IF(Inputs!$B$38="pvp",MIN(Skills!I19,15),Skills!I19)/Skills!H19,1)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IFERROR(1/(IF(Inputs!$B$38="pvp",15,MAX(0.1,Skills!D19-IF(TRUE=TRUE,Inputs!$B$32,0)))*(1-IF(AND(ArtifactsInput!$M$27,Inputs!$B$4="Chapter Hunt"),CHOOSE(ArtifactsInput!$N$27+1,20,24,28,32,36,40),0)/100)),0)</f>
        <v/>
      </c>
      <c r="R426">
        <f>IF(AND(Inputs!$B$38&lt;&gt;"pvp",Inputs!$B$43&gt;0),IF(Inputs!$B$43&lt;=0,0,(INT(Inputs!$B$43/(IF(Inputs!$B$38="pvp",15,MAX(0.1,Skills!D19-IF(TRUE=TRUE,Inputs!$B$32,0)))*(1-IF(AND(ArtifactsInput!$M$27,Inputs!$B$4="Chapter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Skills!G20*IF(Skills!H20&gt;0,IF(Inputs!$B$38="pvp",MIN(Skills!I20,15),Skills!I20)/Skills!H20,1)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Skills!G21*IF(Skills!H21&gt;0,IF(Inputs!$B$38="pvp",MIN(Skills!I21,15),Skills!I21)/Skills!H21,1)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Skills!G22*IF(Skills!H22&gt;0,IF(Inputs!$B$38="pvp",MIN(Skills!I22,15),Skills!I22)/Skills!H22,1)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Skills!G23*IF(Skills!H23&gt;0,IF(Inputs!$B$38="pvp",MIN(Skills!I23,15),Skills!I23)/Skills!H23,1)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Skills!G24*IF(Skills!H24&gt;0,IF(Inputs!$B$38="pvp",MIN(Skills!I24,15),Skills!I24)/Skills!H24,1)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Skills!G25*IF(Skills!H25&gt;0,IF(Inputs!$B$38="pvp",MIN(Skills!I25,15),Skills!I25)/Skills!H25,1)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Skills!G26*IF(Skills!H26&gt;0,IF(Inputs!$B$38="pvp",MIN(Skills!I26,15),Skills!I26)/Skills!H26,1)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118,8,IF(Inputs!$B$3&gt;=110,7,5)))+((C422=TRUE)*F422*IF(AND(Inputs!$B$38&lt;&gt;"pvp",Inputs!$B$43&gt;0),(((R422-1)*MIN((Skills!T15*(1+(Inputs!$B$34+(ArtifactsInput!$M$7-ArtifactsInput!$M$7)*CHOOSE(ArtifactsInput!$N$7+1,6,7.2,8.4,9.6,10.8,12))/100)),(1/Q422))+MIN((Skills!T15*(1+(Inputs!$B$34+(ArtifactsInput!$M$7-ArtifactsInput!$M$7)*CHOOSE(ArtifactsInput!$N$7+1,6,7.2,8.4,9.6,10.8,12))/100)),MAX(0,Inputs!$B$43-((R422-1)*(1/Q422)))))/Inputs!$B$43),IF(Inputs!$B$38="pvp",MIN((Skills!T15*(1+(Inputs!$B$34+(ArtifactsInput!$M$7-ArtifactsInput!$M$7)*CHOOSE(ArtifactsInput!$N$7+1,6,7.2,8.4,9.6,10.8,12))/100)),15)/15,MIN(1,(Skills!T15*(1+(Inputs!$B$34+(ArtifactsInput!$M$7-ArtifactsInput!$M$7)*CHOOSE(ArtifactsInput!$N$7+1,6,7.2,8.4,9.6,10.8,12))/100))/(1/Q422)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MIN((Skills!T19*(1+(Inputs!$B$34+(ArtifactsInput!$M$7-ArtifactsInput!$M$7)*CHOOSE(ArtifactsInput!$N$7+1,6,7.2,8.4,9.6,10.8,12))/100)),(1/Q426))+MIN((Skills!T19*(1+(Inputs!$B$34+(ArtifactsInput!$M$7-ArtifactsInput!$M$7)*CHOOSE(ArtifactsInput!$N$7+1,6,7.2,8.4,9.6,10.8,12))/100)),MAX(0,Inputs!$B$43-((R426-1)*(1/Q426)))))/Inputs!$B$43),IF(Inputs!$B$38="pvp",MIN((Skills!T19*(1+(Inputs!$B$34+(ArtifactsInput!$M$7-ArtifactsInput!$M$7)*CHOOSE(ArtifactsInput!$N$7+1,6,7.2,8.4,9.6,10.8,12))/100)),15)/15,MIN(1,(Skills!T19*(1+(Inputs!$B$34+(ArtifactsInput!$M$7-ArtifactsInput!$M$7)*CHOOSE(ArtifactsInput!$N$7+1,6,7.2,8.4,9.6,10.8,12))/100))/(1/Q426)))))</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MIN((Skills!T18*(1+(Inputs!$B$34+(ArtifactsInput!$M$7-ArtifactsInput!$M$7)*CHOOSE(ArtifactsInput!$N$7+1,6,7.2,8.4,9.6,10.8,12))/100)),(1/Q425))+MIN((Skills!T18*(1+(Inputs!$B$34+(ArtifactsInput!$M$7-ArtifactsInput!$M$7)*CHOOSE(ArtifactsInput!$N$7+1,6,7.2,8.4,9.6,10.8,12))/100)),MAX(0,Inputs!$B$43-((R425-1)*(1/Q425)))))/Inputs!$B$43),IF(Inputs!$B$38="pvp",MIN((Skills!T18*(1+(Inputs!$B$34+(ArtifactsInput!$M$7-ArtifactsInput!$M$7)*CHOOSE(ArtifactsInput!$N$7+1,6,7.2,8.4,9.6,10.8,12))/100)),15)/15,MIN(1,(Skills!T18*(1+(Inputs!$B$34+(ArtifactsInput!$M$7-ArtifactsInput!$M$7)*CHOOSE(ArtifactsInput!$N$7+1,6,7.2,8.4,9.6,10.8,12))/100))/(1/Q425)))))</f>
        <v/>
      </c>
    </row>
    <row r="442">
      <c r="A442" t="inlineStr">
        <is>
          <t>Global Final Damage Bonus % (Enrage + Combo Synergy)</t>
        </is>
      </c>
      <c r="B442">
        <f>((C424=TRUE)*F424*IF(AND(Inputs!$B$38&lt;&gt;"pvp",Inputs!$B$43&gt;0),(((R424-1)*MIN((Skills!T17*(1+(Inputs!$B$34+(ArtifactsInput!$M$7-ArtifactsInput!$M$7)*CHOOSE(ArtifactsInput!$N$7+1,6,7.2,8.4,9.6,10.8,12))/100)),(1/Q424))+MIN((Skills!T17*(1+(Inputs!$B$34+(ArtifactsInput!$M$7-ArtifactsInput!$M$7)*CHOOSE(ArtifactsInput!$N$7+1,6,7.2,8.4,9.6,10.8,12))/100)),MAX(0,Inputs!$B$43-((R424-1)*(1/Q424)))))/Inputs!$B$43),IF(Inputs!$B$38="pvp",MIN((Skills!T17*(1+(Inputs!$B$34+(ArtifactsInput!$M$7-ArtifactsInput!$M$7)*CHOOSE(ArtifactsInput!$N$7+1,6,7.2,8.4,9.6,10.8,12))/100)),15)/15,MIN(1,(Skills!T17*(1+(Inputs!$B$34+(ArtifactsInput!$M$7-ArtifactsInput!$M$7)*CHOOSE(ArtifactsInput!$N$7+1,6,7.2,8.4,9.6,10.8,12))/100))/(1/Q424)))))+((C421=TRUE)*F421*IF(Inputs!$B$3&gt;=118,8,IF(Inputs!$B$3&gt;=110,7,5)))+IF(Inputs!$B$3&gt;=98,5,0)</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Skills!G2*IF(Skills!H2&gt;0,IF(Inputs!$B$38="pvp",MIN(Skills!I2,15),Skills!I2)/Skills!H2,1)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Skills!G5*IF(Skills!H5&gt;0,IF(Inputs!$B$38="pvp",MIN(Skills!I5,15),Skills!I5)/Skills!H5,1)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IFERROR(1/(IF(Inputs!$B$38="pvp",15,MAX(0.1,Skills!D5-IF(TRUE=TRUE,Inputs!$B$32,0)))*(1-IF(AND(ArtifactsInput!$M$27,Inputs!$B$4="Chapter Hunt"),CHOOSE(ArtifactsInput!$N$27+1,20,24,28,32,36,40),0)/100)),0)</f>
        <v/>
      </c>
      <c r="R454">
        <f>IF(AND(Inputs!$B$38&lt;&gt;"pvp",Inputs!$B$43&gt;0),IF(MAX(0,Inputs!$B$43-B485)&lt;=0,0,(INT(MAX(0,Inputs!$B$43-B485)/(IF(Inputs!$B$38="pvp",15,MAX(0.1,Skills!D5-IF(TRUE=TRUE,Inputs!$B$32,0)))*(1-IF(AND(ArtifactsInput!$M$27,Inputs!$B$4="Chapter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$20+0+Skills!P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TRUE=TRUE,Inputs!$B$32,0)))*(1-IF(AND(ArtifactsInput!$M$27,Inputs!$B$4="Chapter Hunt"),CHOOSE(ArtifactsInput!$N$27+1,20,24,28,32,36,40),0)/100)))))/Skills!H5,1)))/Inputs!$B$43),G454*Q454))*IF(Inputs!$B$38="pvp",1,(1+(Inputs!$B$21+Skills!Q5+(((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Skills!G6*IF(Skills!H6&gt;0,IF(Inputs!$B$38="pvp",MIN(Skills!I6,15),Skills!I6)/Skills!H6,1)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IFERROR(1/(IF(Inputs!$B$38="pvp",15,MAX(0.1,Skills!D6-IF(TRUE=TRUE,Inputs!$B$32,0)))*(1-IF(AND(ArtifactsInput!$M$27,Inputs!$B$4="Chapter Hunt"),CHOOSE(ArtifactsInput!$N$27+1,20,24,28,32,36,40),0)/100)),0)</f>
        <v/>
      </c>
      <c r="R455">
        <f>IF(AND(Inputs!$B$38&lt;&gt;"pvp",Inputs!$B$43&gt;0),IF(MAX(0,Inputs!$B$43-B485)&lt;=0,0,(INT(MAX(0,Inputs!$B$43-B485)/(IF(Inputs!$B$38="pvp",15,MAX(0.1,Skills!D6-IF(TRUE=TRUE,Inputs!$B$32,0)))*(1-IF(AND(ArtifactsInput!$M$27,Inputs!$B$4="Chapter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$20+0+Skills!P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TRUE=TRUE,Inputs!$B$32,0)))*(1-IF(AND(ArtifactsInput!$M$27,Inputs!$B$4="Chapter Hunt"),CHOOSE(ArtifactsInput!$N$27+1,20,24,28,32,36,40),0)/100)))))/Skills!H6,1)))/Inputs!$B$43),G455*Q455))*IF(Inputs!$B$38="pvp",1,(1+(Inputs!$B$21+Skills!Q6+(((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Skills!G7*IF(Skills!H7&gt;0,IF(Inputs!$B$38="pvp",MIN(Skills!I7,15),Skills!I7)/Skills!H7,1)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IFERROR(1/(IF(Inputs!$B$38="pvp",15,MAX(0.1,Skills!D7-IF(TRUE=TRUE,Inputs!$B$32,0)))*(1-IF(AND(ArtifactsInput!$M$27,Inputs!$B$4="Chapter Hunt"),CHOOSE(ArtifactsInput!$N$27+1,20,24,28,32,36,40),0)/100)),0)</f>
        <v/>
      </c>
      <c r="R456">
        <f>IF(AND(Inputs!$B$38&lt;&gt;"pvp",Inputs!$B$43&gt;0),IF(MAX(0,Inputs!$B$43-B485)&lt;=0,0,(INT(MAX(0,Inputs!$B$43-B485)/(IF(Inputs!$B$38="pvp",15,MAX(0.1,Skills!D7-IF(TRUE=TRUE,Inputs!$B$32,0)))*(1-IF(AND(ArtifactsInput!$M$27,Inputs!$B$4="Chapter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$20+0+Skills!P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TRUE=TRUE,Inputs!$B$32,0)))*(1-IF(AND(ArtifactsInput!$M$27,Inputs!$B$4="Chapter Hunt"),CHOOSE(ArtifactsInput!$N$27+1,20,24,28,32,36,40),0)/100)))))/Skills!H7,1)))/Inputs!$B$43),G456*Q456))*IF(Inputs!$B$38="pvp",1,(1+(Inputs!$B$21+Skills!Q7+(((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Skills!G8*IF(Skills!H8&gt;0,IF(Inputs!$B$38="pvp",MIN(Skills!I8,15),Skills!I8)/Skills!H8,1)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IFERROR(1/(IF(Inputs!$B$38="pvp",15,MAX(0.1,Skills!D8-IF(TRUE=TRUE,Inputs!$B$32,0)))*(1-IF(AND(ArtifactsInput!$M$27,Inputs!$B$4="Chapter Hunt"),CHOOSE(ArtifactsInput!$N$27+1,20,24,28,32,36,40),0)/100)),0)</f>
        <v/>
      </c>
      <c r="R457">
        <f>IF(AND(Inputs!$B$38&lt;&gt;"pvp",Inputs!$B$43&gt;0),IF(MAX(0,Inputs!$B$43-B485)&lt;=0,0,(INT(MAX(0,Inputs!$B$43-B485)/(IF(Inputs!$B$38="pvp",15,MAX(0.1,Skills!D8-IF(TRUE=TRUE,Inputs!$B$32,0)))*(1-IF(AND(ArtifactsInput!$M$27,Inputs!$B$4="Chapter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$20+0+Skills!P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TRUE=TRUE,Inputs!$B$32,0)))*(1-IF(AND(ArtifactsInput!$M$27,Inputs!$B$4="Chapter Hunt"),CHOOSE(ArtifactsInput!$N$27+1,20,24,28,32,36,40),0)/100)))))/Skills!H8,1)))/Inputs!$B$43),G457*Q457))*IF(Inputs!$B$38="pvp",1,(1+(Inputs!$B$21+Skills!Q8+(((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Skills!G9*IF(Skills!H9&gt;0,IF(Inputs!$B$38="pvp",MIN(Skills!I9,15),Skills!I9)/Skills!H9,1)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138,MAX(0,IF(Inputs!$B$3&gt;=118,8,IF(Inputs!$B$3&gt;=110,7,5))-5)*50,0),0)/100)*(1+(IF(Skills!A9="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IFERROR(1/(IF(Inputs!$B$38="pvp",15,MAX(0.1,Skills!D9-IF(TRUE=TRUE,Inputs!$B$32,0)))*(1-IF(AND(ArtifactsInput!$M$27,Inputs!$B$4="Chapter Hunt"),CHOOSE(ArtifactsInput!$N$27+1,20,24,28,32,36,40),0)/100)),0)</f>
        <v/>
      </c>
      <c r="R458">
        <f>IF(AND(Inputs!$B$38&lt;&gt;"pvp",Inputs!$B$43&gt;0),IF(MAX(0,Inputs!$B$43-B485)&lt;=0,0,(INT(MAX(0,Inputs!$B$43-B485)/(IF(Inputs!$B$38="pvp",15,MAX(0.1,Skills!D9-IF(TRUE=TRUE,Inputs!$B$32,0)))*(1-IF(AND(ArtifactsInput!$M$27,Inputs!$B$4="Chapter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TRUE=TRUE,Inputs!$B$32,0)))*(1-IF(AND(ArtifactsInput!$M$27,Inputs!$B$4="Chapter Hunt"),CHOOSE(ArtifactsInput!$N$27+1,20,24,28,32,36,40),0)/100)))))/Skills!H9,1)))/Inputs!$B$43),G458*Q458))*IF(Inputs!$B$38="pvp",1,1+(Inputs!$B$20+0+Skills!P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TRUE=TRUE,Inputs!$B$32,0)))*(1-IF(AND(ArtifactsInput!$M$27,Inputs!$B$4="Chapter Hunt"),CHOOSE(ArtifactsInput!$N$27+1,20,24,28,32,36,40),0)/100)))))/Skills!H9,1)))/Inputs!$B$43),G458*Q458))*IF(Inputs!$B$38="pvp",1,(1+(Inputs!$B$21+Skills!Q9+(((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Skills!G10*IF(Skills!H10&gt;0,IF(Inputs!$B$38="pvp",MIN(Skills!I10,15),Skills!I10)/Skills!H10,1)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138,MAX(0,IF(Inputs!$B$3&gt;=118,8,IF(Inputs!$B$3&gt;=110,7,5))-5)*50,0),0)/100)*(1+(IF(Skills!A10="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IFERROR(1/(IF(Inputs!$B$38="pvp",15,MAX(0.1,Skills!D10-IF(TRUE=TRUE,Inputs!$B$32,0)))*(1-IF(AND(ArtifactsInput!$M$27,Inputs!$B$4="Chapter Hunt"),CHOOSE(ArtifactsInput!$N$27+1,20,24,28,32,36,40),0)/100)),0)</f>
        <v/>
      </c>
      <c r="R459">
        <f>IF(AND(Inputs!$B$38&lt;&gt;"pvp",Inputs!$B$43&gt;0),IF(MAX(0,Inputs!$B$43-B485)&lt;=0,0,(INT(MAX(0,Inputs!$B$43-B485)/(IF(Inputs!$B$38="pvp",15,MAX(0.1,Skills!D10-IF(TRUE=TRUE,Inputs!$B$32,0)))*(1-IF(AND(ArtifactsInput!$M$27,Inputs!$B$4="Chapter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$20+0+Skills!P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TRUE=TRUE,Inputs!$B$32,0)))*(1-IF(AND(ArtifactsInput!$M$27,Inputs!$B$4="Chapter Hunt"),CHOOSE(ArtifactsInput!$N$27+1,20,24,28,32,36,40),0)/100)))))/Skills!H10,1)))/Inputs!$B$43),G459*Q459))*IF(Inputs!$B$38="pvp",1,(1+(Inputs!$B$21+Skills!Q10+(((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Skills!G11*IF(Skills!H11&gt;0,IF(Inputs!$B$38="pvp",MIN(Skills!I11,15),Skills!I11)/Skills!H11,1)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(100-(100-((Inputs!$B$19+0)))*(1-IF(Inputs!$B$3&gt;=130,IF(Inputs!$B$3&gt;=118,8,IF(Inputs!$B$3&gt;=110,7,5)),0)/100)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138,MAX(0,IF(Inputs!$B$3&gt;=118,8,IF(Inputs!$B$3&gt;=110,7,5))-5)*50,0),0)/100)*(1+(IF(Skills!A11="RAGING_BLOW",Inputs!$B$17+((C470=TRUE)*(F470-Calc!F21))+((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IFERROR(1/(IF(Inputs!$B$38="pvp",15,MAX(0.1,Skills!D11-IF(TRUE=TRUE,Inputs!$B$32,0)))*(1-IF(AND(ArtifactsInput!$M$27,Inputs!$B$4="Chapter Hunt"),CHOOSE(ArtifactsInput!$N$27+1,20,24,28,32,36,40),0)/100)),0)</f>
        <v/>
      </c>
      <c r="R460">
        <f>IF(AND(Inputs!$B$38&lt;&gt;"pvp",Inputs!$B$43&gt;0),IF(MAX(0,Inputs!$B$43-B485)&lt;=0,0,(INT(MAX(0,Inputs!$B$43-B485)/(IF(Inputs!$B$38="pvp",15,MAX(0.1,Skills!D11-IF(TRUE=TRUE,Inputs!$B$32,0)))*(1-IF(AND(ArtifactsInput!$M$27,Inputs!$B$4="Chapter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$20+0+Skills!P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Inputs!$B$38&lt;&gt;"pvp",Inputs!$B$43=0),1,IF(IF(Inputs!$B$38="pvp",15,Inputs!$B$43)-(B485)&lt;=0,1,MAX(0,IF(Inputs!$B$38="pvp",15,Inputs!$B$43)-MAX(5,B485))/(IF(Inputs!$B$38="pvp",15,Inputs!$B$43)-(B485)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TRUE=TRUE,Inputs!$B$32,0)))*(1-IF(AND(ArtifactsInput!$M$27,Inputs!$B$4="Chapter Hunt"),CHOOSE(ArtifactsInput!$N$27+1,20,24,28,32,36,40),0)/100)))))/Skills!H11,1)))/Inputs!$B$43),G460*Q460))*IF(Inputs!$B$38="pvp",1,(1+(Inputs!$B$21+Skills!Q11+(((C465=TRUE)*F465*(Skills!J16/100)*IF(AND(Inputs!$B$38&lt;&gt;"pvp",Inputs!$B$43&gt;0),(((R465-1)*MIN((Skills!T16*(1+(Inputs!$B$34+(ArtifactsInput!$M$7-ArtifactsInput!$M$7)*CHOOSE(ArtifactsInput!$N$7+1,6,7.2,8.4,9.6,10.8,12))/100)),(1/Q465))+MIN((Skills!T16*(1+(Inputs!$B$34+(ArtifactsInput!$M$7-ArtifactsInput!$M$7)*CHOOSE(ArtifactsInput!$N$7+1,6,7.2,8.4,9.6,10.8,12))/100)),MAX(0,Inputs!$B$43-((R465-1)*(1/Q465)))))/Inputs!$B$43),IF(Inputs!$B$38="pvp",MIN((Skills!T16*(1+(Inputs!$B$34+(ArtifactsInput!$M$7-ArtifactsInput!$M$7)*CHOOSE(ArtifactsInput!$N$7+1,6,7.2,8.4,9.6,10.8,12))/100)),15)/15,MIN(1,(Skills!T16*(1+(Inputs!$B$34+(ArtifactsInput!$M$7-ArtifactsInput!$M$7)*CHOOSE(ArtifactsInput!$N$7+1,6,7.2,8.4,9.6,10.8,12))/100))/(1/Q465)))))+((C457=TRUE)*IF(Inputs!$B$3&gt;=126,10*MIN(1,15*Q457),0))+((C454=TRUE)*((100/10)*(INDEX(FactorTable!$B$2:$Y$301,MATCH(ROUND(MIN(300,MAX(1,MAX(0,(Inputs!$B$3-100)*3)+Inputs!$B$28+Inputs!$B$29)),0),FactorTable!$A$2:$A$301,0),22)/1000))*(1+IF(Inputs!$B$3&gt;=134,0.5,0))*MIN(1,10*(1+(Inputs!$B$34+(ArtifactsInput!$M$7-ArtifactsInput!$M$7)*CHOOSE(ArtifactsInput!$N$7+1,6,7.2,8.4,9.6,10.8,12))/100)*Q454)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Skills!G13*IF(Skills!H13&gt;0,IF(Inputs!$B$38="pvp",MIN(Skills!I13,15),Skills!I13)/Skills!H13,1)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Skills!G14*IF(Skills!H14&gt;0,IF(Inputs!$B$38="pvp",MIN(Skills!I14,15),Skills!I14)/Skills!H14,1)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Skills!G15*IF(Skills!H15&gt;0,IF(Inputs!$B$38="pvp",MIN(Skills!I15,15),Skills!I15)/Skills!H15,1)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IFERROR(1/(IF(Inputs!$B$38="pvp",15,MAX(0.1,Skills!D15-IF(TRUE=TRUE,Inputs!$B$32,0)))*(1-IF(AND(ArtifactsInput!$M$27,Inputs!$B$4="Chapter Hunt"),CHOOSE(ArtifactsInput!$N$27+1,20,24,28,32,36,40),0)/100)),0)</f>
        <v/>
      </c>
      <c r="R464">
        <f>IF(AND(Inputs!$B$38&lt;&gt;"pvp",Inputs!$B$43&gt;0),IF(Inputs!$B$43&lt;=0,0,(INT(Inputs!$B$43/(IF(Inputs!$B$38="pvp",15,MAX(0.1,Skills!D15-IF(TRUE=TRUE,Inputs!$B$32,0)))*(1-IF(AND(ArtifactsInput!$M$27,Inputs!$B$4="Chapter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Skills!G16*IF(Skills!H16&gt;0,IF(Inputs!$B$38="pvp",MIN(Skills!I16,15),Skills!I16)/Skills!H16,1)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IFERROR(1/(IF(Inputs!$B$38="pvp",15,MAX(0.1,Skills!D16-IF(TRUE=TRUE,Inputs!$B$32,0)))*(1-IF(AND(ArtifactsInput!$M$27,Inputs!$B$4="Chapter Hunt"),CHOOSE(ArtifactsInput!$N$27+1,20,24,28,32,36,40),0)/100)),0)</f>
        <v/>
      </c>
      <c r="R465">
        <f>IF(AND(Inputs!$B$38&lt;&gt;"pvp",Inputs!$B$43&gt;0),IF(Inputs!$B$43&lt;=0,0,(INT(Inputs!$B$43/(IF(Inputs!$B$38="pvp",15,MAX(0.1,Skills!D16-IF(TRUE=TRUE,Inputs!$B$32,0)))*(1-IF(AND(ArtifactsInput!$M$27,Inputs!$B$4="Chapter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Skills!G17*IF(Skills!H17&gt;0,IF(Inputs!$B$38="pvp",MIN(Skills!I17,15),Skills!I17)/Skills!H17,1)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IFERROR(1/(IF(Inputs!$B$38="pvp",15,MAX(0.1,Skills!D17-IF(TRUE=TRUE,Inputs!$B$32,0)))*(1-IF(AND(ArtifactsInput!$M$27,Inputs!$B$4="Chapter Hunt"),CHOOSE(ArtifactsInput!$N$27+1,20,24,28,32,36,40),0)/100)),0)</f>
        <v/>
      </c>
      <c r="R466">
        <f>IF(AND(Inputs!$B$38&lt;&gt;"pvp",Inputs!$B$43&gt;0),IF(Inputs!$B$43&lt;=0,0,(INT(Inputs!$B$43/(IF(Inputs!$B$38="pvp",15,MAX(0.1,Skills!D17-IF(TRUE=TRUE,Inputs!$B$32,0)))*(1-IF(AND(ArtifactsInput!$M$27,Inputs!$B$4="Chapter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Skills!G18*IF(Skills!H18&gt;0,IF(Inputs!$B$38="pvp",MIN(Skills!I18,15),Skills!I18)/Skills!H18,1)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IFERROR(1/(IF(Inputs!$B$38="pvp",15,MAX(0.1,Skills!D18-IF(TRUE=TRUE,Inputs!$B$32,0)))*(1-IF(AND(ArtifactsInput!$M$27,Inputs!$B$4="Chapter Hunt"),CHOOSE(ArtifactsInput!$N$27+1,20,24,28,32,36,40),0)/100)),0)</f>
        <v/>
      </c>
      <c r="R467">
        <f>IF(AND(Inputs!$B$38&lt;&gt;"pvp",Inputs!$B$43&gt;0),IF(Inputs!$B$43&lt;=0,0,(INT(Inputs!$B$43/(IF(Inputs!$B$38="pvp",15,MAX(0.1,Skills!D18-IF(TRUE=TRUE,Inputs!$B$32,0)))*(1-IF(AND(ArtifactsInput!$M$27,Inputs!$B$4="Chapter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Skills!G19*IF(Skills!H19&gt;0,IF(Inputs!$B$38="pvp",MIN(Skills!I19,15),Skills!I19)/Skills!H19,1)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IFERROR(1/(IF(Inputs!$B$38="pvp",15,MAX(0.1,Skills!D19-IF(TRUE=TRUE,Inputs!$B$32,0)))*(1-IF(AND(ArtifactsInput!$M$27,Inputs!$B$4="Chapter Hunt"),CHOOSE(ArtifactsInput!$N$27+1,20,24,28,32,36,40),0)/100)),0)</f>
        <v/>
      </c>
      <c r="R468">
        <f>IF(AND(Inputs!$B$38&lt;&gt;"pvp",Inputs!$B$43&gt;0),IF(Inputs!$B$43&lt;=0,0,(INT(Inputs!$B$43/(IF(Inputs!$B$38="pvp",15,MAX(0.1,Skills!D19-IF(TRUE=TRUE,Inputs!$B$32,0)))*(1-IF(AND(ArtifactsInput!$M$27,Inputs!$B$4="Chapter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Skills!G20*IF(Skills!H20&gt;0,IF(Inputs!$B$38="pvp",MIN(Skills!I20,15),Skills!I20)/Skills!H20,1)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Skills!G21*IF(Skills!H21&gt;0,IF(Inputs!$B$38="pvp",MIN(Skills!I21,15),Skills!I21)/Skills!H21,1)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Skills!G22*IF(Skills!H22&gt;0,IF(Inputs!$B$38="pvp",MIN(Skills!I22,15),Skills!I22)/Skills!H22,1)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Skills!G23*IF(Skills!H23&gt;0,IF(Inputs!$B$38="pvp",MIN(Skills!I23,15),Skills!I23)/Skills!H23,1)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Skills!G24*IF(Skills!H24&gt;0,IF(Inputs!$B$38="pvp",MIN(Skills!I24,15),Skills!I24)/Skills!H24,1)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Skills!G25*IF(Skills!H25&gt;0,IF(Inputs!$B$38="pvp",MIN(Skills!I25,15),Skills!I25)/Skills!H25,1)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Skills!G26*IF(Skills!H26&gt;0,IF(Inputs!$B$38="pvp",MIN(Skills!I26,15),Skills!I26)/Skills!H26,1)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118,8,IF(Inputs!$B$3&gt;=110,7,5)))+((C464=TRUE)*F464*IF(AND(Inputs!$B$38&lt;&gt;"pvp",Inputs!$B$43&gt;0),(((R464-1)*MIN((Skills!T15*(1+(Inputs!$B$34+(ArtifactsInput!$M$7-ArtifactsInput!$M$7)*CHOOSE(ArtifactsInput!$N$7+1,6,7.2,8.4,9.6,10.8,12))/100)),(1/Q464))+MIN((Skills!T15*(1+(Inputs!$B$34+(ArtifactsInput!$M$7-ArtifactsInput!$M$7)*CHOOSE(ArtifactsInput!$N$7+1,6,7.2,8.4,9.6,10.8,12))/100)),MAX(0,Inputs!$B$43-((R464-1)*(1/Q464)))))/Inputs!$B$43),IF(Inputs!$B$38="pvp",MIN((Skills!T15*(1+(Inputs!$B$34+(ArtifactsInput!$M$7-ArtifactsInput!$M$7)*CHOOSE(ArtifactsInput!$N$7+1,6,7.2,8.4,9.6,10.8,12))/100)),15)/15,MIN(1,(Skills!T15*(1+(Inputs!$B$34+(ArtifactsInput!$M$7-ArtifactsInput!$M$7)*CHOOSE(ArtifactsInput!$N$7+1,6,7.2,8.4,9.6,10.8,12))/100))/(1/Q464)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MIN((Skills!T19*(1+(Inputs!$B$34+(ArtifactsInput!$M$7-ArtifactsInput!$M$7)*CHOOSE(ArtifactsInput!$N$7+1,6,7.2,8.4,9.6,10.8,12))/100)),(1/Q468))+MIN((Skills!T19*(1+(Inputs!$B$34+(ArtifactsInput!$M$7-ArtifactsInput!$M$7)*CHOOSE(ArtifactsInput!$N$7+1,6,7.2,8.4,9.6,10.8,12))/100)),MAX(0,Inputs!$B$43-((R468-1)*(1/Q468)))))/Inputs!$B$43),IF(Inputs!$B$38="pvp",MIN((Skills!T19*(1+(Inputs!$B$34+(ArtifactsInput!$M$7-ArtifactsInput!$M$7)*CHOOSE(ArtifactsInput!$N$7+1,6,7.2,8.4,9.6,10.8,12))/100)),15)/15,MIN(1,(Skills!T19*(1+(Inputs!$B$34+(ArtifactsInput!$M$7-ArtifactsInput!$M$7)*CHOOSE(ArtifactsInput!$N$7+1,6,7.2,8.4,9.6,10.8,12))/100))/(1/Q468)))))</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MIN((Skills!T18*(1+(Inputs!$B$34+(ArtifactsInput!$M$7-ArtifactsInput!$M$7)*CHOOSE(ArtifactsInput!$N$7+1,6,7.2,8.4,9.6,10.8,12))/100)),(1/Q467))+MIN((Skills!T18*(1+(Inputs!$B$34+(ArtifactsInput!$M$7-ArtifactsInput!$M$7)*CHOOSE(ArtifactsInput!$N$7+1,6,7.2,8.4,9.6,10.8,12))/100)),MAX(0,Inputs!$B$43-((R467-1)*(1/Q467)))))/Inputs!$B$43),IF(Inputs!$B$38="pvp",MIN((Skills!T18*(1+(Inputs!$B$34+(ArtifactsInput!$M$7-ArtifactsInput!$M$7)*CHOOSE(ArtifactsInput!$N$7+1,6,7.2,8.4,9.6,10.8,12))/100)),15)/15,MIN(1,(Skills!T18*(1+(Inputs!$B$34+(ArtifactsInput!$M$7-ArtifactsInput!$M$7)*CHOOSE(ArtifactsInput!$N$7+1,6,7.2,8.4,9.6,10.8,12))/100))/(1/Q467)))))</f>
        <v/>
      </c>
    </row>
    <row r="484">
      <c r="A484" t="inlineStr">
        <is>
          <t>Global Final Damage Bonus % (Enrage + Combo Synergy)</t>
        </is>
      </c>
      <c r="B484">
        <f>((C466=TRUE)*F466*IF(AND(Inputs!$B$38&lt;&gt;"pvp",Inputs!$B$43&gt;0),(((R466-1)*MIN((Skills!T17*(1+(Inputs!$B$34+(ArtifactsInput!$M$7-ArtifactsInput!$M$7)*CHOOSE(ArtifactsInput!$N$7+1,6,7.2,8.4,9.6,10.8,12))/100)),(1/Q466))+MIN((Skills!T17*(1+(Inputs!$B$34+(ArtifactsInput!$M$7-ArtifactsInput!$M$7)*CHOOSE(ArtifactsInput!$N$7+1,6,7.2,8.4,9.6,10.8,12))/100)),MAX(0,Inputs!$B$43-((R466-1)*(1/Q466)))))/Inputs!$B$43),IF(Inputs!$B$38="pvp",MIN((Skills!T17*(1+(Inputs!$B$34+(ArtifactsInput!$M$7-ArtifactsInput!$M$7)*CHOOSE(ArtifactsInput!$N$7+1,6,7.2,8.4,9.6,10.8,12))/100)),15)/15,MIN(1,(Skills!T17*(1+(Inputs!$B$34+(ArtifactsInput!$M$7-ArtifactsInput!$M$7)*CHOOSE(ArtifactsInput!$N$7+1,6,7.2,8.4,9.6,10.8,12))/100))/(1/Q466)))))+((C463=TRUE)*F463*IF(Inputs!$B$3&gt;=118,8,IF(Inputs!$B$3&gt;=110,7,5)))+IF(Inputs!$B$3&gt;=98,5,0)</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Skills!G2*IF(Skills!H2&gt;0,IF(Inputs!$B$38="pvp",MIN(Skills!I2,15),Skills!I2)/Skills!H2,1)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Skills!G5*IF(Skills!H5&gt;0,IF(Inputs!$B$38="pvp",MIN(Skills!I5,15),Skills!I5)/Skills!H5,1)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IFERROR(1/(IF(Inputs!$B$38="pvp",15,MAX(0.1,Skills!D5-IF(TRUE=TRUE,Inputs!$B$32,0)))*(1-IF(AND(ArtifactsInput!$M$27,Inputs!$B$4="Chapter Hunt"),CHOOSE(ArtifactsInput!$N$27+1,20,24,28,32,36,40),0)/100)),0)</f>
        <v/>
      </c>
      <c r="R496">
        <f>IF(AND(Inputs!$B$38&lt;&gt;"pvp",Inputs!$B$43&gt;0),IF(MAX(0,Inputs!$B$43-B527)&lt;=0,0,(INT(MAX(0,Inputs!$B$43-B527)/(IF(Inputs!$B$38="pvp",15,MAX(0.1,Skills!D5-IF(TRUE=TRUE,Inputs!$B$32,0)))*(1-IF(AND(ArtifactsInput!$M$27,Inputs!$B$4="Chapter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$20+0+Skills!P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TRUE=TRUE,Inputs!$B$32,0)))*(1-IF(AND(ArtifactsInput!$M$27,Inputs!$B$4="Chapter Hunt"),CHOOSE(ArtifactsInput!$N$27+1,20,24,28,32,36,40),0)/100)))))/Skills!H5,1)))/Inputs!$B$43),G496*Q496))*IF(Inputs!$B$38="pvp",1,(1+(Inputs!$B$21+Skills!Q5+(((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Skills!G6*IF(Skills!H6&gt;0,IF(Inputs!$B$38="pvp",MIN(Skills!I6,15),Skills!I6)/Skills!H6,1)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IFERROR(1/(IF(Inputs!$B$38="pvp",15,MAX(0.1,Skills!D6-IF(TRUE=TRUE,Inputs!$B$32,0)))*(1-IF(AND(ArtifactsInput!$M$27,Inputs!$B$4="Chapter Hunt"),CHOOSE(ArtifactsInput!$N$27+1,20,24,28,32,36,40),0)/100)),0)</f>
        <v/>
      </c>
      <c r="R497">
        <f>IF(AND(Inputs!$B$38&lt;&gt;"pvp",Inputs!$B$43&gt;0),IF(MAX(0,Inputs!$B$43-B527)&lt;=0,0,(INT(MAX(0,Inputs!$B$43-B527)/(IF(Inputs!$B$38="pvp",15,MAX(0.1,Skills!D6-IF(TRUE=TRUE,Inputs!$B$32,0)))*(1-IF(AND(ArtifactsInput!$M$27,Inputs!$B$4="Chapter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$20+0+Skills!P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TRUE=TRUE,Inputs!$B$32,0)))*(1-IF(AND(ArtifactsInput!$M$27,Inputs!$B$4="Chapter Hunt"),CHOOSE(ArtifactsInput!$N$27+1,20,24,28,32,36,40),0)/100)))))/Skills!H6,1)))/Inputs!$B$43),G497*Q497))*IF(Inputs!$B$38="pvp",1,(1+(Inputs!$B$21+Skills!Q6+(((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Skills!G7*IF(Skills!H7&gt;0,IF(Inputs!$B$38="pvp",MIN(Skills!I7,15),Skills!I7)/Skills!H7,1)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IFERROR(1/(IF(Inputs!$B$38="pvp",15,MAX(0.1,Skills!D7-IF(TRUE=TRUE,Inputs!$B$32,0)))*(1-IF(AND(ArtifactsInput!$M$27,Inputs!$B$4="Chapter Hunt"),CHOOSE(ArtifactsInput!$N$27+1,20,24,28,32,36,40),0)/100)),0)</f>
        <v/>
      </c>
      <c r="R498">
        <f>IF(AND(Inputs!$B$38&lt;&gt;"pvp",Inputs!$B$43&gt;0),IF(MAX(0,Inputs!$B$43-B527)&lt;=0,0,(INT(MAX(0,Inputs!$B$43-B527)/(IF(Inputs!$B$38="pvp",15,MAX(0.1,Skills!D7-IF(TRUE=TRUE,Inputs!$B$32,0)))*(1-IF(AND(ArtifactsInput!$M$27,Inputs!$B$4="Chapter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$20+0+Skills!P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TRUE=TRUE,Inputs!$B$32,0)))*(1-IF(AND(ArtifactsInput!$M$27,Inputs!$B$4="Chapter Hunt"),CHOOSE(ArtifactsInput!$N$27+1,20,24,28,32,36,40),0)/100)))))/Skills!H7,1)))/Inputs!$B$43),G498*Q498))*IF(Inputs!$B$38="pvp",1,(1+(Inputs!$B$21+Skills!Q7+(((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Skills!G8*IF(Skills!H8&gt;0,IF(Inputs!$B$38="pvp",MIN(Skills!I8,15),Skills!I8)/Skills!H8,1)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IFERROR(1/(IF(Inputs!$B$38="pvp",15,MAX(0.1,Skills!D8-IF(TRUE=TRUE,Inputs!$B$32,0)))*(1-IF(AND(ArtifactsInput!$M$27,Inputs!$B$4="Chapter Hunt"),CHOOSE(ArtifactsInput!$N$27+1,20,24,28,32,36,40),0)/100)),0)</f>
        <v/>
      </c>
      <c r="R499">
        <f>IF(AND(Inputs!$B$38&lt;&gt;"pvp",Inputs!$B$43&gt;0),IF(MAX(0,Inputs!$B$43-B527)&lt;=0,0,(INT(MAX(0,Inputs!$B$43-B527)/(IF(Inputs!$B$38="pvp",15,MAX(0.1,Skills!D8-IF(TRUE=TRUE,Inputs!$B$32,0)))*(1-IF(AND(ArtifactsInput!$M$27,Inputs!$B$4="Chapter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$20+0+Skills!P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TRUE=TRUE,Inputs!$B$32,0)))*(1-IF(AND(ArtifactsInput!$M$27,Inputs!$B$4="Chapter Hunt"),CHOOSE(ArtifactsInput!$N$27+1,20,24,28,32,36,40),0)/100)))))/Skills!H8,1)))/Inputs!$B$43),G499*Q499))*IF(Inputs!$B$38="pvp",1,(1+(Inputs!$B$21+Skills!Q8+(((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Skills!G9*IF(Skills!H9&gt;0,IF(Inputs!$B$38="pvp",MIN(Skills!I9,15),Skills!I9)/Skills!H9,1)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138,MAX(0,IF(Inputs!$B$3&gt;=118,8,IF(Inputs!$B$3&gt;=110,7,5))-5)*50,0),0)/100)*(1+(IF(Skills!A9="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IFERROR(1/(IF(Inputs!$B$38="pvp",15,MAX(0.1,Skills!D9-IF(TRUE=TRUE,Inputs!$B$32,0)))*(1-IF(AND(ArtifactsInput!$M$27,Inputs!$B$4="Chapter Hunt"),CHOOSE(ArtifactsInput!$N$27+1,20,24,28,32,36,40),0)/100)),0)</f>
        <v/>
      </c>
      <c r="R500">
        <f>IF(AND(Inputs!$B$38&lt;&gt;"pvp",Inputs!$B$43&gt;0),IF(MAX(0,Inputs!$B$43-B527)&lt;=0,0,(INT(MAX(0,Inputs!$B$43-B527)/(IF(Inputs!$B$38="pvp",15,MAX(0.1,Skills!D9-IF(TRUE=TRUE,Inputs!$B$32,0)))*(1-IF(AND(ArtifactsInput!$M$27,Inputs!$B$4="Chapter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TRUE=TRUE,Inputs!$B$32,0)))*(1-IF(AND(ArtifactsInput!$M$27,Inputs!$B$4="Chapter Hunt"),CHOOSE(ArtifactsInput!$N$27+1,20,24,28,32,36,40),0)/100)))))/Skills!H9,1)))/Inputs!$B$43),G500*Q500))*IF(Inputs!$B$38="pvp",1,1+(Inputs!$B$20+0+Skills!P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TRUE=TRUE,Inputs!$B$32,0)))*(1-IF(AND(ArtifactsInput!$M$27,Inputs!$B$4="Chapter Hunt"),CHOOSE(ArtifactsInput!$N$27+1,20,24,28,32,36,40),0)/100)))))/Skills!H9,1)))/Inputs!$B$43),G500*Q500))*IF(Inputs!$B$38="pvp",1,(1+(Inputs!$B$21+Skills!Q9+(((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Skills!G10*IF(Skills!H10&gt;0,IF(Inputs!$B$38="pvp",MIN(Skills!I10,15),Skills!I10)/Skills!H10,1)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138,MAX(0,IF(Inputs!$B$3&gt;=118,8,IF(Inputs!$B$3&gt;=110,7,5))-5)*50,0),0)/100)*(1+(IF(Skills!A10="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IFERROR(1/(IF(Inputs!$B$38="pvp",15,MAX(0.1,Skills!D10-IF(TRUE=TRUE,Inputs!$B$32,0)))*(1-IF(AND(ArtifactsInput!$M$27,Inputs!$B$4="Chapter Hunt"),CHOOSE(ArtifactsInput!$N$27+1,20,24,28,32,36,40),0)/100)),0)</f>
        <v/>
      </c>
      <c r="R501">
        <f>IF(AND(Inputs!$B$38&lt;&gt;"pvp",Inputs!$B$43&gt;0),IF(MAX(0,Inputs!$B$43-B527)&lt;=0,0,(INT(MAX(0,Inputs!$B$43-B527)/(IF(Inputs!$B$38="pvp",15,MAX(0.1,Skills!D10-IF(TRUE=TRUE,Inputs!$B$32,0)))*(1-IF(AND(ArtifactsInput!$M$27,Inputs!$B$4="Chapter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$20+0+Skills!P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TRUE=TRUE,Inputs!$B$32,0)))*(1-IF(AND(ArtifactsInput!$M$27,Inputs!$B$4="Chapter Hunt"),CHOOSE(ArtifactsInput!$N$27+1,20,24,28,32,36,40),0)/100)))))/Skills!H10,1)))/Inputs!$B$43),G501*Q501))*IF(Inputs!$B$38="pvp",1,(1+(Inputs!$B$21+Skills!Q10+(((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Skills!G11*IF(Skills!H11&gt;0,IF(Inputs!$B$38="pvp",MIN(Skills!I11,15),Skills!I11)/Skills!H11,1)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(100-(100-((Inputs!$B$19+0)))*(1-IF(Inputs!$B$3&gt;=130,IF(Inputs!$B$3&gt;=118,8,IF(Inputs!$B$3&gt;=110,7,5)),0)/100)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138,MAX(0,IF(Inputs!$B$3&gt;=118,8,IF(Inputs!$B$3&gt;=110,7,5))-5)*50,0),0)/100)*(1+(IF(Skills!A11="RAGING_BLOW",Inputs!$B$17+((C512=TRUE)*(F512-Calc!F21))+((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IFERROR(1/(IF(Inputs!$B$38="pvp",15,MAX(0.1,Skills!D11-IF(TRUE=TRUE,Inputs!$B$32,0)))*(1-IF(AND(ArtifactsInput!$M$27,Inputs!$B$4="Chapter Hunt"),CHOOSE(ArtifactsInput!$N$27+1,20,24,28,32,36,40),0)/100)),0)</f>
        <v/>
      </c>
      <c r="R502">
        <f>IF(AND(Inputs!$B$38&lt;&gt;"pvp",Inputs!$B$43&gt;0),IF(MAX(0,Inputs!$B$43-B527)&lt;=0,0,(INT(MAX(0,Inputs!$B$43-B527)/(IF(Inputs!$B$38="pvp",15,MAX(0.1,Skills!D11-IF(TRUE=TRUE,Inputs!$B$32,0)))*(1-IF(AND(ArtifactsInput!$M$27,Inputs!$B$4="Chapter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$20+0+Skills!P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Inputs!$B$38&lt;&gt;"pvp",Inputs!$B$43=0),1,IF(IF(Inputs!$B$38="pvp",15,Inputs!$B$43)-(B527)&lt;=0,1,MAX(0,IF(Inputs!$B$38="pvp",15,Inputs!$B$43)-MAX(5,B527))/(IF(Inputs!$B$38="pvp",15,Inputs!$B$43)-(B527))))*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TRUE=TRUE,Inputs!$B$32,0)))*(1-IF(AND(ArtifactsInput!$M$27,Inputs!$B$4="Chapter Hunt"),CHOOSE(ArtifactsInput!$N$27+1,20,24,28,32,36,40),0)/100)))))/Skills!H11,1)))/Inputs!$B$43),G502*Q502))*IF(Inputs!$B$38="pvp",1,(1+(Inputs!$B$21+Skills!Q11+(((C507=TRUE)*F507*(Skills!J16/100)*IF(AND(Inputs!$B$38&lt;&gt;"pvp",Inputs!$B$43&gt;0),(((R507-1)*MIN((Skills!T16*(1+(Inputs!$B$34+(ArtifactsInput!$M$7-ArtifactsInput!$M$7)*CHOOSE(ArtifactsInput!$N$7+1,6,7.2,8.4,9.6,10.8,12))/100)),(1/Q507))+MIN((Skills!T16*(1+(Inputs!$B$34+(ArtifactsInput!$M$7-ArtifactsInput!$M$7)*CHOOSE(ArtifactsInput!$N$7+1,6,7.2,8.4,9.6,10.8,12))/100)),MAX(0,Inputs!$B$43-((R507-1)*(1/Q507)))))/Inputs!$B$43),IF(Inputs!$B$38="pvp",MIN((Skills!T16*(1+(Inputs!$B$34+(ArtifactsInput!$M$7-ArtifactsInput!$M$7)*CHOOSE(ArtifactsInput!$N$7+1,6,7.2,8.4,9.6,10.8,12))/100)),15)/15,MIN(1,(Skills!T16*(1+(Inputs!$B$34+(ArtifactsInput!$M$7-ArtifactsInput!$M$7)*CHOOSE(ArtifactsInput!$N$7+1,6,7.2,8.4,9.6,10.8,12))/100))/(1/Q507)))))+((C499=TRUE)*IF(Inputs!$B$3&gt;=126,10*MIN(1,15*Q499),0))+((C496=TRUE)*((100/10)*(INDEX(FactorTable!$B$2:$Y$301,MATCH(ROUND(MIN(300,MAX(1,MAX(0,(Inputs!$B$3-100)*3)+Inputs!$B$28+Inputs!$B$29)),0),FactorTable!$A$2:$A$301,0),22)/1000))*(1+IF(Inputs!$B$3&gt;=134,0.5,0))*MIN(1,10*(1+(Inputs!$B$34+(ArtifactsInput!$M$7-ArtifactsInput!$M$7)*CHOOSE(ArtifactsInput!$N$7+1,6,7.2,8.4,9.6,10.8,12))/100)*Q496)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Skills!G13*IF(Skills!H13&gt;0,IF(Inputs!$B$38="pvp",MIN(Skills!I13,15),Skills!I13)/Skills!H13,1)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Skills!G14*IF(Skills!H14&gt;0,IF(Inputs!$B$38="pvp",MIN(Skills!I14,15),Skills!I14)/Skills!H14,1)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Skills!G15*IF(Skills!H15&gt;0,IF(Inputs!$B$38="pvp",MIN(Skills!I15,15),Skills!I15)/Skills!H15,1)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IFERROR(1/(IF(Inputs!$B$38="pvp",15,MAX(0.1,Skills!D15-IF(TRUE=TRUE,Inputs!$B$32,0)))*(1-IF(AND(ArtifactsInput!$M$27,Inputs!$B$4="Chapter Hunt"),CHOOSE(ArtifactsInput!$N$27+1,20,24,28,32,36,40),0)/100)),0)</f>
        <v/>
      </c>
      <c r="R506">
        <f>IF(AND(Inputs!$B$38&lt;&gt;"pvp",Inputs!$B$43&gt;0),IF(Inputs!$B$43&lt;=0,0,(INT(Inputs!$B$43/(IF(Inputs!$B$38="pvp",15,MAX(0.1,Skills!D15-IF(TRUE=TRUE,Inputs!$B$32,0)))*(1-IF(AND(ArtifactsInput!$M$27,Inputs!$B$4="Chapter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Skills!G16*IF(Skills!H16&gt;0,IF(Inputs!$B$38="pvp",MIN(Skills!I16,15),Skills!I16)/Skills!H16,1)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IFERROR(1/(IF(Inputs!$B$38="pvp",15,MAX(0.1,Skills!D16-IF(TRUE=TRUE,Inputs!$B$32,0)))*(1-IF(AND(ArtifactsInput!$M$27,Inputs!$B$4="Chapter Hunt"),CHOOSE(ArtifactsInput!$N$27+1,20,24,28,32,36,40),0)/100)),0)</f>
        <v/>
      </c>
      <c r="R507">
        <f>IF(AND(Inputs!$B$38&lt;&gt;"pvp",Inputs!$B$43&gt;0),IF(Inputs!$B$43&lt;=0,0,(INT(Inputs!$B$43/(IF(Inputs!$B$38="pvp",15,MAX(0.1,Skills!D16-IF(TRUE=TRUE,Inputs!$B$32,0)))*(1-IF(AND(ArtifactsInput!$M$27,Inputs!$B$4="Chapter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Skills!G17*IF(Skills!H17&gt;0,IF(Inputs!$B$38="pvp",MIN(Skills!I17,15),Skills!I17)/Skills!H17,1)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IFERROR(1/(IF(Inputs!$B$38="pvp",15,MAX(0.1,Skills!D17-IF(TRUE=TRUE,Inputs!$B$32,0)))*(1-IF(AND(ArtifactsInput!$M$27,Inputs!$B$4="Chapter Hunt"),CHOOSE(ArtifactsInput!$N$27+1,20,24,28,32,36,40),0)/100)),0)</f>
        <v/>
      </c>
      <c r="R508">
        <f>IF(AND(Inputs!$B$38&lt;&gt;"pvp",Inputs!$B$43&gt;0),IF(Inputs!$B$43&lt;=0,0,(INT(Inputs!$B$43/(IF(Inputs!$B$38="pvp",15,MAX(0.1,Skills!D17-IF(TRUE=TRUE,Inputs!$B$32,0)))*(1-IF(AND(ArtifactsInput!$M$27,Inputs!$B$4="Chapter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Skills!G18*IF(Skills!H18&gt;0,IF(Inputs!$B$38="pvp",MIN(Skills!I18,15),Skills!I18)/Skills!H18,1)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IFERROR(1/(IF(Inputs!$B$38="pvp",15,MAX(0.1,Skills!D18-IF(TRUE=TRUE,Inputs!$B$32,0)))*(1-IF(AND(ArtifactsInput!$M$27,Inputs!$B$4="Chapter Hunt"),CHOOSE(ArtifactsInput!$N$27+1,20,24,28,32,36,40),0)/100)),0)</f>
        <v/>
      </c>
      <c r="R509">
        <f>IF(AND(Inputs!$B$38&lt;&gt;"pvp",Inputs!$B$43&gt;0),IF(Inputs!$B$43&lt;=0,0,(INT(Inputs!$B$43/(IF(Inputs!$B$38="pvp",15,MAX(0.1,Skills!D18-IF(TRUE=TRUE,Inputs!$B$32,0)))*(1-IF(AND(ArtifactsInput!$M$27,Inputs!$B$4="Chapter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Skills!G19*IF(Skills!H19&gt;0,IF(Inputs!$B$38="pvp",MIN(Skills!I19,15),Skills!I19)/Skills!H19,1)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IFERROR(1/(IF(Inputs!$B$38="pvp",15,MAX(0.1,Skills!D19-IF(TRUE=TRUE,Inputs!$B$32,0)))*(1-IF(AND(ArtifactsInput!$M$27,Inputs!$B$4="Chapter Hunt"),CHOOSE(ArtifactsInput!$N$27+1,20,24,28,32,36,40),0)/100)),0)</f>
        <v/>
      </c>
      <c r="R510">
        <f>IF(AND(Inputs!$B$38&lt;&gt;"pvp",Inputs!$B$43&gt;0),IF(Inputs!$B$43&lt;=0,0,(INT(Inputs!$B$43/(IF(Inputs!$B$38="pvp",15,MAX(0.1,Skills!D19-IF(TRUE=TRUE,Inputs!$B$32,0)))*(1-IF(AND(ArtifactsInput!$M$27,Inputs!$B$4="Chapter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Skills!G20*IF(Skills!H20&gt;0,IF(Inputs!$B$38="pvp",MIN(Skills!I20,15),Skills!I20)/Skills!H20,1)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Skills!G21*IF(Skills!H21&gt;0,IF(Inputs!$B$38="pvp",MIN(Skills!I21,15),Skills!I21)/Skills!H21,1)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Skills!G22*IF(Skills!H22&gt;0,IF(Inputs!$B$38="pvp",MIN(Skills!I22,15),Skills!I22)/Skills!H22,1)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Skills!G23*IF(Skills!H23&gt;0,IF(Inputs!$B$38="pvp",MIN(Skills!I23,15),Skills!I23)/Skills!H23,1)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Skills!G24*IF(Skills!H24&gt;0,IF(Inputs!$B$38="pvp",MIN(Skills!I24,15),Skills!I24)/Skills!H24,1)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Skills!G25*IF(Skills!H25&gt;0,IF(Inputs!$B$38="pvp",MIN(Skills!I25,15),Skills!I25)/Skills!H25,1)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Skills!G26*IF(Skills!H26&gt;0,IF(Inputs!$B$38="pvp",MIN(Skills!I26,15),Skills!I26)/Skills!H26,1)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118,8,IF(Inputs!$B$3&gt;=110,7,5)))+((C506=TRUE)*F506*IF(AND(Inputs!$B$38&lt;&gt;"pvp",Inputs!$B$43&gt;0),(((R506-1)*MIN((Skills!T15*(1+(Inputs!$B$34+(ArtifactsInput!$M$7-ArtifactsInput!$M$7)*CHOOSE(ArtifactsInput!$N$7+1,6,7.2,8.4,9.6,10.8,12))/100)),(1/Q506))+MIN((Skills!T15*(1+(Inputs!$B$34+(ArtifactsInput!$M$7-ArtifactsInput!$M$7)*CHOOSE(ArtifactsInput!$N$7+1,6,7.2,8.4,9.6,10.8,12))/100)),MAX(0,Inputs!$B$43-((R506-1)*(1/Q506)))))/Inputs!$B$43),IF(Inputs!$B$38="pvp",MIN((Skills!T15*(1+(Inputs!$B$34+(ArtifactsInput!$M$7-ArtifactsInput!$M$7)*CHOOSE(ArtifactsInput!$N$7+1,6,7.2,8.4,9.6,10.8,12))/100)),15)/15,MIN(1,(Skills!T15*(1+(Inputs!$B$34+(ArtifactsInput!$M$7-ArtifactsInput!$M$7)*CHOOSE(ArtifactsInput!$N$7+1,6,7.2,8.4,9.6,10.8,12))/100))/(1/Q506)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MIN((Skills!T19*(1+(Inputs!$B$34+(ArtifactsInput!$M$7-ArtifactsInput!$M$7)*CHOOSE(ArtifactsInput!$N$7+1,6,7.2,8.4,9.6,10.8,12))/100)),(1/Q510))+MIN((Skills!T19*(1+(Inputs!$B$34+(ArtifactsInput!$M$7-ArtifactsInput!$M$7)*CHOOSE(ArtifactsInput!$N$7+1,6,7.2,8.4,9.6,10.8,12))/100)),MAX(0,Inputs!$B$43-((R510-1)*(1/Q510)))))/Inputs!$B$43),IF(Inputs!$B$38="pvp",MIN((Skills!T19*(1+(Inputs!$B$34+(ArtifactsInput!$M$7-ArtifactsInput!$M$7)*CHOOSE(ArtifactsInput!$N$7+1,6,7.2,8.4,9.6,10.8,12))/100)),15)/15,MIN(1,(Skills!T19*(1+(Inputs!$B$34+(ArtifactsInput!$M$7-ArtifactsInput!$M$7)*CHOOSE(ArtifactsInput!$N$7+1,6,7.2,8.4,9.6,10.8,12))/100))/(1/Q510)))))</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MIN((Skills!T18*(1+(Inputs!$B$34+(ArtifactsInput!$M$7-ArtifactsInput!$M$7)*CHOOSE(ArtifactsInput!$N$7+1,6,7.2,8.4,9.6,10.8,12))/100)),(1/Q509))+MIN((Skills!T18*(1+(Inputs!$B$34+(ArtifactsInput!$M$7-ArtifactsInput!$M$7)*CHOOSE(ArtifactsInput!$N$7+1,6,7.2,8.4,9.6,10.8,12))/100)),MAX(0,Inputs!$B$43-((R509-1)*(1/Q509)))))/Inputs!$B$43),IF(Inputs!$B$38="pvp",MIN((Skills!T18*(1+(Inputs!$B$34+(ArtifactsInput!$M$7-ArtifactsInput!$M$7)*CHOOSE(ArtifactsInput!$N$7+1,6,7.2,8.4,9.6,10.8,12))/100)),15)/15,MIN(1,(Skills!T18*(1+(Inputs!$B$34+(ArtifactsInput!$M$7-ArtifactsInput!$M$7)*CHOOSE(ArtifactsInput!$N$7+1,6,7.2,8.4,9.6,10.8,12))/100))/(1/Q509)))))</f>
        <v/>
      </c>
    </row>
    <row r="526">
      <c r="A526" t="inlineStr">
        <is>
          <t>Global Final Damage Bonus % (Enrage + Combo Synergy)</t>
        </is>
      </c>
      <c r="B526">
        <f>((C508=TRUE)*F508*IF(AND(Inputs!$B$38&lt;&gt;"pvp",Inputs!$B$43&gt;0),(((R508-1)*MIN((Skills!T17*(1+(Inputs!$B$34+(ArtifactsInput!$M$7-ArtifactsInput!$M$7)*CHOOSE(ArtifactsInput!$N$7+1,6,7.2,8.4,9.6,10.8,12))/100)),(1/Q508))+MIN((Skills!T17*(1+(Inputs!$B$34+(ArtifactsInput!$M$7-ArtifactsInput!$M$7)*CHOOSE(ArtifactsInput!$N$7+1,6,7.2,8.4,9.6,10.8,12))/100)),MAX(0,Inputs!$B$43-((R508-1)*(1/Q508)))))/Inputs!$B$43),IF(Inputs!$B$38="pvp",MIN((Skills!T17*(1+(Inputs!$B$34+(ArtifactsInput!$M$7-ArtifactsInput!$M$7)*CHOOSE(ArtifactsInput!$N$7+1,6,7.2,8.4,9.6,10.8,12))/100)),15)/15,MIN(1,(Skills!T17*(1+(Inputs!$B$34+(ArtifactsInput!$M$7-ArtifactsInput!$M$7)*CHOOSE(ArtifactsInput!$N$7+1,6,7.2,8.4,9.6,10.8,12))/100))/(1/Q508)))))+((C505=TRUE)*F505*IF(Inputs!$B$3&gt;=118,8,IF(Inputs!$B$3&gt;=110,7,5)))+IF(Inputs!$B$3&gt;=98,5,0)</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Skills!G2*IF(Skills!H2&gt;0,IF(Inputs!$B$38="pvp",MIN(Skills!I2,15),Skills!I2)/Skills!H2,1)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Skills!G5*IF(Skills!H5&gt;0,IF(Inputs!$B$38="pvp",MIN(Skills!I5,15),Skills!I5)/Skills!H5,1)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IFERROR(1/(IF(Inputs!$B$38="pvp",15,MAX(0.1,Skills!D5-IF(TRUE=TRUE,Inputs!$B$32,0)))*(1-IF(AND(ArtifactsInput!$M$27,Inputs!$B$4="Chapter Hunt"),CHOOSE(ArtifactsInput!$N$27+1,20,24,28,32,36,40),0)/100)),0)</f>
        <v/>
      </c>
      <c r="R538">
        <f>IF(AND(Inputs!$B$38&lt;&gt;"pvp",Inputs!$B$43&gt;0),IF(MAX(0,Inputs!$B$43-B569)&lt;=0,0,(INT(MAX(0,Inputs!$B$43-B569)/(IF(Inputs!$B$38="pvp",15,MAX(0.1,Skills!D5-IF(TRUE=TRUE,Inputs!$B$32,0)))*(1-IF(AND(ArtifactsInput!$M$27,Inputs!$B$4="Chapter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$20+0+Skills!P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TRUE=TRUE,Inputs!$B$32,0)))*(1-IF(AND(ArtifactsInput!$M$27,Inputs!$B$4="Chapter Hunt"),CHOOSE(ArtifactsInput!$N$27+1,20,24,28,32,36,40),0)/100)))))/Skills!H5,1)))/Inputs!$B$43),G538*Q538))*IF(Inputs!$B$38="pvp",1,(1+(Inputs!$B$21+Skills!Q5+(((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Skills!G6*IF(Skills!H6&gt;0,IF(Inputs!$B$38="pvp",MIN(Skills!I6,15),Skills!I6)/Skills!H6,1)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IFERROR(1/(IF(Inputs!$B$38="pvp",15,MAX(0.1,Skills!D6-IF(TRUE=TRUE,Inputs!$B$32,0)))*(1-IF(AND(ArtifactsInput!$M$27,Inputs!$B$4="Chapter Hunt"),CHOOSE(ArtifactsInput!$N$27+1,20,24,28,32,36,40),0)/100)),0)</f>
        <v/>
      </c>
      <c r="R539">
        <f>IF(AND(Inputs!$B$38&lt;&gt;"pvp",Inputs!$B$43&gt;0),IF(MAX(0,Inputs!$B$43-B569)&lt;=0,0,(INT(MAX(0,Inputs!$B$43-B569)/(IF(Inputs!$B$38="pvp",15,MAX(0.1,Skills!D6-IF(TRUE=TRUE,Inputs!$B$32,0)))*(1-IF(AND(ArtifactsInput!$M$27,Inputs!$B$4="Chapter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$20+0+Skills!P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TRUE=TRUE,Inputs!$B$32,0)))*(1-IF(AND(ArtifactsInput!$M$27,Inputs!$B$4="Chapter Hunt"),CHOOSE(ArtifactsInput!$N$27+1,20,24,28,32,36,40),0)/100)))))/Skills!H6,1)))/Inputs!$B$43),G539*Q539))*IF(Inputs!$B$38="pvp",1,(1+(Inputs!$B$21+Skills!Q6+(((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Skills!G7*IF(Skills!H7&gt;0,IF(Inputs!$B$38="pvp",MIN(Skills!I7,15),Skills!I7)/Skills!H7,1)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IFERROR(1/(IF(Inputs!$B$38="pvp",15,MAX(0.1,Skills!D7-IF(TRUE=TRUE,Inputs!$B$32,0)))*(1-IF(AND(ArtifactsInput!$M$27,Inputs!$B$4="Chapter Hunt"),CHOOSE(ArtifactsInput!$N$27+1,20,24,28,32,36,40),0)/100)),0)</f>
        <v/>
      </c>
      <c r="R540">
        <f>IF(AND(Inputs!$B$38&lt;&gt;"pvp",Inputs!$B$43&gt;0),IF(MAX(0,Inputs!$B$43-B569)&lt;=0,0,(INT(MAX(0,Inputs!$B$43-B569)/(IF(Inputs!$B$38="pvp",15,MAX(0.1,Skills!D7-IF(TRUE=TRUE,Inputs!$B$32,0)))*(1-IF(AND(ArtifactsInput!$M$27,Inputs!$B$4="Chapter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$20+0+Skills!P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TRUE=TRUE,Inputs!$B$32,0)))*(1-IF(AND(ArtifactsInput!$M$27,Inputs!$B$4="Chapter Hunt"),CHOOSE(ArtifactsInput!$N$27+1,20,24,28,32,36,40),0)/100)))))/Skills!H7,1)))/Inputs!$B$43),G540*Q540))*IF(Inputs!$B$38="pvp",1,(1+(Inputs!$B$21+Skills!Q7+(((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Skills!G8*IF(Skills!H8&gt;0,IF(Inputs!$B$38="pvp",MIN(Skills!I8,15),Skills!I8)/Skills!H8,1)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IFERROR(1/(IF(Inputs!$B$38="pvp",15,MAX(0.1,Skills!D8-IF(TRUE=TRUE,Inputs!$B$32,0)))*(1-IF(AND(ArtifactsInput!$M$27,Inputs!$B$4="Chapter Hunt"),CHOOSE(ArtifactsInput!$N$27+1,20,24,28,32,36,40),0)/100)),0)</f>
        <v/>
      </c>
      <c r="R541">
        <f>IF(AND(Inputs!$B$38&lt;&gt;"pvp",Inputs!$B$43&gt;0),IF(MAX(0,Inputs!$B$43-B569)&lt;=0,0,(INT(MAX(0,Inputs!$B$43-B569)/(IF(Inputs!$B$38="pvp",15,MAX(0.1,Skills!D8-IF(TRUE=TRUE,Inputs!$B$32,0)))*(1-IF(AND(ArtifactsInput!$M$27,Inputs!$B$4="Chapter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$20+0+Skills!P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TRUE=TRUE,Inputs!$B$32,0)))*(1-IF(AND(ArtifactsInput!$M$27,Inputs!$B$4="Chapter Hunt"),CHOOSE(ArtifactsInput!$N$27+1,20,24,28,32,36,40),0)/100)))))/Skills!H8,1)))/Inputs!$B$43),G541*Q541))*IF(Inputs!$B$38="pvp",1,(1+(Inputs!$B$21+Skills!Q8+(((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Skills!G9*IF(Skills!H9&gt;0,IF(Inputs!$B$38="pvp",MIN(Skills!I9,15),Skills!I9)/Skills!H9,1)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138,MAX(0,IF(Inputs!$B$3&gt;=118,8,IF(Inputs!$B$3&gt;=110,7,5))-5)*50,0),0)/100)*(1+(IF(Skills!A9="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IFERROR(1/(IF(Inputs!$B$38="pvp",15,MAX(0.1,Skills!D9-IF(TRUE=TRUE,Inputs!$B$32,0)))*(1-IF(AND(ArtifactsInput!$M$27,Inputs!$B$4="Chapter Hunt"),CHOOSE(ArtifactsInput!$N$27+1,20,24,28,32,36,40),0)/100)),0)</f>
        <v/>
      </c>
      <c r="R542">
        <f>IF(AND(Inputs!$B$38&lt;&gt;"pvp",Inputs!$B$43&gt;0),IF(MAX(0,Inputs!$B$43-B569)&lt;=0,0,(INT(MAX(0,Inputs!$B$43-B569)/(IF(Inputs!$B$38="pvp",15,MAX(0.1,Skills!D9-IF(TRUE=TRUE,Inputs!$B$32,0)))*(1-IF(AND(ArtifactsInput!$M$27,Inputs!$B$4="Chapter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TRUE=TRUE,Inputs!$B$32,0)))*(1-IF(AND(ArtifactsInput!$M$27,Inputs!$B$4="Chapter Hunt"),CHOOSE(ArtifactsInput!$N$27+1,20,24,28,32,36,40),0)/100)))))/Skills!H9,1)))/Inputs!$B$43),G542*Q542))*IF(Inputs!$B$38="pvp",1,1+(Inputs!$B$20+0+Skills!P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TRUE=TRUE,Inputs!$B$32,0)))*(1-IF(AND(ArtifactsInput!$M$27,Inputs!$B$4="Chapter Hunt"),CHOOSE(ArtifactsInput!$N$27+1,20,24,28,32,36,40),0)/100)))))/Skills!H9,1)))/Inputs!$B$43),G542*Q542))*IF(Inputs!$B$38="pvp",1,(1+(Inputs!$B$21+Skills!Q9+(((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Skills!G10*IF(Skills!H10&gt;0,IF(Inputs!$B$38="pvp",MIN(Skills!I10,15),Skills!I10)/Skills!H10,1)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138,MAX(0,IF(Inputs!$B$3&gt;=118,8,IF(Inputs!$B$3&gt;=110,7,5))-5)*50,0),0)/100)*(1+(IF(Skills!A10="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IFERROR(1/(IF(Inputs!$B$38="pvp",15,MAX(0.1,Skills!D10-IF(TRUE=TRUE,Inputs!$B$32,0)))*(1-IF(AND(ArtifactsInput!$M$27,Inputs!$B$4="Chapter Hunt"),CHOOSE(ArtifactsInput!$N$27+1,20,24,28,32,36,40),0)/100)),0)</f>
        <v/>
      </c>
      <c r="R543">
        <f>IF(AND(Inputs!$B$38&lt;&gt;"pvp",Inputs!$B$43&gt;0),IF(MAX(0,Inputs!$B$43-B569)&lt;=0,0,(INT(MAX(0,Inputs!$B$43-B569)/(IF(Inputs!$B$38="pvp",15,MAX(0.1,Skills!D10-IF(TRUE=TRUE,Inputs!$B$32,0)))*(1-IF(AND(ArtifactsInput!$M$27,Inputs!$B$4="Chapter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$20+0+Skills!P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TRUE=TRUE,Inputs!$B$32,0)))*(1-IF(AND(ArtifactsInput!$M$27,Inputs!$B$4="Chapter Hunt"),CHOOSE(ArtifactsInput!$N$27+1,20,24,28,32,36,40),0)/100)))))/Skills!H10,1)))/Inputs!$B$43),G543*Q543))*IF(Inputs!$B$38="pvp",1,(1+(Inputs!$B$21+Skills!Q10+(((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Skills!G11*IF(Skills!H11&gt;0,IF(Inputs!$B$38="pvp",MIN(Skills!I11,15),Skills!I11)/Skills!H11,1)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(100-(100-((Inputs!$B$19+0)))*(1-IF(Inputs!$B$3&gt;=130,IF(Inputs!$B$3&gt;=118,8,IF(Inputs!$B$3&gt;=110,7,5)),0)/100)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138,MAX(0,IF(Inputs!$B$3&gt;=118,8,IF(Inputs!$B$3&gt;=110,7,5))-5)*50,0),0)/100)*(1+(IF(Skills!A11="RAGING_BLOW",Inputs!$B$17+((C554=TRUE)*(F554-Calc!F21))+((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IFERROR(1/(IF(Inputs!$B$38="pvp",15,MAX(0.1,Skills!D11-IF(TRUE=TRUE,Inputs!$B$32,0)))*(1-IF(AND(ArtifactsInput!$M$27,Inputs!$B$4="Chapter Hunt"),CHOOSE(ArtifactsInput!$N$27+1,20,24,28,32,36,40),0)/100)),0)</f>
        <v/>
      </c>
      <c r="R544">
        <f>IF(AND(Inputs!$B$38&lt;&gt;"pvp",Inputs!$B$43&gt;0),IF(MAX(0,Inputs!$B$43-B569)&lt;=0,0,(INT(MAX(0,Inputs!$B$43-B569)/(IF(Inputs!$B$38="pvp",15,MAX(0.1,Skills!D11-IF(TRUE=TRUE,Inputs!$B$32,0)))*(1-IF(AND(ArtifactsInput!$M$27,Inputs!$B$4="Chapter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$20+0+Skills!P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Inputs!$B$38&lt;&gt;"pvp",Inputs!$B$43=0),1,IF(IF(Inputs!$B$38="pvp",15,Inputs!$B$43)-(B569)&lt;=0,1,MAX(0,IF(Inputs!$B$38="pvp",15,Inputs!$B$43)-MAX(5,B569))/(IF(Inputs!$B$38="pvp",15,Inputs!$B$43)-(B569)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TRUE=TRUE,Inputs!$B$32,0)))*(1-IF(AND(ArtifactsInput!$M$27,Inputs!$B$4="Chapter Hunt"),CHOOSE(ArtifactsInput!$N$27+1,20,24,28,32,36,40),0)/100)))))/Skills!H11,1)))/Inputs!$B$43),G544*Q544))*IF(Inputs!$B$38="pvp",1,(1+(Inputs!$B$21+Skills!Q11+(((C549=TRUE)*F549*(Skills!J16/100)*IF(AND(Inputs!$B$38&lt;&gt;"pvp",Inputs!$B$43&gt;0),(((R549-1)*MIN((Skills!T16*(1+(Inputs!$B$34+(ArtifactsInput!$M$7-ArtifactsInput!$M$7)*CHOOSE(ArtifactsInput!$N$7+1,6,7.2,8.4,9.6,10.8,12))/100)),(1/Q549))+MIN((Skills!T16*(1+(Inputs!$B$34+(ArtifactsInput!$M$7-ArtifactsInput!$M$7)*CHOOSE(ArtifactsInput!$N$7+1,6,7.2,8.4,9.6,10.8,12))/100)),MAX(0,Inputs!$B$43-((R549-1)*(1/Q549)))))/Inputs!$B$43),IF(Inputs!$B$38="pvp",MIN((Skills!T16*(1+(Inputs!$B$34+(ArtifactsInput!$M$7-ArtifactsInput!$M$7)*CHOOSE(ArtifactsInput!$N$7+1,6,7.2,8.4,9.6,10.8,12))/100)),15)/15,MIN(1,(Skills!T16*(1+(Inputs!$B$34+(ArtifactsInput!$M$7-ArtifactsInput!$M$7)*CHOOSE(ArtifactsInput!$N$7+1,6,7.2,8.4,9.6,10.8,12))/100))/(1/Q549)))))+((C541=TRUE)*IF(Inputs!$B$3&gt;=126,10*MIN(1,15*Q541),0))+((C538=TRUE)*((100/10)*(INDEX(FactorTable!$B$2:$Y$301,MATCH(ROUND(MIN(300,MAX(1,MAX(0,(Inputs!$B$3-100)*3)+Inputs!$B$28+Inputs!$B$29)),0),FactorTable!$A$2:$A$301,0),22)/1000))*(1+IF(Inputs!$B$3&gt;=134,0.5,0))*MIN(1,10*(1+(Inputs!$B$34+(ArtifactsInput!$M$7-ArtifactsInput!$M$7)*CHOOSE(ArtifactsInput!$N$7+1,6,7.2,8.4,9.6,10.8,12))/100)*Q538)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Skills!G13*IF(Skills!H13&gt;0,IF(Inputs!$B$38="pvp",MIN(Skills!I13,15),Skills!I13)/Skills!H13,1)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Skills!G14*IF(Skills!H14&gt;0,IF(Inputs!$B$38="pvp",MIN(Skills!I14,15),Skills!I14)/Skills!H14,1)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Skills!G15*IF(Skills!H15&gt;0,IF(Inputs!$B$38="pvp",MIN(Skills!I15,15),Skills!I15)/Skills!H15,1)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IFERROR(1/(IF(Inputs!$B$38="pvp",15,MAX(0.1,Skills!D15-IF(TRUE=TRUE,Inputs!$B$32,0)))*(1-IF(AND(ArtifactsInput!$M$27,Inputs!$B$4="Chapter Hunt"),CHOOSE(ArtifactsInput!$N$27+1,20,24,28,32,36,40),0)/100)),0)</f>
        <v/>
      </c>
      <c r="R548">
        <f>IF(AND(Inputs!$B$38&lt;&gt;"pvp",Inputs!$B$43&gt;0),IF(Inputs!$B$43&lt;=0,0,(INT(Inputs!$B$43/(IF(Inputs!$B$38="pvp",15,MAX(0.1,Skills!D15-IF(TRUE=TRUE,Inputs!$B$32,0)))*(1-IF(AND(ArtifactsInput!$M$27,Inputs!$B$4="Chapter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Skills!G16*IF(Skills!H16&gt;0,IF(Inputs!$B$38="pvp",MIN(Skills!I16,15),Skills!I16)/Skills!H16,1)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IFERROR(1/(IF(Inputs!$B$38="pvp",15,MAX(0.1,Skills!D16-IF(TRUE=TRUE,Inputs!$B$32,0)))*(1-IF(AND(ArtifactsInput!$M$27,Inputs!$B$4="Chapter Hunt"),CHOOSE(ArtifactsInput!$N$27+1,20,24,28,32,36,40),0)/100)),0)</f>
        <v/>
      </c>
      <c r="R549">
        <f>IF(AND(Inputs!$B$38&lt;&gt;"pvp",Inputs!$B$43&gt;0),IF(Inputs!$B$43&lt;=0,0,(INT(Inputs!$B$43/(IF(Inputs!$B$38="pvp",15,MAX(0.1,Skills!D16-IF(TRUE=TRUE,Inputs!$B$32,0)))*(1-IF(AND(ArtifactsInput!$M$27,Inputs!$B$4="Chapter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Skills!G17*IF(Skills!H17&gt;0,IF(Inputs!$B$38="pvp",MIN(Skills!I17,15),Skills!I17)/Skills!H17,1)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IFERROR(1/(IF(Inputs!$B$38="pvp",15,MAX(0.1,Skills!D17-IF(TRUE=TRUE,Inputs!$B$32,0)))*(1-IF(AND(ArtifactsInput!$M$27,Inputs!$B$4="Chapter Hunt"),CHOOSE(ArtifactsInput!$N$27+1,20,24,28,32,36,40),0)/100)),0)</f>
        <v/>
      </c>
      <c r="R550">
        <f>IF(AND(Inputs!$B$38&lt;&gt;"pvp",Inputs!$B$43&gt;0),IF(Inputs!$B$43&lt;=0,0,(INT(Inputs!$B$43/(IF(Inputs!$B$38="pvp",15,MAX(0.1,Skills!D17-IF(TRUE=TRUE,Inputs!$B$32,0)))*(1-IF(AND(ArtifactsInput!$M$27,Inputs!$B$4="Chapter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Skills!G18*IF(Skills!H18&gt;0,IF(Inputs!$B$38="pvp",MIN(Skills!I18,15),Skills!I18)/Skills!H18,1)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IFERROR(1/(IF(Inputs!$B$38="pvp",15,MAX(0.1,Skills!D18-IF(TRUE=TRUE,Inputs!$B$32,0)))*(1-IF(AND(ArtifactsInput!$M$27,Inputs!$B$4="Chapter Hunt"),CHOOSE(ArtifactsInput!$N$27+1,20,24,28,32,36,40),0)/100)),0)</f>
        <v/>
      </c>
      <c r="R551">
        <f>IF(AND(Inputs!$B$38&lt;&gt;"pvp",Inputs!$B$43&gt;0),IF(Inputs!$B$43&lt;=0,0,(INT(Inputs!$B$43/(IF(Inputs!$B$38="pvp",15,MAX(0.1,Skills!D18-IF(TRUE=TRUE,Inputs!$B$32,0)))*(1-IF(AND(ArtifactsInput!$M$27,Inputs!$B$4="Chapter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Skills!G19*IF(Skills!H19&gt;0,IF(Inputs!$B$38="pvp",MIN(Skills!I19,15),Skills!I19)/Skills!H19,1)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IFERROR(1/(IF(Inputs!$B$38="pvp",15,MAX(0.1,Skills!D19-IF(TRUE=TRUE,Inputs!$B$32,0)))*(1-IF(AND(ArtifactsInput!$M$27,Inputs!$B$4="Chapter Hunt"),CHOOSE(ArtifactsInput!$N$27+1,20,24,28,32,36,40),0)/100)),0)</f>
        <v/>
      </c>
      <c r="R552">
        <f>IF(AND(Inputs!$B$38&lt;&gt;"pvp",Inputs!$B$43&gt;0),IF(Inputs!$B$43&lt;=0,0,(INT(Inputs!$B$43/(IF(Inputs!$B$38="pvp",15,MAX(0.1,Skills!D19-IF(TRUE=TRUE,Inputs!$B$32,0)))*(1-IF(AND(ArtifactsInput!$M$27,Inputs!$B$4="Chapter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Skills!G20*IF(Skills!H20&gt;0,IF(Inputs!$B$38="pvp",MIN(Skills!I20,15),Skills!I20)/Skills!H20,1)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Skills!G21*IF(Skills!H21&gt;0,IF(Inputs!$B$38="pvp",MIN(Skills!I21,15),Skills!I21)/Skills!H21,1)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Skills!G22*IF(Skills!H22&gt;0,IF(Inputs!$B$38="pvp",MIN(Skills!I22,15),Skills!I22)/Skills!H22,1)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Skills!G23*IF(Skills!H23&gt;0,IF(Inputs!$B$38="pvp",MIN(Skills!I23,15),Skills!I23)/Skills!H23,1)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Skills!G24*IF(Skills!H24&gt;0,IF(Inputs!$B$38="pvp",MIN(Skills!I24,15),Skills!I24)/Skills!H24,1)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Skills!G25*IF(Skills!H25&gt;0,IF(Inputs!$B$38="pvp",MIN(Skills!I25,15),Skills!I25)/Skills!H25,1)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Skills!G26*IF(Skills!H26&gt;0,IF(Inputs!$B$38="pvp",MIN(Skills!I26,15),Skills!I26)/Skills!H26,1)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118,8,IF(Inputs!$B$3&gt;=110,7,5)))+((C548=TRUE)*F548*IF(AND(Inputs!$B$38&lt;&gt;"pvp",Inputs!$B$43&gt;0),(((R548-1)*MIN((Skills!T15*(1+(Inputs!$B$34+(ArtifactsInput!$M$7-ArtifactsInput!$M$7)*CHOOSE(ArtifactsInput!$N$7+1,6,7.2,8.4,9.6,10.8,12))/100)),(1/Q548))+MIN((Skills!T15*(1+(Inputs!$B$34+(ArtifactsInput!$M$7-ArtifactsInput!$M$7)*CHOOSE(ArtifactsInput!$N$7+1,6,7.2,8.4,9.6,10.8,12))/100)),MAX(0,Inputs!$B$43-((R548-1)*(1/Q548)))))/Inputs!$B$43),IF(Inputs!$B$38="pvp",MIN((Skills!T15*(1+(Inputs!$B$34+(ArtifactsInput!$M$7-ArtifactsInput!$M$7)*CHOOSE(ArtifactsInput!$N$7+1,6,7.2,8.4,9.6,10.8,12))/100)),15)/15,MIN(1,(Skills!T15*(1+(Inputs!$B$34+(ArtifactsInput!$M$7-ArtifactsInput!$M$7)*CHOOSE(ArtifactsInput!$N$7+1,6,7.2,8.4,9.6,10.8,12))/100))/(1/Q548)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MIN((Skills!T19*(1+(Inputs!$B$34+(ArtifactsInput!$M$7-ArtifactsInput!$M$7)*CHOOSE(ArtifactsInput!$N$7+1,6,7.2,8.4,9.6,10.8,12))/100)),(1/Q552))+MIN((Skills!T19*(1+(Inputs!$B$34+(ArtifactsInput!$M$7-ArtifactsInput!$M$7)*CHOOSE(ArtifactsInput!$N$7+1,6,7.2,8.4,9.6,10.8,12))/100)),MAX(0,Inputs!$B$43-((R552-1)*(1/Q552)))))/Inputs!$B$43),IF(Inputs!$B$38="pvp",MIN((Skills!T19*(1+(Inputs!$B$34+(ArtifactsInput!$M$7-ArtifactsInput!$M$7)*CHOOSE(ArtifactsInput!$N$7+1,6,7.2,8.4,9.6,10.8,12))/100)),15)/15,MIN(1,(Skills!T19*(1+(Inputs!$B$34+(ArtifactsInput!$M$7-ArtifactsInput!$M$7)*CHOOSE(ArtifactsInput!$N$7+1,6,7.2,8.4,9.6,10.8,12))/100))/(1/Q552)))))</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MIN((Skills!T18*(1+(Inputs!$B$34+(ArtifactsInput!$M$7-ArtifactsInput!$M$7)*CHOOSE(ArtifactsInput!$N$7+1,6,7.2,8.4,9.6,10.8,12))/100)),(1/Q551))+MIN((Skills!T18*(1+(Inputs!$B$34+(ArtifactsInput!$M$7-ArtifactsInput!$M$7)*CHOOSE(ArtifactsInput!$N$7+1,6,7.2,8.4,9.6,10.8,12))/100)),MAX(0,Inputs!$B$43-((R551-1)*(1/Q551)))))/Inputs!$B$43),IF(Inputs!$B$38="pvp",MIN((Skills!T18*(1+(Inputs!$B$34+(ArtifactsInput!$M$7-ArtifactsInput!$M$7)*CHOOSE(ArtifactsInput!$N$7+1,6,7.2,8.4,9.6,10.8,12))/100)),15)/15,MIN(1,(Skills!T18*(1+(Inputs!$B$34+(ArtifactsInput!$M$7-ArtifactsInput!$M$7)*CHOOSE(ArtifactsInput!$N$7+1,6,7.2,8.4,9.6,10.8,12))/100))/(1/Q551)))))</f>
        <v/>
      </c>
    </row>
    <row r="568">
      <c r="A568" t="inlineStr">
        <is>
          <t>Global Final Damage Bonus % (Enrage + Combo Synergy)</t>
        </is>
      </c>
      <c r="B568">
        <f>((C550=TRUE)*F550*IF(AND(Inputs!$B$38&lt;&gt;"pvp",Inputs!$B$43&gt;0),(((R550-1)*MIN((Skills!T17*(1+(Inputs!$B$34+(ArtifactsInput!$M$7-ArtifactsInput!$M$7)*CHOOSE(ArtifactsInput!$N$7+1,6,7.2,8.4,9.6,10.8,12))/100)),(1/Q550))+MIN((Skills!T17*(1+(Inputs!$B$34+(ArtifactsInput!$M$7-ArtifactsInput!$M$7)*CHOOSE(ArtifactsInput!$N$7+1,6,7.2,8.4,9.6,10.8,12))/100)),MAX(0,Inputs!$B$43-((R550-1)*(1/Q550)))))/Inputs!$B$43),IF(Inputs!$B$38="pvp",MIN((Skills!T17*(1+(Inputs!$B$34+(ArtifactsInput!$M$7-ArtifactsInput!$M$7)*CHOOSE(ArtifactsInput!$N$7+1,6,7.2,8.4,9.6,10.8,12))/100)),15)/15,MIN(1,(Skills!T17*(1+(Inputs!$B$34+(ArtifactsInput!$M$7-ArtifactsInput!$M$7)*CHOOSE(ArtifactsInput!$N$7+1,6,7.2,8.4,9.6,10.8,12))/100))/(1/Q550)))))+((C547=TRUE)*F547*IF(Inputs!$B$3&gt;=118,8,IF(Inputs!$B$3&gt;=110,7,5)))+IF(Inputs!$B$3&gt;=98,5,0)</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Skills!G2*IF(Skills!H2&gt;0,IF(Inputs!$B$38="pvp",MIN(Skills!I2,15),Skills!I2)/Skills!H2,1)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138,MAX(0,IF(Inputs!$B$3&gt;=118,8,IF(Inputs!$B$3&gt;=110,7,5))-5)*50,0),0)/100)*(1+(IF(Skills!A2="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Skills!G5*IF(Skills!H5&gt;0,IF(Inputs!$B$38="pvp",MIN(Skills!I5,15),Skills!I5)/Skills!H5,1)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138,MAX(0,IF(Inputs!$B$3&gt;=118,8,IF(Inputs!$B$3&gt;=110,7,5))-5)*50,0),0)/100)*(1+(IF(Skills!A5="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IFERROR(1/(IF(Inputs!$B$38="pvp",15,MAX(0.1,Skills!D5-IF(TRUE=TRUE,Inputs!$B$32,0)))*(1-IF(AND(ArtifactsInput!$M$27,Inputs!$B$4="Chapter Hunt"),CHOOSE(ArtifactsInput!$N$27+1,20,24,28,32,36,40),0)/100)),0)</f>
        <v/>
      </c>
      <c r="R580">
        <f>IF(AND(Inputs!$B$38&lt;&gt;"pvp",Inputs!$B$43&gt;0),IF(MAX(0,Inputs!$B$43-B611)&lt;=0,0,(INT(MAX(0,Inputs!$B$43-B611)/(IF(Inputs!$B$38="pvp",15,MAX(0.1,Skills!D5-IF(TRUE=TRUE,Inputs!$B$32,0)))*(1-IF(AND(ArtifactsInput!$M$27,Inputs!$B$4="Chapter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$20+0+Skills!P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TRUE=TRUE,Inputs!$B$32,0)))*(1-IF(AND(ArtifactsInput!$M$27,Inputs!$B$4="Chapter Hunt"),CHOOSE(ArtifactsInput!$N$27+1,20,24,28,32,36,40),0)/100)))))/Skills!H5,1)))/Inputs!$B$43),G580*Q580))*IF(Inputs!$B$38="pvp",1,(1+(Inputs!$B$21+Skills!Q5+(((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Skills!G6*IF(Skills!H6&gt;0,IF(Inputs!$B$38="pvp",MIN(Skills!I6,15),Skills!I6)/Skills!H6,1)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138,MAX(0,IF(Inputs!$B$3&gt;=118,8,IF(Inputs!$B$3&gt;=110,7,5))-5)*50,0),0)/100)*(1+(IF(Skills!A6="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IFERROR(1/(IF(Inputs!$B$38="pvp",15,MAX(0.1,Skills!D6-IF(TRUE=TRUE,Inputs!$B$32,0)))*(1-IF(AND(ArtifactsInput!$M$27,Inputs!$B$4="Chapter Hunt"),CHOOSE(ArtifactsInput!$N$27+1,20,24,28,32,36,40),0)/100)),0)</f>
        <v/>
      </c>
      <c r="R581">
        <f>IF(AND(Inputs!$B$38&lt;&gt;"pvp",Inputs!$B$43&gt;0),IF(MAX(0,Inputs!$B$43-B611)&lt;=0,0,(INT(MAX(0,Inputs!$B$43-B611)/(IF(Inputs!$B$38="pvp",15,MAX(0.1,Skills!D6-IF(TRUE=TRUE,Inputs!$B$32,0)))*(1-IF(AND(ArtifactsInput!$M$27,Inputs!$B$4="Chapter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$20+0+Skills!P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TRUE=TRUE,Inputs!$B$32,0)))*(1-IF(AND(ArtifactsInput!$M$27,Inputs!$B$4="Chapter Hunt"),CHOOSE(ArtifactsInput!$N$27+1,20,24,28,32,36,40),0)/100)))))/Skills!H6,1)))/Inputs!$B$43),G581*Q581))*IF(Inputs!$B$38="pvp",1,(1+(Inputs!$B$21+Skills!Q6+(((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Skills!G7*IF(Skills!H7&gt;0,IF(Inputs!$B$38="pvp",MIN(Skills!I7,15),Skills!I7)/Skills!H7,1)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138,MAX(0,IF(Inputs!$B$3&gt;=118,8,IF(Inputs!$B$3&gt;=110,7,5))-5)*50,0),0)/100)*(1+(IF(Skills!A7="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IFERROR(1/(IF(Inputs!$B$38="pvp",15,MAX(0.1,Skills!D7-IF(TRUE=TRUE,Inputs!$B$32,0)))*(1-IF(AND(ArtifactsInput!$M$27,Inputs!$B$4="Chapter Hunt"),CHOOSE(ArtifactsInput!$N$27+1,20,24,28,32,36,40),0)/100)),0)</f>
        <v/>
      </c>
      <c r="R582">
        <f>IF(AND(Inputs!$B$38&lt;&gt;"pvp",Inputs!$B$43&gt;0),IF(MAX(0,Inputs!$B$43-B611)&lt;=0,0,(INT(MAX(0,Inputs!$B$43-B611)/(IF(Inputs!$B$38="pvp",15,MAX(0.1,Skills!D7-IF(TRUE=TRUE,Inputs!$B$32,0)))*(1-IF(AND(ArtifactsInput!$M$27,Inputs!$B$4="Chapter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$20+0+Skills!P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TRUE=TRUE,Inputs!$B$32,0)))*(1-IF(AND(ArtifactsInput!$M$27,Inputs!$B$4="Chapter Hunt"),CHOOSE(ArtifactsInput!$N$27+1,20,24,28,32,36,40),0)/100)))))/Skills!H7,1)))/Inputs!$B$43),G582*Q582))*IF(Inputs!$B$38="pvp",1,(1+(Inputs!$B$21+Skills!Q7+(((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Skills!G8*IF(Skills!H8&gt;0,IF(Inputs!$B$38="pvp",MIN(Skills!I8,15),Skills!I8)/Skills!H8,1)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138,MAX(0,IF(Inputs!$B$3&gt;=118,8,IF(Inputs!$B$3&gt;=110,7,5))-5)*50,0),0)/100)*(1+(IF(Skills!A8="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IFERROR(1/(IF(Inputs!$B$38="pvp",15,MAX(0.1,Skills!D8-IF(TRUE=TRUE,Inputs!$B$32,0)))*(1-IF(AND(ArtifactsInput!$M$27,Inputs!$B$4="Chapter Hunt"),CHOOSE(ArtifactsInput!$N$27+1,20,24,28,32,36,40),0)/100)),0)</f>
        <v/>
      </c>
      <c r="R583">
        <f>IF(AND(Inputs!$B$38&lt;&gt;"pvp",Inputs!$B$43&gt;0),IF(MAX(0,Inputs!$B$43-B611)&lt;=0,0,(INT(MAX(0,Inputs!$B$43-B611)/(IF(Inputs!$B$38="pvp",15,MAX(0.1,Skills!D8-IF(TRUE=TRUE,Inputs!$B$32,0)))*(1-IF(AND(ArtifactsInput!$M$27,Inputs!$B$4="Chapter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$20+0+Skills!P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TRUE=TRUE,Inputs!$B$32,0)))*(1-IF(AND(ArtifactsInput!$M$27,Inputs!$B$4="Chapter Hunt"),CHOOSE(ArtifactsInput!$N$27+1,20,24,28,32,36,40),0)/100)))))/Skills!H8,1)))/Inputs!$B$43),G583*Q583))*IF(Inputs!$B$38="pvp",1,(1+(Inputs!$B$21+Skills!Q8+(((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Skills!G9*IF(Skills!H9&gt;0,IF(Inputs!$B$38="pvp",MIN(Skills!I9,15),Skills!I9)/Skills!H9,1)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138,MAX(0,IF(Inputs!$B$3&gt;=118,8,IF(Inputs!$B$3&gt;=110,7,5))-5)*50,0),0)/100)*(1+(IF(Skills!A9="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IFERROR(1/(IF(Inputs!$B$38="pvp",15,MAX(0.1,Skills!D9-IF(TRUE=TRUE,Inputs!$B$32,0)))*(1-IF(AND(ArtifactsInput!$M$27,Inputs!$B$4="Chapter Hunt"),CHOOSE(ArtifactsInput!$N$27+1,20,24,28,32,36,40),0)/100)),0)</f>
        <v/>
      </c>
      <c r="R584">
        <f>IF(AND(Inputs!$B$38&lt;&gt;"pvp",Inputs!$B$43&gt;0),IF(MAX(0,Inputs!$B$43-B611)&lt;=0,0,(INT(MAX(0,Inputs!$B$43-B611)/(IF(Inputs!$B$38="pvp",15,MAX(0.1,Skills!D9-IF(TRUE=TRUE,Inputs!$B$32,0)))*(1-IF(AND(ArtifactsInput!$M$27,Inputs!$B$4="Chapter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TRUE=TRUE,Inputs!$B$32,0)))*(1-IF(AND(ArtifactsInput!$M$27,Inputs!$B$4="Chapter Hunt"),CHOOSE(ArtifactsInput!$N$27+1,20,24,28,32,36,40),0)/100)))))/Skills!H9,1)))/Inputs!$B$43),G584*Q584))*IF(Inputs!$B$38="pvp",1,1+(Inputs!$B$20+0+Skills!P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TRUE=TRUE,Inputs!$B$32,0)))*(1-IF(AND(ArtifactsInput!$M$27,Inputs!$B$4="Chapter Hunt"),CHOOSE(ArtifactsInput!$N$27+1,20,24,28,32,36,40),0)/100)))))/Skills!H9,1)))/Inputs!$B$43),G584*Q584))*IF(Inputs!$B$38="pvp",1,(1+(Inputs!$B$21+Skills!Q9+(((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Skills!G10*IF(Skills!H10&gt;0,IF(Inputs!$B$38="pvp",MIN(Skills!I10,15),Skills!I10)/Skills!H10,1)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138,MAX(0,IF(Inputs!$B$3&gt;=118,8,IF(Inputs!$B$3&gt;=110,7,5))-5)*50,0),0)/100)*(1+(IF(Skills!A10="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IFERROR(1/(IF(Inputs!$B$38="pvp",15,MAX(0.1,Skills!D10-IF(TRUE=TRUE,Inputs!$B$32,0)))*(1-IF(AND(ArtifactsInput!$M$27,Inputs!$B$4="Chapter Hunt"),CHOOSE(ArtifactsInput!$N$27+1,20,24,28,32,36,40),0)/100)),0)</f>
        <v/>
      </c>
      <c r="R585">
        <f>IF(AND(Inputs!$B$38&lt;&gt;"pvp",Inputs!$B$43&gt;0),IF(MAX(0,Inputs!$B$43-B611)&lt;=0,0,(INT(MAX(0,Inputs!$B$43-B611)/(IF(Inputs!$B$38="pvp",15,MAX(0.1,Skills!D10-IF(TRUE=TRUE,Inputs!$B$32,0)))*(1-IF(AND(ArtifactsInput!$M$27,Inputs!$B$4="Chapter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$20+0+Skills!P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TRUE=TRUE,Inputs!$B$32,0)))*(1-IF(AND(ArtifactsInput!$M$27,Inputs!$B$4="Chapter Hunt"),CHOOSE(ArtifactsInput!$N$27+1,20,24,28,32,36,40),0)/100)))))/Skills!H10,1)))/Inputs!$B$43),G585*Q585))*IF(Inputs!$B$38="pvp",1,(1+(Inputs!$B$21+Skills!Q10+(((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Skills!G11*IF(Skills!H11&gt;0,IF(Inputs!$B$38="pvp",MIN(Skills!I11,15),Skills!I11)/Skills!H11,1)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(100-(100-((Inputs!$B$19+0)))*(1-IF(Inputs!$B$3&gt;=130,IF(Inputs!$B$3&gt;=118,8,IF(Inputs!$B$3&gt;=110,7,5)),0)/100)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138,MAX(0,IF(Inputs!$B$3&gt;=118,8,IF(Inputs!$B$3&gt;=110,7,5))-5)*50,0),0)/100)*(1+(IF(Skills!A11="RAGING_BLOW",Inputs!$B$17+((C596=TRUE)*(F596-Calc!F21))+((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IFERROR(1/(IF(Inputs!$B$38="pvp",15,MAX(0.1,Skills!D11-IF(TRUE=TRUE,Inputs!$B$32,0)))*(1-IF(AND(ArtifactsInput!$M$27,Inputs!$B$4="Chapter Hunt"),CHOOSE(ArtifactsInput!$N$27+1,20,24,28,32,36,40),0)/100)),0)</f>
        <v/>
      </c>
      <c r="R586">
        <f>IF(AND(Inputs!$B$38&lt;&gt;"pvp",Inputs!$B$43&gt;0),IF(MAX(0,Inputs!$B$43-B611)&lt;=0,0,(INT(MAX(0,Inputs!$B$43-B611)/(IF(Inputs!$B$38="pvp",15,MAX(0.1,Skills!D11-IF(TRUE=TRUE,Inputs!$B$32,0)))*(1-IF(AND(ArtifactsInput!$M$27,Inputs!$B$4="Chapter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$20+0+Skills!P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Inputs!$B$38&lt;&gt;"pvp",Inputs!$B$43=0),1,IF(IF(Inputs!$B$38="pvp",15,Inputs!$B$43)-(B611)&lt;=0,1,MAX(0,IF(Inputs!$B$38="pvp",15,Inputs!$B$43)-MAX(5,B611))/(IF(Inputs!$B$38="pvp",15,Inputs!$B$43)-(B611)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TRUE=TRUE,Inputs!$B$32,0)))*(1-IF(AND(ArtifactsInput!$M$27,Inputs!$B$4="Chapter Hunt"),CHOOSE(ArtifactsInput!$N$27+1,20,24,28,32,36,40),0)/100)))))/Skills!H11,1)))/Inputs!$B$43),G586*Q586))*IF(Inputs!$B$38="pvp",1,(1+(Inputs!$B$21+Skills!Q11+(((C591=TRUE)*F591*(Skills!J16/100)*IF(AND(Inputs!$B$38&lt;&gt;"pvp",Inputs!$B$43&gt;0),(((R591-1)*MIN((Skills!T16*(1+(Inputs!$B$34+(ArtifactsInput!$M$7-ArtifactsInput!$M$7)*CHOOSE(ArtifactsInput!$N$7+1,6,7.2,8.4,9.6,10.8,12))/100)),(1/Q591))+MIN((Skills!T16*(1+(Inputs!$B$34+(ArtifactsInput!$M$7-ArtifactsInput!$M$7)*CHOOSE(ArtifactsInput!$N$7+1,6,7.2,8.4,9.6,10.8,12))/100)),MAX(0,Inputs!$B$43-((R591-1)*(1/Q591)))))/Inputs!$B$43),IF(Inputs!$B$38="pvp",MIN((Skills!T16*(1+(Inputs!$B$34+(ArtifactsInput!$M$7-ArtifactsInput!$M$7)*CHOOSE(ArtifactsInput!$N$7+1,6,7.2,8.4,9.6,10.8,12))/100)),15)/15,MIN(1,(Skills!T16*(1+(Inputs!$B$34+(ArtifactsInput!$M$7-ArtifactsInput!$M$7)*CHOOSE(ArtifactsInput!$N$7+1,6,7.2,8.4,9.6,10.8,12))/100))/(1/Q591)))))+((C583=TRUE)*IF(Inputs!$B$3&gt;=126,10*MIN(1,15*Q583),0))+((C580=TRUE)*((100/10)*(INDEX(FactorTable!$B$2:$Y$301,MATCH(ROUND(MIN(300,MAX(1,MAX(0,(Inputs!$B$3-100)*3)+Inputs!$B$28+Inputs!$B$29)),0),FactorTable!$A$2:$A$301,0),22)/1000))*(1+IF(Inputs!$B$3&gt;=134,0.5,0))*MIN(1,10*(1+(Inputs!$B$34+(ArtifactsInput!$M$7-ArtifactsInput!$M$7)*CHOOSE(ArtifactsInput!$N$7+1,6,7.2,8.4,9.6,10.8,12))/100)*Q580)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Skills!G13*IF(Skills!H13&gt;0,IF(Inputs!$B$38="pvp",MIN(Skills!I13,15),Skills!I13)/Skills!H13,1)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Skills!G14*IF(Skills!H14&gt;0,IF(Inputs!$B$38="pvp",MIN(Skills!I14,15),Skills!I14)/Skills!H14,1)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Skills!G15*IF(Skills!H15&gt;0,IF(Inputs!$B$38="pvp",MIN(Skills!I15,15),Skills!I15)/Skills!H15,1)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IFERROR(1/(IF(Inputs!$B$38="pvp",15,MAX(0.1,Skills!D15-IF(TRUE=TRUE,Inputs!$B$32,0)))*(1-IF(AND(ArtifactsInput!$M$27,Inputs!$B$4="Chapter Hunt"),CHOOSE(ArtifactsInput!$N$27+1,20,24,28,32,36,40),0)/100)),0)</f>
        <v/>
      </c>
      <c r="R590">
        <f>IF(AND(Inputs!$B$38&lt;&gt;"pvp",Inputs!$B$43&gt;0),IF(Inputs!$B$43&lt;=0,0,(INT(Inputs!$B$43/(IF(Inputs!$B$38="pvp",15,MAX(0.1,Skills!D15-IF(TRUE=TRUE,Inputs!$B$32,0)))*(1-IF(AND(ArtifactsInput!$M$27,Inputs!$B$4="Chapter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Skills!G16*IF(Skills!H16&gt;0,IF(Inputs!$B$38="pvp",MIN(Skills!I16,15),Skills!I16)/Skills!H16,1)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IFERROR(1/(IF(Inputs!$B$38="pvp",15,MAX(0.1,Skills!D16-IF(TRUE=TRUE,Inputs!$B$32,0)))*(1-IF(AND(ArtifactsInput!$M$27,Inputs!$B$4="Chapter Hunt"),CHOOSE(ArtifactsInput!$N$27+1,20,24,28,32,36,40),0)/100)),0)</f>
        <v/>
      </c>
      <c r="R591">
        <f>IF(AND(Inputs!$B$38&lt;&gt;"pvp",Inputs!$B$43&gt;0),IF(Inputs!$B$43&lt;=0,0,(INT(Inputs!$B$43/(IF(Inputs!$B$38="pvp",15,MAX(0.1,Skills!D16-IF(TRUE=TRUE,Inputs!$B$32,0)))*(1-IF(AND(ArtifactsInput!$M$27,Inputs!$B$4="Chapter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Skills!G17*IF(Skills!H17&gt;0,IF(Inputs!$B$38="pvp",MIN(Skills!I17,15),Skills!I17)/Skills!H17,1)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IFERROR(1/(IF(Inputs!$B$38="pvp",15,MAX(0.1,Skills!D17-IF(TRUE=TRUE,Inputs!$B$32,0)))*(1-IF(AND(ArtifactsInput!$M$27,Inputs!$B$4="Chapter Hunt"),CHOOSE(ArtifactsInput!$N$27+1,20,24,28,32,36,40),0)/100)),0)</f>
        <v/>
      </c>
      <c r="R592">
        <f>IF(AND(Inputs!$B$38&lt;&gt;"pvp",Inputs!$B$43&gt;0),IF(Inputs!$B$43&lt;=0,0,(INT(Inputs!$B$43/(IF(Inputs!$B$38="pvp",15,MAX(0.1,Skills!D17-IF(TRUE=TRUE,Inputs!$B$32,0)))*(1-IF(AND(ArtifactsInput!$M$27,Inputs!$B$4="Chapter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Skills!G18*IF(Skills!H18&gt;0,IF(Inputs!$B$38="pvp",MIN(Skills!I18,15),Skills!I18)/Skills!H18,1)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IFERROR(1/(IF(Inputs!$B$38="pvp",15,MAX(0.1,Skills!D18-IF(TRUE=TRUE,Inputs!$B$32,0)))*(1-IF(AND(ArtifactsInput!$M$27,Inputs!$B$4="Chapter Hunt"),CHOOSE(ArtifactsInput!$N$27+1,20,24,28,32,36,40),0)/100)),0)</f>
        <v/>
      </c>
      <c r="R593">
        <f>IF(AND(Inputs!$B$38&lt;&gt;"pvp",Inputs!$B$43&gt;0),IF(Inputs!$B$43&lt;=0,0,(INT(Inputs!$B$43/(IF(Inputs!$B$38="pvp",15,MAX(0.1,Skills!D18-IF(TRUE=TRUE,Inputs!$B$32,0)))*(1-IF(AND(ArtifactsInput!$M$27,Inputs!$B$4="Chapter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Skills!G19*IF(Skills!H19&gt;0,IF(Inputs!$B$38="pvp",MIN(Skills!I19,15),Skills!I19)/Skills!H19,1)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IFERROR(1/(IF(Inputs!$B$38="pvp",15,MAX(0.1,Skills!D19-IF(TRUE=TRUE,Inputs!$B$32,0)))*(1-IF(AND(ArtifactsInput!$M$27,Inputs!$B$4="Chapter Hunt"),CHOOSE(ArtifactsInput!$N$27+1,20,24,28,32,36,40),0)/100)),0)</f>
        <v/>
      </c>
      <c r="R594">
        <f>IF(AND(Inputs!$B$38&lt;&gt;"pvp",Inputs!$B$43&gt;0),IF(Inputs!$B$43&lt;=0,0,(INT(Inputs!$B$43/(IF(Inputs!$B$38="pvp",15,MAX(0.1,Skills!D19-IF(TRUE=TRUE,Inputs!$B$32,0)))*(1-IF(AND(ArtifactsInput!$M$27,Inputs!$B$4="Chapter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Skills!G20*IF(Skills!H20&gt;0,IF(Inputs!$B$38="pvp",MIN(Skills!I20,15),Skills!I20)/Skills!H20,1)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Skills!G21*IF(Skills!H21&gt;0,IF(Inputs!$B$38="pvp",MIN(Skills!I21,15),Skills!I21)/Skills!H21,1)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Skills!G22*IF(Skills!H22&gt;0,IF(Inputs!$B$38="pvp",MIN(Skills!I22,15),Skills!I22)/Skills!H22,1)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Skills!G23*IF(Skills!H23&gt;0,IF(Inputs!$B$38="pvp",MIN(Skills!I23,15),Skills!I23)/Skills!H23,1)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Skills!G24*IF(Skills!H24&gt;0,IF(Inputs!$B$38="pvp",MIN(Skills!I24,15),Skills!I24)/Skills!H24,1)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Skills!G25*IF(Skills!H25&gt;0,IF(Inputs!$B$38="pvp",MIN(Skills!I25,15),Skills!I25)/Skills!H25,1)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Skills!G26*IF(Skills!H26&gt;0,IF(Inputs!$B$38="pvp",MIN(Skills!I26,15),Skills!I26)/Skills!H26,1)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118,8,IF(Inputs!$B$3&gt;=110,7,5)))+((C590=TRUE)*F590*IF(AND(Inputs!$B$38&lt;&gt;"pvp",Inputs!$B$43&gt;0),(((R590-1)*MIN((Skills!T15*(1+(Inputs!$B$34+(ArtifactsInput!$M$7-ArtifactsInput!$M$7)*CHOOSE(ArtifactsInput!$N$7+1,6,7.2,8.4,9.6,10.8,12))/100)),(1/Q590))+MIN((Skills!T15*(1+(Inputs!$B$34+(ArtifactsInput!$M$7-ArtifactsInput!$M$7)*CHOOSE(ArtifactsInput!$N$7+1,6,7.2,8.4,9.6,10.8,12))/100)),MAX(0,Inputs!$B$43-((R590-1)*(1/Q590)))))/Inputs!$B$43),IF(Inputs!$B$38="pvp",MIN((Skills!T15*(1+(Inputs!$B$34+(ArtifactsInput!$M$7-ArtifactsInput!$M$7)*CHOOSE(ArtifactsInput!$N$7+1,6,7.2,8.4,9.6,10.8,12))/100)),15)/15,MIN(1,(Skills!T15*(1+(Inputs!$B$34+(ArtifactsInput!$M$7-ArtifactsInput!$M$7)*CHOOSE(ArtifactsInput!$N$7+1,6,7.2,8.4,9.6,10.8,12))/100))/(1/Q590)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MIN((Skills!T19*(1+(Inputs!$B$34+(ArtifactsInput!$M$7-ArtifactsInput!$M$7)*CHOOSE(ArtifactsInput!$N$7+1,6,7.2,8.4,9.6,10.8,12))/100)),(1/Q594))+MIN((Skills!T19*(1+(Inputs!$B$34+(ArtifactsInput!$M$7-ArtifactsInput!$M$7)*CHOOSE(ArtifactsInput!$N$7+1,6,7.2,8.4,9.6,10.8,12))/100)),MAX(0,Inputs!$B$43-((R594-1)*(1/Q594)))))/Inputs!$B$43),IF(Inputs!$B$38="pvp",MIN((Skills!T19*(1+(Inputs!$B$34+(ArtifactsInput!$M$7-ArtifactsInput!$M$7)*CHOOSE(ArtifactsInput!$N$7+1,6,7.2,8.4,9.6,10.8,12))/100)),15)/15,MIN(1,(Skills!T19*(1+(Inputs!$B$34+(ArtifactsInput!$M$7-ArtifactsInput!$M$7)*CHOOSE(ArtifactsInput!$N$7+1,6,7.2,8.4,9.6,10.8,12))/100))/(1/Q594)))))</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MIN((Skills!T18*(1+(Inputs!$B$34+(ArtifactsInput!$M$7-ArtifactsInput!$M$7)*CHOOSE(ArtifactsInput!$N$7+1,6,7.2,8.4,9.6,10.8,12))/100)),(1/Q593))+MIN((Skills!T18*(1+(Inputs!$B$34+(ArtifactsInput!$M$7-ArtifactsInput!$M$7)*CHOOSE(ArtifactsInput!$N$7+1,6,7.2,8.4,9.6,10.8,12))/100)),MAX(0,Inputs!$B$43-((R593-1)*(1/Q593)))))/Inputs!$B$43),IF(Inputs!$B$38="pvp",MIN((Skills!T18*(1+(Inputs!$B$34+(ArtifactsInput!$M$7-ArtifactsInput!$M$7)*CHOOSE(ArtifactsInput!$N$7+1,6,7.2,8.4,9.6,10.8,12))/100)),15)/15,MIN(1,(Skills!T18*(1+(Inputs!$B$34+(ArtifactsInput!$M$7-ArtifactsInput!$M$7)*CHOOSE(ArtifactsInput!$N$7+1,6,7.2,8.4,9.6,10.8,12))/100))/(1/Q593)))))</f>
        <v/>
      </c>
    </row>
    <row r="610">
      <c r="A610" t="inlineStr">
        <is>
          <t>Global Final Damage Bonus % (Enrage + Combo Synergy)</t>
        </is>
      </c>
      <c r="B610">
        <f>((C592=TRUE)*F592*IF(AND(Inputs!$B$38&lt;&gt;"pvp",Inputs!$B$43&gt;0),(((R592-1)*MIN((Skills!T17*(1+(Inputs!$B$34+(ArtifactsInput!$M$7-ArtifactsInput!$M$7)*CHOOSE(ArtifactsInput!$N$7+1,6,7.2,8.4,9.6,10.8,12))/100)),(1/Q592))+MIN((Skills!T17*(1+(Inputs!$B$34+(ArtifactsInput!$M$7-ArtifactsInput!$M$7)*CHOOSE(ArtifactsInput!$N$7+1,6,7.2,8.4,9.6,10.8,12))/100)),MAX(0,Inputs!$B$43-((R592-1)*(1/Q592)))))/Inputs!$B$43),IF(Inputs!$B$38="pvp",MIN((Skills!T17*(1+(Inputs!$B$34+(ArtifactsInput!$M$7-ArtifactsInput!$M$7)*CHOOSE(ArtifactsInput!$N$7+1,6,7.2,8.4,9.6,10.8,12))/100)),15)/15,MIN(1,(Skills!T17*(1+(Inputs!$B$34+(ArtifactsInput!$M$7-ArtifactsInput!$M$7)*CHOOSE(ArtifactsInput!$N$7+1,6,7.2,8.4,9.6,10.8,12))/100))/(1/Q592)))))+((C589=TRUE)*F589*IF(Inputs!$B$3&gt;=118,8,IF(Inputs!$B$3&gt;=110,7,5)))+IF(Inputs!$B$3&gt;=98,5,0)</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Skills!G2*IF(Skills!H2&gt;0,IF(Inputs!$B$38="pvp",MIN(Skills!I2,15),Skills!I2)/Skills!H2,1)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Skills!G5*IF(Skills!H5&gt;0,IF(Inputs!$B$38="pvp",MIN(Skills!I5,15),Skills!I5)/Skills!H5,1)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IFERROR(1/(IF(Inputs!$B$38="pvp",15,MAX(0.1,Skills!D5-IF(TRUE=TRUE,Inputs!$B$32,0)))*(1-IF(AND(ArtifactsInput!$M$27,Inputs!$B$4="Chapter Hunt"),CHOOSE(ArtifactsInput!$N$27+1,20,24,28,32,36,40),0)/100)),0)</f>
        <v/>
      </c>
      <c r="R622">
        <f>IF(AND(Inputs!$B$38&lt;&gt;"pvp",Inputs!$B$43&gt;0),IF(MAX(0,Inputs!$B$43-B653)&lt;=0,0,(INT(MAX(0,Inputs!$B$43-B653)/(IF(Inputs!$B$38="pvp",15,MAX(0.1,Skills!D5-IF(TRUE=TRUE,Inputs!$B$32,0)))*(1-IF(AND(ArtifactsInput!$M$27,Inputs!$B$4="Chapter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$20+0+Skills!P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TRUE=TRUE,Inputs!$B$32,0)))*(1-IF(AND(ArtifactsInput!$M$27,Inputs!$B$4="Chapter Hunt"),CHOOSE(ArtifactsInput!$N$27+1,20,24,28,32,36,40),0)/100)))))/Skills!H5,1)))/Inputs!$B$43),G622*Q622))*IF(Inputs!$B$38="pvp",1,(1+(Inputs!$B$21+Skills!Q5+(((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Skills!G6*IF(Skills!H6&gt;0,IF(Inputs!$B$38="pvp",MIN(Skills!I6,15),Skills!I6)/Skills!H6,1)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IFERROR(1/(IF(Inputs!$B$38="pvp",15,MAX(0.1,Skills!D6-IF(TRUE=TRUE,Inputs!$B$32,0)))*(1-IF(AND(ArtifactsInput!$M$27,Inputs!$B$4="Chapter Hunt"),CHOOSE(ArtifactsInput!$N$27+1,20,24,28,32,36,40),0)/100)),0)</f>
        <v/>
      </c>
      <c r="R623">
        <f>IF(AND(Inputs!$B$38&lt;&gt;"pvp",Inputs!$B$43&gt;0),IF(MAX(0,Inputs!$B$43-B653)&lt;=0,0,(INT(MAX(0,Inputs!$B$43-B653)/(IF(Inputs!$B$38="pvp",15,MAX(0.1,Skills!D6-IF(TRUE=TRUE,Inputs!$B$32,0)))*(1-IF(AND(ArtifactsInput!$M$27,Inputs!$B$4="Chapter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$20+0+Skills!P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TRUE=TRUE,Inputs!$B$32,0)))*(1-IF(AND(ArtifactsInput!$M$27,Inputs!$B$4="Chapter Hunt"),CHOOSE(ArtifactsInput!$N$27+1,20,24,28,32,36,40),0)/100)))))/Skills!H6,1)))/Inputs!$B$43),G623*Q623))*IF(Inputs!$B$38="pvp",1,(1+(Inputs!$B$21+Skills!Q6+(((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Skills!G7*IF(Skills!H7&gt;0,IF(Inputs!$B$38="pvp",MIN(Skills!I7,15),Skills!I7)/Skills!H7,1)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IFERROR(1/(IF(Inputs!$B$38="pvp",15,MAX(0.1,Skills!D7-IF(TRUE=TRUE,Inputs!$B$32,0)))*(1-IF(AND(ArtifactsInput!$M$27,Inputs!$B$4="Chapter Hunt"),CHOOSE(ArtifactsInput!$N$27+1,20,24,28,32,36,40),0)/100)),0)</f>
        <v/>
      </c>
      <c r="R624">
        <f>IF(AND(Inputs!$B$38&lt;&gt;"pvp",Inputs!$B$43&gt;0),IF(MAX(0,Inputs!$B$43-B653)&lt;=0,0,(INT(MAX(0,Inputs!$B$43-B653)/(IF(Inputs!$B$38="pvp",15,MAX(0.1,Skills!D7-IF(TRUE=TRUE,Inputs!$B$32,0)))*(1-IF(AND(ArtifactsInput!$M$27,Inputs!$B$4="Chapter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$20+0+Skills!P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TRUE=TRUE,Inputs!$B$32,0)))*(1-IF(AND(ArtifactsInput!$M$27,Inputs!$B$4="Chapter Hunt"),CHOOSE(ArtifactsInput!$N$27+1,20,24,28,32,36,40),0)/100)))))/Skills!H7,1)))/Inputs!$B$43),G624*Q624))*IF(Inputs!$B$38="pvp",1,(1+(Inputs!$B$21+Skills!Q7+(((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Skills!G8*IF(Skills!H8&gt;0,IF(Inputs!$B$38="pvp",MIN(Skills!I8,15),Skills!I8)/Skills!H8,1)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IFERROR(1/(IF(Inputs!$B$38="pvp",15,MAX(0.1,Skills!D8-IF(TRUE=TRUE,Inputs!$B$32,0)))*(1-IF(AND(ArtifactsInput!$M$27,Inputs!$B$4="Chapter Hunt"),CHOOSE(ArtifactsInput!$N$27+1,20,24,28,32,36,40),0)/100)),0)</f>
        <v/>
      </c>
      <c r="R625">
        <f>IF(AND(Inputs!$B$38&lt;&gt;"pvp",Inputs!$B$43&gt;0),IF(MAX(0,Inputs!$B$43-B653)&lt;=0,0,(INT(MAX(0,Inputs!$B$43-B653)/(IF(Inputs!$B$38="pvp",15,MAX(0.1,Skills!D8-IF(TRUE=TRUE,Inputs!$B$32,0)))*(1-IF(AND(ArtifactsInput!$M$27,Inputs!$B$4="Chapter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$20+0+Skills!P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TRUE=TRUE,Inputs!$B$32,0)))*(1-IF(AND(ArtifactsInput!$M$27,Inputs!$B$4="Chapter Hunt"),CHOOSE(ArtifactsInput!$N$27+1,20,24,28,32,36,40),0)/100)))))/Skills!H8,1)))/Inputs!$B$43),G625*Q625))*IF(Inputs!$B$38="pvp",1,(1+(Inputs!$B$21+Skills!Q8+(((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Skills!G9*IF(Skills!H9&gt;0,IF(Inputs!$B$38="pvp",MIN(Skills!I9,15),Skills!I9)/Skills!H9,1)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138,MAX(0,IF(Inputs!$B$3&gt;=118,8,IF(Inputs!$B$3&gt;=110,7,5))-5)*50,0),0)/100)*(1+(IF(Skills!A9="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IFERROR(1/(IF(Inputs!$B$38="pvp",15,MAX(0.1,Skills!D9-IF(TRUE=TRUE,Inputs!$B$32,0)))*(1-IF(AND(ArtifactsInput!$M$27,Inputs!$B$4="Chapter Hunt"),CHOOSE(ArtifactsInput!$N$27+1,20,24,28,32,36,40),0)/100)),0)</f>
        <v/>
      </c>
      <c r="R626">
        <f>IF(AND(Inputs!$B$38&lt;&gt;"pvp",Inputs!$B$43&gt;0),IF(MAX(0,Inputs!$B$43-B653)&lt;=0,0,(INT(MAX(0,Inputs!$B$43-B653)/(IF(Inputs!$B$38="pvp",15,MAX(0.1,Skills!D9-IF(TRUE=TRUE,Inputs!$B$32,0)))*(1-IF(AND(ArtifactsInput!$M$27,Inputs!$B$4="Chapter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TRUE=TRUE,Inputs!$B$32,0)))*(1-IF(AND(ArtifactsInput!$M$27,Inputs!$B$4="Chapter Hunt"),CHOOSE(ArtifactsInput!$N$27+1,20,24,28,32,36,40),0)/100)))))/Skills!H9,1)))/Inputs!$B$43),G626*Q626))*IF(Inputs!$B$38="pvp",1,1+(Inputs!$B$20+0+Skills!P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TRUE=TRUE,Inputs!$B$32,0)))*(1-IF(AND(ArtifactsInput!$M$27,Inputs!$B$4="Chapter Hunt"),CHOOSE(ArtifactsInput!$N$27+1,20,24,28,32,36,40),0)/100)))))/Skills!H9,1)))/Inputs!$B$43),G626*Q626))*IF(Inputs!$B$38="pvp",1,(1+(Inputs!$B$21+Skills!Q9+(((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Skills!G10*IF(Skills!H10&gt;0,IF(Inputs!$B$38="pvp",MIN(Skills!I10,15),Skills!I10)/Skills!H10,1)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138,MAX(0,IF(Inputs!$B$3&gt;=118,8,IF(Inputs!$B$3&gt;=110,7,5))-5)*50,0),0)/100)*(1+(IF(Skills!A10="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IFERROR(1/(IF(Inputs!$B$38="pvp",15,MAX(0.1,Skills!D10-IF(TRUE=TRUE,Inputs!$B$32,0)))*(1-IF(AND(ArtifactsInput!$M$27,Inputs!$B$4="Chapter Hunt"),CHOOSE(ArtifactsInput!$N$27+1,20,24,28,32,36,40),0)/100)),0)</f>
        <v/>
      </c>
      <c r="R627">
        <f>IF(AND(Inputs!$B$38&lt;&gt;"pvp",Inputs!$B$43&gt;0),IF(MAX(0,Inputs!$B$43-B653)&lt;=0,0,(INT(MAX(0,Inputs!$B$43-B653)/(IF(Inputs!$B$38="pvp",15,MAX(0.1,Skills!D10-IF(TRUE=TRUE,Inputs!$B$32,0)))*(1-IF(AND(ArtifactsInput!$M$27,Inputs!$B$4="Chapter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$20+0+Skills!P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TRUE=TRUE,Inputs!$B$32,0)))*(1-IF(AND(ArtifactsInput!$M$27,Inputs!$B$4="Chapter Hunt"),CHOOSE(ArtifactsInput!$N$27+1,20,24,28,32,36,40),0)/100)))))/Skills!H10,1)))/Inputs!$B$43),G627*Q627))*IF(Inputs!$B$38="pvp",1,(1+(Inputs!$B$21+Skills!Q10+(((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Skills!G11*IF(Skills!H11&gt;0,IF(Inputs!$B$38="pvp",MIN(Skills!I11,15),Skills!I11)/Skills!H11,1)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(100-(100-((((1-(1-Inputs!$B$19/100)*(1-1/100))*100)+0)))*(1-IF(Inputs!$B$3&gt;=130,IF(Inputs!$B$3&gt;=118,8,IF(Inputs!$B$3&gt;=110,7,5)),0)/100)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138,MAX(0,IF(Inputs!$B$3&gt;=118,8,IF(Inputs!$B$3&gt;=110,7,5))-5)*50,0),0)/100)*(1+(IF(Skills!A11="RAGING_BLOW",Inputs!$B$17+((C638=TRUE)*(F638-Calc!F21))+((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IFERROR(1/(IF(Inputs!$B$38="pvp",15,MAX(0.1,Skills!D11-IF(TRUE=TRUE,Inputs!$B$32,0)))*(1-IF(AND(ArtifactsInput!$M$27,Inputs!$B$4="Chapter Hunt"),CHOOSE(ArtifactsInput!$N$27+1,20,24,28,32,36,40),0)/100)),0)</f>
        <v/>
      </c>
      <c r="R628">
        <f>IF(AND(Inputs!$B$38&lt;&gt;"pvp",Inputs!$B$43&gt;0),IF(MAX(0,Inputs!$B$43-B653)&lt;=0,0,(INT(MAX(0,Inputs!$B$43-B653)/(IF(Inputs!$B$38="pvp",15,MAX(0.1,Skills!D11-IF(TRUE=TRUE,Inputs!$B$32,0)))*(1-IF(AND(ArtifactsInput!$M$27,Inputs!$B$4="Chapter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$20+0+Skills!P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(1-(1-Inputs!$B$19/100)*(1-1/100))*100)+0)))*(1-IF(Inputs!$B$3&gt;=130,IF(Inputs!$B$3&gt;=118,8,IF(Inputs!$B$3&gt;=110,7,5)),0)/100))/100)*(1-CHOOSE(ArtifactsInput!$N$40+1,5,6,7,8,9,10)/100)^(ArtifactsInput!$M$40-ArtifactsInput!$M$40)))/100)*(1-IF(ArtifactsInput!$M$40,CHOOSE(ArtifactsInput!$N$40+1,5,6,7,8,9,10),0)/100)^IF(Inputs!$B$38="pvp",1,2)))/100)))/(5000/(6000+Inputs!$B$42*(1-(100*(1-(1-(100-(100-((((1-(1-Inputs!$B$19/100)*(1-1/100))*100)+0)))*(1-IF(Inputs!$B$3&gt;=130,IF(Inputs!$B$3&gt;=118,8,IF(Inputs!$B$3&gt;=110,7,5)),0)/100))/100)*(1-CHOOSE(ArtifactsInput!$N$40+1,5,6,7,8,9,10)/100)^(ArtifactsInput!$M$40-ArtifactsInput!$M$40)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Inputs!$B$38&lt;&gt;"pvp",Inputs!$B$43=0),1,IF(IF(Inputs!$B$38="pvp",15,Inputs!$B$43)-(B653)&lt;=0,1,MAX(0,IF(Inputs!$B$38="pvp",15,Inputs!$B$43)-MAX(5,B653))/(IF(Inputs!$B$38="pvp",15,Inputs!$B$43)-(B653)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TRUE=TRUE,Inputs!$B$32,0)))*(1-IF(AND(ArtifactsInput!$M$27,Inputs!$B$4="Chapter Hunt"),CHOOSE(ArtifactsInput!$N$27+1,20,24,28,32,36,40),0)/100)))))/Skills!H11,1)))/Inputs!$B$43),G628*Q628))*IF(Inputs!$B$38="pvp",1,(1+(Inputs!$B$21+Skills!Q11+(((C633=TRUE)*F633*(Skills!J16/100)*IF(AND(Inputs!$B$38&lt;&gt;"pvp",Inputs!$B$43&gt;0),(((R633-1)*MIN((Skills!T16*(1+(Inputs!$B$34+(ArtifactsInput!$M$7-ArtifactsInput!$M$7)*CHOOSE(ArtifactsInput!$N$7+1,6,7.2,8.4,9.6,10.8,12))/100)),(1/Q633))+MIN((Skills!T16*(1+(Inputs!$B$34+(ArtifactsInput!$M$7-ArtifactsInput!$M$7)*CHOOSE(ArtifactsInput!$N$7+1,6,7.2,8.4,9.6,10.8,12))/100)),MAX(0,Inputs!$B$43-((R633-1)*(1/Q633)))))/Inputs!$B$43),IF(Inputs!$B$38="pvp",MIN((Skills!T16*(1+(Inputs!$B$34+(ArtifactsInput!$M$7-ArtifactsInput!$M$7)*CHOOSE(ArtifactsInput!$N$7+1,6,7.2,8.4,9.6,10.8,12))/100)),15)/15,MIN(1,(Skills!T16*(1+(Inputs!$B$34+(ArtifactsInput!$M$7-ArtifactsInput!$M$7)*CHOOSE(ArtifactsInput!$N$7+1,6,7.2,8.4,9.6,10.8,12))/100))/(1/Q633)))))+((C625=TRUE)*IF(Inputs!$B$3&gt;=126,10*MIN(1,15*Q625),0))+((C622=TRUE)*((100/10)*(INDEX(FactorTable!$B$2:$Y$301,MATCH(ROUND(MIN(300,MAX(1,MAX(0,(Inputs!$B$3-100)*3)+Inputs!$B$28+Inputs!$B$29)),0),FactorTable!$A$2:$A$301,0),22)/1000))*(1+IF(Inputs!$B$3&gt;=134,0.5,0))*MIN(1,10*(1+(Inputs!$B$34+(ArtifactsInput!$M$7-ArtifactsInput!$M$7)*CHOOSE(ArtifactsInput!$N$7+1,6,7.2,8.4,9.6,10.8,12))/100)*Q622)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Skills!G13*IF(Skills!H13&gt;0,IF(Inputs!$B$38="pvp",MIN(Skills!I13,15),Skills!I13)/Skills!H13,1)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Skills!G14*IF(Skills!H14&gt;0,IF(Inputs!$B$38="pvp",MIN(Skills!I14,15),Skills!I14)/Skills!H14,1)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Skills!G15*IF(Skills!H15&gt;0,IF(Inputs!$B$38="pvp",MIN(Skills!I15,15),Skills!I15)/Skills!H15,1)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IFERROR(1/(IF(Inputs!$B$38="pvp",15,MAX(0.1,Skills!D15-IF(TRUE=TRUE,Inputs!$B$32,0)))*(1-IF(AND(ArtifactsInput!$M$27,Inputs!$B$4="Chapter Hunt"),CHOOSE(ArtifactsInput!$N$27+1,20,24,28,32,36,40),0)/100)),0)</f>
        <v/>
      </c>
      <c r="R632">
        <f>IF(AND(Inputs!$B$38&lt;&gt;"pvp",Inputs!$B$43&gt;0),IF(Inputs!$B$43&lt;=0,0,(INT(Inputs!$B$43/(IF(Inputs!$B$38="pvp",15,MAX(0.1,Skills!D15-IF(TRUE=TRUE,Inputs!$B$32,0)))*(1-IF(AND(ArtifactsInput!$M$27,Inputs!$B$4="Chapter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Skills!G16*IF(Skills!H16&gt;0,IF(Inputs!$B$38="pvp",MIN(Skills!I16,15),Skills!I16)/Skills!H16,1)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IFERROR(1/(IF(Inputs!$B$38="pvp",15,MAX(0.1,Skills!D16-IF(TRUE=TRUE,Inputs!$B$32,0)))*(1-IF(AND(ArtifactsInput!$M$27,Inputs!$B$4="Chapter Hunt"),CHOOSE(ArtifactsInput!$N$27+1,20,24,28,32,36,40),0)/100)),0)</f>
        <v/>
      </c>
      <c r="R633">
        <f>IF(AND(Inputs!$B$38&lt;&gt;"pvp",Inputs!$B$43&gt;0),IF(Inputs!$B$43&lt;=0,0,(INT(Inputs!$B$43/(IF(Inputs!$B$38="pvp",15,MAX(0.1,Skills!D16-IF(TRUE=TRUE,Inputs!$B$32,0)))*(1-IF(AND(ArtifactsInput!$M$27,Inputs!$B$4="Chapter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Skills!G17*IF(Skills!H17&gt;0,IF(Inputs!$B$38="pvp",MIN(Skills!I17,15),Skills!I17)/Skills!H17,1)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IFERROR(1/(IF(Inputs!$B$38="pvp",15,MAX(0.1,Skills!D17-IF(TRUE=TRUE,Inputs!$B$32,0)))*(1-IF(AND(ArtifactsInput!$M$27,Inputs!$B$4="Chapter Hunt"),CHOOSE(ArtifactsInput!$N$27+1,20,24,28,32,36,40),0)/100)),0)</f>
        <v/>
      </c>
      <c r="R634">
        <f>IF(AND(Inputs!$B$38&lt;&gt;"pvp",Inputs!$B$43&gt;0),IF(Inputs!$B$43&lt;=0,0,(INT(Inputs!$B$43/(IF(Inputs!$B$38="pvp",15,MAX(0.1,Skills!D17-IF(TRUE=TRUE,Inputs!$B$32,0)))*(1-IF(AND(ArtifactsInput!$M$27,Inputs!$B$4="Chapter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Skills!G18*IF(Skills!H18&gt;0,IF(Inputs!$B$38="pvp",MIN(Skills!I18,15),Skills!I18)/Skills!H18,1)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IFERROR(1/(IF(Inputs!$B$38="pvp",15,MAX(0.1,Skills!D18-IF(TRUE=TRUE,Inputs!$B$32,0)))*(1-IF(AND(ArtifactsInput!$M$27,Inputs!$B$4="Chapter Hunt"),CHOOSE(ArtifactsInput!$N$27+1,20,24,28,32,36,40),0)/100)),0)</f>
        <v/>
      </c>
      <c r="R635">
        <f>IF(AND(Inputs!$B$38&lt;&gt;"pvp",Inputs!$B$43&gt;0),IF(Inputs!$B$43&lt;=0,0,(INT(Inputs!$B$43/(IF(Inputs!$B$38="pvp",15,MAX(0.1,Skills!D18-IF(TRUE=TRUE,Inputs!$B$32,0)))*(1-IF(AND(ArtifactsInput!$M$27,Inputs!$B$4="Chapter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Skills!G19*IF(Skills!H19&gt;0,IF(Inputs!$B$38="pvp",MIN(Skills!I19,15),Skills!I19)/Skills!H19,1)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IFERROR(1/(IF(Inputs!$B$38="pvp",15,MAX(0.1,Skills!D19-IF(TRUE=TRUE,Inputs!$B$32,0)))*(1-IF(AND(ArtifactsInput!$M$27,Inputs!$B$4="Chapter Hunt"),CHOOSE(ArtifactsInput!$N$27+1,20,24,28,32,36,40),0)/100)),0)</f>
        <v/>
      </c>
      <c r="R636">
        <f>IF(AND(Inputs!$B$38&lt;&gt;"pvp",Inputs!$B$43&gt;0),IF(Inputs!$B$43&lt;=0,0,(INT(Inputs!$B$43/(IF(Inputs!$B$38="pvp",15,MAX(0.1,Skills!D19-IF(TRUE=TRUE,Inputs!$B$32,0)))*(1-IF(AND(ArtifactsInput!$M$27,Inputs!$B$4="Chapter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Skills!G20*IF(Skills!H20&gt;0,IF(Inputs!$B$38="pvp",MIN(Skills!I20,15),Skills!I20)/Skills!H20,1)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Skills!G21*IF(Skills!H21&gt;0,IF(Inputs!$B$38="pvp",MIN(Skills!I21,15),Skills!I21)/Skills!H21,1)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Skills!G22*IF(Skills!H22&gt;0,IF(Inputs!$B$38="pvp",MIN(Skills!I22,15),Skills!I22)/Skills!H22,1)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Skills!G23*IF(Skills!H23&gt;0,IF(Inputs!$B$38="pvp",MIN(Skills!I23,15),Skills!I23)/Skills!H23,1)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Skills!G24*IF(Skills!H24&gt;0,IF(Inputs!$B$38="pvp",MIN(Skills!I24,15),Skills!I24)/Skills!H24,1)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Skills!G25*IF(Skills!H25&gt;0,IF(Inputs!$B$38="pvp",MIN(Skills!I25,15),Skills!I25)/Skills!H25,1)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Skills!G26*IF(Skills!H26&gt;0,IF(Inputs!$B$38="pvp",MIN(Skills!I26,15),Skills!I26)/Skills!H26,1)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118,8,IF(Inputs!$B$3&gt;=110,7,5)))+((C632=TRUE)*F632*IF(AND(Inputs!$B$38&lt;&gt;"pvp",Inputs!$B$43&gt;0),(((R632-1)*MIN((Skills!T15*(1+(Inputs!$B$34+(ArtifactsInput!$M$7-ArtifactsInput!$M$7)*CHOOSE(ArtifactsInput!$N$7+1,6,7.2,8.4,9.6,10.8,12))/100)),(1/Q632))+MIN((Skills!T15*(1+(Inputs!$B$34+(ArtifactsInput!$M$7-ArtifactsInput!$M$7)*CHOOSE(ArtifactsInput!$N$7+1,6,7.2,8.4,9.6,10.8,12))/100)),MAX(0,Inputs!$B$43-((R632-1)*(1/Q632)))))/Inputs!$B$43),IF(Inputs!$B$38="pvp",MIN((Skills!T15*(1+(Inputs!$B$34+(ArtifactsInput!$M$7-ArtifactsInput!$M$7)*CHOOSE(ArtifactsInput!$N$7+1,6,7.2,8.4,9.6,10.8,12))/100)),15)/15,MIN(1,(Skills!T15*(1+(Inputs!$B$34+(ArtifactsInput!$M$7-ArtifactsInput!$M$7)*CHOOSE(ArtifactsInput!$N$7+1,6,7.2,8.4,9.6,10.8,12))/100))/(1/Q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MIN((Skills!T19*(1+(Inputs!$B$34+(ArtifactsInput!$M$7-ArtifactsInput!$M$7)*CHOOSE(ArtifactsInput!$N$7+1,6,7.2,8.4,9.6,10.8,12))/100)),(1/Q636))+MIN((Skills!T19*(1+(Inputs!$B$34+(ArtifactsInput!$M$7-ArtifactsInput!$M$7)*CHOOSE(ArtifactsInput!$N$7+1,6,7.2,8.4,9.6,10.8,12))/100)),MAX(0,Inputs!$B$43-((R636-1)*(1/Q636)))))/Inputs!$B$43),IF(Inputs!$B$38="pvp",MIN((Skills!T19*(1+(Inputs!$B$34+(ArtifactsInput!$M$7-ArtifactsInput!$M$7)*CHOOSE(ArtifactsInput!$N$7+1,6,7.2,8.4,9.6,10.8,12))/100)),15)/15,MIN(1,(Skills!T19*(1+(Inputs!$B$34+(ArtifactsInput!$M$7-ArtifactsInput!$M$7)*CHOOSE(ArtifactsInput!$N$7+1,6,7.2,8.4,9.6,10.8,12))/100))/(1/Q636)))))</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MIN((Skills!T18*(1+(Inputs!$B$34+(ArtifactsInput!$M$7-ArtifactsInput!$M$7)*CHOOSE(ArtifactsInput!$N$7+1,6,7.2,8.4,9.6,10.8,12))/100)),(1/Q635))+MIN((Skills!T18*(1+(Inputs!$B$34+(ArtifactsInput!$M$7-ArtifactsInput!$M$7)*CHOOSE(ArtifactsInput!$N$7+1,6,7.2,8.4,9.6,10.8,12))/100)),MAX(0,Inputs!$B$43-((R635-1)*(1/Q635)))))/Inputs!$B$43),IF(Inputs!$B$38="pvp",MIN((Skills!T18*(1+(Inputs!$B$34+(ArtifactsInput!$M$7-ArtifactsInput!$M$7)*CHOOSE(ArtifactsInput!$N$7+1,6,7.2,8.4,9.6,10.8,12))/100)),15)/15,MIN(1,(Skills!T18*(1+(Inputs!$B$34+(ArtifactsInput!$M$7-ArtifactsInput!$M$7)*CHOOSE(ArtifactsInput!$N$7+1,6,7.2,8.4,9.6,10.8,12))/100))/(1/Q635)))))</f>
        <v/>
      </c>
    </row>
    <row r="652">
      <c r="A652" t="inlineStr">
        <is>
          <t>Global Final Damage Bonus % (Enrage + Combo Synergy)</t>
        </is>
      </c>
      <c r="B652">
        <f>((C634=TRUE)*F634*IF(AND(Inputs!$B$38&lt;&gt;"pvp",Inputs!$B$43&gt;0),(((R634-1)*MIN((Skills!T17*(1+(Inputs!$B$34+(ArtifactsInput!$M$7-ArtifactsInput!$M$7)*CHOOSE(ArtifactsInput!$N$7+1,6,7.2,8.4,9.6,10.8,12))/100)),(1/Q634))+MIN((Skills!T17*(1+(Inputs!$B$34+(ArtifactsInput!$M$7-ArtifactsInput!$M$7)*CHOOSE(ArtifactsInput!$N$7+1,6,7.2,8.4,9.6,10.8,12))/100)),MAX(0,Inputs!$B$43-((R634-1)*(1/Q634)))))/Inputs!$B$43),IF(Inputs!$B$38="pvp",MIN((Skills!T17*(1+(Inputs!$B$34+(ArtifactsInput!$M$7-ArtifactsInput!$M$7)*CHOOSE(ArtifactsInput!$N$7+1,6,7.2,8.4,9.6,10.8,12))/100)),15)/15,MIN(1,(Skills!T17*(1+(Inputs!$B$34+(ArtifactsInput!$M$7-ArtifactsInput!$M$7)*CHOOSE(ArtifactsInput!$N$7+1,6,7.2,8.4,9.6,10.8,12))/100))/(1/Q634)))))+((C631=TRUE)*F631*IF(Inputs!$B$3&gt;=118,8,IF(Inputs!$B$3&gt;=110,7,5)))+IF(Inputs!$B$3&gt;=98,5,0)</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Skills!G2*IF(Skills!H2&gt;0,IF(Inputs!$B$38="pvp",MIN(Skills!I2,15),Skills!I2)/Skills!H2,1)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Skills!G5*IF(Skills!H5&gt;0,IF(Inputs!$B$38="pvp",MIN(Skills!I5,15),Skills!I5)/Skills!H5,1)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IFERROR(1/(IF(Inputs!$B$38="pvp",15,MAX(0.1,Skills!D5-IF(TRUE=TRUE,Inputs!$B$32,0)))*(1-IF(AND(ArtifactsInput!$M$27,Inputs!$B$4="Chapter Hunt"),CHOOSE(ArtifactsInput!$N$27+1,20,24,28,32,36,40),0)/100)),0)</f>
        <v/>
      </c>
      <c r="R664">
        <f>IF(AND(Inputs!$B$38&lt;&gt;"pvp",Inputs!$B$43&gt;0),IF(MAX(0,Inputs!$B$43-B695)&lt;=0,0,(INT(MAX(0,Inputs!$B$43-B695)/(IF(Inputs!$B$38="pvp",15,MAX(0.1,Skills!D5-IF(TRUE=TRUE,Inputs!$B$32,0)))*(1-IF(AND(ArtifactsInput!$M$27,Inputs!$B$4="Chapter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$20+0+Skills!P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TRUE=TRUE,Inputs!$B$32,0)))*(1-IF(AND(ArtifactsInput!$M$27,Inputs!$B$4="Chapter Hunt"),CHOOSE(ArtifactsInput!$N$27+1,20,24,28,32,36,40),0)/100)))))/Skills!H5,1)))/Inputs!$B$43),G664*Q664))*IF(Inputs!$B$38="pvp",1,(1+(Inputs!$B$21+Skills!Q5+(((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Skills!G6*IF(Skills!H6&gt;0,IF(Inputs!$B$38="pvp",MIN(Skills!I6,15),Skills!I6)/Skills!H6,1)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IFERROR(1/(IF(Inputs!$B$38="pvp",15,MAX(0.1,Skills!D6-IF(TRUE=TRUE,Inputs!$B$32,0)))*(1-IF(AND(ArtifactsInput!$M$27,Inputs!$B$4="Chapter Hunt"),CHOOSE(ArtifactsInput!$N$27+1,20,24,28,32,36,40),0)/100)),0)</f>
        <v/>
      </c>
      <c r="R665">
        <f>IF(AND(Inputs!$B$38&lt;&gt;"pvp",Inputs!$B$43&gt;0),IF(MAX(0,Inputs!$B$43-B695)&lt;=0,0,(INT(MAX(0,Inputs!$B$43-B695)/(IF(Inputs!$B$38="pvp",15,MAX(0.1,Skills!D6-IF(TRUE=TRUE,Inputs!$B$32,0)))*(1-IF(AND(ArtifactsInput!$M$27,Inputs!$B$4="Chapter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$20+0+Skills!P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TRUE=TRUE,Inputs!$B$32,0)))*(1-IF(AND(ArtifactsInput!$M$27,Inputs!$B$4="Chapter Hunt"),CHOOSE(ArtifactsInput!$N$27+1,20,24,28,32,36,40),0)/100)))))/Skills!H6,1)))/Inputs!$B$43),G665*Q665))*IF(Inputs!$B$38="pvp",1,(1+(Inputs!$B$21+Skills!Q6+(((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Skills!G7*IF(Skills!H7&gt;0,IF(Inputs!$B$38="pvp",MIN(Skills!I7,15),Skills!I7)/Skills!H7,1)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IFERROR(1/(IF(Inputs!$B$38="pvp",15,MAX(0.1,Skills!D7-IF(TRUE=TRUE,Inputs!$B$32,0)))*(1-IF(AND(ArtifactsInput!$M$27,Inputs!$B$4="Chapter Hunt"),CHOOSE(ArtifactsInput!$N$27+1,20,24,28,32,36,40),0)/100)),0)</f>
        <v/>
      </c>
      <c r="R666">
        <f>IF(AND(Inputs!$B$38&lt;&gt;"pvp",Inputs!$B$43&gt;0),IF(MAX(0,Inputs!$B$43-B695)&lt;=0,0,(INT(MAX(0,Inputs!$B$43-B695)/(IF(Inputs!$B$38="pvp",15,MAX(0.1,Skills!D7-IF(TRUE=TRUE,Inputs!$B$32,0)))*(1-IF(AND(ArtifactsInput!$M$27,Inputs!$B$4="Chapter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$20+0+Skills!P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TRUE=TRUE,Inputs!$B$32,0)))*(1-IF(AND(ArtifactsInput!$M$27,Inputs!$B$4="Chapter Hunt"),CHOOSE(ArtifactsInput!$N$27+1,20,24,28,32,36,40),0)/100)))))/Skills!H7,1)))/Inputs!$B$43),G666*Q666))*IF(Inputs!$B$38="pvp",1,(1+(Inputs!$B$21+Skills!Q7+(((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Skills!G8*IF(Skills!H8&gt;0,IF(Inputs!$B$38="pvp",MIN(Skills!I8,15),Skills!I8)/Skills!H8,1)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IFERROR(1/(IF(Inputs!$B$38="pvp",15,MAX(0.1,Skills!D8-IF(TRUE=TRUE,Inputs!$B$32,0)))*(1-IF(AND(ArtifactsInput!$M$27,Inputs!$B$4="Chapter Hunt"),CHOOSE(ArtifactsInput!$N$27+1,20,24,28,32,36,40),0)/100)),0)</f>
        <v/>
      </c>
      <c r="R667">
        <f>IF(AND(Inputs!$B$38&lt;&gt;"pvp",Inputs!$B$43&gt;0),IF(MAX(0,Inputs!$B$43-B695)&lt;=0,0,(INT(MAX(0,Inputs!$B$43-B695)/(IF(Inputs!$B$38="pvp",15,MAX(0.1,Skills!D8-IF(TRUE=TRUE,Inputs!$B$32,0)))*(1-IF(AND(ArtifactsInput!$M$27,Inputs!$B$4="Chapter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$20+0+Skills!P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TRUE=TRUE,Inputs!$B$32,0)))*(1-IF(AND(ArtifactsInput!$M$27,Inputs!$B$4="Chapter Hunt"),CHOOSE(ArtifactsInput!$N$27+1,20,24,28,32,36,40),0)/100)))))/Skills!H8,1)))/Inputs!$B$43),G667*Q667))*IF(Inputs!$B$38="pvp",1,(1+(Inputs!$B$21+Skills!Q8+(((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Skills!G9*IF(Skills!H9&gt;0,IF(Inputs!$B$38="pvp",MIN(Skills!I9,15),Skills!I9)/Skills!H9,1)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138,MAX(0,IF(Inputs!$B$3&gt;=118,8,IF(Inputs!$B$3&gt;=110,7,5))-5)*50,0),0)/100)*(1+(IF(Skills!A9="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IFERROR(1/(IF(Inputs!$B$38="pvp",15,MAX(0.1,Skills!D9-IF(TRUE=TRUE,Inputs!$B$32,0)))*(1-IF(AND(ArtifactsInput!$M$27,Inputs!$B$4="Chapter Hunt"),CHOOSE(ArtifactsInput!$N$27+1,20,24,28,32,36,40),0)/100)),0)</f>
        <v/>
      </c>
      <c r="R668">
        <f>IF(AND(Inputs!$B$38&lt;&gt;"pvp",Inputs!$B$43&gt;0),IF(MAX(0,Inputs!$B$43-B695)&lt;=0,0,(INT(MAX(0,Inputs!$B$43-B695)/(IF(Inputs!$B$38="pvp",15,MAX(0.1,Skills!D9-IF(TRUE=TRUE,Inputs!$B$32,0)))*(1-IF(AND(ArtifactsInput!$M$27,Inputs!$B$4="Chapter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TRUE=TRUE,Inputs!$B$32,0)))*(1-IF(AND(ArtifactsInput!$M$27,Inputs!$B$4="Chapter Hunt"),CHOOSE(ArtifactsInput!$N$27+1,20,24,28,32,36,40),0)/100)))))/Skills!H9,1)))/Inputs!$B$43),G668*Q668))*IF(Inputs!$B$38="pvp",1,1+(Inputs!$B$20+0+Skills!P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TRUE=TRUE,Inputs!$B$32,0)))*(1-IF(AND(ArtifactsInput!$M$27,Inputs!$B$4="Chapter Hunt"),CHOOSE(ArtifactsInput!$N$27+1,20,24,28,32,36,40),0)/100)))))/Skills!H9,1)))/Inputs!$B$43),G668*Q668))*IF(Inputs!$B$38="pvp",1,(1+(Inputs!$B$21+Skills!Q9+(((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Skills!G10*IF(Skills!H10&gt;0,IF(Inputs!$B$38="pvp",MIN(Skills!I10,15),Skills!I10)/Skills!H10,1)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138,MAX(0,IF(Inputs!$B$3&gt;=118,8,IF(Inputs!$B$3&gt;=110,7,5))-5)*50,0),0)/100)*(1+(IF(Skills!A10="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IFERROR(1/(IF(Inputs!$B$38="pvp",15,MAX(0.1,Skills!D10-IF(TRUE=TRUE,Inputs!$B$32,0)))*(1-IF(AND(ArtifactsInput!$M$27,Inputs!$B$4="Chapter Hunt"),CHOOSE(ArtifactsInput!$N$27+1,20,24,28,32,36,40),0)/100)),0)</f>
        <v/>
      </c>
      <c r="R669">
        <f>IF(AND(Inputs!$B$38&lt;&gt;"pvp",Inputs!$B$43&gt;0),IF(MAX(0,Inputs!$B$43-B695)&lt;=0,0,(INT(MAX(0,Inputs!$B$43-B695)/(IF(Inputs!$B$38="pvp",15,MAX(0.1,Skills!D10-IF(TRUE=TRUE,Inputs!$B$32,0)))*(1-IF(AND(ArtifactsInput!$M$27,Inputs!$B$4="Chapter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$20+0+Skills!P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TRUE=TRUE,Inputs!$B$32,0)))*(1-IF(AND(ArtifactsInput!$M$27,Inputs!$B$4="Chapter Hunt"),CHOOSE(ArtifactsInput!$N$27+1,20,24,28,32,36,40),0)/100)))))/Skills!H10,1)))/Inputs!$B$43),G669*Q669))*IF(Inputs!$B$38="pvp",1,(1+(Inputs!$B$21+Skills!Q10+(((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Skills!G11*IF(Skills!H11&gt;0,IF(Inputs!$B$38="pvp",MIN(Skills!I11,15),Skills!I11)/Skills!H11,1)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(100-(100-((Inputs!$B$19+0)))*(1-IF(Inputs!$B$3&gt;=130,IF(Inputs!$B$3&gt;=118,8,IF(Inputs!$B$3&gt;=110,7,5)),0)/100)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138,MAX(0,IF(Inputs!$B$3&gt;=118,8,IF(Inputs!$B$3&gt;=110,7,5))-5)*50,0),0)/100)*(1+(IF(Skills!A11="RAGING_BLOW",(Inputs!$B$17+1)+((C680=TRUE)*(F680-Calc!F21))+((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IFERROR(1/(IF(Inputs!$B$38="pvp",15,MAX(0.1,Skills!D11-IF(TRUE=TRUE,Inputs!$B$32,0)))*(1-IF(AND(ArtifactsInput!$M$27,Inputs!$B$4="Chapter Hunt"),CHOOSE(ArtifactsInput!$N$27+1,20,24,28,32,36,40),0)/100)),0)</f>
        <v/>
      </c>
      <c r="R670">
        <f>IF(AND(Inputs!$B$38&lt;&gt;"pvp",Inputs!$B$43&gt;0),IF(MAX(0,Inputs!$B$43-B695)&lt;=0,0,(INT(MAX(0,Inputs!$B$43-B695)/(IF(Inputs!$B$38="pvp",15,MAX(0.1,Skills!D11-IF(TRUE=TRUE,Inputs!$B$32,0)))*(1-IF(AND(ArtifactsInput!$M$27,Inputs!$B$4="Chapter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$20+0+Skills!P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Inputs!$B$38&lt;&gt;"pvp",Inputs!$B$43=0),1,IF(IF(Inputs!$B$38="pvp",15,Inputs!$B$43)-(B695)&lt;=0,1,MAX(0,IF(Inputs!$B$38="pvp",15,Inputs!$B$43)-MAX(5,B695))/(IF(Inputs!$B$38="pvp",15,Inputs!$B$43)-(B695)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TRUE=TRUE,Inputs!$B$32,0)))*(1-IF(AND(ArtifactsInput!$M$27,Inputs!$B$4="Chapter Hunt"),CHOOSE(ArtifactsInput!$N$27+1,20,24,28,32,36,40),0)/100)))))/Skills!H11,1)))/Inputs!$B$43),G670*Q670))*IF(Inputs!$B$38="pvp",1,(1+(Inputs!$B$21+Skills!Q11+(((C675=TRUE)*F675*(Skills!J16/100)*IF(AND(Inputs!$B$38&lt;&gt;"pvp",Inputs!$B$43&gt;0),(((R675-1)*MIN((Skills!T16*(1+(Inputs!$B$34+(ArtifactsInput!$M$7-ArtifactsInput!$M$7)*CHOOSE(ArtifactsInput!$N$7+1,6,7.2,8.4,9.6,10.8,12))/100)),(1/Q675))+MIN((Skills!T16*(1+(Inputs!$B$34+(ArtifactsInput!$M$7-ArtifactsInput!$M$7)*CHOOSE(ArtifactsInput!$N$7+1,6,7.2,8.4,9.6,10.8,12))/100)),MAX(0,Inputs!$B$43-((R675-1)*(1/Q675)))))/Inputs!$B$43),IF(Inputs!$B$38="pvp",MIN((Skills!T16*(1+(Inputs!$B$34+(ArtifactsInput!$M$7-ArtifactsInput!$M$7)*CHOOSE(ArtifactsInput!$N$7+1,6,7.2,8.4,9.6,10.8,12))/100)),15)/15,MIN(1,(Skills!T16*(1+(Inputs!$B$34+(ArtifactsInput!$M$7-ArtifactsInput!$M$7)*CHOOSE(ArtifactsInput!$N$7+1,6,7.2,8.4,9.6,10.8,12))/100))/(1/Q675)))))+((C667=TRUE)*IF(Inputs!$B$3&gt;=126,10*MIN(1,15*Q667),0))+((C664=TRUE)*((100/10)*(INDEX(FactorTable!$B$2:$Y$301,MATCH(ROUND(MIN(300,MAX(1,MAX(0,(Inputs!$B$3-100)*3)+Inputs!$B$28+Inputs!$B$29)),0),FactorTable!$A$2:$A$301,0),22)/1000))*(1+IF(Inputs!$B$3&gt;=134,0.5,0))*MIN(1,10*(1+(Inputs!$B$34+(ArtifactsInput!$M$7-ArtifactsInput!$M$7)*CHOOSE(ArtifactsInput!$N$7+1,6,7.2,8.4,9.6,10.8,12))/100)*Q664)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Skills!G13*IF(Skills!H13&gt;0,IF(Inputs!$B$38="pvp",MIN(Skills!I13,15),Skills!I13)/Skills!H13,1)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Skills!G14*IF(Skills!H14&gt;0,IF(Inputs!$B$38="pvp",MIN(Skills!I14,15),Skills!I14)/Skills!H14,1)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Skills!G15*IF(Skills!H15&gt;0,IF(Inputs!$B$38="pvp",MIN(Skills!I15,15),Skills!I15)/Skills!H15,1)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IFERROR(1/(IF(Inputs!$B$38="pvp",15,MAX(0.1,Skills!D15-IF(TRUE=TRUE,Inputs!$B$32,0)))*(1-IF(AND(ArtifactsInput!$M$27,Inputs!$B$4="Chapter Hunt"),CHOOSE(ArtifactsInput!$N$27+1,20,24,28,32,36,40),0)/100)),0)</f>
        <v/>
      </c>
      <c r="R674">
        <f>IF(AND(Inputs!$B$38&lt;&gt;"pvp",Inputs!$B$43&gt;0),IF(Inputs!$B$43&lt;=0,0,(INT(Inputs!$B$43/(IF(Inputs!$B$38="pvp",15,MAX(0.1,Skills!D15-IF(TRUE=TRUE,Inputs!$B$32,0)))*(1-IF(AND(ArtifactsInput!$M$27,Inputs!$B$4="Chapter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Skills!G16*IF(Skills!H16&gt;0,IF(Inputs!$B$38="pvp",MIN(Skills!I16,15),Skills!I16)/Skills!H16,1)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IFERROR(1/(IF(Inputs!$B$38="pvp",15,MAX(0.1,Skills!D16-IF(TRUE=TRUE,Inputs!$B$32,0)))*(1-IF(AND(ArtifactsInput!$M$27,Inputs!$B$4="Chapter Hunt"),CHOOSE(ArtifactsInput!$N$27+1,20,24,28,32,36,40),0)/100)),0)</f>
        <v/>
      </c>
      <c r="R675">
        <f>IF(AND(Inputs!$B$38&lt;&gt;"pvp",Inputs!$B$43&gt;0),IF(Inputs!$B$43&lt;=0,0,(INT(Inputs!$B$43/(IF(Inputs!$B$38="pvp",15,MAX(0.1,Skills!D16-IF(TRUE=TRUE,Inputs!$B$32,0)))*(1-IF(AND(ArtifactsInput!$M$27,Inputs!$B$4="Chapter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Skills!G17*IF(Skills!H17&gt;0,IF(Inputs!$B$38="pvp",MIN(Skills!I17,15),Skills!I17)/Skills!H17,1)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IFERROR(1/(IF(Inputs!$B$38="pvp",15,MAX(0.1,Skills!D17-IF(TRUE=TRUE,Inputs!$B$32,0)))*(1-IF(AND(ArtifactsInput!$M$27,Inputs!$B$4="Chapter Hunt"),CHOOSE(ArtifactsInput!$N$27+1,20,24,28,32,36,40),0)/100)),0)</f>
        <v/>
      </c>
      <c r="R676">
        <f>IF(AND(Inputs!$B$38&lt;&gt;"pvp",Inputs!$B$43&gt;0),IF(Inputs!$B$43&lt;=0,0,(INT(Inputs!$B$43/(IF(Inputs!$B$38="pvp",15,MAX(0.1,Skills!D17-IF(TRUE=TRUE,Inputs!$B$32,0)))*(1-IF(AND(ArtifactsInput!$M$27,Inputs!$B$4="Chapter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Skills!G18*IF(Skills!H18&gt;0,IF(Inputs!$B$38="pvp",MIN(Skills!I18,15),Skills!I18)/Skills!H18,1)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IFERROR(1/(IF(Inputs!$B$38="pvp",15,MAX(0.1,Skills!D18-IF(TRUE=TRUE,Inputs!$B$32,0)))*(1-IF(AND(ArtifactsInput!$M$27,Inputs!$B$4="Chapter Hunt"),CHOOSE(ArtifactsInput!$N$27+1,20,24,28,32,36,40),0)/100)),0)</f>
        <v/>
      </c>
      <c r="R677">
        <f>IF(AND(Inputs!$B$38&lt;&gt;"pvp",Inputs!$B$43&gt;0),IF(Inputs!$B$43&lt;=0,0,(INT(Inputs!$B$43/(IF(Inputs!$B$38="pvp",15,MAX(0.1,Skills!D18-IF(TRUE=TRUE,Inputs!$B$32,0)))*(1-IF(AND(ArtifactsInput!$M$27,Inputs!$B$4="Chapter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Skills!G19*IF(Skills!H19&gt;0,IF(Inputs!$B$38="pvp",MIN(Skills!I19,15),Skills!I19)/Skills!H19,1)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IFERROR(1/(IF(Inputs!$B$38="pvp",15,MAX(0.1,Skills!D19-IF(TRUE=TRUE,Inputs!$B$32,0)))*(1-IF(AND(ArtifactsInput!$M$27,Inputs!$B$4="Chapter Hunt"),CHOOSE(ArtifactsInput!$N$27+1,20,24,28,32,36,40),0)/100)),0)</f>
        <v/>
      </c>
      <c r="R678">
        <f>IF(AND(Inputs!$B$38&lt;&gt;"pvp",Inputs!$B$43&gt;0),IF(Inputs!$B$43&lt;=0,0,(INT(Inputs!$B$43/(IF(Inputs!$B$38="pvp",15,MAX(0.1,Skills!D19-IF(TRUE=TRUE,Inputs!$B$32,0)))*(1-IF(AND(ArtifactsInput!$M$27,Inputs!$B$4="Chapter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Skills!G20*IF(Skills!H20&gt;0,IF(Inputs!$B$38="pvp",MIN(Skills!I20,15),Skills!I20)/Skills!H20,1)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Skills!G21*IF(Skills!H21&gt;0,IF(Inputs!$B$38="pvp",MIN(Skills!I21,15),Skills!I21)/Skills!H21,1)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Skills!G22*IF(Skills!H22&gt;0,IF(Inputs!$B$38="pvp",MIN(Skills!I22,15),Skills!I22)/Skills!H22,1)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Skills!G23*IF(Skills!H23&gt;0,IF(Inputs!$B$38="pvp",MIN(Skills!I23,15),Skills!I23)/Skills!H23,1)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Skills!G24*IF(Skills!H24&gt;0,IF(Inputs!$B$38="pvp",MIN(Skills!I24,15),Skills!I24)/Skills!H24,1)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Skills!G25*IF(Skills!H25&gt;0,IF(Inputs!$B$38="pvp",MIN(Skills!I25,15),Skills!I25)/Skills!H25,1)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Skills!G26*IF(Skills!H26&gt;0,IF(Inputs!$B$38="pvp",MIN(Skills!I26,15),Skills!I26)/Skills!H26,1)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118,8,IF(Inputs!$B$3&gt;=110,7,5)))+((C674=TRUE)*F674*IF(AND(Inputs!$B$38&lt;&gt;"pvp",Inputs!$B$43&gt;0),(((R674-1)*MIN((Skills!T15*(1+(Inputs!$B$34+(ArtifactsInput!$M$7-ArtifactsInput!$M$7)*CHOOSE(ArtifactsInput!$N$7+1,6,7.2,8.4,9.6,10.8,12))/100)),(1/Q674))+MIN((Skills!T15*(1+(Inputs!$B$34+(ArtifactsInput!$M$7-ArtifactsInput!$M$7)*CHOOSE(ArtifactsInput!$N$7+1,6,7.2,8.4,9.6,10.8,12))/100)),MAX(0,Inputs!$B$43-((R674-1)*(1/Q674)))))/Inputs!$B$43),IF(Inputs!$B$38="pvp",MIN((Skills!T15*(1+(Inputs!$B$34+(ArtifactsInput!$M$7-ArtifactsInput!$M$7)*CHOOSE(ArtifactsInput!$N$7+1,6,7.2,8.4,9.6,10.8,12))/100)),15)/15,MIN(1,(Skills!T15*(1+(Inputs!$B$34+(ArtifactsInput!$M$7-ArtifactsInput!$M$7)*CHOOSE(ArtifactsInput!$N$7+1,6,7.2,8.4,9.6,10.8,12))/100))/(1/Q674)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MIN((Skills!T19*(1+(Inputs!$B$34+(ArtifactsInput!$M$7-ArtifactsInput!$M$7)*CHOOSE(ArtifactsInput!$N$7+1,6,7.2,8.4,9.6,10.8,12))/100)),(1/Q678))+MIN((Skills!T19*(1+(Inputs!$B$34+(ArtifactsInput!$M$7-ArtifactsInput!$M$7)*CHOOSE(ArtifactsInput!$N$7+1,6,7.2,8.4,9.6,10.8,12))/100)),MAX(0,Inputs!$B$43-((R678-1)*(1/Q678)))))/Inputs!$B$43),IF(Inputs!$B$38="pvp",MIN((Skills!T19*(1+(Inputs!$B$34+(ArtifactsInput!$M$7-ArtifactsInput!$M$7)*CHOOSE(ArtifactsInput!$N$7+1,6,7.2,8.4,9.6,10.8,12))/100)),15)/15,MIN(1,(Skills!T19*(1+(Inputs!$B$34+(ArtifactsInput!$M$7-ArtifactsInput!$M$7)*CHOOSE(ArtifactsInput!$N$7+1,6,7.2,8.4,9.6,10.8,12))/100))/(1/Q678)))))</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MIN((Skills!T18*(1+(Inputs!$B$34+(ArtifactsInput!$M$7-ArtifactsInput!$M$7)*CHOOSE(ArtifactsInput!$N$7+1,6,7.2,8.4,9.6,10.8,12))/100)),(1/Q677))+MIN((Skills!T18*(1+(Inputs!$B$34+(ArtifactsInput!$M$7-ArtifactsInput!$M$7)*CHOOSE(ArtifactsInput!$N$7+1,6,7.2,8.4,9.6,10.8,12))/100)),MAX(0,Inputs!$B$43-((R677-1)*(1/Q677)))))/Inputs!$B$43),IF(Inputs!$B$38="pvp",MIN((Skills!T18*(1+(Inputs!$B$34+(ArtifactsInput!$M$7-ArtifactsInput!$M$7)*CHOOSE(ArtifactsInput!$N$7+1,6,7.2,8.4,9.6,10.8,12))/100)),15)/15,MIN(1,(Skills!T18*(1+(Inputs!$B$34+(ArtifactsInput!$M$7-ArtifactsInput!$M$7)*CHOOSE(ArtifactsInput!$N$7+1,6,7.2,8.4,9.6,10.8,12))/100))/(1/Q677)))))</f>
        <v/>
      </c>
    </row>
    <row r="694">
      <c r="A694" t="inlineStr">
        <is>
          <t>Global Final Damage Bonus % (Enrage + Combo Synergy)</t>
        </is>
      </c>
      <c r="B694">
        <f>((C676=TRUE)*F676*IF(AND(Inputs!$B$38&lt;&gt;"pvp",Inputs!$B$43&gt;0),(((R676-1)*MIN((Skills!T17*(1+(Inputs!$B$34+(ArtifactsInput!$M$7-ArtifactsInput!$M$7)*CHOOSE(ArtifactsInput!$N$7+1,6,7.2,8.4,9.6,10.8,12))/100)),(1/Q676))+MIN((Skills!T17*(1+(Inputs!$B$34+(ArtifactsInput!$M$7-ArtifactsInput!$M$7)*CHOOSE(ArtifactsInput!$N$7+1,6,7.2,8.4,9.6,10.8,12))/100)),MAX(0,Inputs!$B$43-((R676-1)*(1/Q676)))))/Inputs!$B$43),IF(Inputs!$B$38="pvp",MIN((Skills!T17*(1+(Inputs!$B$34+(ArtifactsInput!$M$7-ArtifactsInput!$M$7)*CHOOSE(ArtifactsInput!$N$7+1,6,7.2,8.4,9.6,10.8,12))/100)),15)/15,MIN(1,(Skills!T17*(1+(Inputs!$B$34+(ArtifactsInput!$M$7-ArtifactsInput!$M$7)*CHOOSE(ArtifactsInput!$N$7+1,6,7.2,8.4,9.6,10.8,12))/100))/(1/Q676)))))+((C673=TRUE)*F673*IF(Inputs!$B$3&gt;=118,8,IF(Inputs!$B$3&gt;=110,7,5)))+IF(Inputs!$B$3&gt;=98,5,0)</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Skills!G2*IF(Skills!H2&gt;0,IF(Inputs!$B$38="pvp",MIN(Skills!I2,15),Skills!I2)/Skills!H2,1)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Skills!G5*IF(Skills!H5&gt;0,IF(Inputs!$B$38="pvp",MIN(Skills!I5,15),Skills!I5)/Skills!H5,1)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IFERROR(1/(IF(Inputs!$B$38="pvp",15,MAX(0.1,Skills!D5-IF(TRUE=TRUE,Inputs!$B$32,0)))*(1-IF(AND(ArtifactsInput!$M$27,Inputs!$B$4="Chapter Hunt"),CHOOSE(ArtifactsInput!$N$27+1,20,24,28,32,36,40),0)/100)),0)</f>
        <v/>
      </c>
      <c r="R706">
        <f>IF(AND(Inputs!$B$38&lt;&gt;"pvp",Inputs!$B$43&gt;0),IF(MAX(0,Inputs!$B$43-B737)&lt;=0,0,(INT(MAX(0,Inputs!$B$43-B737)/(IF(Inputs!$B$38="pvp",15,MAX(0.1,Skills!D5-IF(TRUE=TRUE,Inputs!$B$32,0)))*(1-IF(AND(ArtifactsInput!$M$27,Inputs!$B$4="Chapter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$20+0+Skills!P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TRUE=TRUE,Inputs!$B$32,0)))*(1-IF(AND(ArtifactsInput!$M$27,Inputs!$B$4="Chapter Hunt"),CHOOSE(ArtifactsInput!$N$27+1,20,24,28,32,36,40),0)/100)))))/Skills!H5,1)))/Inputs!$B$43),G706*Q706))*IF(Inputs!$B$38="pvp",1,(1+(Inputs!$B$21+Skills!Q5+(((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Skills!G6*IF(Skills!H6&gt;0,IF(Inputs!$B$38="pvp",MIN(Skills!I6,15),Skills!I6)/Skills!H6,1)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$20+0+Skills!P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TRUE=TRUE,Inputs!$B$32,0)))*(1-IF(AND(ArtifactsInput!$M$27,Inputs!$B$4="Chapter Hunt"),CHOOSE(ArtifactsInput!$N$27+1,20,24,28,32,36,40),0)/100)))))/Skills!H6,1)))/Inputs!$B$43),G707*Q707))*IF(Inputs!$B$38="pvp",1,(1+(Inputs!$B$21+Skills!Q6+(((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Skills!G7*IF(Skills!H7&gt;0,IF(Inputs!$B$38="pvp",MIN(Skills!I7,15),Skills!I7)/Skills!H7,1)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$20+0+Skills!P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TRUE=TRUE,Inputs!$B$32,0)))*(1-IF(AND(ArtifactsInput!$M$27,Inputs!$B$4="Chapter Hunt"),CHOOSE(ArtifactsInput!$N$27+1,20,24,28,32,36,40),0)/100)))))/Skills!H7,1)))/Inputs!$B$43),G708*Q708))*IF(Inputs!$B$38="pvp",1,(1+(Inputs!$B$21+Skills!Q7+(((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Skills!G8*IF(Skills!H8&gt;0,IF(Inputs!$B$38="pvp",MIN(Skills!I8,15),Skills!I8)/Skills!H8,1)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$20+0+Skills!P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TRUE=TRUE,Inputs!$B$32,0)))*(1-IF(AND(ArtifactsInput!$M$27,Inputs!$B$4="Chapter Hunt"),CHOOSE(ArtifactsInput!$N$27+1,20,24,28,32,36,40),0)/100)))))/Skills!H8,1)))/Inputs!$B$43),G709*Q709))*IF(Inputs!$B$38="pvp",1,(1+(Inputs!$B$21+Skills!Q8+(((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Skills!G9*IF(Skills!H9&gt;0,IF(Inputs!$B$38="pvp",MIN(Skills!I9,15),Skills!I9)/Skills!H9,1)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138,MAX(0,IF(Inputs!$B$3&gt;=118,8,IF(Inputs!$B$3&gt;=110,7,5))-5)*50,0),0)/100)*(1+(IF(Skills!A9="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IFERROR(1/(IF(Inputs!$B$38="pvp",15,MAX(0.1,Skills!D9-IF(TRUE=TRUE,Inputs!$B$32,0)))*(1-IF(AND(ArtifactsInput!$M$27,Inputs!$B$4="Chapter Hunt"),CHOOSE(ArtifactsInput!$N$27+1,20,24,28,32,36,40),0)/100)),0)</f>
        <v/>
      </c>
      <c r="R710">
        <f>IF(AND(Inputs!$B$38&lt;&gt;"pvp",Inputs!$B$43&gt;0),IF(MAX(0,Inputs!$B$43-B737)&lt;=0,0,(INT(MAX(0,Inputs!$B$43-B737)/(IF(Inputs!$B$38="pvp",15,MAX(0.1,Skills!D9-IF(TRUE=TRUE,Inputs!$B$32,0)))*(1-IF(AND(ArtifactsInput!$M$27,Inputs!$B$4="Chapter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$20+0+Skills!P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TRUE=TRUE,Inputs!$B$32,0)))*(1-IF(AND(ArtifactsInput!$M$27,Inputs!$B$4="Chapter Hunt"),CHOOSE(ArtifactsInput!$N$27+1,20,24,28,32,36,40),0)/100)))))/Skills!H9,1)))/Inputs!$B$43),G710*Q710))*IF(Inputs!$B$38="pvp",1,(1+(Inputs!$B$21+Skills!Q9+(((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Skills!G10*IF(Skills!H10&gt;0,IF(Inputs!$B$38="pvp",MIN(Skills!I10,15),Skills!I10)/Skills!H10,1)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138,MAX(0,IF(Inputs!$B$3&gt;=118,8,IF(Inputs!$B$3&gt;=110,7,5))-5)*50,0),0)/100)*(1+(IF(Skills!A10="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$20+0+Skills!P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TRUE=TRUE,Inputs!$B$32,0)))*(1-IF(AND(ArtifactsInput!$M$27,Inputs!$B$4="Chapter Hunt"),CHOOSE(ArtifactsInput!$N$27+1,20,24,28,32,36,40),0)/100)))))/Skills!H10,1)))/Inputs!$B$43),G711*Q711))*IF(Inputs!$B$38="pvp",1,(1+(Inputs!$B$21+Skills!Q10+(((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Skills!G11*IF(Skills!H11&gt;0,IF(Inputs!$B$38="pvp",MIN(Skills!I11,15),Skills!I11)/Skills!H11,1)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(100-(100-((Inputs!$B$19+0)))*(1-IF(Inputs!$B$3&gt;=130,IF(Inputs!$B$3&gt;=118,8,IF(Inputs!$B$3&gt;=110,7,5)),0)/100)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138,MAX(0,IF(Inputs!$B$3&gt;=118,8,IF(Inputs!$B$3&gt;=110,7,5))-5)*50,0),0)/100)*(1+(IF(Skills!A11="RAGING_BLOW",Inputs!$B$17+((C722=TRUE)*(F722-Calc!F21))+((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IFERROR(1/(IF(Inputs!$B$38="pvp",15,MAX(0.1,Skills!D11-IF(TRUE=TRUE,Inputs!$B$32,0)))*(1-IF(AND(ArtifactsInput!$M$27,Inputs!$B$4="Chapter Hunt"),CHOOSE(ArtifactsInput!$N$27+1,20,24,28,32,36,40),0)/100)),0)</f>
        <v/>
      </c>
      <c r="R712">
        <f>IF(AND(Inputs!$B$38&lt;&gt;"pvp",Inputs!$B$43&gt;0),IF(MAX(0,Inputs!$B$43-B737)&lt;=0,0,(INT(MAX(0,Inputs!$B$43-B737)/(IF(Inputs!$B$38="pvp",15,MAX(0.1,Skills!D11-IF(TRUE=TRUE,Inputs!$B$32,0)))*(1-IF(AND(ArtifactsInput!$M$27,Inputs!$B$4="Chapter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$20+0+Skills!P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Inputs!$B$38&lt;&gt;"pvp",Inputs!$B$43=0),1,IF(IF(Inputs!$B$38="pvp",15,Inputs!$B$43)-(B737)&lt;=0,1,MAX(0,IF(Inputs!$B$38="pvp",15,Inputs!$B$43)-MAX(5,B737))/(IF(Inputs!$B$38="pvp",15,Inputs!$B$43)-(B737)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TRUE=TRUE,Inputs!$B$32,0)))*(1-IF(AND(ArtifactsInput!$M$27,Inputs!$B$4="Chapter Hunt"),CHOOSE(ArtifactsInput!$N$27+1,20,24,28,32,36,40),0)/100)))))/Skills!H11,1)))/Inputs!$B$43),G712*Q712))*IF(Inputs!$B$38="pvp",1,(1+(Inputs!$B$21+Skills!Q11+(((C717=TRUE)*F717*(Skills!J16/100)*IF(AND(Inputs!$B$38&lt;&gt;"pvp",Inputs!$B$43&gt;0),(((R717-1)*MIN((Skills!T16*(1+(Inputs!$B$34+(ArtifactsInput!$M$7-ArtifactsInput!$M$7)*CHOOSE(ArtifactsInput!$N$7+1,6,7.2,8.4,9.6,10.8,12))/100)),(1/Q717))+MIN((Skills!T16*(1+(Inputs!$B$34+(ArtifactsInput!$M$7-ArtifactsInput!$M$7)*CHOOSE(ArtifactsInput!$N$7+1,6,7.2,8.4,9.6,10.8,12))/100)),MAX(0,Inputs!$B$43-((R717-1)*(1/Q717)))))/Inputs!$B$43),IF(Inputs!$B$38="pvp",MIN((Skills!T16*(1+(Inputs!$B$34+(ArtifactsInput!$M$7-ArtifactsInput!$M$7)*CHOOSE(ArtifactsInput!$N$7+1,6,7.2,8.4,9.6,10.8,12))/100)),15)/15,MIN(1,(Skills!T16*(1+(Inputs!$B$34+(ArtifactsInput!$M$7-ArtifactsInput!$M$7)*CHOOSE(ArtifactsInput!$N$7+1,6,7.2,8.4,9.6,10.8,12))/100))/(1/Q717)))))+((C709=TRUE)*IF(Inputs!$B$3&gt;=126,10*MIN(1,15*Q709),0))+((C706=TRUE)*((100/10)*(INDEX(FactorTable!$B$2:$Y$301,MATCH(ROUND(MIN(300,MAX(1,MAX(0,(Inputs!$B$3-100)*3)+Inputs!$B$28+Inputs!$B$29)),0),FactorTable!$A$2:$A$301,0),22)/1000))*(1+IF(Inputs!$B$3&gt;=134,0.5,0))*MIN(1,10*(1+(Inputs!$B$34+(ArtifactsInput!$M$7-ArtifactsInput!$M$7)*CHOOSE(ArtifactsInput!$N$7+1,6,7.2,8.4,9.6,10.8,12))/100)*Q706)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Skills!G13*IF(Skills!H13&gt;0,IF(Inputs!$B$38="pvp",MIN(Skills!I13,15),Skills!I13)/Skills!H13,1)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Skills!G14*IF(Skills!H14&gt;0,IF(Inputs!$B$38="pvp",MIN(Skills!I14,15),Skills!I14)/Skills!H14,1)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Skills!G15*IF(Skills!H15&gt;0,IF(Inputs!$B$38="pvp",MIN(Skills!I15,15),Skills!I15)/Skills!H15,1)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Skills!G16*IF(Skills!H16&gt;0,IF(Inputs!$B$38="pvp",MIN(Skills!I16,15),Skills!I16)/Skills!H16,1)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IFERROR(1/(IF(Inputs!$B$38="pvp",15,MAX(0.1,Skills!D16-IF(TRUE=TRUE,Inputs!$B$32,0)))*(1-IF(AND(ArtifactsInput!$M$27,Inputs!$B$4="Chapter Hunt"),CHOOSE(ArtifactsInput!$N$27+1,20,24,28,32,36,40),0)/100)),0)</f>
        <v/>
      </c>
      <c r="R717">
        <f>IF(AND(Inputs!$B$38&lt;&gt;"pvp",Inputs!$B$43&gt;0),IF(Inputs!$B$43&lt;=0,0,(INT(Inputs!$B$43/(IF(Inputs!$B$38="pvp",15,MAX(0.1,Skills!D16-IF(TRUE=TRUE,Inputs!$B$32,0)))*(1-IF(AND(ArtifactsInput!$M$27,Inputs!$B$4="Chapter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Skills!G17*IF(Skills!H17&gt;0,IF(Inputs!$B$38="pvp",MIN(Skills!I17,15),Skills!I17)/Skills!H17,1)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IFERROR(1/(IF(Inputs!$B$38="pvp",15,MAX(0.1,Skills!D17-IF(TRUE=TRUE,Inputs!$B$32,0)))*(1-IF(AND(ArtifactsInput!$M$27,Inputs!$B$4="Chapter Hunt"),CHOOSE(ArtifactsInput!$N$27+1,20,24,28,32,36,40),0)/100)),0)</f>
        <v/>
      </c>
      <c r="R718">
        <f>IF(AND(Inputs!$B$38&lt;&gt;"pvp",Inputs!$B$43&gt;0),IF(Inputs!$B$43&lt;=0,0,(INT(Inputs!$B$43/(IF(Inputs!$B$38="pvp",15,MAX(0.1,Skills!D17-IF(TRUE=TRUE,Inputs!$B$32,0)))*(1-IF(AND(ArtifactsInput!$M$27,Inputs!$B$4="Chapter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Skills!G18*IF(Skills!H18&gt;0,IF(Inputs!$B$38="pvp",MIN(Skills!I18,15),Skills!I18)/Skills!H18,1)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IFERROR(1/(IF(Inputs!$B$38="pvp",15,MAX(0.1,Skills!D18-IF(TRUE=TRUE,Inputs!$B$32,0)))*(1-IF(AND(ArtifactsInput!$M$27,Inputs!$B$4="Chapter Hunt"),CHOOSE(ArtifactsInput!$N$27+1,20,24,28,32,36,40),0)/100)),0)</f>
        <v/>
      </c>
      <c r="R719">
        <f>IF(AND(Inputs!$B$38&lt;&gt;"pvp",Inputs!$B$43&gt;0),IF(Inputs!$B$43&lt;=0,0,(INT(Inputs!$B$43/(IF(Inputs!$B$38="pvp",15,MAX(0.1,Skills!D18-IF(TRUE=TRUE,Inputs!$B$32,0)))*(1-IF(AND(ArtifactsInput!$M$27,Inputs!$B$4="Chapter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Skills!G19*IF(Skills!H19&gt;0,IF(Inputs!$B$38="pvp",MIN(Skills!I19,15),Skills!I19)/Skills!H19,1)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IFERROR(1/(IF(Inputs!$B$38="pvp",15,MAX(0.1,Skills!D19-IF(TRUE=TRUE,Inputs!$B$32,0)))*(1-IF(AND(ArtifactsInput!$M$27,Inputs!$B$4="Chapter Hunt"),CHOOSE(ArtifactsInput!$N$27+1,20,24,28,32,36,40),0)/100)),0)</f>
        <v/>
      </c>
      <c r="R720">
        <f>IF(AND(Inputs!$B$38&lt;&gt;"pvp",Inputs!$B$43&gt;0),IF(Inputs!$B$43&lt;=0,0,(INT(Inputs!$B$43/(IF(Inputs!$B$38="pvp",15,MAX(0.1,Skills!D19-IF(TRUE=TRUE,Inputs!$B$32,0)))*(1-IF(AND(ArtifactsInput!$M$27,Inputs!$B$4="Chapter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Skills!G20*IF(Skills!H20&gt;0,IF(Inputs!$B$38="pvp",MIN(Skills!I20,15),Skills!I20)/Skills!H20,1)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Skills!G21*IF(Skills!H21&gt;0,IF(Inputs!$B$38="pvp",MIN(Skills!I21,15),Skills!I21)/Skills!H21,1)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Skills!G22*IF(Skills!H22&gt;0,IF(Inputs!$B$38="pvp",MIN(Skills!I22,15),Skills!I22)/Skills!H22,1)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Skills!G23*IF(Skills!H23&gt;0,IF(Inputs!$B$38="pvp",MIN(Skills!I23,15),Skills!I23)/Skills!H23,1)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Skills!G24*IF(Skills!H24&gt;0,IF(Inputs!$B$38="pvp",MIN(Skills!I24,15),Skills!I24)/Skills!H24,1)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Skills!G25*IF(Skills!H25&gt;0,IF(Inputs!$B$38="pvp",MIN(Skills!I25,15),Skills!I25)/Skills!H25,1)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Skills!G26*IF(Skills!H26&gt;0,IF(Inputs!$B$38="pvp",MIN(Skills!I26,15),Skills!I26)/Skills!H26,1)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118,8,IF(Inputs!$B$3&gt;=110,7,5)))+((C716=TRUE)*F716*IF(AND(Inputs!$B$38&lt;&gt;"pvp",Inputs!$B$43&gt;0),(((R716-1)*MIN((Skills!T15*(1+(Inputs!$B$34+(ArtifactsInput!$M$7-ArtifactsInput!$M$7)*CHOOSE(ArtifactsInput!$N$7+1,6,7.2,8.4,9.6,10.8,12))/100)),(1/Q716))+MIN((Skills!T15*(1+(Inputs!$B$34+(ArtifactsInput!$M$7-ArtifactsInput!$M$7)*CHOOSE(ArtifactsInput!$N$7+1,6,7.2,8.4,9.6,10.8,12))/100)),MAX(0,Inputs!$B$43-((R716-1)*(1/Q716)))))/Inputs!$B$43),IF(Inputs!$B$38="pvp",MIN((Skills!T15*(1+(Inputs!$B$34+(ArtifactsInput!$M$7-ArtifactsInput!$M$7)*CHOOSE(ArtifactsInput!$N$7+1,6,7.2,8.4,9.6,10.8,12))/100)),15)/15,MIN(1,(Skills!T15*(1+(Inputs!$B$34+(ArtifactsInput!$M$7-ArtifactsInput!$M$7)*CHOOSE(ArtifactsInput!$N$7+1,6,7.2,8.4,9.6,10.8,12))/100))/(1/Q716)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MIN((Skills!T19*(1+(Inputs!$B$34+(ArtifactsInput!$M$7-ArtifactsInput!$M$7)*CHOOSE(ArtifactsInput!$N$7+1,6,7.2,8.4,9.6,10.8,12))/100)),(1/Q720))+MIN((Skills!T19*(1+(Inputs!$B$34+(ArtifactsInput!$M$7-ArtifactsInput!$M$7)*CHOOSE(ArtifactsInput!$N$7+1,6,7.2,8.4,9.6,10.8,12))/100)),MAX(0,Inputs!$B$43-((R720-1)*(1/Q720)))))/Inputs!$B$43),IF(Inputs!$B$38="pvp",MIN((Skills!T19*(1+(Inputs!$B$34+(ArtifactsInput!$M$7-ArtifactsInput!$M$7)*CHOOSE(ArtifactsInput!$N$7+1,6,7.2,8.4,9.6,10.8,12))/100)),15)/15,MIN(1,(Skills!T19*(1+(Inputs!$B$34+(ArtifactsInput!$M$7-ArtifactsInput!$M$7)*CHOOSE(ArtifactsInput!$N$7+1,6,7.2,8.4,9.6,10.8,12))/100))/(1/Q720)))))</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MIN((Skills!T18*(1+(Inputs!$B$34+(ArtifactsInput!$M$7-ArtifactsInput!$M$7)*CHOOSE(ArtifactsInput!$N$7+1,6,7.2,8.4,9.6,10.8,12))/100)),(1/Q719))+MIN((Skills!T18*(1+(Inputs!$B$34+(ArtifactsInput!$M$7-ArtifactsInput!$M$7)*CHOOSE(ArtifactsInput!$N$7+1,6,7.2,8.4,9.6,10.8,12))/100)),MAX(0,Inputs!$B$43-((R719-1)*(1/Q719)))))/Inputs!$B$43),IF(Inputs!$B$38="pvp",MIN((Skills!T18*(1+(Inputs!$B$34+(ArtifactsInput!$M$7-ArtifactsInput!$M$7)*CHOOSE(ArtifactsInput!$N$7+1,6,7.2,8.4,9.6,10.8,12))/100)),15)/15,MIN(1,(Skills!T18*(1+(Inputs!$B$34+(ArtifactsInput!$M$7-ArtifactsInput!$M$7)*CHOOSE(ArtifactsInput!$N$7+1,6,7.2,8.4,9.6,10.8,12))/100))/(1/Q719)))))</f>
        <v/>
      </c>
    </row>
    <row r="736">
      <c r="A736" t="inlineStr">
        <is>
          <t>Global Final Damage Bonus % (Enrage + Combo Synergy)</t>
        </is>
      </c>
      <c r="B736">
        <f>((C718=TRUE)*F718*IF(AND(Inputs!$B$38&lt;&gt;"pvp",Inputs!$B$43&gt;0),(((R718-1)*MIN((Skills!T17*(1+(Inputs!$B$34+(ArtifactsInput!$M$7-ArtifactsInput!$M$7)*CHOOSE(ArtifactsInput!$N$7+1,6,7.2,8.4,9.6,10.8,12))/100)),(1/Q718))+MIN((Skills!T17*(1+(Inputs!$B$34+(ArtifactsInput!$M$7-ArtifactsInput!$M$7)*CHOOSE(ArtifactsInput!$N$7+1,6,7.2,8.4,9.6,10.8,12))/100)),MAX(0,Inputs!$B$43-((R718-1)*(1/Q718)))))/Inputs!$B$43),IF(Inputs!$B$38="pvp",MIN((Skills!T17*(1+(Inputs!$B$34+(ArtifactsInput!$M$7-ArtifactsInput!$M$7)*CHOOSE(ArtifactsInput!$N$7+1,6,7.2,8.4,9.6,10.8,12))/100)),15)/15,MIN(1,(Skills!T17*(1+(Inputs!$B$34+(ArtifactsInput!$M$7-ArtifactsInput!$M$7)*CHOOSE(ArtifactsInput!$N$7+1,6,7.2,8.4,9.6,10.8,12))/100))/(1/Q718)))))+((C715=TRUE)*F715*IF(Inputs!$B$3&gt;=118,8,IF(Inputs!$B$3&gt;=110,7,5)))+IF(Inputs!$B$3&gt;=98,5,0)</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Skills!G2*IF(Skills!H2&gt;0,IF(Inputs!$B$38="pvp",MIN(Skills!I2,15),Skills!I2)/Skills!H2,1)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Skills!G5*IF(Skills!H5&gt;0,IF(Inputs!$B$38="pvp",MIN(Skills!I5,15),Skills!I5)/Skills!H5,1)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IFERROR(1/(IF(Inputs!$B$38="pvp",15,MAX(0.1,Skills!D5-IF(TRUE=TRUE,Inputs!$B$32,0)))*(1-IF(AND(ArtifactsInput!$M$27,Inputs!$B$4="Chapter Hunt"),CHOOSE(ArtifactsInput!$N$27+1,20,24,28,32,36,40),0)/100)),0)</f>
        <v/>
      </c>
      <c r="R748">
        <f>IF(AND(Inputs!$B$38&lt;&gt;"pvp",Inputs!$B$43&gt;0),IF(MAX(0,Inputs!$B$43-B779)&lt;=0,0,(INT(MAX(0,Inputs!$B$43-B779)/(IF(Inputs!$B$38="pvp",15,MAX(0.1,Skills!D5-IF(TRUE=TRUE,Inputs!$B$32,0)))*(1-IF(AND(ArtifactsInput!$M$27,Inputs!$B$4="Chapter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$20+0+Skills!P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TRUE=TRUE,Inputs!$B$32,0)))*(1-IF(AND(ArtifactsInput!$M$27,Inputs!$B$4="Chapter Hunt"),CHOOSE(ArtifactsInput!$N$27+1,20,24,28,32,36,40),0)/100)))))/Skills!H5,1)))/Inputs!$B$43),G748*Q748))*IF(Inputs!$B$38="pvp",1,(1+(Inputs!$B$21+Skills!Q5+(((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Skills!G6*IF(Skills!H6&gt;0,IF(Inputs!$B$38="pvp",MIN(Skills!I6,15),Skills!I6)/Skills!H6,1)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IFERROR(1/(IF(Inputs!$B$38="pvp",15,MAX(0.1,Skills!D6-IF(TRUE=TRUE,Inputs!$B$32,0)))*(1-IF(AND(ArtifactsInput!$M$27,Inputs!$B$4="Chapter Hunt"),CHOOSE(ArtifactsInput!$N$27+1,20,24,28,32,36,40),0)/100)),0)</f>
        <v/>
      </c>
      <c r="R749">
        <f>IF(AND(Inputs!$B$38&lt;&gt;"pvp",Inputs!$B$43&gt;0),IF(MAX(0,Inputs!$B$43-B779)&lt;=0,0,(INT(MAX(0,Inputs!$B$43-B779)/(IF(Inputs!$B$38="pvp",15,MAX(0.1,Skills!D6-IF(TRUE=TRUE,Inputs!$B$32,0)))*(1-IF(AND(ArtifactsInput!$M$27,Inputs!$B$4="Chapter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$20+0+Skills!P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TRUE=TRUE,Inputs!$B$32,0)))*(1-IF(AND(ArtifactsInput!$M$27,Inputs!$B$4="Chapter Hunt"),CHOOSE(ArtifactsInput!$N$27+1,20,24,28,32,36,40),0)/100)))))/Skills!H6,1)))/Inputs!$B$43),G749*Q749))*IF(Inputs!$B$38="pvp",1,(1+(Inputs!$B$21+Skills!Q6+(((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Skills!G7*IF(Skills!H7&gt;0,IF(Inputs!$B$38="pvp",MIN(Skills!I7,15),Skills!I7)/Skills!H7,1)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IFERROR(1/(IF(Inputs!$B$38="pvp",15,MAX(0.1,Skills!D7-IF(TRUE=TRUE,Inputs!$B$32,0)))*(1-IF(AND(ArtifactsInput!$M$27,Inputs!$B$4="Chapter Hunt"),CHOOSE(ArtifactsInput!$N$27+1,20,24,28,32,36,40),0)/100)),0)</f>
        <v/>
      </c>
      <c r="R750">
        <f>IF(AND(Inputs!$B$38&lt;&gt;"pvp",Inputs!$B$43&gt;0),IF(MAX(0,Inputs!$B$43-B779)&lt;=0,0,(INT(MAX(0,Inputs!$B$43-B779)/(IF(Inputs!$B$38="pvp",15,MAX(0.1,Skills!D7-IF(TRUE=TRUE,Inputs!$B$32,0)))*(1-IF(AND(ArtifactsInput!$M$27,Inputs!$B$4="Chapter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$20+0+Skills!P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TRUE=TRUE,Inputs!$B$32,0)))*(1-IF(AND(ArtifactsInput!$M$27,Inputs!$B$4="Chapter Hunt"),CHOOSE(ArtifactsInput!$N$27+1,20,24,28,32,36,40),0)/100)))))/Skills!H7,1)))/Inputs!$B$43),G750*Q750))*IF(Inputs!$B$38="pvp",1,(1+(Inputs!$B$21+Skills!Q7+(((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Skills!G8*IF(Skills!H8&gt;0,IF(Inputs!$B$38="pvp",MIN(Skills!I8,15),Skills!I8)/Skills!H8,1)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IFERROR(1/(IF(Inputs!$B$38="pvp",15,MAX(0.1,Skills!D8-IF(TRUE=TRUE,Inputs!$B$32,0)))*(1-IF(AND(ArtifactsInput!$M$27,Inputs!$B$4="Chapter Hunt"),CHOOSE(ArtifactsInput!$N$27+1,20,24,28,32,36,40),0)/100)),0)</f>
        <v/>
      </c>
      <c r="R751">
        <f>IF(AND(Inputs!$B$38&lt;&gt;"pvp",Inputs!$B$43&gt;0),IF(MAX(0,Inputs!$B$43-B779)&lt;=0,0,(INT(MAX(0,Inputs!$B$43-B779)/(IF(Inputs!$B$38="pvp",15,MAX(0.1,Skills!D8-IF(TRUE=TRUE,Inputs!$B$32,0)))*(1-IF(AND(ArtifactsInput!$M$27,Inputs!$B$4="Chapter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$20+0+Skills!P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TRUE=TRUE,Inputs!$B$32,0)))*(1-IF(AND(ArtifactsInput!$M$27,Inputs!$B$4="Chapter Hunt"),CHOOSE(ArtifactsInput!$N$27+1,20,24,28,32,36,40),0)/100)))))/Skills!H8,1)))/Inputs!$B$43),G751*Q751))*IF(Inputs!$B$38="pvp",1,(1+(Inputs!$B$21+Skills!Q8+(((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Skills!G9*IF(Skills!H9&gt;0,IF(Inputs!$B$38="pvp",MIN(Skills!I9,15),Skills!I9)/Skills!H9,1)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138,MAX(0,IF(Inputs!$B$3&gt;=118,8,IF(Inputs!$B$3&gt;=110,7,5))-5)*50,0),0)/100)*(1+(IF(Skills!A9="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IFERROR(1/(IF(Inputs!$B$38="pvp",15,MAX(0.1,Skills!D9-IF(TRUE=TRUE,Inputs!$B$32,0)))*(1-IF(AND(ArtifactsInput!$M$27,Inputs!$B$4="Chapter Hunt"),CHOOSE(ArtifactsInput!$N$27+1,20,24,28,32,36,40),0)/100)),0)</f>
        <v/>
      </c>
      <c r="R752">
        <f>IF(AND(Inputs!$B$38&lt;&gt;"pvp",Inputs!$B$43&gt;0),IF(MAX(0,Inputs!$B$43-B779)&lt;=0,0,(INT(MAX(0,Inputs!$B$43-B779)/(IF(Inputs!$B$38="pvp",15,MAX(0.1,Skills!D9-IF(TRUE=TRUE,Inputs!$B$32,0)))*(1-IF(AND(ArtifactsInput!$M$27,Inputs!$B$4="Chapter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TRUE=TRUE,Inputs!$B$32,0)))*(1-IF(AND(ArtifactsInput!$M$27,Inputs!$B$4="Chapter Hunt"),CHOOSE(ArtifactsInput!$N$27+1,20,24,28,32,36,40),0)/100)))))/Skills!H9,1)))/Inputs!$B$43),G752*Q752))*IF(Inputs!$B$38="pvp",1,1+(Inputs!$B$20+0+Skills!P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TRUE=TRUE,Inputs!$B$32,0)))*(1-IF(AND(ArtifactsInput!$M$27,Inputs!$B$4="Chapter Hunt"),CHOOSE(ArtifactsInput!$N$27+1,20,24,28,32,36,40),0)/100)))))/Skills!H9,1)))/Inputs!$B$43),G752*Q752))*IF(Inputs!$B$38="pvp",1,(1+(Inputs!$B$21+Skills!Q9+(((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Skills!G10*IF(Skills!H10&gt;0,IF(Inputs!$B$38="pvp",MIN(Skills!I10,15),Skills!I10)/Skills!H10,1)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138,MAX(0,IF(Inputs!$B$3&gt;=118,8,IF(Inputs!$B$3&gt;=110,7,5))-5)*50,0),0)/100)*(1+(IF(Skills!A10="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IFERROR(1/(IF(Inputs!$B$38="pvp",15,MAX(0.1,Skills!D10-IF(TRUE=TRUE,Inputs!$B$32,0)))*(1-IF(AND(ArtifactsInput!$M$27,Inputs!$B$4="Chapter Hunt"),CHOOSE(ArtifactsInput!$N$27+1,20,24,28,32,36,40),0)/100)),0)</f>
        <v/>
      </c>
      <c r="R753">
        <f>IF(AND(Inputs!$B$38&lt;&gt;"pvp",Inputs!$B$43&gt;0),IF(MAX(0,Inputs!$B$43-B779)&lt;=0,0,(INT(MAX(0,Inputs!$B$43-B779)/(IF(Inputs!$B$38="pvp",15,MAX(0.1,Skills!D10-IF(TRUE=TRUE,Inputs!$B$32,0)))*(1-IF(AND(ArtifactsInput!$M$27,Inputs!$B$4="Chapter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$20+0+Skills!P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TRUE=TRUE,Inputs!$B$32,0)))*(1-IF(AND(ArtifactsInput!$M$27,Inputs!$B$4="Chapter Hunt"),CHOOSE(ArtifactsInput!$N$27+1,20,24,28,32,36,40),0)/100)))))/Skills!H10,1)))/Inputs!$B$43),G753*Q753))*IF(Inputs!$B$38="pvp",1,(1+(Inputs!$B$21+Skills!Q10+(((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Skills!G11*IF(Skills!H11&gt;0,IF(Inputs!$B$38="pvp",MIN(Skills!I11,15),Skills!I11)/Skills!H11,1)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(100-(100-((Inputs!$B$19+0)))*(1-IF(Inputs!$B$3&gt;=130,IF(Inputs!$B$3&gt;=118,8,IF(Inputs!$B$3&gt;=110,7,5)),0)/100)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138,MAX(0,IF(Inputs!$B$3&gt;=118,8,IF(Inputs!$B$3&gt;=110,7,5))-5)*50,0),0)/100)*(1+(IF(Skills!A11="RAGING_BLOW",Inputs!$B$17+((C764=TRUE)*(F764-Calc!F21))+((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IFERROR(1/(IF(Inputs!$B$38="pvp",15,MAX(0.1,Skills!D11-IF(TRUE=TRUE,Inputs!$B$32,0)))*(1-IF(AND(ArtifactsInput!$M$27,Inputs!$B$4="Chapter Hunt"),CHOOSE(ArtifactsInput!$N$27+1,20,24,28,32,36,40),0)/100)),0)</f>
        <v/>
      </c>
      <c r="R754">
        <f>IF(AND(Inputs!$B$38&lt;&gt;"pvp",Inputs!$B$43&gt;0),IF(MAX(0,Inputs!$B$43-B779)&lt;=0,0,(INT(MAX(0,Inputs!$B$43-B779)/(IF(Inputs!$B$38="pvp",15,MAX(0.1,Skills!D11-IF(TRUE=TRUE,Inputs!$B$32,0)))*(1-IF(AND(ArtifactsInput!$M$27,Inputs!$B$4="Chapter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$20+0+Skills!P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Inputs!$B$38&lt;&gt;"pvp",Inputs!$B$43=0),1,IF(IF(Inputs!$B$38="pvp",15,Inputs!$B$43)-(B779)&lt;=0,1,MAX(0,IF(Inputs!$B$38="pvp",15,Inputs!$B$43)-MAX(5,B779))/(IF(Inputs!$B$38="pvp",15,Inputs!$B$43)-(B779)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TRUE=TRUE,Inputs!$B$32,0)))*(1-IF(AND(ArtifactsInput!$M$27,Inputs!$B$4="Chapter Hunt"),CHOOSE(ArtifactsInput!$N$27+1,20,24,28,32,36,40),0)/100)))))/Skills!H11,1)))/Inputs!$B$43),G754*Q754))*IF(Inputs!$B$38="pvp",1,(1+(Inputs!$B$21+Skills!Q11+(((C759=TRUE)*F759*(Skills!J16/100)*IF(AND(Inputs!$B$38&lt;&gt;"pvp",Inputs!$B$43&gt;0),(((R759-1)*MIN((Skills!T16*(1+(Inputs!$B$34+(ArtifactsInput!$M$7-ArtifactsInput!$M$7)*CHOOSE(ArtifactsInput!$N$7+1,6,7.2,8.4,9.6,10.8,12))/100)),(1/Q759))+MIN((Skills!T16*(1+(Inputs!$B$34+(ArtifactsInput!$M$7-ArtifactsInput!$M$7)*CHOOSE(ArtifactsInput!$N$7+1,6,7.2,8.4,9.6,10.8,12))/100)),MAX(0,Inputs!$B$43-((R759-1)*(1/Q759)))))/Inputs!$B$43),IF(Inputs!$B$38="pvp",MIN((Skills!T16*(1+(Inputs!$B$34+(ArtifactsInput!$M$7-ArtifactsInput!$M$7)*CHOOSE(ArtifactsInput!$N$7+1,6,7.2,8.4,9.6,10.8,12))/100)),15)/15,MIN(1,(Skills!T16*(1+(Inputs!$B$34+(ArtifactsInput!$M$7-ArtifactsInput!$M$7)*CHOOSE(ArtifactsInput!$N$7+1,6,7.2,8.4,9.6,10.8,12))/100))/(1/Q759)))))+((C751=TRUE)*IF(Inputs!$B$3&gt;=126,10*MIN(1,15*Q751),0))+((C748=TRUE)*((100/10)*(INDEX(FactorTable!$B$2:$Y$301,MATCH(ROUND(MIN(300,MAX(1,MAX(0,(Inputs!$B$3-100)*3)+Inputs!$B$28+Inputs!$B$29)),0),FactorTable!$A$2:$A$301,0),22)/1000))*(1+IF(Inputs!$B$3&gt;=134,0.5,0))*MIN(1,10*(1+(Inputs!$B$34+(ArtifactsInput!$M$7-ArtifactsInput!$M$7)*CHOOSE(ArtifactsInput!$N$7+1,6,7.2,8.4,9.6,10.8,12))/100)*Q748)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Skills!G13*IF(Skills!H13&gt;0,IF(Inputs!$B$38="pvp",MIN(Skills!I13,15),Skills!I13)/Skills!H13,1)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Skills!G14*IF(Skills!H14&gt;0,IF(Inputs!$B$38="pvp",MIN(Skills!I14,15),Skills!I14)/Skills!H14,1)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Skills!G15*IF(Skills!H15&gt;0,IF(Inputs!$B$38="pvp",MIN(Skills!I15,15),Skills!I15)/Skills!H15,1)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IFERROR(1/(IF(Inputs!$B$38="pvp",15,MAX(0.1,Skills!D15-IF(TRUE=TRUE,Inputs!$B$32,0)))*(1-IF(AND(ArtifactsInput!$M$27,Inputs!$B$4="Chapter Hunt"),CHOOSE(ArtifactsInput!$N$27+1,20,24,28,32,36,40),0)/100)),0)</f>
        <v/>
      </c>
      <c r="R758">
        <f>IF(AND(Inputs!$B$38&lt;&gt;"pvp",Inputs!$B$43&gt;0),IF(Inputs!$B$43&lt;=0,0,(INT(Inputs!$B$43/(IF(Inputs!$B$38="pvp",15,MAX(0.1,Skills!D15-IF(TRUE=TRUE,Inputs!$B$32,0)))*(1-IF(AND(ArtifactsInput!$M$27,Inputs!$B$4="Chapter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Skills!G16*IF(Skills!H16&gt;0,IF(Inputs!$B$38="pvp",MIN(Skills!I16,15),Skills!I16)/Skills!H16,1)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IFERROR(1/(IF(Inputs!$B$38="pvp",15,MAX(0.1,Skills!D16-IF(TRUE=TRUE,Inputs!$B$32,0)))*(1-IF(AND(ArtifactsInput!$M$27,Inputs!$B$4="Chapter Hunt"),CHOOSE(ArtifactsInput!$N$27+1,20,24,28,32,36,40),0)/100)),0)</f>
        <v/>
      </c>
      <c r="R759">
        <f>IF(AND(Inputs!$B$38&lt;&gt;"pvp",Inputs!$B$43&gt;0),IF(Inputs!$B$43&lt;=0,0,(INT(Inputs!$B$43/(IF(Inputs!$B$38="pvp",15,MAX(0.1,Skills!D16-IF(TRUE=TRUE,Inputs!$B$32,0)))*(1-IF(AND(ArtifactsInput!$M$27,Inputs!$B$4="Chapter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Skills!G17*IF(Skills!H17&gt;0,IF(Inputs!$B$38="pvp",MIN(Skills!I17,15),Skills!I17)/Skills!H17,1)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IFERROR(1/(IF(Inputs!$B$38="pvp",15,MAX(0.1,Skills!D17-IF(TRUE=TRUE,Inputs!$B$32,0)))*(1-IF(AND(ArtifactsInput!$M$27,Inputs!$B$4="Chapter Hunt"),CHOOSE(ArtifactsInput!$N$27+1,20,24,28,32,36,40),0)/100)),0)</f>
        <v/>
      </c>
      <c r="R760">
        <f>IF(AND(Inputs!$B$38&lt;&gt;"pvp",Inputs!$B$43&gt;0),IF(Inputs!$B$43&lt;=0,0,(INT(Inputs!$B$43/(IF(Inputs!$B$38="pvp",15,MAX(0.1,Skills!D17-IF(TRUE=TRUE,Inputs!$B$32,0)))*(1-IF(AND(ArtifactsInput!$M$27,Inputs!$B$4="Chapter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Skills!G18*IF(Skills!H18&gt;0,IF(Inputs!$B$38="pvp",MIN(Skills!I18,15),Skills!I18)/Skills!H18,1)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IFERROR(1/(IF(Inputs!$B$38="pvp",15,MAX(0.1,Skills!D18-IF(TRUE=TRUE,Inputs!$B$32,0)))*(1-IF(AND(ArtifactsInput!$M$27,Inputs!$B$4="Chapter Hunt"),CHOOSE(ArtifactsInput!$N$27+1,20,24,28,32,36,40),0)/100)),0)</f>
        <v/>
      </c>
      <c r="R761">
        <f>IF(AND(Inputs!$B$38&lt;&gt;"pvp",Inputs!$B$43&gt;0),IF(Inputs!$B$43&lt;=0,0,(INT(Inputs!$B$43/(IF(Inputs!$B$38="pvp",15,MAX(0.1,Skills!D18-IF(TRUE=TRUE,Inputs!$B$32,0)))*(1-IF(AND(ArtifactsInput!$M$27,Inputs!$B$4="Chapter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Skills!G19*IF(Skills!H19&gt;0,IF(Inputs!$B$38="pvp",MIN(Skills!I19,15),Skills!I19)/Skills!H19,1)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IFERROR(1/(IF(Inputs!$B$38="pvp",15,MAX(0.1,Skills!D19-IF(TRUE=TRUE,Inputs!$B$32,0)))*(1-IF(AND(ArtifactsInput!$M$27,Inputs!$B$4="Chapter Hunt"),CHOOSE(ArtifactsInput!$N$27+1,20,24,28,32,36,40),0)/100)),0)</f>
        <v/>
      </c>
      <c r="R762">
        <f>IF(AND(Inputs!$B$38&lt;&gt;"pvp",Inputs!$B$43&gt;0),IF(Inputs!$B$43&lt;=0,0,(INT(Inputs!$B$43/(IF(Inputs!$B$38="pvp",15,MAX(0.1,Skills!D19-IF(TRUE=TRUE,Inputs!$B$32,0)))*(1-IF(AND(ArtifactsInput!$M$27,Inputs!$B$4="Chapter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Skills!G20*IF(Skills!H20&gt;0,IF(Inputs!$B$38="pvp",MIN(Skills!I20,15),Skills!I20)/Skills!H20,1)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Skills!G21*IF(Skills!H21&gt;0,IF(Inputs!$B$38="pvp",MIN(Skills!I21,15),Skills!I21)/Skills!H21,1)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Skills!G22*IF(Skills!H22&gt;0,IF(Inputs!$B$38="pvp",MIN(Skills!I22,15),Skills!I22)/Skills!H22,1)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Skills!G23*IF(Skills!H23&gt;0,IF(Inputs!$B$38="pvp",MIN(Skills!I23,15),Skills!I23)/Skills!H23,1)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Skills!G24*IF(Skills!H24&gt;0,IF(Inputs!$B$38="pvp",MIN(Skills!I24,15),Skills!I24)/Skills!H24,1)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Skills!G25*IF(Skills!H25&gt;0,IF(Inputs!$B$38="pvp",MIN(Skills!I25,15),Skills!I25)/Skills!H25,1)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Skills!G26*IF(Skills!H26&gt;0,IF(Inputs!$B$38="pvp",MIN(Skills!I26,15),Skills!I26)/Skills!H26,1)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118,8,IF(Inputs!$B$3&gt;=110,7,5)))+((C758=TRUE)*F758*IF(AND(Inputs!$B$38&lt;&gt;"pvp",Inputs!$B$43&gt;0),(((R758-1)*MIN((Skills!T15*(1+(Inputs!$B$34+(ArtifactsInput!$M$7-ArtifactsInput!$M$7)*CHOOSE(ArtifactsInput!$N$7+1,6,7.2,8.4,9.6,10.8,12))/100)),(1/Q758))+MIN((Skills!T15*(1+(Inputs!$B$34+(ArtifactsInput!$M$7-ArtifactsInput!$M$7)*CHOOSE(ArtifactsInput!$N$7+1,6,7.2,8.4,9.6,10.8,12))/100)),MAX(0,Inputs!$B$43-((R758-1)*(1/Q758)))))/Inputs!$B$43),IF(Inputs!$B$38="pvp",MIN((Skills!T15*(1+(Inputs!$B$34+(ArtifactsInput!$M$7-ArtifactsInput!$M$7)*CHOOSE(ArtifactsInput!$N$7+1,6,7.2,8.4,9.6,10.8,12))/100)),15)/15,MIN(1,(Skills!T15*(1+(Inputs!$B$34+(ArtifactsInput!$M$7-ArtifactsInput!$M$7)*CHOOSE(ArtifactsInput!$N$7+1,6,7.2,8.4,9.6,10.8,12))/100))/(1/Q758)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MIN((Skills!T19*(1+(Inputs!$B$34+(ArtifactsInput!$M$7-ArtifactsInput!$M$7)*CHOOSE(ArtifactsInput!$N$7+1,6,7.2,8.4,9.6,10.8,12))/100)),(1/Q762))+MIN((Skills!T19*(1+(Inputs!$B$34+(ArtifactsInput!$M$7-ArtifactsInput!$M$7)*CHOOSE(ArtifactsInput!$N$7+1,6,7.2,8.4,9.6,10.8,12))/100)),MAX(0,Inputs!$B$43-((R762-1)*(1/Q762)))))/Inputs!$B$43),IF(Inputs!$B$38="pvp",MIN((Skills!T19*(1+(Inputs!$B$34+(ArtifactsInput!$M$7-ArtifactsInput!$M$7)*CHOOSE(ArtifactsInput!$N$7+1,6,7.2,8.4,9.6,10.8,12))/100)),15)/15,MIN(1,(Skills!T19*(1+(Inputs!$B$34+(ArtifactsInput!$M$7-ArtifactsInput!$M$7)*CHOOSE(ArtifactsInput!$N$7+1,6,7.2,8.4,9.6,10.8,12))/100))/(1/Q762)))))</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MIN((Skills!T18*(1+(Inputs!$B$34+(ArtifactsInput!$M$7-ArtifactsInput!$M$7)*CHOOSE(ArtifactsInput!$N$7+1,6,7.2,8.4,9.6,10.8,12))/100)),(1/Q761))+MIN((Skills!T18*(1+(Inputs!$B$34+(ArtifactsInput!$M$7-ArtifactsInput!$M$7)*CHOOSE(ArtifactsInput!$N$7+1,6,7.2,8.4,9.6,10.8,12))/100)),MAX(0,Inputs!$B$43-((R761-1)*(1/Q761)))))/Inputs!$B$43),IF(Inputs!$B$38="pvp",MIN((Skills!T18*(1+(Inputs!$B$34+(ArtifactsInput!$M$7-ArtifactsInput!$M$7)*CHOOSE(ArtifactsInput!$N$7+1,6,7.2,8.4,9.6,10.8,12))/100)),15)/15,MIN(1,(Skills!T18*(1+(Inputs!$B$34+(ArtifactsInput!$M$7-ArtifactsInput!$M$7)*CHOOSE(ArtifactsInput!$N$7+1,6,7.2,8.4,9.6,10.8,12))/100))/(1/Q761)))))</f>
        <v/>
      </c>
    </row>
    <row r="778">
      <c r="A778" t="inlineStr">
        <is>
          <t>Global Final Damage Bonus % (Enrage + Combo Synergy)</t>
        </is>
      </c>
      <c r="B778">
        <f>((C760=TRUE)*F760*IF(AND(Inputs!$B$38&lt;&gt;"pvp",Inputs!$B$43&gt;0),(((R760-1)*MIN((Skills!T17*(1+(Inputs!$B$34+(ArtifactsInput!$M$7-ArtifactsInput!$M$7)*CHOOSE(ArtifactsInput!$N$7+1,6,7.2,8.4,9.6,10.8,12))/100)),(1/Q760))+MIN((Skills!T17*(1+(Inputs!$B$34+(ArtifactsInput!$M$7-ArtifactsInput!$M$7)*CHOOSE(ArtifactsInput!$N$7+1,6,7.2,8.4,9.6,10.8,12))/100)),MAX(0,Inputs!$B$43-((R760-1)*(1/Q760)))))/Inputs!$B$43),IF(Inputs!$B$38="pvp",MIN((Skills!T17*(1+(Inputs!$B$34+(ArtifactsInput!$M$7-ArtifactsInput!$M$7)*CHOOSE(ArtifactsInput!$N$7+1,6,7.2,8.4,9.6,10.8,12))/100)),15)/15,MIN(1,(Skills!T17*(1+(Inputs!$B$34+(ArtifactsInput!$M$7-ArtifactsInput!$M$7)*CHOOSE(ArtifactsInput!$N$7+1,6,7.2,8.4,9.6,10.8,12))/100))/(1/Q760)))))+((C757=TRUE)*F757*IF(Inputs!$B$3&gt;=118,8,IF(Inputs!$B$3&gt;=110,7,5)))+IF(Inputs!$B$3&gt;=98,5,0)</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Skills!G2*IF(Skills!H2&gt;0,IF(Inputs!$B$38="pvp",MIN(Skills!I2,15),Skills!I2)/Skills!H2,1)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Skills!G5*IF(Skills!H5&gt;0,IF(Inputs!$B$38="pvp",MIN(Skills!I5,15),Skills!I5)/Skills!H5,1)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IFERROR(1/(IF(Inputs!$B$38="pvp",15,MAX(0.1,Skills!D5-IF(TRUE=TRUE,Inputs!$B$32,0)))*(1-IF(AND(ArtifactsInput!$M$27,Inputs!$B$4="Chapter Hunt"),CHOOSE(ArtifactsInput!$N$27+1,20,24,28,32,36,40),0)/100)),0)</f>
        <v/>
      </c>
      <c r="R790">
        <f>IF(AND(Inputs!$B$38&lt;&gt;"pvp",Inputs!$B$43&gt;0),IF(MAX(0,Inputs!$B$43-B821)&lt;=0,0,(INT(MAX(0,Inputs!$B$43-B821)/(IF(Inputs!$B$38="pvp",15,MAX(0.1,Skills!D5-IF(TRUE=TRUE,Inputs!$B$32,0)))*(1-IF(AND(ArtifactsInput!$M$27,Inputs!$B$4="Chapter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$20+0+Skills!P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TRUE=TRUE,Inputs!$B$32,0)))*(1-IF(AND(ArtifactsInput!$M$27,Inputs!$B$4="Chapter Hunt"),CHOOSE(ArtifactsInput!$N$27+1,20,24,28,32,36,40),0)/100)))))/Skills!H5,1)))/Inputs!$B$43),G790*Q790))*IF(Inputs!$B$38="pvp",1,(1+(Inputs!$B$21+Skills!Q5+(((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Skills!G6*IF(Skills!H6&gt;0,IF(Inputs!$B$38="pvp",MIN(Skills!I6,15),Skills!I6)/Skills!H6,1)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IFERROR(1/(IF(Inputs!$B$38="pvp",15,MAX(0.1,Skills!D6-IF(TRUE=TRUE,Inputs!$B$32,0)))*(1-IF(AND(ArtifactsInput!$M$27,Inputs!$B$4="Chapter Hunt"),CHOOSE(ArtifactsInput!$N$27+1,20,24,28,32,36,40),0)/100)),0)</f>
        <v/>
      </c>
      <c r="R791">
        <f>IF(AND(Inputs!$B$38&lt;&gt;"pvp",Inputs!$B$43&gt;0),IF(MAX(0,Inputs!$B$43-B821)&lt;=0,0,(INT(MAX(0,Inputs!$B$43-B821)/(IF(Inputs!$B$38="pvp",15,MAX(0.1,Skills!D6-IF(TRUE=TRUE,Inputs!$B$32,0)))*(1-IF(AND(ArtifactsInput!$M$27,Inputs!$B$4="Chapter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$20+0+Skills!P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TRUE=TRUE,Inputs!$B$32,0)))*(1-IF(AND(ArtifactsInput!$M$27,Inputs!$B$4="Chapter Hunt"),CHOOSE(ArtifactsInput!$N$27+1,20,24,28,32,36,40),0)/100)))))/Skills!H6,1)))/Inputs!$B$43),G791*Q791))*IF(Inputs!$B$38="pvp",1,(1+(Inputs!$B$21+Skills!Q6+(((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Skills!G7*IF(Skills!H7&gt;0,IF(Inputs!$B$38="pvp",MIN(Skills!I7,15),Skills!I7)/Skills!H7,1)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IFERROR(1/(IF(Inputs!$B$38="pvp",15,MAX(0.1,Skills!D7-IF(TRUE=TRUE,Inputs!$B$32,0)))*(1-IF(AND(ArtifactsInput!$M$27,Inputs!$B$4="Chapter Hunt"),CHOOSE(ArtifactsInput!$N$27+1,20,24,28,32,36,40),0)/100)),0)</f>
        <v/>
      </c>
      <c r="R792">
        <f>IF(AND(Inputs!$B$38&lt;&gt;"pvp",Inputs!$B$43&gt;0),IF(MAX(0,Inputs!$B$43-B821)&lt;=0,0,(INT(MAX(0,Inputs!$B$43-B821)/(IF(Inputs!$B$38="pvp",15,MAX(0.1,Skills!D7-IF(TRUE=TRUE,Inputs!$B$32,0)))*(1-IF(AND(ArtifactsInput!$M$27,Inputs!$B$4="Chapter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$20+0+Skills!P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TRUE=TRUE,Inputs!$B$32,0)))*(1-IF(AND(ArtifactsInput!$M$27,Inputs!$B$4="Chapter Hunt"),CHOOSE(ArtifactsInput!$N$27+1,20,24,28,32,36,40),0)/100)))))/Skills!H7,1)))/Inputs!$B$43),G792*Q792))*IF(Inputs!$B$38="pvp",1,(1+(Inputs!$B$21+Skills!Q7+(((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Skills!G8*IF(Skills!H8&gt;0,IF(Inputs!$B$38="pvp",MIN(Skills!I8,15),Skills!I8)/Skills!H8,1)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IFERROR(1/(IF(Inputs!$B$38="pvp",15,MAX(0.1,Skills!D8-IF(TRUE=TRUE,Inputs!$B$32,0)))*(1-IF(AND(ArtifactsInput!$M$27,Inputs!$B$4="Chapter Hunt"),CHOOSE(ArtifactsInput!$N$27+1,20,24,28,32,36,40),0)/100)),0)</f>
        <v/>
      </c>
      <c r="R793">
        <f>IF(AND(Inputs!$B$38&lt;&gt;"pvp",Inputs!$B$43&gt;0),IF(MAX(0,Inputs!$B$43-B821)&lt;=0,0,(INT(MAX(0,Inputs!$B$43-B821)/(IF(Inputs!$B$38="pvp",15,MAX(0.1,Skills!D8-IF(TRUE=TRUE,Inputs!$B$32,0)))*(1-IF(AND(ArtifactsInput!$M$27,Inputs!$B$4="Chapter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$20+0+Skills!P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TRUE=TRUE,Inputs!$B$32,0)))*(1-IF(AND(ArtifactsInput!$M$27,Inputs!$B$4="Chapter Hunt"),CHOOSE(ArtifactsInput!$N$27+1,20,24,28,32,36,40),0)/100)))))/Skills!H8,1)))/Inputs!$B$43),G793*Q793))*IF(Inputs!$B$38="pvp",1,(1+(Inputs!$B$21+Skills!Q8+(((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Skills!G9*IF(Skills!H9&gt;0,IF(Inputs!$B$38="pvp",MIN(Skills!I9,15),Skills!I9)/Skills!H9,1)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138,MAX(0,IF(Inputs!$B$3&gt;=118,8,IF(Inputs!$B$3&gt;=110,7,5))-5)*50,0),0)/100)*(1+(IF(Skills!A9="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IFERROR(1/(IF(Inputs!$B$38="pvp",15,MAX(0.1,Skills!D9-IF(TRUE=TRUE,Inputs!$B$32,0)))*(1-IF(AND(ArtifactsInput!$M$27,Inputs!$B$4="Chapter Hunt"),CHOOSE(ArtifactsInput!$N$27+1,20,24,28,32,36,40),0)/100)),0)</f>
        <v/>
      </c>
      <c r="R794">
        <f>IF(AND(Inputs!$B$38&lt;&gt;"pvp",Inputs!$B$43&gt;0),IF(MAX(0,Inputs!$B$43-B821)&lt;=0,0,(INT(MAX(0,Inputs!$B$43-B821)/(IF(Inputs!$B$38="pvp",15,MAX(0.1,Skills!D9-IF(TRUE=TRUE,Inputs!$B$32,0)))*(1-IF(AND(ArtifactsInput!$M$27,Inputs!$B$4="Chapter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TRUE=TRUE,Inputs!$B$32,0)))*(1-IF(AND(ArtifactsInput!$M$27,Inputs!$B$4="Chapter Hunt"),CHOOSE(ArtifactsInput!$N$27+1,20,24,28,32,36,40),0)/100)))))/Skills!H9,1)))/Inputs!$B$43),G794*Q794))*IF(Inputs!$B$38="pvp",1,1+(Inputs!$B$20+0+Skills!P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TRUE=TRUE,Inputs!$B$32,0)))*(1-IF(AND(ArtifactsInput!$M$27,Inputs!$B$4="Chapter Hunt"),CHOOSE(ArtifactsInput!$N$27+1,20,24,28,32,36,40),0)/100)))))/Skills!H9,1)))/Inputs!$B$43),G794*Q794))*IF(Inputs!$B$38="pvp",1,(1+(Inputs!$B$21+Skills!Q9+(((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Skills!G10*IF(Skills!H10&gt;0,IF(Inputs!$B$38="pvp",MIN(Skills!I10,15),Skills!I10)/Skills!H10,1)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138,MAX(0,IF(Inputs!$B$3&gt;=118,8,IF(Inputs!$B$3&gt;=110,7,5))-5)*50,0),0)/100)*(1+(IF(Skills!A10="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IFERROR(1/(IF(Inputs!$B$38="pvp",15,MAX(0.1,Skills!D10-IF(TRUE=TRUE,Inputs!$B$32,0)))*(1-IF(AND(ArtifactsInput!$M$27,Inputs!$B$4="Chapter Hunt"),CHOOSE(ArtifactsInput!$N$27+1,20,24,28,32,36,40),0)/100)),0)</f>
        <v/>
      </c>
      <c r="R795">
        <f>IF(AND(Inputs!$B$38&lt;&gt;"pvp",Inputs!$B$43&gt;0),IF(MAX(0,Inputs!$B$43-B821)&lt;=0,0,(INT(MAX(0,Inputs!$B$43-B821)/(IF(Inputs!$B$38="pvp",15,MAX(0.1,Skills!D10-IF(TRUE=TRUE,Inputs!$B$32,0)))*(1-IF(AND(ArtifactsInput!$M$27,Inputs!$B$4="Chapter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$20+0+Skills!P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TRUE=TRUE,Inputs!$B$32,0)))*(1-IF(AND(ArtifactsInput!$M$27,Inputs!$B$4="Chapter Hunt"),CHOOSE(ArtifactsInput!$N$27+1,20,24,28,32,36,40),0)/100)))))/Skills!H10,1)))/Inputs!$B$43),G795*Q795))*IF(Inputs!$B$38="pvp",1,(1+(Inputs!$B$21+Skills!Q10+(((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Skills!G11*IF(Skills!H11&gt;0,IF(Inputs!$B$38="pvp",MIN(Skills!I11,15),Skills!I11)/Skills!H11,1)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(100-(100-((Inputs!$B$19+0)))*(1-IF(Inputs!$B$3&gt;=130,IF(Inputs!$B$3&gt;=118,8,IF(Inputs!$B$3&gt;=110,7,5)),0)/100)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138,MAX(0,IF(Inputs!$B$3&gt;=118,8,IF(Inputs!$B$3&gt;=110,7,5))-5)*50,0),0)/100)*(1+(IF(Skills!A11="RAGING_BLOW",Inputs!$B$17+((C806=TRUE)*(F806-Calc!F21))+((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IFERROR(1/(IF(Inputs!$B$38="pvp",15,MAX(0.1,Skills!D11-IF(TRUE=TRUE,Inputs!$B$32,0)))*(1-IF(AND(ArtifactsInput!$M$27,Inputs!$B$4="Chapter Hunt"),CHOOSE(ArtifactsInput!$N$27+1,20,24,28,32,36,40),0)/100)),0)</f>
        <v/>
      </c>
      <c r="R796">
        <f>IF(AND(Inputs!$B$38&lt;&gt;"pvp",Inputs!$B$43&gt;0),IF(MAX(0,Inputs!$B$43-B821)&lt;=0,0,(INT(MAX(0,Inputs!$B$43-B821)/(IF(Inputs!$B$38="pvp",15,MAX(0.1,Skills!D11-IF(TRUE=TRUE,Inputs!$B$32,0)))*(1-IF(AND(ArtifactsInput!$M$27,Inputs!$B$4="Chapter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$20+0+Skills!P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Inputs!$B$38&lt;&gt;"pvp",Inputs!$B$43=0),1,IF(IF(Inputs!$B$38="pvp",15,Inputs!$B$43)-(B821)&lt;=0,1,MAX(0,IF(Inputs!$B$38="pvp",15,Inputs!$B$43)-MAX(5,B821))/(IF(Inputs!$B$38="pvp",15,Inputs!$B$43)-(B821)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TRUE=TRUE,Inputs!$B$32,0)))*(1-IF(AND(ArtifactsInput!$M$27,Inputs!$B$4="Chapter Hunt"),CHOOSE(ArtifactsInput!$N$27+1,20,24,28,32,36,40),0)/100)))))/Skills!H11,1)))/Inputs!$B$43),G796*Q796))*IF(Inputs!$B$38="pvp",1,(1+(Inputs!$B$21+Skills!Q11+(((C801=TRUE)*F801*(Skills!J16/100)*IF(AND(Inputs!$B$38&lt;&gt;"pvp",Inputs!$B$43&gt;0),(((R801-1)*MIN((Skills!T16*(1+(Inputs!$B$34+(ArtifactsInput!$M$7-ArtifactsInput!$M$7)*CHOOSE(ArtifactsInput!$N$7+1,6,7.2,8.4,9.6,10.8,12))/100)),(1/Q801))+MIN((Skills!T16*(1+(Inputs!$B$34+(ArtifactsInput!$M$7-ArtifactsInput!$M$7)*CHOOSE(ArtifactsInput!$N$7+1,6,7.2,8.4,9.6,10.8,12))/100)),MAX(0,Inputs!$B$43-((R801-1)*(1/Q801)))))/Inputs!$B$43),IF(Inputs!$B$38="pvp",MIN((Skills!T16*(1+(Inputs!$B$34+(ArtifactsInput!$M$7-ArtifactsInput!$M$7)*CHOOSE(ArtifactsInput!$N$7+1,6,7.2,8.4,9.6,10.8,12))/100)),15)/15,MIN(1,(Skills!T16*(1+(Inputs!$B$34+(ArtifactsInput!$M$7-ArtifactsInput!$M$7)*CHOOSE(ArtifactsInput!$N$7+1,6,7.2,8.4,9.6,10.8,12))/100))/(1/Q801)))))+((C793=TRUE)*IF(Inputs!$B$3&gt;=126,10*MIN(1,15*Q793),0))+((C790=TRUE)*((100/10)*(INDEX(FactorTable!$B$2:$Y$301,MATCH(ROUND(MIN(300,MAX(1,MAX(0,(Inputs!$B$3-100)*3)+Inputs!$B$28+Inputs!$B$29)),0),FactorTable!$A$2:$A$301,0),22)/1000))*(1+IF(Inputs!$B$3&gt;=134,0.5,0))*MIN(1,10*(1+(Inputs!$B$34+(ArtifactsInput!$M$7-ArtifactsInput!$M$7)*CHOOSE(ArtifactsInput!$N$7+1,6,7.2,8.4,9.6,10.8,12))/100)*Q790)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Skills!G13*IF(Skills!H13&gt;0,IF(Inputs!$B$38="pvp",MIN(Skills!I13,15),Skills!I13)/Skills!H13,1)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Skills!G14*IF(Skills!H14&gt;0,IF(Inputs!$B$38="pvp",MIN(Skills!I14,15),Skills!I14)/Skills!H14,1)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Skills!G15*IF(Skills!H15&gt;0,IF(Inputs!$B$38="pvp",MIN(Skills!I15,15),Skills!I15)/Skills!H15,1)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IFERROR(1/(IF(Inputs!$B$38="pvp",15,MAX(0.1,Skills!D15-IF(TRUE=TRUE,Inputs!$B$32,0)))*(1-IF(AND(ArtifactsInput!$M$27,Inputs!$B$4="Chapter Hunt"),CHOOSE(ArtifactsInput!$N$27+1,20,24,28,32,36,40),0)/100)),0)</f>
        <v/>
      </c>
      <c r="R800">
        <f>IF(AND(Inputs!$B$38&lt;&gt;"pvp",Inputs!$B$43&gt;0),IF(Inputs!$B$43&lt;=0,0,(INT(Inputs!$B$43/(IF(Inputs!$B$38="pvp",15,MAX(0.1,Skills!D15-IF(TRUE=TRUE,Inputs!$B$32,0)))*(1-IF(AND(ArtifactsInput!$M$27,Inputs!$B$4="Chapter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Skills!G16*IF(Skills!H16&gt;0,IF(Inputs!$B$38="pvp",MIN(Skills!I16,15),Skills!I16)/Skills!H16,1)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IFERROR(1/(IF(Inputs!$B$38="pvp",15,MAX(0.1,Skills!D16-IF(TRUE=TRUE,Inputs!$B$32,0)))*(1-IF(AND(ArtifactsInput!$M$27,Inputs!$B$4="Chapter Hunt"),CHOOSE(ArtifactsInput!$N$27+1,20,24,28,32,36,40),0)/100)),0)</f>
        <v/>
      </c>
      <c r="R801">
        <f>IF(AND(Inputs!$B$38&lt;&gt;"pvp",Inputs!$B$43&gt;0),IF(Inputs!$B$43&lt;=0,0,(INT(Inputs!$B$43/(IF(Inputs!$B$38="pvp",15,MAX(0.1,Skills!D16-IF(TRUE=TRUE,Inputs!$B$32,0)))*(1-IF(AND(ArtifactsInput!$M$27,Inputs!$B$4="Chapter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Skills!G17*IF(Skills!H17&gt;0,IF(Inputs!$B$38="pvp",MIN(Skills!I17,15),Skills!I17)/Skills!H17,1)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IFERROR(1/(IF(Inputs!$B$38="pvp",15,MAX(0.1,Skills!D17-IF(TRUE=TRUE,Inputs!$B$32,0)))*(1-IF(AND(ArtifactsInput!$M$27,Inputs!$B$4="Chapter Hunt"),CHOOSE(ArtifactsInput!$N$27+1,20,24,28,32,36,40),0)/100)),0)</f>
        <v/>
      </c>
      <c r="R802">
        <f>IF(AND(Inputs!$B$38&lt;&gt;"pvp",Inputs!$B$43&gt;0),IF(Inputs!$B$43&lt;=0,0,(INT(Inputs!$B$43/(IF(Inputs!$B$38="pvp",15,MAX(0.1,Skills!D17-IF(TRUE=TRUE,Inputs!$B$32,0)))*(1-IF(AND(ArtifactsInput!$M$27,Inputs!$B$4="Chapter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Skills!G18*IF(Skills!H18&gt;0,IF(Inputs!$B$38="pvp",MIN(Skills!I18,15),Skills!I18)/Skills!H18,1)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IFERROR(1/(IF(Inputs!$B$38="pvp",15,MAX(0.1,Skills!D18-IF(TRUE=TRUE,Inputs!$B$32,0)))*(1-IF(AND(ArtifactsInput!$M$27,Inputs!$B$4="Chapter Hunt"),CHOOSE(ArtifactsInput!$N$27+1,20,24,28,32,36,40),0)/100)),0)</f>
        <v/>
      </c>
      <c r="R803">
        <f>IF(AND(Inputs!$B$38&lt;&gt;"pvp",Inputs!$B$43&gt;0),IF(Inputs!$B$43&lt;=0,0,(INT(Inputs!$B$43/(IF(Inputs!$B$38="pvp",15,MAX(0.1,Skills!D18-IF(TRUE=TRUE,Inputs!$B$32,0)))*(1-IF(AND(ArtifactsInput!$M$27,Inputs!$B$4="Chapter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Skills!G19*IF(Skills!H19&gt;0,IF(Inputs!$B$38="pvp",MIN(Skills!I19,15),Skills!I19)/Skills!H19,1)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IFERROR(1/(IF(Inputs!$B$38="pvp",15,MAX(0.1,Skills!D19-IF(TRUE=TRUE,Inputs!$B$32,0)))*(1-IF(AND(ArtifactsInput!$M$27,Inputs!$B$4="Chapter Hunt"),CHOOSE(ArtifactsInput!$N$27+1,20,24,28,32,36,40),0)/100)),0)</f>
        <v/>
      </c>
      <c r="R804">
        <f>IF(AND(Inputs!$B$38&lt;&gt;"pvp",Inputs!$B$43&gt;0),IF(Inputs!$B$43&lt;=0,0,(INT(Inputs!$B$43/(IF(Inputs!$B$38="pvp",15,MAX(0.1,Skills!D19-IF(TRUE=TRUE,Inputs!$B$32,0)))*(1-IF(AND(ArtifactsInput!$M$27,Inputs!$B$4="Chapter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Skills!G20*IF(Skills!H20&gt;0,IF(Inputs!$B$38="pvp",MIN(Skills!I20,15),Skills!I20)/Skills!H20,1)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Skills!G21*IF(Skills!H21&gt;0,IF(Inputs!$B$38="pvp",MIN(Skills!I21,15),Skills!I21)/Skills!H21,1)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Skills!G22*IF(Skills!H22&gt;0,IF(Inputs!$B$38="pvp",MIN(Skills!I22,15),Skills!I22)/Skills!H22,1)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Skills!G23*IF(Skills!H23&gt;0,IF(Inputs!$B$38="pvp",MIN(Skills!I23,15),Skills!I23)/Skills!H23,1)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Skills!G24*IF(Skills!H24&gt;0,IF(Inputs!$B$38="pvp",MIN(Skills!I24,15),Skills!I24)/Skills!H24,1)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Skills!G25*IF(Skills!H25&gt;0,IF(Inputs!$B$38="pvp",MIN(Skills!I25,15),Skills!I25)/Skills!H25,1)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Skills!G26*IF(Skills!H26&gt;0,IF(Inputs!$B$38="pvp",MIN(Skills!I26,15),Skills!I26)/Skills!H26,1)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118,8,IF(Inputs!$B$3&gt;=110,7,5)))+((C800=TRUE)*F800*IF(AND(Inputs!$B$38&lt;&gt;"pvp",Inputs!$B$43&gt;0),(((R800-1)*MIN((Skills!T15*(1+(Inputs!$B$34+(ArtifactsInput!$M$7-ArtifactsInput!$M$7)*CHOOSE(ArtifactsInput!$N$7+1,6,7.2,8.4,9.6,10.8,12))/100)),(1/Q800))+MIN((Skills!T15*(1+(Inputs!$B$34+(ArtifactsInput!$M$7-ArtifactsInput!$M$7)*CHOOSE(ArtifactsInput!$N$7+1,6,7.2,8.4,9.6,10.8,12))/100)),MAX(0,Inputs!$B$43-((R800-1)*(1/Q800)))))/Inputs!$B$43),IF(Inputs!$B$38="pvp",MIN((Skills!T15*(1+(Inputs!$B$34+(ArtifactsInput!$M$7-ArtifactsInput!$M$7)*CHOOSE(ArtifactsInput!$N$7+1,6,7.2,8.4,9.6,10.8,12))/100)),15)/15,MIN(1,(Skills!T15*(1+(Inputs!$B$34+(ArtifactsInput!$M$7-ArtifactsInput!$M$7)*CHOOSE(ArtifactsInput!$N$7+1,6,7.2,8.4,9.6,10.8,12))/100))/(1/Q800)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MIN((Skills!T19*(1+(Inputs!$B$34+(ArtifactsInput!$M$7-ArtifactsInput!$M$7)*CHOOSE(ArtifactsInput!$N$7+1,6,7.2,8.4,9.6,10.8,12))/100)),(1/Q804))+MIN((Skills!T19*(1+(Inputs!$B$34+(ArtifactsInput!$M$7-ArtifactsInput!$M$7)*CHOOSE(ArtifactsInput!$N$7+1,6,7.2,8.4,9.6,10.8,12))/100)),MAX(0,Inputs!$B$43-((R804-1)*(1/Q804)))))/Inputs!$B$43),IF(Inputs!$B$38="pvp",MIN((Skills!T19*(1+(Inputs!$B$34+(ArtifactsInput!$M$7-ArtifactsInput!$M$7)*CHOOSE(ArtifactsInput!$N$7+1,6,7.2,8.4,9.6,10.8,12))/100)),15)/15,MIN(1,(Skills!T19*(1+(Inputs!$B$34+(ArtifactsInput!$M$7-ArtifactsInput!$M$7)*CHOOSE(ArtifactsInput!$N$7+1,6,7.2,8.4,9.6,10.8,12))/100))/(1/Q804)))))</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MIN((Skills!T18*(1+(Inputs!$B$34+(ArtifactsInput!$M$7-ArtifactsInput!$M$7)*CHOOSE(ArtifactsInput!$N$7+1,6,7.2,8.4,9.6,10.8,12))/100)),(1/Q803))+MIN((Skills!T18*(1+(Inputs!$B$34+(ArtifactsInput!$M$7-ArtifactsInput!$M$7)*CHOOSE(ArtifactsInput!$N$7+1,6,7.2,8.4,9.6,10.8,12))/100)),MAX(0,Inputs!$B$43-((R803-1)*(1/Q803)))))/Inputs!$B$43),IF(Inputs!$B$38="pvp",MIN((Skills!T18*(1+(Inputs!$B$34+(ArtifactsInput!$M$7-ArtifactsInput!$M$7)*CHOOSE(ArtifactsInput!$N$7+1,6,7.2,8.4,9.6,10.8,12))/100)),15)/15,MIN(1,(Skills!T18*(1+(Inputs!$B$34+(ArtifactsInput!$M$7-ArtifactsInput!$M$7)*CHOOSE(ArtifactsInput!$N$7+1,6,7.2,8.4,9.6,10.8,12))/100))/(1/Q803)))))</f>
        <v/>
      </c>
    </row>
    <row r="820">
      <c r="A820" t="inlineStr">
        <is>
          <t>Global Final Damage Bonus % (Enrage + Combo Synergy)</t>
        </is>
      </c>
      <c r="B820">
        <f>((C802=TRUE)*F802*IF(AND(Inputs!$B$38&lt;&gt;"pvp",Inputs!$B$43&gt;0),(((R802-1)*MIN((Skills!T17*(1+(Inputs!$B$34+(ArtifactsInput!$M$7-ArtifactsInput!$M$7)*CHOOSE(ArtifactsInput!$N$7+1,6,7.2,8.4,9.6,10.8,12))/100)),(1/Q802))+MIN((Skills!T17*(1+(Inputs!$B$34+(ArtifactsInput!$M$7-ArtifactsInput!$M$7)*CHOOSE(ArtifactsInput!$N$7+1,6,7.2,8.4,9.6,10.8,12))/100)),MAX(0,Inputs!$B$43-((R802-1)*(1/Q802)))))/Inputs!$B$43),IF(Inputs!$B$38="pvp",MIN((Skills!T17*(1+(Inputs!$B$34+(ArtifactsInput!$M$7-ArtifactsInput!$M$7)*CHOOSE(ArtifactsInput!$N$7+1,6,7.2,8.4,9.6,10.8,12))/100)),15)/15,MIN(1,(Skills!T17*(1+(Inputs!$B$34+(ArtifactsInput!$M$7-ArtifactsInput!$M$7)*CHOOSE(ArtifactsInput!$N$7+1,6,7.2,8.4,9.6,10.8,12))/100))/(1/Q802)))))+((C799=TRUE)*F799*IF(Inputs!$B$3&gt;=118,8,IF(Inputs!$B$3&gt;=110,7,5)))+IF(Inputs!$B$3&gt;=98,5,0)</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Skills!G2*IF(Skills!H2&gt;0,IF(Inputs!$B$38="pvp",MIN(Skills!I2,15),Skills!I2)/Skills!H2,1)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Skills!G5*IF(Skills!H5&gt;0,IF(Inputs!$B$38="pvp",MIN(Skills!I5,15),Skills!I5)/Skills!H5,1)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IFERROR(1/(IF(Inputs!$B$38="pvp",15,MAX(0.1,Skills!D5-IF(TRUE=TRUE,Inputs!$B$32,0)))*(1-IF(AND(ArtifactsInput!$M$27,Inputs!$B$4="Chapter Hunt"),CHOOSE(ArtifactsInput!$N$27+1,20,24,28,32,36,40),0)/100)),0)</f>
        <v/>
      </c>
      <c r="R832">
        <f>IF(AND(Inputs!$B$38&lt;&gt;"pvp",Inputs!$B$43&gt;0),IF(MAX(0,Inputs!$B$43-B863)&lt;=0,0,(INT(MAX(0,Inputs!$B$43-B863)/(IF(Inputs!$B$38="pvp",15,MAX(0.1,Skills!D5-IF(TRUE=TRUE,Inputs!$B$32,0)))*(1-IF(AND(ArtifactsInput!$M$27,Inputs!$B$4="Chapter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$20+0+Skills!P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TRUE=TRUE,Inputs!$B$32,0)))*(1-IF(AND(ArtifactsInput!$M$27,Inputs!$B$4="Chapter Hunt"),CHOOSE(ArtifactsInput!$N$27+1,20,24,28,32,36,40),0)/100)))))/Skills!H5,1)))/Inputs!$B$43),G832*Q832))*IF(Inputs!$B$38="pvp",1,(1+(Inputs!$B$21+Skills!Q5+(((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Skills!G6*IF(Skills!H6&gt;0,IF(Inputs!$B$38="pvp",MIN(Skills!I6,15),Skills!I6)/Skills!H6,1)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IFERROR(1/(IF(Inputs!$B$38="pvp",15,MAX(0.1,Skills!D6-IF(TRUE=TRUE,Inputs!$B$32,0)))*(1-IF(AND(ArtifactsInput!$M$27,Inputs!$B$4="Chapter Hunt"),CHOOSE(ArtifactsInput!$N$27+1,20,24,28,32,36,40),0)/100)),0)</f>
        <v/>
      </c>
      <c r="R833">
        <f>IF(AND(Inputs!$B$38&lt;&gt;"pvp",Inputs!$B$43&gt;0),IF(MAX(0,Inputs!$B$43-B863)&lt;=0,0,(INT(MAX(0,Inputs!$B$43-B863)/(IF(Inputs!$B$38="pvp",15,MAX(0.1,Skills!D6-IF(TRUE=TRUE,Inputs!$B$32,0)))*(1-IF(AND(ArtifactsInput!$M$27,Inputs!$B$4="Chapter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$20+0+Skills!P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TRUE=TRUE,Inputs!$B$32,0)))*(1-IF(AND(ArtifactsInput!$M$27,Inputs!$B$4="Chapter Hunt"),CHOOSE(ArtifactsInput!$N$27+1,20,24,28,32,36,40),0)/100)))))/Skills!H6,1)))/Inputs!$B$43),G833*Q833))*IF(Inputs!$B$38="pvp",1,(1+(Inputs!$B$21+Skills!Q6+(((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Skills!G7*IF(Skills!H7&gt;0,IF(Inputs!$B$38="pvp",MIN(Skills!I7,15),Skills!I7)/Skills!H7,1)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IFERROR(1/(IF(Inputs!$B$38="pvp",15,MAX(0.1,Skills!D7-IF(TRUE=TRUE,Inputs!$B$32,0)))*(1-IF(AND(ArtifactsInput!$M$27,Inputs!$B$4="Chapter Hunt"),CHOOSE(ArtifactsInput!$N$27+1,20,24,28,32,36,40),0)/100)),0)</f>
        <v/>
      </c>
      <c r="R834">
        <f>IF(AND(Inputs!$B$38&lt;&gt;"pvp",Inputs!$B$43&gt;0),IF(MAX(0,Inputs!$B$43-B863)&lt;=0,0,(INT(MAX(0,Inputs!$B$43-B863)/(IF(Inputs!$B$38="pvp",15,MAX(0.1,Skills!D7-IF(TRUE=TRUE,Inputs!$B$32,0)))*(1-IF(AND(ArtifactsInput!$M$27,Inputs!$B$4="Chapter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$20+0+Skills!P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TRUE=TRUE,Inputs!$B$32,0)))*(1-IF(AND(ArtifactsInput!$M$27,Inputs!$B$4="Chapter Hunt"),CHOOSE(ArtifactsInput!$N$27+1,20,24,28,32,36,40),0)/100)))))/Skills!H7,1)))/Inputs!$B$43),G834*Q834))*IF(Inputs!$B$38="pvp",1,(1+(Inputs!$B$21+Skills!Q7+(((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Skills!G8*IF(Skills!H8&gt;0,IF(Inputs!$B$38="pvp",MIN(Skills!I8,15),Skills!I8)/Skills!H8,1)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IFERROR(1/(IF(Inputs!$B$38="pvp",15,MAX(0.1,Skills!D8-IF(TRUE=TRUE,Inputs!$B$32,0)))*(1-IF(AND(ArtifactsInput!$M$27,Inputs!$B$4="Chapter Hunt"),CHOOSE(ArtifactsInput!$N$27+1,20,24,28,32,36,40),0)/100)),0)</f>
        <v/>
      </c>
      <c r="R835">
        <f>IF(AND(Inputs!$B$38&lt;&gt;"pvp",Inputs!$B$43&gt;0),IF(MAX(0,Inputs!$B$43-B863)&lt;=0,0,(INT(MAX(0,Inputs!$B$43-B863)/(IF(Inputs!$B$38="pvp",15,MAX(0.1,Skills!D8-IF(TRUE=TRUE,Inputs!$B$32,0)))*(1-IF(AND(ArtifactsInput!$M$27,Inputs!$B$4="Chapter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$20+0+Skills!P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TRUE=TRUE,Inputs!$B$32,0)))*(1-IF(AND(ArtifactsInput!$M$27,Inputs!$B$4="Chapter Hunt"),CHOOSE(ArtifactsInput!$N$27+1,20,24,28,32,36,40),0)/100)))))/Skills!H8,1)))/Inputs!$B$43),G835*Q835))*IF(Inputs!$B$38="pvp",1,(1+(Inputs!$B$21+Skills!Q8+(((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Skills!G9*IF(Skills!H9&gt;0,IF(Inputs!$B$38="pvp",MIN(Skills!I9,15),Skills!I9)/Skills!H9,1)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138,MAX(0,IF(Inputs!$B$3&gt;=118,8,IF(Inputs!$B$3&gt;=110,7,5))-5)*50,0),0)/100)*(1+(IF(Skills!A9="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IFERROR(1/(IF(Inputs!$B$38="pvp",15,MAX(0.1,Skills!D9-IF(TRUE=TRUE,Inputs!$B$32,0)))*(1-IF(AND(ArtifactsInput!$M$27,Inputs!$B$4="Chapter Hunt"),CHOOSE(ArtifactsInput!$N$27+1,20,24,28,32,36,40),0)/100)),0)</f>
        <v/>
      </c>
      <c r="R836">
        <f>IF(AND(Inputs!$B$38&lt;&gt;"pvp",Inputs!$B$43&gt;0),IF(MAX(0,Inputs!$B$43-B863)&lt;=0,0,(INT(MAX(0,Inputs!$B$43-B863)/(IF(Inputs!$B$38="pvp",15,MAX(0.1,Skills!D9-IF(TRUE=TRUE,Inputs!$B$32,0)))*(1-IF(AND(ArtifactsInput!$M$27,Inputs!$B$4="Chapter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TRUE=TRUE,Inputs!$B$32,0)))*(1-IF(AND(ArtifactsInput!$M$27,Inputs!$B$4="Chapter Hunt"),CHOOSE(ArtifactsInput!$N$27+1,20,24,28,32,36,40),0)/100)))))/Skills!H9,1)))/Inputs!$B$43),G836*Q836))*IF(Inputs!$B$38="pvp",1,1+(Inputs!$B$20+0+Skills!P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TRUE=TRUE,Inputs!$B$32,0)))*(1-IF(AND(ArtifactsInput!$M$27,Inputs!$B$4="Chapter Hunt"),CHOOSE(ArtifactsInput!$N$27+1,20,24,28,32,36,40),0)/100)))))/Skills!H9,1)))/Inputs!$B$43),G836*Q836))*IF(Inputs!$B$38="pvp",1,(1+(Inputs!$B$21+Skills!Q9+(((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Skills!G10*IF(Skills!H10&gt;0,IF(Inputs!$B$38="pvp",MIN(Skills!I10,15),Skills!I10)/Skills!H10,1)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138,MAX(0,IF(Inputs!$B$3&gt;=118,8,IF(Inputs!$B$3&gt;=110,7,5))-5)*50,0),0)/100)*(1+(IF(Skills!A10="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IFERROR(1/(IF(Inputs!$B$38="pvp",15,MAX(0.1,Skills!D10-IF(TRUE=TRUE,Inputs!$B$32,0)))*(1-IF(AND(ArtifactsInput!$M$27,Inputs!$B$4="Chapter Hunt"),CHOOSE(ArtifactsInput!$N$27+1,20,24,28,32,36,40),0)/100)),0)</f>
        <v/>
      </c>
      <c r="R837">
        <f>IF(AND(Inputs!$B$38&lt;&gt;"pvp",Inputs!$B$43&gt;0),IF(MAX(0,Inputs!$B$43-B863)&lt;=0,0,(INT(MAX(0,Inputs!$B$43-B863)/(IF(Inputs!$B$38="pvp",15,MAX(0.1,Skills!D10-IF(TRUE=TRUE,Inputs!$B$32,0)))*(1-IF(AND(ArtifactsInput!$M$27,Inputs!$B$4="Chapter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$20+0+Skills!P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TRUE=TRUE,Inputs!$B$32,0)))*(1-IF(AND(ArtifactsInput!$M$27,Inputs!$B$4="Chapter Hunt"),CHOOSE(ArtifactsInput!$N$27+1,20,24,28,32,36,40),0)/100)))))/Skills!H10,1)))/Inputs!$B$43),G837*Q837))*IF(Inputs!$B$38="pvp",1,(1+(Inputs!$B$21+Skills!Q10+(((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Skills!G11*IF(Skills!H11&gt;0,IF(Inputs!$B$38="pvp",MIN(Skills!I11,15),Skills!I11)/Skills!H11,1)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(100-(100-((Inputs!$B$19+0)))*(1-IF(Inputs!$B$3&gt;=130,IF(Inputs!$B$3&gt;=118,8,IF(Inputs!$B$3&gt;=110,7,5)),0)/100)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138,MAX(0,IF(Inputs!$B$3&gt;=118,8,IF(Inputs!$B$3&gt;=110,7,5))-5)*50,0),0)/100)*(1+(IF(Skills!A11="RAGING_BLOW",Inputs!$B$17+((C848=TRUE)*(F848-Calc!F21))+((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IFERROR(1/(IF(Inputs!$B$38="pvp",15,MAX(0.1,Skills!D11-IF(TRUE=TRUE,Inputs!$B$32,0)))*(1-IF(AND(ArtifactsInput!$M$27,Inputs!$B$4="Chapter Hunt"),CHOOSE(ArtifactsInput!$N$27+1,20,24,28,32,36,40),0)/100)),0)</f>
        <v/>
      </c>
      <c r="R838">
        <f>IF(AND(Inputs!$B$38&lt;&gt;"pvp",Inputs!$B$43&gt;0),IF(MAX(0,Inputs!$B$43-B863)&lt;=0,0,(INT(MAX(0,Inputs!$B$43-B863)/(IF(Inputs!$B$38="pvp",15,MAX(0.1,Skills!D11-IF(TRUE=TRUE,Inputs!$B$32,0)))*(1-IF(AND(ArtifactsInput!$M$27,Inputs!$B$4="Chapter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$20+0+Skills!P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Inputs!$B$38&lt;&gt;"pvp",Inputs!$B$43=0),1,IF(IF(Inputs!$B$38="pvp",15,Inputs!$B$43)-(B863)&lt;=0,1,MAX(0,IF(Inputs!$B$38="pvp",15,Inputs!$B$43)-MAX(5,B863))/(IF(Inputs!$B$38="pvp",15,Inputs!$B$43)-(B863)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TRUE=TRUE,Inputs!$B$32,0)))*(1-IF(AND(ArtifactsInput!$M$27,Inputs!$B$4="Chapter Hunt"),CHOOSE(ArtifactsInput!$N$27+1,20,24,28,32,36,40),0)/100)))))/Skills!H11,1)))/Inputs!$B$43),G838*Q838))*IF(Inputs!$B$38="pvp",1,(1+(Inputs!$B$21+Skills!Q11+(((C843=TRUE)*F843*(Skills!J16/100)*IF(AND(Inputs!$B$38&lt;&gt;"pvp",Inputs!$B$43&gt;0),(((R843-1)*MIN((Skills!T16*(1+(Inputs!$B$34+(ArtifactsInput!$M$7-ArtifactsInput!$M$7)*CHOOSE(ArtifactsInput!$N$7+1,6,7.2,8.4,9.6,10.8,12))/100)),(1/Q843))+MIN((Skills!T16*(1+(Inputs!$B$34+(ArtifactsInput!$M$7-ArtifactsInput!$M$7)*CHOOSE(ArtifactsInput!$N$7+1,6,7.2,8.4,9.6,10.8,12))/100)),MAX(0,Inputs!$B$43-((R843-1)*(1/Q843)))))/Inputs!$B$43),IF(Inputs!$B$38="pvp",MIN((Skills!T16*(1+(Inputs!$B$34+(ArtifactsInput!$M$7-ArtifactsInput!$M$7)*CHOOSE(ArtifactsInput!$N$7+1,6,7.2,8.4,9.6,10.8,12))/100)),15)/15,MIN(1,(Skills!T16*(1+(Inputs!$B$34+(ArtifactsInput!$M$7-ArtifactsInput!$M$7)*CHOOSE(ArtifactsInput!$N$7+1,6,7.2,8.4,9.6,10.8,12))/100))/(1/Q843)))))+((C835=TRUE)*IF(Inputs!$B$3&gt;=126,10*MIN(1,15*Q835),0))+((C832=TRUE)*((100/10)*(INDEX(FactorTable!$B$2:$Y$301,MATCH(ROUND(MIN(300,MAX(1,MAX(0,(Inputs!$B$3-100)*3)+Inputs!$B$28+Inputs!$B$29)),0),FactorTable!$A$2:$A$301,0),22)/1000))*(1+IF(Inputs!$B$3&gt;=134,0.5,0))*MIN(1,10*(1+(Inputs!$B$34+(ArtifactsInput!$M$7-ArtifactsInput!$M$7)*CHOOSE(ArtifactsInput!$N$7+1,6,7.2,8.4,9.6,10.8,12))/100)*Q832)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Skills!G13*IF(Skills!H13&gt;0,IF(Inputs!$B$38="pvp",MIN(Skills!I13,15),Skills!I13)/Skills!H13,1)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Skills!G14*IF(Skills!H14&gt;0,IF(Inputs!$B$38="pvp",MIN(Skills!I14,15),Skills!I14)/Skills!H14,1)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Skills!G15*IF(Skills!H15&gt;0,IF(Inputs!$B$38="pvp",MIN(Skills!I15,15),Skills!I15)/Skills!H15,1)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IFERROR(1/(IF(Inputs!$B$38="pvp",15,MAX(0.1,Skills!D15-IF(TRUE=TRUE,Inputs!$B$32,0)))*(1-IF(AND(ArtifactsInput!$M$27,Inputs!$B$4="Chapter Hunt"),CHOOSE(ArtifactsInput!$N$27+1,20,24,28,32,36,40),0)/100)),0)</f>
        <v/>
      </c>
      <c r="R842">
        <f>IF(AND(Inputs!$B$38&lt;&gt;"pvp",Inputs!$B$43&gt;0),IF(Inputs!$B$43&lt;=0,0,(INT(Inputs!$B$43/(IF(Inputs!$B$38="pvp",15,MAX(0.1,Skills!D15-IF(TRUE=TRUE,Inputs!$B$32,0)))*(1-IF(AND(ArtifactsInput!$M$27,Inputs!$B$4="Chapter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Skills!G16*IF(Skills!H16&gt;0,IF(Inputs!$B$38="pvp",MIN(Skills!I16,15),Skills!I16)/Skills!H16,1)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IFERROR(1/(IF(Inputs!$B$38="pvp",15,MAX(0.1,Skills!D16-IF(TRUE=TRUE,Inputs!$B$32,0)))*(1-IF(AND(ArtifactsInput!$M$27,Inputs!$B$4="Chapter Hunt"),CHOOSE(ArtifactsInput!$N$27+1,20,24,28,32,36,40),0)/100)),0)</f>
        <v/>
      </c>
      <c r="R843">
        <f>IF(AND(Inputs!$B$38&lt;&gt;"pvp",Inputs!$B$43&gt;0),IF(Inputs!$B$43&lt;=0,0,(INT(Inputs!$B$43/(IF(Inputs!$B$38="pvp",15,MAX(0.1,Skills!D16-IF(TRUE=TRUE,Inputs!$B$32,0)))*(1-IF(AND(ArtifactsInput!$M$27,Inputs!$B$4="Chapter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Skills!G17*IF(Skills!H17&gt;0,IF(Inputs!$B$38="pvp",MIN(Skills!I17,15),Skills!I17)/Skills!H17,1)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IFERROR(1/(IF(Inputs!$B$38="pvp",15,MAX(0.1,Skills!D17-IF(TRUE=TRUE,Inputs!$B$32,0)))*(1-IF(AND(ArtifactsInput!$M$27,Inputs!$B$4="Chapter Hunt"),CHOOSE(ArtifactsInput!$N$27+1,20,24,28,32,36,40),0)/100)),0)</f>
        <v/>
      </c>
      <c r="R844">
        <f>IF(AND(Inputs!$B$38&lt;&gt;"pvp",Inputs!$B$43&gt;0),IF(Inputs!$B$43&lt;=0,0,(INT(Inputs!$B$43/(IF(Inputs!$B$38="pvp",15,MAX(0.1,Skills!D17-IF(TRUE=TRUE,Inputs!$B$32,0)))*(1-IF(AND(ArtifactsInput!$M$27,Inputs!$B$4="Chapter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Skills!G18*IF(Skills!H18&gt;0,IF(Inputs!$B$38="pvp",MIN(Skills!I18,15),Skills!I18)/Skills!H18,1)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IFERROR(1/(IF(Inputs!$B$38="pvp",15,MAX(0.1,Skills!D18-IF(TRUE=TRUE,Inputs!$B$32,0)))*(1-IF(AND(ArtifactsInput!$M$27,Inputs!$B$4="Chapter Hunt"),CHOOSE(ArtifactsInput!$N$27+1,20,24,28,32,36,40),0)/100)),0)</f>
        <v/>
      </c>
      <c r="R845">
        <f>IF(AND(Inputs!$B$38&lt;&gt;"pvp",Inputs!$B$43&gt;0),IF(Inputs!$B$43&lt;=0,0,(INT(Inputs!$B$43/(IF(Inputs!$B$38="pvp",15,MAX(0.1,Skills!D18-IF(TRUE=TRUE,Inputs!$B$32,0)))*(1-IF(AND(ArtifactsInput!$M$27,Inputs!$B$4="Chapter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Skills!G19*IF(Skills!H19&gt;0,IF(Inputs!$B$38="pvp",MIN(Skills!I19,15),Skills!I19)/Skills!H19,1)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IFERROR(1/(IF(Inputs!$B$38="pvp",15,MAX(0.1,Skills!D19-IF(TRUE=TRUE,Inputs!$B$32,0)))*(1-IF(AND(ArtifactsInput!$M$27,Inputs!$B$4="Chapter Hunt"),CHOOSE(ArtifactsInput!$N$27+1,20,24,28,32,36,40),0)/100)),0)</f>
        <v/>
      </c>
      <c r="R846">
        <f>IF(AND(Inputs!$B$38&lt;&gt;"pvp",Inputs!$B$43&gt;0),IF(Inputs!$B$43&lt;=0,0,(INT(Inputs!$B$43/(IF(Inputs!$B$38="pvp",15,MAX(0.1,Skills!D19-IF(TRUE=TRUE,Inputs!$B$32,0)))*(1-IF(AND(ArtifactsInput!$M$27,Inputs!$B$4="Chapter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Skills!G20*IF(Skills!H20&gt;0,IF(Inputs!$B$38="pvp",MIN(Skills!I20,15),Skills!I20)/Skills!H20,1)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Skills!G21*IF(Skills!H21&gt;0,IF(Inputs!$B$38="pvp",MIN(Skills!I21,15),Skills!I21)/Skills!H21,1)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Skills!G22*IF(Skills!H22&gt;0,IF(Inputs!$B$38="pvp",MIN(Skills!I22,15),Skills!I22)/Skills!H22,1)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Skills!G23*IF(Skills!H23&gt;0,IF(Inputs!$B$38="pvp",MIN(Skills!I23,15),Skills!I23)/Skills!H23,1)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Skills!G24*IF(Skills!H24&gt;0,IF(Inputs!$B$38="pvp",MIN(Skills!I24,15),Skills!I24)/Skills!H24,1)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Skills!G25*IF(Skills!H25&gt;0,IF(Inputs!$B$38="pvp",MIN(Skills!I25,15),Skills!I25)/Skills!H25,1)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Skills!G26*IF(Skills!H26&gt;0,IF(Inputs!$B$38="pvp",MIN(Skills!I26,15),Skills!I26)/Skills!H26,1)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118,8,IF(Inputs!$B$3&gt;=110,7,5)))+((C842=TRUE)*F842*IF(AND(Inputs!$B$38&lt;&gt;"pvp",Inputs!$B$43&gt;0),(((R842-1)*MIN((Skills!T15*(1+(Inputs!$B$34+(ArtifactsInput!$M$7-ArtifactsInput!$M$7)*CHOOSE(ArtifactsInput!$N$7+1,6,7.2,8.4,9.6,10.8,12))/100)),(1/Q842))+MIN((Skills!T15*(1+(Inputs!$B$34+(ArtifactsInput!$M$7-ArtifactsInput!$M$7)*CHOOSE(ArtifactsInput!$N$7+1,6,7.2,8.4,9.6,10.8,12))/100)),MAX(0,Inputs!$B$43-((R842-1)*(1/Q842)))))/Inputs!$B$43),IF(Inputs!$B$38="pvp",MIN((Skills!T15*(1+(Inputs!$B$34+(ArtifactsInput!$M$7-ArtifactsInput!$M$7)*CHOOSE(ArtifactsInput!$N$7+1,6,7.2,8.4,9.6,10.8,12))/100)),15)/15,MIN(1,(Skills!T15*(1+(Inputs!$B$34+(ArtifactsInput!$M$7-ArtifactsInput!$M$7)*CHOOSE(ArtifactsInput!$N$7+1,6,7.2,8.4,9.6,10.8,12))/100))/(1/Q842)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MIN((Skills!T19*(1+(Inputs!$B$34+(ArtifactsInput!$M$7-ArtifactsInput!$M$7)*CHOOSE(ArtifactsInput!$N$7+1,6,7.2,8.4,9.6,10.8,12))/100)),(1/Q846))+MIN((Skills!T19*(1+(Inputs!$B$34+(ArtifactsInput!$M$7-ArtifactsInput!$M$7)*CHOOSE(ArtifactsInput!$N$7+1,6,7.2,8.4,9.6,10.8,12))/100)),MAX(0,Inputs!$B$43-((R846-1)*(1/Q846)))))/Inputs!$B$43),IF(Inputs!$B$38="pvp",MIN((Skills!T19*(1+(Inputs!$B$34+(ArtifactsInput!$M$7-ArtifactsInput!$M$7)*CHOOSE(ArtifactsInput!$N$7+1,6,7.2,8.4,9.6,10.8,12))/100)),15)/15,MIN(1,(Skills!T19*(1+(Inputs!$B$34+(ArtifactsInput!$M$7-ArtifactsInput!$M$7)*CHOOSE(ArtifactsInput!$N$7+1,6,7.2,8.4,9.6,10.8,12))/100))/(1/Q846)))))</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MIN((Skills!T18*(1+(Inputs!$B$34+(ArtifactsInput!$M$7-ArtifactsInput!$M$7)*CHOOSE(ArtifactsInput!$N$7+1,6,7.2,8.4,9.6,10.8,12))/100)),(1/Q845))+MIN((Skills!T18*(1+(Inputs!$B$34+(ArtifactsInput!$M$7-ArtifactsInput!$M$7)*CHOOSE(ArtifactsInput!$N$7+1,6,7.2,8.4,9.6,10.8,12))/100)),MAX(0,Inputs!$B$43-((R845-1)*(1/Q845)))))/Inputs!$B$43),IF(Inputs!$B$38="pvp",MIN((Skills!T18*(1+(Inputs!$B$34+(ArtifactsInput!$M$7-ArtifactsInput!$M$7)*CHOOSE(ArtifactsInput!$N$7+1,6,7.2,8.4,9.6,10.8,12))/100)),15)/15,MIN(1,(Skills!T18*(1+(Inputs!$B$34+(ArtifactsInput!$M$7-ArtifactsInput!$M$7)*CHOOSE(ArtifactsInput!$N$7+1,6,7.2,8.4,9.6,10.8,12))/100))/(1/Q845)))))</f>
        <v/>
      </c>
    </row>
    <row r="862">
      <c r="A862" t="inlineStr">
        <is>
          <t>Global Final Damage Bonus % (Enrage + Combo Synergy)</t>
        </is>
      </c>
      <c r="B862">
        <f>((C844=TRUE)*F844*IF(AND(Inputs!$B$38&lt;&gt;"pvp",Inputs!$B$43&gt;0),(((R844-1)*MIN((Skills!T17*(1+(Inputs!$B$34+(ArtifactsInput!$M$7-ArtifactsInput!$M$7)*CHOOSE(ArtifactsInput!$N$7+1,6,7.2,8.4,9.6,10.8,12))/100)),(1/Q844))+MIN((Skills!T17*(1+(Inputs!$B$34+(ArtifactsInput!$M$7-ArtifactsInput!$M$7)*CHOOSE(ArtifactsInput!$N$7+1,6,7.2,8.4,9.6,10.8,12))/100)),MAX(0,Inputs!$B$43-((R844-1)*(1/Q844)))))/Inputs!$B$43),IF(Inputs!$B$38="pvp",MIN((Skills!T17*(1+(Inputs!$B$34+(ArtifactsInput!$M$7-ArtifactsInput!$M$7)*CHOOSE(ArtifactsInput!$N$7+1,6,7.2,8.4,9.6,10.8,12))/100)),15)/15,MIN(1,(Skills!T17*(1+(Inputs!$B$34+(ArtifactsInput!$M$7-ArtifactsInput!$M$7)*CHOOSE(ArtifactsInput!$N$7+1,6,7.2,8.4,9.6,10.8,12))/100))/(1/Q844)))))+((C841=TRUE)*F841*IF(Inputs!$B$3&gt;=118,8,IF(Inputs!$B$3&gt;=110,7,5)))+IF(Inputs!$B$3&gt;=98,5,0)</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Skills!G2*IF(Skills!H2&gt;0,IF(Inputs!$B$38="pvp",MIN(Skills!I2,15),Skills!I2)/Skills!H2,1)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Skills!G5*IF(Skills!H5&gt;0,IF(Inputs!$B$38="pvp",MIN(Skills!I5,15),Skills!I5)/Skills!H5,1)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IFERROR(1/(IF(Inputs!$B$38="pvp",15,MAX(0.1,Skills!D5-IF(TRUE=TRUE,Inputs!$B$32,0)))*(1-IF(AND(ArtifactsInput!$M$27,Inputs!$B$4="Chapter Hunt"),CHOOSE(ArtifactsInput!$N$27+1,20,24,28,32,36,40),0)/100)),0)</f>
        <v/>
      </c>
      <c r="R874">
        <f>IF(AND(Inputs!$B$38&lt;&gt;"pvp",Inputs!$B$43&gt;0),IF(MAX(0,Inputs!$B$43-B905)&lt;=0,0,(INT(MAX(0,Inputs!$B$43-B905)/(IF(Inputs!$B$38="pvp",15,MAX(0.1,Skills!D5-IF(TRUE=TRUE,Inputs!$B$32,0)))*(1-IF(AND(ArtifactsInput!$M$27,Inputs!$B$4="Chapter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$20+0+Skills!P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TRUE=TRUE,Inputs!$B$32,0)))*(1-IF(AND(ArtifactsInput!$M$27,Inputs!$B$4="Chapter Hunt"),CHOOSE(ArtifactsInput!$N$27+1,20,24,28,32,36,40),0)/100)))))/Skills!H5,1)))/Inputs!$B$43),G874*Q874))*IF(Inputs!$B$38="pvp",1,(1+(Inputs!$B$21+Skills!Q5+(((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Skills!G6*IF(Skills!H6&gt;0,IF(Inputs!$B$38="pvp",MIN(Skills!I6,15),Skills!I6)/Skills!H6,1)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IFERROR(1/(IF(Inputs!$B$38="pvp",15,MAX(0.1,Skills!D6-IF(TRUE=TRUE,Inputs!$B$32,0)))*(1-IF(AND(ArtifactsInput!$M$27,Inputs!$B$4="Chapter Hunt"),CHOOSE(ArtifactsInput!$N$27+1,20,24,28,32,36,40),0)/100)),0)</f>
        <v/>
      </c>
      <c r="R875">
        <f>IF(AND(Inputs!$B$38&lt;&gt;"pvp",Inputs!$B$43&gt;0),IF(MAX(0,Inputs!$B$43-B905)&lt;=0,0,(INT(MAX(0,Inputs!$B$43-B905)/(IF(Inputs!$B$38="pvp",15,MAX(0.1,Skills!D6-IF(TRUE=TRUE,Inputs!$B$32,0)))*(1-IF(AND(ArtifactsInput!$M$27,Inputs!$B$4="Chapter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$20+0+Skills!P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TRUE=TRUE,Inputs!$B$32,0)))*(1-IF(AND(ArtifactsInput!$M$27,Inputs!$B$4="Chapter Hunt"),CHOOSE(ArtifactsInput!$N$27+1,20,24,28,32,36,40),0)/100)))))/Skills!H6,1)))/Inputs!$B$43),G875*Q875))*IF(Inputs!$B$38="pvp",1,(1+(Inputs!$B$21+Skills!Q6+(((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Skills!G7*IF(Skills!H7&gt;0,IF(Inputs!$B$38="pvp",MIN(Skills!I7,15),Skills!I7)/Skills!H7,1)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IFERROR(1/(IF(Inputs!$B$38="pvp",15,MAX(0.1,Skills!D7-IF(TRUE=TRUE,Inputs!$B$32,0)))*(1-IF(AND(ArtifactsInput!$M$27,Inputs!$B$4="Chapter Hunt"),CHOOSE(ArtifactsInput!$N$27+1,20,24,28,32,36,40),0)/100)),0)</f>
        <v/>
      </c>
      <c r="R876">
        <f>IF(AND(Inputs!$B$38&lt;&gt;"pvp",Inputs!$B$43&gt;0),IF(MAX(0,Inputs!$B$43-B905)&lt;=0,0,(INT(MAX(0,Inputs!$B$43-B905)/(IF(Inputs!$B$38="pvp",15,MAX(0.1,Skills!D7-IF(TRUE=TRUE,Inputs!$B$32,0)))*(1-IF(AND(ArtifactsInput!$M$27,Inputs!$B$4="Chapter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$20+0+Skills!P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TRUE=TRUE,Inputs!$B$32,0)))*(1-IF(AND(ArtifactsInput!$M$27,Inputs!$B$4="Chapter Hunt"),CHOOSE(ArtifactsInput!$N$27+1,20,24,28,32,36,40),0)/100)))))/Skills!H7,1)))/Inputs!$B$43),G876*Q876))*IF(Inputs!$B$38="pvp",1,(1+(Inputs!$B$21+Skills!Q7+(((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Skills!G8*IF(Skills!H8&gt;0,IF(Inputs!$B$38="pvp",MIN(Skills!I8,15),Skills!I8)/Skills!H8,1)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IFERROR(1/(IF(Inputs!$B$38="pvp",15,MAX(0.1,Skills!D8-IF(TRUE=TRUE,Inputs!$B$32,0)))*(1-IF(AND(ArtifactsInput!$M$27,Inputs!$B$4="Chapter Hunt"),CHOOSE(ArtifactsInput!$N$27+1,20,24,28,32,36,40),0)/100)),0)</f>
        <v/>
      </c>
      <c r="R877">
        <f>IF(AND(Inputs!$B$38&lt;&gt;"pvp",Inputs!$B$43&gt;0),IF(MAX(0,Inputs!$B$43-B905)&lt;=0,0,(INT(MAX(0,Inputs!$B$43-B905)/(IF(Inputs!$B$38="pvp",15,MAX(0.1,Skills!D8-IF(TRUE=TRUE,Inputs!$B$32,0)))*(1-IF(AND(ArtifactsInput!$M$27,Inputs!$B$4="Chapter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$20+0+Skills!P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TRUE=TRUE,Inputs!$B$32,0)))*(1-IF(AND(ArtifactsInput!$M$27,Inputs!$B$4="Chapter Hunt"),CHOOSE(ArtifactsInput!$N$27+1,20,24,28,32,36,40),0)/100)))))/Skills!H8,1)))/Inputs!$B$43),G877*Q877))*IF(Inputs!$B$38="pvp",1,(1+(Inputs!$B$21+Skills!Q8+(((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Skills!G9*IF(Skills!H9&gt;0,IF(Inputs!$B$38="pvp",MIN(Skills!I9,15),Skills!I9)/Skills!H9,1)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138,MAX(0,IF(Inputs!$B$3&gt;=118,8,IF(Inputs!$B$3&gt;=110,7,5))-5)*50,0),0)/100)*(1+(IF(Skills!A9="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IFERROR(1/(IF(Inputs!$B$38="pvp",15,MAX(0.1,Skills!D9-IF(TRUE=TRUE,Inputs!$B$32,0)))*(1-IF(AND(ArtifactsInput!$M$27,Inputs!$B$4="Chapter Hunt"),CHOOSE(ArtifactsInput!$N$27+1,20,24,28,32,36,40),0)/100)),0)</f>
        <v/>
      </c>
      <c r="R878">
        <f>IF(AND(Inputs!$B$38&lt;&gt;"pvp",Inputs!$B$43&gt;0),IF(MAX(0,Inputs!$B$43-B905)&lt;=0,0,(INT(MAX(0,Inputs!$B$43-B905)/(IF(Inputs!$B$38="pvp",15,MAX(0.1,Skills!D9-IF(TRUE=TRUE,Inputs!$B$32,0)))*(1-IF(AND(ArtifactsInput!$M$27,Inputs!$B$4="Chapter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TRUE=TRUE,Inputs!$B$32,0)))*(1-IF(AND(ArtifactsInput!$M$27,Inputs!$B$4="Chapter Hunt"),CHOOSE(ArtifactsInput!$N$27+1,20,24,28,32,36,40),0)/100)))))/Skills!H9,1)))/Inputs!$B$43),G878*Q878))*IF(Inputs!$B$38="pvp",1,1+(Inputs!$B$20+0+Skills!P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TRUE=TRUE,Inputs!$B$32,0)))*(1-IF(AND(ArtifactsInput!$M$27,Inputs!$B$4="Chapter Hunt"),CHOOSE(ArtifactsInput!$N$27+1,20,24,28,32,36,40),0)/100)))))/Skills!H9,1)))/Inputs!$B$43),G878*Q878))*IF(Inputs!$B$38="pvp",1,(1+(Inputs!$B$21+Skills!Q9+(((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Skills!G10*IF(Skills!H10&gt;0,IF(Inputs!$B$38="pvp",MIN(Skills!I10,15),Skills!I10)/Skills!H10,1)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138,MAX(0,IF(Inputs!$B$3&gt;=118,8,IF(Inputs!$B$3&gt;=110,7,5))-5)*50,0),0)/100)*(1+(IF(Skills!A10="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IFERROR(1/(IF(Inputs!$B$38="pvp",15,MAX(0.1,Skills!D10-IF(TRUE=TRUE,Inputs!$B$32,0)))*(1-IF(AND(ArtifactsInput!$M$27,Inputs!$B$4="Chapter Hunt"),CHOOSE(ArtifactsInput!$N$27+1,20,24,28,32,36,40),0)/100)),0)</f>
        <v/>
      </c>
      <c r="R879">
        <f>IF(AND(Inputs!$B$38&lt;&gt;"pvp",Inputs!$B$43&gt;0),IF(MAX(0,Inputs!$B$43-B905)&lt;=0,0,(INT(MAX(0,Inputs!$B$43-B905)/(IF(Inputs!$B$38="pvp",15,MAX(0.1,Skills!D10-IF(TRUE=TRUE,Inputs!$B$32,0)))*(1-IF(AND(ArtifactsInput!$M$27,Inputs!$B$4="Chapter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$20+0+Skills!P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TRUE=TRUE,Inputs!$B$32,0)))*(1-IF(AND(ArtifactsInput!$M$27,Inputs!$B$4="Chapter Hunt"),CHOOSE(ArtifactsInput!$N$27+1,20,24,28,32,36,40),0)/100)))))/Skills!H10,1)))/Inputs!$B$43),G879*Q879))*IF(Inputs!$B$38="pvp",1,(1+(Inputs!$B$21+Skills!Q10+(((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Skills!G11*IF(Skills!H11&gt;0,IF(Inputs!$B$38="pvp",MIN(Skills!I11,15),Skills!I11)/Skills!H11,1)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(100-(100-((Inputs!$B$19+0)))*(1-IF(Inputs!$B$3&gt;=130,IF(Inputs!$B$3&gt;=118,8,IF(Inputs!$B$3&gt;=110,7,5)),0)/100)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138,MAX(0,IF(Inputs!$B$3&gt;=118,8,IF(Inputs!$B$3&gt;=110,7,5))-5)*50,0),0)/100)*(1+(IF(Skills!A11="RAGING_BLOW",Inputs!$B$17+((C890=TRUE)*(F890-Calc!F21))+((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IFERROR(1/(IF(Inputs!$B$38="pvp",15,MAX(0.1,Skills!D11-IF(TRUE=TRUE,Inputs!$B$32,0)))*(1-IF(AND(ArtifactsInput!$M$27,Inputs!$B$4="Chapter Hunt"),CHOOSE(ArtifactsInput!$N$27+1,20,24,28,32,36,40),0)/100)),0)</f>
        <v/>
      </c>
      <c r="R880">
        <f>IF(AND(Inputs!$B$38&lt;&gt;"pvp",Inputs!$B$43&gt;0),IF(MAX(0,Inputs!$B$43-B905)&lt;=0,0,(INT(MAX(0,Inputs!$B$43-B905)/(IF(Inputs!$B$38="pvp",15,MAX(0.1,Skills!D11-IF(TRUE=TRUE,Inputs!$B$32,0)))*(1-IF(AND(ArtifactsInput!$M$27,Inputs!$B$4="Chapter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$20+0+Skills!P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Inputs!$B$38&lt;&gt;"pvp",Inputs!$B$43=0),1,IF(IF(Inputs!$B$38="pvp",15,Inputs!$B$43)-(B905)&lt;=0,1,MAX(0,IF(Inputs!$B$38="pvp",15,Inputs!$B$43)-MAX(5,B905))/(IF(Inputs!$B$38="pvp",15,Inputs!$B$43)-(B905)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TRUE=TRUE,Inputs!$B$32,0)))*(1-IF(AND(ArtifactsInput!$M$27,Inputs!$B$4="Chapter Hunt"),CHOOSE(ArtifactsInput!$N$27+1,20,24,28,32,36,40),0)/100)))))/Skills!H11,1)))/Inputs!$B$43),G880*Q880))*IF(Inputs!$B$38="pvp",1,(1+(Inputs!$B$21+Skills!Q11+(((C885=TRUE)*F885*(Skills!J16/100)*IF(AND(Inputs!$B$38&lt;&gt;"pvp",Inputs!$B$43&gt;0),(((R885-1)*MIN((Skills!T16*(1+(Inputs!$B$34+(ArtifactsInput!$M$7-ArtifactsInput!$M$7)*CHOOSE(ArtifactsInput!$N$7+1,6,7.2,8.4,9.6,10.8,12))/100)),(1/Q885))+MIN((Skills!T16*(1+(Inputs!$B$34+(ArtifactsInput!$M$7-ArtifactsInput!$M$7)*CHOOSE(ArtifactsInput!$N$7+1,6,7.2,8.4,9.6,10.8,12))/100)),MAX(0,Inputs!$B$43-((R885-1)*(1/Q885)))))/Inputs!$B$43),IF(Inputs!$B$38="pvp",MIN((Skills!T16*(1+(Inputs!$B$34+(ArtifactsInput!$M$7-ArtifactsInput!$M$7)*CHOOSE(ArtifactsInput!$N$7+1,6,7.2,8.4,9.6,10.8,12))/100)),15)/15,MIN(1,(Skills!T16*(1+(Inputs!$B$34+(ArtifactsInput!$M$7-ArtifactsInput!$M$7)*CHOOSE(ArtifactsInput!$N$7+1,6,7.2,8.4,9.6,10.8,12))/100))/(1/Q885)))))+((C877=TRUE)*IF(Inputs!$B$3&gt;=126,10*MIN(1,15*Q877),0))+((C874=TRUE)*((100/10)*(INDEX(FactorTable!$B$2:$Y$301,MATCH(ROUND(MIN(300,MAX(1,MAX(0,(Inputs!$B$3-100)*3)+(Inputs!$B$28+1)+Inputs!$B$29)),0),FactorTable!$A$2:$A$301,0),22)/1000))*(1+IF(Inputs!$B$3&gt;=134,0.5,0))*MIN(1,10*(1+(Inputs!$B$34+(ArtifactsInput!$M$7-ArtifactsInput!$M$7)*CHOOSE(ArtifactsInput!$N$7+1,6,7.2,8.4,9.6,10.8,12))/100)*Q874)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Skills!G13*IF(Skills!H13&gt;0,IF(Inputs!$B$38="pvp",MIN(Skills!I13,15),Skills!I13)/Skills!H13,1)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Skills!G14*IF(Skills!H14&gt;0,IF(Inputs!$B$38="pvp",MIN(Skills!I14,15),Skills!I14)/Skills!H14,1)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Skills!G15*IF(Skills!H15&gt;0,IF(Inputs!$B$38="pvp",MIN(Skills!I15,15),Skills!I15)/Skills!H15,1)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IFERROR(1/(IF(Inputs!$B$38="pvp",15,MAX(0.1,Skills!D15-IF(TRUE=TRUE,Inputs!$B$32,0)))*(1-IF(AND(ArtifactsInput!$M$27,Inputs!$B$4="Chapter Hunt"),CHOOSE(ArtifactsInput!$N$27+1,20,24,28,32,36,40),0)/100)),0)</f>
        <v/>
      </c>
      <c r="R884">
        <f>IF(AND(Inputs!$B$38&lt;&gt;"pvp",Inputs!$B$43&gt;0),IF(Inputs!$B$43&lt;=0,0,(INT(Inputs!$B$43/(IF(Inputs!$B$38="pvp",15,MAX(0.1,Skills!D15-IF(TRUE=TRUE,Inputs!$B$32,0)))*(1-IF(AND(ArtifactsInput!$M$27,Inputs!$B$4="Chapter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Skills!G16*IF(Skills!H16&gt;0,IF(Inputs!$B$38="pvp",MIN(Skills!I16,15),Skills!I16)/Skills!H16,1)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IFERROR(1/(IF(Inputs!$B$38="pvp",15,MAX(0.1,Skills!D16-IF(TRUE=TRUE,Inputs!$B$32,0)))*(1-IF(AND(ArtifactsInput!$M$27,Inputs!$B$4="Chapter Hunt"),CHOOSE(ArtifactsInput!$N$27+1,20,24,28,32,36,40),0)/100)),0)</f>
        <v/>
      </c>
      <c r="R885">
        <f>IF(AND(Inputs!$B$38&lt;&gt;"pvp",Inputs!$B$43&gt;0),IF(Inputs!$B$43&lt;=0,0,(INT(Inputs!$B$43/(IF(Inputs!$B$38="pvp",15,MAX(0.1,Skills!D16-IF(TRUE=TRUE,Inputs!$B$32,0)))*(1-IF(AND(ArtifactsInput!$M$27,Inputs!$B$4="Chapter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Skills!G17*IF(Skills!H17&gt;0,IF(Inputs!$B$38="pvp",MIN(Skills!I17,15),Skills!I17)/Skills!H17,1)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IFERROR(1/(IF(Inputs!$B$38="pvp",15,MAX(0.1,Skills!D17-IF(TRUE=TRUE,Inputs!$B$32,0)))*(1-IF(AND(ArtifactsInput!$M$27,Inputs!$B$4="Chapter Hunt"),CHOOSE(ArtifactsInput!$N$27+1,20,24,28,32,36,40),0)/100)),0)</f>
        <v/>
      </c>
      <c r="R886">
        <f>IF(AND(Inputs!$B$38&lt;&gt;"pvp",Inputs!$B$43&gt;0),IF(Inputs!$B$43&lt;=0,0,(INT(Inputs!$B$43/(IF(Inputs!$B$38="pvp",15,MAX(0.1,Skills!D17-IF(TRUE=TRUE,Inputs!$B$32,0)))*(1-IF(AND(ArtifactsInput!$M$27,Inputs!$B$4="Chapter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Skills!G18*IF(Skills!H18&gt;0,IF(Inputs!$B$38="pvp",MIN(Skills!I18,15),Skills!I18)/Skills!H18,1)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IFERROR(1/(IF(Inputs!$B$38="pvp",15,MAX(0.1,Skills!D18-IF(TRUE=TRUE,Inputs!$B$32,0)))*(1-IF(AND(ArtifactsInput!$M$27,Inputs!$B$4="Chapter Hunt"),CHOOSE(ArtifactsInput!$N$27+1,20,24,28,32,36,40),0)/100)),0)</f>
        <v/>
      </c>
      <c r="R887">
        <f>IF(AND(Inputs!$B$38&lt;&gt;"pvp",Inputs!$B$43&gt;0),IF(Inputs!$B$43&lt;=0,0,(INT(Inputs!$B$43/(IF(Inputs!$B$38="pvp",15,MAX(0.1,Skills!D18-IF(TRUE=TRUE,Inputs!$B$32,0)))*(1-IF(AND(ArtifactsInput!$M$27,Inputs!$B$4="Chapter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Skills!G19*IF(Skills!H19&gt;0,IF(Inputs!$B$38="pvp",MIN(Skills!I19,15),Skills!I19)/Skills!H19,1)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IFERROR(1/(IF(Inputs!$B$38="pvp",15,MAX(0.1,Skills!D19-IF(TRUE=TRUE,Inputs!$B$32,0)))*(1-IF(AND(ArtifactsInput!$M$27,Inputs!$B$4="Chapter Hunt"),CHOOSE(ArtifactsInput!$N$27+1,20,24,28,32,36,40),0)/100)),0)</f>
        <v/>
      </c>
      <c r="R888">
        <f>IF(AND(Inputs!$B$38&lt;&gt;"pvp",Inputs!$B$43&gt;0),IF(Inputs!$B$43&lt;=0,0,(INT(Inputs!$B$43/(IF(Inputs!$B$38="pvp",15,MAX(0.1,Skills!D19-IF(TRUE=TRUE,Inputs!$B$32,0)))*(1-IF(AND(ArtifactsInput!$M$27,Inputs!$B$4="Chapter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Skills!G20*IF(Skills!H20&gt;0,IF(Inputs!$B$38="pvp",MIN(Skills!I20,15),Skills!I20)/Skills!H20,1)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Skills!G21*IF(Skills!H21&gt;0,IF(Inputs!$B$38="pvp",MIN(Skills!I21,15),Skills!I21)/Skills!H21,1)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Skills!G22*IF(Skills!H22&gt;0,IF(Inputs!$B$38="pvp",MIN(Skills!I22,15),Skills!I22)/Skills!H22,1)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Skills!G23*IF(Skills!H23&gt;0,IF(Inputs!$B$38="pvp",MIN(Skills!I23,15),Skills!I23)/Skills!H23,1)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Skills!G24*IF(Skills!H24&gt;0,IF(Inputs!$B$38="pvp",MIN(Skills!I24,15),Skills!I24)/Skills!H24,1)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Skills!G25*IF(Skills!H25&gt;0,IF(Inputs!$B$38="pvp",MIN(Skills!I25,15),Skills!I25)/Skills!H25,1)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Skills!G26*IF(Skills!H26&gt;0,IF(Inputs!$B$38="pvp",MIN(Skills!I26,15),Skills!I26)/Skills!H26,1)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118,8,IF(Inputs!$B$3&gt;=110,7,5)))+((C884=TRUE)*F884*IF(AND(Inputs!$B$38&lt;&gt;"pvp",Inputs!$B$43&gt;0),(((R884-1)*MIN((Skills!T15*(1+(Inputs!$B$34+(ArtifactsInput!$M$7-ArtifactsInput!$M$7)*CHOOSE(ArtifactsInput!$N$7+1,6,7.2,8.4,9.6,10.8,12))/100)),(1/Q884))+MIN((Skills!T15*(1+(Inputs!$B$34+(ArtifactsInput!$M$7-ArtifactsInput!$M$7)*CHOOSE(ArtifactsInput!$N$7+1,6,7.2,8.4,9.6,10.8,12))/100)),MAX(0,Inputs!$B$43-((R884-1)*(1/Q884)))))/Inputs!$B$43),IF(Inputs!$B$38="pvp",MIN((Skills!T15*(1+(Inputs!$B$34+(ArtifactsInput!$M$7-ArtifactsInput!$M$7)*CHOOSE(ArtifactsInput!$N$7+1,6,7.2,8.4,9.6,10.8,12))/100)),15)/15,MIN(1,(Skills!T15*(1+(Inputs!$B$34+(ArtifactsInput!$M$7-ArtifactsInput!$M$7)*CHOOSE(ArtifactsInput!$N$7+1,6,7.2,8.4,9.6,10.8,12))/100))/(1/Q884)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MIN((Skills!T19*(1+(Inputs!$B$34+(ArtifactsInput!$M$7-ArtifactsInput!$M$7)*CHOOSE(ArtifactsInput!$N$7+1,6,7.2,8.4,9.6,10.8,12))/100)),(1/Q888))+MIN((Skills!T19*(1+(Inputs!$B$34+(ArtifactsInput!$M$7-ArtifactsInput!$M$7)*CHOOSE(ArtifactsInput!$N$7+1,6,7.2,8.4,9.6,10.8,12))/100)),MAX(0,Inputs!$B$43-((R888-1)*(1/Q888)))))/Inputs!$B$43),IF(Inputs!$B$38="pvp",MIN((Skills!T19*(1+(Inputs!$B$34+(ArtifactsInput!$M$7-ArtifactsInput!$M$7)*CHOOSE(ArtifactsInput!$N$7+1,6,7.2,8.4,9.6,10.8,12))/100)),15)/15,MIN(1,(Skills!T19*(1+(Inputs!$B$34+(ArtifactsInput!$M$7-ArtifactsInput!$M$7)*CHOOSE(ArtifactsInput!$N$7+1,6,7.2,8.4,9.6,10.8,12))/100))/(1/Q888)))))</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MIN((Skills!T18*(1+(Inputs!$B$34+(ArtifactsInput!$M$7-ArtifactsInput!$M$7)*CHOOSE(ArtifactsInput!$N$7+1,6,7.2,8.4,9.6,10.8,12))/100)),(1/Q887))+MIN((Skills!T18*(1+(Inputs!$B$34+(ArtifactsInput!$M$7-ArtifactsInput!$M$7)*CHOOSE(ArtifactsInput!$N$7+1,6,7.2,8.4,9.6,10.8,12))/100)),MAX(0,Inputs!$B$43-((R887-1)*(1/Q887)))))/Inputs!$B$43),IF(Inputs!$B$38="pvp",MIN((Skills!T18*(1+(Inputs!$B$34+(ArtifactsInput!$M$7-ArtifactsInput!$M$7)*CHOOSE(ArtifactsInput!$N$7+1,6,7.2,8.4,9.6,10.8,12))/100)),15)/15,MIN(1,(Skills!T18*(1+(Inputs!$B$34+(ArtifactsInput!$M$7-ArtifactsInput!$M$7)*CHOOSE(ArtifactsInput!$N$7+1,6,7.2,8.4,9.6,10.8,12))/100))/(1/Q887)))))</f>
        <v/>
      </c>
    </row>
    <row r="904">
      <c r="A904" t="inlineStr">
        <is>
          <t>Global Final Damage Bonus % (Enrage + Combo Synergy)</t>
        </is>
      </c>
      <c r="B904">
        <f>((C886=TRUE)*F886*IF(AND(Inputs!$B$38&lt;&gt;"pvp",Inputs!$B$43&gt;0),(((R886-1)*MIN((Skills!T17*(1+(Inputs!$B$34+(ArtifactsInput!$M$7-ArtifactsInput!$M$7)*CHOOSE(ArtifactsInput!$N$7+1,6,7.2,8.4,9.6,10.8,12))/100)),(1/Q886))+MIN((Skills!T17*(1+(Inputs!$B$34+(ArtifactsInput!$M$7-ArtifactsInput!$M$7)*CHOOSE(ArtifactsInput!$N$7+1,6,7.2,8.4,9.6,10.8,12))/100)),MAX(0,Inputs!$B$43-((R886-1)*(1/Q886)))))/Inputs!$B$43),IF(Inputs!$B$38="pvp",MIN((Skills!T17*(1+(Inputs!$B$34+(ArtifactsInput!$M$7-ArtifactsInput!$M$7)*CHOOSE(ArtifactsInput!$N$7+1,6,7.2,8.4,9.6,10.8,12))/100)),15)/15,MIN(1,(Skills!T17*(1+(Inputs!$B$34+(ArtifactsInput!$M$7-ArtifactsInput!$M$7)*CHOOSE(ArtifactsInput!$N$7+1,6,7.2,8.4,9.6,10.8,12))/100))/(1/Q886)))))+((C883=TRUE)*F883*IF(Inputs!$B$3&gt;=118,8,IF(Inputs!$B$3&gt;=110,7,5)))+IF(Inputs!$B$3&gt;=98,5,0)</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Skills!G2*IF(Skills!H2&gt;0,IF(Inputs!$B$38="pvp",MIN(Skills!I2,15),Skills!I2)/Skills!H2,1)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Skills!G5*IF(Skills!H5&gt;0,IF(Inputs!$B$38="pvp",MIN(Skills!I5,15),Skills!I5)/Skills!H5,1)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IFERROR(1/(IF(Inputs!$B$38="pvp",15,MAX(0.1,Skills!D5-IF(TRUE=TRUE,Inputs!$B$32,0)))*(1-IF(AND(ArtifactsInput!$M$27,Inputs!$B$4="Chapter Hunt"),CHOOSE(ArtifactsInput!$N$27+1,20,24,28,32,36,40),0)/100)),0)</f>
        <v/>
      </c>
      <c r="R916">
        <f>IF(AND(Inputs!$B$38&lt;&gt;"pvp",Inputs!$B$43&gt;0),IF(MAX(0,Inputs!$B$43-B947)&lt;=0,0,(INT(MAX(0,Inputs!$B$43-B947)/(IF(Inputs!$B$38="pvp",15,MAX(0.1,Skills!D5-IF(TRUE=TRUE,Inputs!$B$32,0)))*(1-IF(AND(ArtifactsInput!$M$27,Inputs!$B$4="Chapter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$20+0+Skills!P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TRUE=TRUE,Inputs!$B$32,0)))*(1-IF(AND(ArtifactsInput!$M$27,Inputs!$B$4="Chapter Hunt"),CHOOSE(ArtifactsInput!$N$27+1,20,24,28,32,36,40),0)/100)))))/Skills!H5,1)))/Inputs!$B$43),G916*Q916))*IF(Inputs!$B$38="pvp",1,(1+(Inputs!$B$21+Skills!Q5+(((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Skills!G6*IF(Skills!H6&gt;0,IF(Inputs!$B$38="pvp",MIN(Skills!I6,15),Skills!I6)/Skills!H6,1)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IFERROR(1/(IF(Inputs!$B$38="pvp",15,MAX(0.1,Skills!D6-IF(TRUE=TRUE,Inputs!$B$32,0)))*(1-IF(AND(ArtifactsInput!$M$27,Inputs!$B$4="Chapter Hunt"),CHOOSE(ArtifactsInput!$N$27+1,20,24,28,32,36,40),0)/100)),0)</f>
        <v/>
      </c>
      <c r="R917">
        <f>IF(AND(Inputs!$B$38&lt;&gt;"pvp",Inputs!$B$43&gt;0),IF(MAX(0,Inputs!$B$43-B947)&lt;=0,0,(INT(MAX(0,Inputs!$B$43-B947)/(IF(Inputs!$B$38="pvp",15,MAX(0.1,Skills!D6-IF(TRUE=TRUE,Inputs!$B$32,0)))*(1-IF(AND(ArtifactsInput!$M$27,Inputs!$B$4="Chapter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$20+0+Skills!P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TRUE=TRUE,Inputs!$B$32,0)))*(1-IF(AND(ArtifactsInput!$M$27,Inputs!$B$4="Chapter Hunt"),CHOOSE(ArtifactsInput!$N$27+1,20,24,28,32,36,40),0)/100)))))/Skills!H6,1)))/Inputs!$B$43),G917*Q917))*IF(Inputs!$B$38="pvp",1,(1+(Inputs!$B$21+Skills!Q6+(((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Skills!G7*IF(Skills!H7&gt;0,IF(Inputs!$B$38="pvp",MIN(Skills!I7,15),Skills!I7)/Skills!H7,1)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IFERROR(1/(IF(Inputs!$B$38="pvp",15,MAX(0.1,Skills!D7-IF(TRUE=TRUE,Inputs!$B$32,0)))*(1-IF(AND(ArtifactsInput!$M$27,Inputs!$B$4="Chapter Hunt"),CHOOSE(ArtifactsInput!$N$27+1,20,24,28,32,36,40),0)/100)),0)</f>
        <v/>
      </c>
      <c r="R918">
        <f>IF(AND(Inputs!$B$38&lt;&gt;"pvp",Inputs!$B$43&gt;0),IF(MAX(0,Inputs!$B$43-B947)&lt;=0,0,(INT(MAX(0,Inputs!$B$43-B947)/(IF(Inputs!$B$38="pvp",15,MAX(0.1,Skills!D7-IF(TRUE=TRUE,Inputs!$B$32,0)))*(1-IF(AND(ArtifactsInput!$M$27,Inputs!$B$4="Chapter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$20+0+Skills!P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TRUE=TRUE,Inputs!$B$32,0)))*(1-IF(AND(ArtifactsInput!$M$27,Inputs!$B$4="Chapter Hunt"),CHOOSE(ArtifactsInput!$N$27+1,20,24,28,32,36,40),0)/100)))))/Skills!H7,1)))/Inputs!$B$43),G918*Q918))*IF(Inputs!$B$38="pvp",1,(1+(Inputs!$B$21+Skills!Q7+(((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Skills!G8*IF(Skills!H8&gt;0,IF(Inputs!$B$38="pvp",MIN(Skills!I8,15),Skills!I8)/Skills!H8,1)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IFERROR(1/(IF(Inputs!$B$38="pvp",15,MAX(0.1,Skills!D8-IF(TRUE=TRUE,Inputs!$B$32,0)))*(1-IF(AND(ArtifactsInput!$M$27,Inputs!$B$4="Chapter Hunt"),CHOOSE(ArtifactsInput!$N$27+1,20,24,28,32,36,40),0)/100)),0)</f>
        <v/>
      </c>
      <c r="R919">
        <f>IF(AND(Inputs!$B$38&lt;&gt;"pvp",Inputs!$B$43&gt;0),IF(MAX(0,Inputs!$B$43-B947)&lt;=0,0,(INT(MAX(0,Inputs!$B$43-B947)/(IF(Inputs!$B$38="pvp",15,MAX(0.1,Skills!D8-IF(TRUE=TRUE,Inputs!$B$32,0)))*(1-IF(AND(ArtifactsInput!$M$27,Inputs!$B$4="Chapter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$20+0+Skills!P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TRUE=TRUE,Inputs!$B$32,0)))*(1-IF(AND(ArtifactsInput!$M$27,Inputs!$B$4="Chapter Hunt"),CHOOSE(ArtifactsInput!$N$27+1,20,24,28,32,36,40),0)/100)))))/Skills!H8,1)))/Inputs!$B$43),G919*Q919))*IF(Inputs!$B$38="pvp",1,(1+(Inputs!$B$21+Skills!Q8+(((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Skills!G9*IF(Skills!H9&gt;0,IF(Inputs!$B$38="pvp",MIN(Skills!I9,15),Skills!I9)/Skills!H9,1)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138,MAX(0,IF(Inputs!$B$3&gt;=118,8,IF(Inputs!$B$3&gt;=110,7,5))-5)*50,0),0)/100)*(1+(IF(Skills!A9="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IFERROR(1/(IF(Inputs!$B$38="pvp",15,MAX(0.1,Skills!D9-IF(TRUE=TRUE,Inputs!$B$32,0)))*(1-IF(AND(ArtifactsInput!$M$27,Inputs!$B$4="Chapter Hunt"),CHOOSE(ArtifactsInput!$N$27+1,20,24,28,32,36,40),0)/100)),0)</f>
        <v/>
      </c>
      <c r="R920">
        <f>IF(AND(Inputs!$B$38&lt;&gt;"pvp",Inputs!$B$43&gt;0),IF(MAX(0,Inputs!$B$43-B947)&lt;=0,0,(INT(MAX(0,Inputs!$B$43-B947)/(IF(Inputs!$B$38="pvp",15,MAX(0.1,Skills!D9-IF(TRUE=TRUE,Inputs!$B$32,0)))*(1-IF(AND(ArtifactsInput!$M$27,Inputs!$B$4="Chapter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TRUE=TRUE,Inputs!$B$32,0)))*(1-IF(AND(ArtifactsInput!$M$27,Inputs!$B$4="Chapter Hunt"),CHOOSE(ArtifactsInput!$N$27+1,20,24,28,32,36,40),0)/100)))))/Skills!H9,1)))/Inputs!$B$43),G920*Q920))*IF(Inputs!$B$38="pvp",1,1+(Inputs!$B$20+0+Skills!P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TRUE=TRUE,Inputs!$B$32,0)))*(1-IF(AND(ArtifactsInput!$M$27,Inputs!$B$4="Chapter Hunt"),CHOOSE(ArtifactsInput!$N$27+1,20,24,28,32,36,40),0)/100)))))/Skills!H9,1)))/Inputs!$B$43),G920*Q920))*IF(Inputs!$B$38="pvp",1,(1+(Inputs!$B$21+Skills!Q9+(((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Skills!G10*IF(Skills!H10&gt;0,IF(Inputs!$B$38="pvp",MIN(Skills!I10,15),Skills!I10)/Skills!H10,1)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138,MAX(0,IF(Inputs!$B$3&gt;=118,8,IF(Inputs!$B$3&gt;=110,7,5))-5)*50,0),0)/100)*(1+(IF(Skills!A10="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IFERROR(1/(IF(Inputs!$B$38="pvp",15,MAX(0.1,Skills!D10-IF(TRUE=TRUE,Inputs!$B$32,0)))*(1-IF(AND(ArtifactsInput!$M$27,Inputs!$B$4="Chapter Hunt"),CHOOSE(ArtifactsInput!$N$27+1,20,24,28,32,36,40),0)/100)),0)</f>
        <v/>
      </c>
      <c r="R921">
        <f>IF(AND(Inputs!$B$38&lt;&gt;"pvp",Inputs!$B$43&gt;0),IF(MAX(0,Inputs!$B$43-B947)&lt;=0,0,(INT(MAX(0,Inputs!$B$43-B947)/(IF(Inputs!$B$38="pvp",15,MAX(0.1,Skills!D10-IF(TRUE=TRUE,Inputs!$B$32,0)))*(1-IF(AND(ArtifactsInput!$M$27,Inputs!$B$4="Chapter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$20+0+Skills!P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TRUE=TRUE,Inputs!$B$32,0)))*(1-IF(AND(ArtifactsInput!$M$27,Inputs!$B$4="Chapter Hunt"),CHOOSE(ArtifactsInput!$N$27+1,20,24,28,32,36,40),0)/100)))))/Skills!H10,1)))/Inputs!$B$43),G921*Q921))*IF(Inputs!$B$38="pvp",1,(1+(Inputs!$B$21+Skills!Q10+(((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Skills!G11*IF(Skills!H11&gt;0,IF(Inputs!$B$38="pvp",MIN(Skills!I11,15),Skills!I11)/Skills!H11,1)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(100-(100-((Inputs!$B$19+0)))*(1-IF(Inputs!$B$3&gt;=130,IF(Inputs!$B$3&gt;=118,8,IF(Inputs!$B$3&gt;=110,7,5)),0)/100)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138,MAX(0,IF(Inputs!$B$3&gt;=118,8,IF(Inputs!$B$3&gt;=110,7,5))-5)*50,0),0)/100)*(1+(IF(Skills!A11="RAGING_BLOW",Inputs!$B$17+((C932=TRUE)*(F932-Calc!F21))+((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IFERROR(1/(IF(Inputs!$B$38="pvp",15,MAX(0.1,Skills!D11-IF(TRUE=TRUE,Inputs!$B$32,0)))*(1-IF(AND(ArtifactsInput!$M$27,Inputs!$B$4="Chapter Hunt"),CHOOSE(ArtifactsInput!$N$27+1,20,24,28,32,36,40),0)/100)),0)</f>
        <v/>
      </c>
      <c r="R922">
        <f>IF(AND(Inputs!$B$38&lt;&gt;"pvp",Inputs!$B$43&gt;0),IF(MAX(0,Inputs!$B$43-B947)&lt;=0,0,(INT(MAX(0,Inputs!$B$43-B947)/(IF(Inputs!$B$38="pvp",15,MAX(0.1,Skills!D11-IF(TRUE=TRUE,Inputs!$B$32,0)))*(1-IF(AND(ArtifactsInput!$M$27,Inputs!$B$4="Chapter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$20+0+Skills!P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Inputs!$B$38&lt;&gt;"pvp",Inputs!$B$43=0),1,IF(IF(Inputs!$B$38="pvp",15,Inputs!$B$43)-(B947)&lt;=0,1,MAX(0,IF(Inputs!$B$38="pvp",15,Inputs!$B$43)-MAX(5,B947))/(IF(Inputs!$B$38="pvp",15,Inputs!$B$43)-(B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TRUE=TRUE,Inputs!$B$32,0)))*(1-IF(AND(ArtifactsInput!$M$27,Inputs!$B$4="Chapter Hunt"),CHOOSE(ArtifactsInput!$N$27+1,20,24,28,32,36,40),0)/100)))))/Skills!H11,1)))/Inputs!$B$43),G922*Q922))*IF(Inputs!$B$38="pvp",1,(1+(Inputs!$B$21+Skills!Q11+(((C927=TRUE)*F927*(Skills!J16/100)*IF(AND(Inputs!$B$38&lt;&gt;"pvp",Inputs!$B$43&gt;0),(((R927-1)*MIN((Skills!T16*(1+(Inputs!$B$34+(ArtifactsInput!$M$7-ArtifactsInput!$M$7)*CHOOSE(ArtifactsInput!$N$7+1,6,7.2,8.4,9.6,10.8,12))/100)),(1/Q927))+MIN((Skills!T16*(1+(Inputs!$B$34+(ArtifactsInput!$M$7-ArtifactsInput!$M$7)*CHOOSE(ArtifactsInput!$N$7+1,6,7.2,8.4,9.6,10.8,12))/100)),MAX(0,Inputs!$B$43-((R927-1)*(1/Q927)))))/Inputs!$B$43),IF(Inputs!$B$38="pvp",MIN((Skills!T16*(1+(Inputs!$B$34+(ArtifactsInput!$M$7-ArtifactsInput!$M$7)*CHOOSE(ArtifactsInput!$N$7+1,6,7.2,8.4,9.6,10.8,12))/100)),15)/15,MIN(1,(Skills!T16*(1+(Inputs!$B$34+(ArtifactsInput!$M$7-ArtifactsInput!$M$7)*CHOOSE(ArtifactsInput!$N$7+1,6,7.2,8.4,9.6,10.8,12))/100))/(1/Q927)))))+((C919=TRUE)*IF(Inputs!$B$3&gt;=126,10*MIN(1,15*Q919),0))+((C916=TRUE)*((100/10)*(INDEX(FactorTable!$B$2:$Y$301,MATCH(ROUND(MIN(300,MAX(1,MAX(0,(Inputs!$B$3-100)*3)+Inputs!$B$28+(Inputs!$B$29+1))),0),FactorTable!$A$2:$A$301,0),22)/1000))*(1+IF(Inputs!$B$3&gt;=134,0.5,0))*MIN(1,10*(1+(Inputs!$B$34+(ArtifactsInput!$M$7-ArtifactsInput!$M$7)*CHOOSE(ArtifactsInput!$N$7+1,6,7.2,8.4,9.6,10.8,12))/100)*Q916)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Skills!G13*IF(Skills!H13&gt;0,IF(Inputs!$B$38="pvp",MIN(Skills!I13,15),Skills!I13)/Skills!H13,1)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Skills!G14*IF(Skills!H14&gt;0,IF(Inputs!$B$38="pvp",MIN(Skills!I14,15),Skills!I14)/Skills!H14,1)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Skills!G15*IF(Skills!H15&gt;0,IF(Inputs!$B$38="pvp",MIN(Skills!I15,15),Skills!I15)/Skills!H15,1)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IFERROR(1/(IF(Inputs!$B$38="pvp",15,MAX(0.1,Skills!D15-IF(TRUE=TRUE,Inputs!$B$32,0)))*(1-IF(AND(ArtifactsInput!$M$27,Inputs!$B$4="Chapter Hunt"),CHOOSE(ArtifactsInput!$N$27+1,20,24,28,32,36,40),0)/100)),0)</f>
        <v/>
      </c>
      <c r="R926">
        <f>IF(AND(Inputs!$B$38&lt;&gt;"pvp",Inputs!$B$43&gt;0),IF(Inputs!$B$43&lt;=0,0,(INT(Inputs!$B$43/(IF(Inputs!$B$38="pvp",15,MAX(0.1,Skills!D15-IF(TRUE=TRUE,Inputs!$B$32,0)))*(1-IF(AND(ArtifactsInput!$M$27,Inputs!$B$4="Chapter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Skills!G16*IF(Skills!H16&gt;0,IF(Inputs!$B$38="pvp",MIN(Skills!I16,15),Skills!I16)/Skills!H16,1)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IFERROR(1/(IF(Inputs!$B$38="pvp",15,MAX(0.1,Skills!D16-IF(TRUE=TRUE,Inputs!$B$32,0)))*(1-IF(AND(ArtifactsInput!$M$27,Inputs!$B$4="Chapter Hunt"),CHOOSE(ArtifactsInput!$N$27+1,20,24,28,32,36,40),0)/100)),0)</f>
        <v/>
      </c>
      <c r="R927">
        <f>IF(AND(Inputs!$B$38&lt;&gt;"pvp",Inputs!$B$43&gt;0),IF(Inputs!$B$43&lt;=0,0,(INT(Inputs!$B$43/(IF(Inputs!$B$38="pvp",15,MAX(0.1,Skills!D16-IF(TRUE=TRUE,Inputs!$B$32,0)))*(1-IF(AND(ArtifactsInput!$M$27,Inputs!$B$4="Chapter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Skills!G17*IF(Skills!H17&gt;0,IF(Inputs!$B$38="pvp",MIN(Skills!I17,15),Skills!I17)/Skills!H17,1)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IFERROR(1/(IF(Inputs!$B$38="pvp",15,MAX(0.1,Skills!D17-IF(TRUE=TRUE,Inputs!$B$32,0)))*(1-IF(AND(ArtifactsInput!$M$27,Inputs!$B$4="Chapter Hunt"),CHOOSE(ArtifactsInput!$N$27+1,20,24,28,32,36,40),0)/100)),0)</f>
        <v/>
      </c>
      <c r="R928">
        <f>IF(AND(Inputs!$B$38&lt;&gt;"pvp",Inputs!$B$43&gt;0),IF(Inputs!$B$43&lt;=0,0,(INT(Inputs!$B$43/(IF(Inputs!$B$38="pvp",15,MAX(0.1,Skills!D17-IF(TRUE=TRUE,Inputs!$B$32,0)))*(1-IF(AND(ArtifactsInput!$M$27,Inputs!$B$4="Chapter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Skills!G18*IF(Skills!H18&gt;0,IF(Inputs!$B$38="pvp",MIN(Skills!I18,15),Skills!I18)/Skills!H18,1)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IFERROR(1/(IF(Inputs!$B$38="pvp",15,MAX(0.1,Skills!D18-IF(TRUE=TRUE,Inputs!$B$32,0)))*(1-IF(AND(ArtifactsInput!$M$27,Inputs!$B$4="Chapter Hunt"),CHOOSE(ArtifactsInput!$N$27+1,20,24,28,32,36,40),0)/100)),0)</f>
        <v/>
      </c>
      <c r="R929">
        <f>IF(AND(Inputs!$B$38&lt;&gt;"pvp",Inputs!$B$43&gt;0),IF(Inputs!$B$43&lt;=0,0,(INT(Inputs!$B$43/(IF(Inputs!$B$38="pvp",15,MAX(0.1,Skills!D18-IF(TRUE=TRUE,Inputs!$B$32,0)))*(1-IF(AND(ArtifactsInput!$M$27,Inputs!$B$4="Chapter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Skills!G19*IF(Skills!H19&gt;0,IF(Inputs!$B$38="pvp",MIN(Skills!I19,15),Skills!I19)/Skills!H19,1)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IFERROR(1/(IF(Inputs!$B$38="pvp",15,MAX(0.1,Skills!D19-IF(TRUE=TRUE,Inputs!$B$32,0)))*(1-IF(AND(ArtifactsInput!$M$27,Inputs!$B$4="Chapter Hunt"),CHOOSE(ArtifactsInput!$N$27+1,20,24,28,32,36,40),0)/100)),0)</f>
        <v/>
      </c>
      <c r="R930">
        <f>IF(AND(Inputs!$B$38&lt;&gt;"pvp",Inputs!$B$43&gt;0),IF(Inputs!$B$43&lt;=0,0,(INT(Inputs!$B$43/(IF(Inputs!$B$38="pvp",15,MAX(0.1,Skills!D19-IF(TRUE=TRUE,Inputs!$B$32,0)))*(1-IF(AND(ArtifactsInput!$M$27,Inputs!$B$4="Chapter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Skills!G20*IF(Skills!H20&gt;0,IF(Inputs!$B$38="pvp",MIN(Skills!I20,15),Skills!I20)/Skills!H20,1)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Skills!G21*IF(Skills!H21&gt;0,IF(Inputs!$B$38="pvp",MIN(Skills!I21,15),Skills!I21)/Skills!H21,1)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Skills!G22*IF(Skills!H22&gt;0,IF(Inputs!$B$38="pvp",MIN(Skills!I22,15),Skills!I22)/Skills!H22,1)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Skills!G23*IF(Skills!H23&gt;0,IF(Inputs!$B$38="pvp",MIN(Skills!I23,15),Skills!I23)/Skills!H23,1)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Skills!G24*IF(Skills!H24&gt;0,IF(Inputs!$B$38="pvp",MIN(Skills!I24,15),Skills!I24)/Skills!H24,1)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Skills!G25*IF(Skills!H25&gt;0,IF(Inputs!$B$38="pvp",MIN(Skills!I25,15),Skills!I25)/Skills!H25,1)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Skills!G26*IF(Skills!H26&gt;0,IF(Inputs!$B$38="pvp",MIN(Skills!I26,15),Skills!I26)/Skills!H26,1)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118,8,IF(Inputs!$B$3&gt;=110,7,5)))+((C926=TRUE)*F926*IF(AND(Inputs!$B$38&lt;&gt;"pvp",Inputs!$B$43&gt;0),(((R926-1)*MIN((Skills!T15*(1+(Inputs!$B$34+(ArtifactsInput!$M$7-ArtifactsInput!$M$7)*CHOOSE(ArtifactsInput!$N$7+1,6,7.2,8.4,9.6,10.8,12))/100)),(1/Q926))+MIN((Skills!T15*(1+(Inputs!$B$34+(ArtifactsInput!$M$7-ArtifactsInput!$M$7)*CHOOSE(ArtifactsInput!$N$7+1,6,7.2,8.4,9.6,10.8,12))/100)),MAX(0,Inputs!$B$43-((R926-1)*(1/Q926)))))/Inputs!$B$43),IF(Inputs!$B$38="pvp",MIN((Skills!T15*(1+(Inputs!$B$34+(ArtifactsInput!$M$7-ArtifactsInput!$M$7)*CHOOSE(ArtifactsInput!$N$7+1,6,7.2,8.4,9.6,10.8,12))/100)),15)/15,MIN(1,(Skills!T15*(1+(Inputs!$B$34+(ArtifactsInput!$M$7-ArtifactsInput!$M$7)*CHOOSE(ArtifactsInput!$N$7+1,6,7.2,8.4,9.6,10.8,12))/100))/(1/Q926)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MIN((Skills!T19*(1+(Inputs!$B$34+(ArtifactsInput!$M$7-ArtifactsInput!$M$7)*CHOOSE(ArtifactsInput!$N$7+1,6,7.2,8.4,9.6,10.8,12))/100)),(1/Q930))+MIN((Skills!T19*(1+(Inputs!$B$34+(ArtifactsInput!$M$7-ArtifactsInput!$M$7)*CHOOSE(ArtifactsInput!$N$7+1,6,7.2,8.4,9.6,10.8,12))/100)),MAX(0,Inputs!$B$43-((R930-1)*(1/Q930)))))/Inputs!$B$43),IF(Inputs!$B$38="pvp",MIN((Skills!T19*(1+(Inputs!$B$34+(ArtifactsInput!$M$7-ArtifactsInput!$M$7)*CHOOSE(ArtifactsInput!$N$7+1,6,7.2,8.4,9.6,10.8,12))/100)),15)/15,MIN(1,(Skills!T19*(1+(Inputs!$B$34+(ArtifactsInput!$M$7-ArtifactsInput!$M$7)*CHOOSE(ArtifactsInput!$N$7+1,6,7.2,8.4,9.6,10.8,12))/100))/(1/Q930)))))</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MIN((Skills!T18*(1+(Inputs!$B$34+(ArtifactsInput!$M$7-ArtifactsInput!$M$7)*CHOOSE(ArtifactsInput!$N$7+1,6,7.2,8.4,9.6,10.8,12))/100)),(1/Q929))+MIN((Skills!T18*(1+(Inputs!$B$34+(ArtifactsInput!$M$7-ArtifactsInput!$M$7)*CHOOSE(ArtifactsInput!$N$7+1,6,7.2,8.4,9.6,10.8,12))/100)),MAX(0,Inputs!$B$43-((R929-1)*(1/Q929)))))/Inputs!$B$43),IF(Inputs!$B$38="pvp",MIN((Skills!T18*(1+(Inputs!$B$34+(ArtifactsInput!$M$7-ArtifactsInput!$M$7)*CHOOSE(ArtifactsInput!$N$7+1,6,7.2,8.4,9.6,10.8,12))/100)),15)/15,MIN(1,(Skills!T18*(1+(Inputs!$B$34+(ArtifactsInput!$M$7-ArtifactsInput!$M$7)*CHOOSE(ArtifactsInput!$N$7+1,6,7.2,8.4,9.6,10.8,12))/100))/(1/Q929)))))</f>
        <v/>
      </c>
    </row>
    <row r="946">
      <c r="A946" t="inlineStr">
        <is>
          <t>Global Final Damage Bonus % (Enrage + Combo Synergy)</t>
        </is>
      </c>
      <c r="B946">
        <f>((C928=TRUE)*F928*IF(AND(Inputs!$B$38&lt;&gt;"pvp",Inputs!$B$43&gt;0),(((R928-1)*MIN((Skills!T17*(1+(Inputs!$B$34+(ArtifactsInput!$M$7-ArtifactsInput!$M$7)*CHOOSE(ArtifactsInput!$N$7+1,6,7.2,8.4,9.6,10.8,12))/100)),(1/Q928))+MIN((Skills!T17*(1+(Inputs!$B$34+(ArtifactsInput!$M$7-ArtifactsInput!$M$7)*CHOOSE(ArtifactsInput!$N$7+1,6,7.2,8.4,9.6,10.8,12))/100)),MAX(0,Inputs!$B$43-((R928-1)*(1/Q928)))))/Inputs!$B$43),IF(Inputs!$B$38="pvp",MIN((Skills!T17*(1+(Inputs!$B$34+(ArtifactsInput!$M$7-ArtifactsInput!$M$7)*CHOOSE(ArtifactsInput!$N$7+1,6,7.2,8.4,9.6,10.8,12))/100)),15)/15,MIN(1,(Skills!T17*(1+(Inputs!$B$34+(ArtifactsInput!$M$7-ArtifactsInput!$M$7)*CHOOSE(ArtifactsInput!$N$7+1,6,7.2,8.4,9.6,10.8,12))/100))/(1/Q928)))))+((C925=TRUE)*F925*IF(Inputs!$B$3&gt;=118,8,IF(Inputs!$B$3&gt;=110,7,5)))+IF(Inputs!$B$3&gt;=98,5,0)</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Skills!G2*IF(Skills!H2&gt;0,IF(Inputs!$B$38="pvp",MIN(Skills!I2,15),Skills!I2)/Skills!H2,1)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Skills!G5*IF(Skills!H5&gt;0,IF(Inputs!$B$38="pvp",MIN(Skills!I5,15),Skills!I5)/Skills!H5,1)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IFERROR(1/(IF(Inputs!$B$38="pvp",15,MAX(0.1,Skills!D5-IF(TRUE=TRUE,Inputs!$B$32,0)))*(1-IF(AND(ArtifactsInput!$M$27,Inputs!$B$4="Chapter Hunt"),CHOOSE(ArtifactsInput!$N$27+1,20,24,28,32,36,40),0)/100)),0)</f>
        <v/>
      </c>
      <c r="R958">
        <f>IF(AND(Inputs!$B$38&lt;&gt;"pvp",Inputs!$B$43&gt;0),IF(MAX(0,Inputs!$B$43-B989)&lt;=0,0,(INT(MAX(0,Inputs!$B$43-B989)/(IF(Inputs!$B$38="pvp",15,MAX(0.1,Skills!D5-IF(TRUE=TRUE,Inputs!$B$32,0)))*(1-IF(AND(ArtifactsInput!$M$27,Inputs!$B$4="Chapter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$20+0+Skills!P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TRUE=TRUE,Inputs!$B$32,0)))*(1-IF(AND(ArtifactsInput!$M$27,Inputs!$B$4="Chapter Hunt"),CHOOSE(ArtifactsInput!$N$27+1,20,24,28,32,36,40),0)/100)))))/Skills!H5,1)))/Inputs!$B$43),G958*Q958))*IF(Inputs!$B$38="pvp",1,(1+(Inputs!$B$21+Skills!Q5+(((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Skills!G6*IF(Skills!H6&gt;0,IF(Inputs!$B$38="pvp",MIN(Skills!I6,15),Skills!I6)/Skills!H6,1)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IFERROR(1/(IF(Inputs!$B$38="pvp",15,MAX(0.1,Skills!D6-IF(TRUE=TRUE,Inputs!$B$32,0)))*(1-IF(AND(ArtifactsInput!$M$27,Inputs!$B$4="Chapter Hunt"),CHOOSE(ArtifactsInput!$N$27+1,20,24,28,32,36,40),0)/100)),0)</f>
        <v/>
      </c>
      <c r="R959">
        <f>IF(AND(Inputs!$B$38&lt;&gt;"pvp",Inputs!$B$43&gt;0),IF(MAX(0,Inputs!$B$43-B989)&lt;=0,0,(INT(MAX(0,Inputs!$B$43-B989)/(IF(Inputs!$B$38="pvp",15,MAX(0.1,Skills!D6-IF(TRUE=TRUE,Inputs!$B$32,0)))*(1-IF(AND(ArtifactsInput!$M$27,Inputs!$B$4="Chapter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$20+0+Skills!P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TRUE=TRUE,Inputs!$B$32,0)))*(1-IF(AND(ArtifactsInput!$M$27,Inputs!$B$4="Chapter Hunt"),CHOOSE(ArtifactsInput!$N$27+1,20,24,28,32,36,40),0)/100)))))/Skills!H6,1)))/Inputs!$B$43),G959*Q959))*IF(Inputs!$B$38="pvp",1,(1+(Inputs!$B$21+Skills!Q6+(((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Skills!G7*IF(Skills!H7&gt;0,IF(Inputs!$B$38="pvp",MIN(Skills!I7,15),Skills!I7)/Skills!H7,1)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IFERROR(1/(IF(Inputs!$B$38="pvp",15,MAX(0.1,Skills!D7-IF(TRUE=TRUE,Inputs!$B$32,0)))*(1-IF(AND(ArtifactsInput!$M$27,Inputs!$B$4="Chapter Hunt"),CHOOSE(ArtifactsInput!$N$27+1,20,24,28,32,36,40),0)/100)),0)</f>
        <v/>
      </c>
      <c r="R960">
        <f>IF(AND(Inputs!$B$38&lt;&gt;"pvp",Inputs!$B$43&gt;0),IF(MAX(0,Inputs!$B$43-B989)&lt;=0,0,(INT(MAX(0,Inputs!$B$43-B989)/(IF(Inputs!$B$38="pvp",15,MAX(0.1,Skills!D7-IF(TRUE=TRUE,Inputs!$B$32,0)))*(1-IF(AND(ArtifactsInput!$M$27,Inputs!$B$4="Chapter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$20+0+Skills!P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TRUE=TRUE,Inputs!$B$32,0)))*(1-IF(AND(ArtifactsInput!$M$27,Inputs!$B$4="Chapter Hunt"),CHOOSE(ArtifactsInput!$N$27+1,20,24,28,32,36,40),0)/100)))))/Skills!H7,1)))/Inputs!$B$43),G960*Q960))*IF(Inputs!$B$38="pvp",1,(1+(Inputs!$B$21+Skills!Q7+(((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Skills!G8*IF(Skills!H8&gt;0,IF(Inputs!$B$38="pvp",MIN(Skills!I8,15),Skills!I8)/Skills!H8,1)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IFERROR(1/(IF(Inputs!$B$38="pvp",15,MAX(0.1,Skills!D8-IF(TRUE=TRUE,Inputs!$B$32,0)))*(1-IF(AND(ArtifactsInput!$M$27,Inputs!$B$4="Chapter Hunt"),CHOOSE(ArtifactsInput!$N$27+1,20,24,28,32,36,40),0)/100)),0)</f>
        <v/>
      </c>
      <c r="R961">
        <f>IF(AND(Inputs!$B$38&lt;&gt;"pvp",Inputs!$B$43&gt;0),IF(MAX(0,Inputs!$B$43-B989)&lt;=0,0,(INT(MAX(0,Inputs!$B$43-B989)/(IF(Inputs!$B$38="pvp",15,MAX(0.1,Skills!D8-IF(TRUE=TRUE,Inputs!$B$32,0)))*(1-IF(AND(ArtifactsInput!$M$27,Inputs!$B$4="Chapter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$20+0+Skills!P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TRUE=TRUE,Inputs!$B$32,0)))*(1-IF(AND(ArtifactsInput!$M$27,Inputs!$B$4="Chapter Hunt"),CHOOSE(ArtifactsInput!$N$27+1,20,24,28,32,36,40),0)/100)))))/Skills!H8,1)))/Inputs!$B$43),G961*Q961))*IF(Inputs!$B$38="pvp",1,(1+(Inputs!$B$21+Skills!Q8+(((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Skills!G9*IF(Skills!H9&gt;0,IF(Inputs!$B$38="pvp",MIN(Skills!I9,15),Skills!I9)/Skills!H9,1)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138,MAX(0,IF(Inputs!$B$3&gt;=118,8,IF(Inputs!$B$3&gt;=110,7,5))-5)*50,0),0)/100)*(1+(IF(Skills!A9="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IFERROR(1/(IF(Inputs!$B$38="pvp",15,MAX(0.1,Skills!D9-IF(TRUE=TRUE,Inputs!$B$32,0)))*(1-IF(AND(ArtifactsInput!$M$27,Inputs!$B$4="Chapter Hunt"),CHOOSE(ArtifactsInput!$N$27+1,20,24,28,32,36,40),0)/100)),0)</f>
        <v/>
      </c>
      <c r="R962">
        <f>IF(AND(Inputs!$B$38&lt;&gt;"pvp",Inputs!$B$43&gt;0),IF(MAX(0,Inputs!$B$43-B989)&lt;=0,0,(INT(MAX(0,Inputs!$B$43-B989)/(IF(Inputs!$B$38="pvp",15,MAX(0.1,Skills!D9-IF(TRUE=TRUE,Inputs!$B$32,0)))*(1-IF(AND(ArtifactsInput!$M$27,Inputs!$B$4="Chapter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TRUE=TRUE,Inputs!$B$32,0)))*(1-IF(AND(ArtifactsInput!$M$27,Inputs!$B$4="Chapter Hunt"),CHOOSE(ArtifactsInput!$N$27+1,20,24,28,32,36,40),0)/100)))))/Skills!H9,1)))/Inputs!$B$43),G962*Q962))*IF(Inputs!$B$38="pvp",1,1+(Inputs!$B$20+0+Skills!P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TRUE=TRUE,Inputs!$B$32,0)))*(1-IF(AND(ArtifactsInput!$M$27,Inputs!$B$4="Chapter Hunt"),CHOOSE(ArtifactsInput!$N$27+1,20,24,28,32,36,40),0)/100)))))/Skills!H9,1)))/Inputs!$B$43),G962*Q962))*IF(Inputs!$B$38="pvp",1,(1+(Inputs!$B$21+Skills!Q9+(((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Skills!G10*IF(Skills!H10&gt;0,IF(Inputs!$B$38="pvp",MIN(Skills!I10,15),Skills!I10)/Skills!H10,1)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138,MAX(0,IF(Inputs!$B$3&gt;=118,8,IF(Inputs!$B$3&gt;=110,7,5))-5)*50,0),0)/100)*(1+(IF(Skills!A10="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IFERROR(1/(IF(Inputs!$B$38="pvp",15,MAX(0.1,Skills!D10-IF(TRUE=TRUE,Inputs!$B$32,0)))*(1-IF(AND(ArtifactsInput!$M$27,Inputs!$B$4="Chapter Hunt"),CHOOSE(ArtifactsInput!$N$27+1,20,24,28,32,36,40),0)/100)),0)</f>
        <v/>
      </c>
      <c r="R963">
        <f>IF(AND(Inputs!$B$38&lt;&gt;"pvp",Inputs!$B$43&gt;0),IF(MAX(0,Inputs!$B$43-B989)&lt;=0,0,(INT(MAX(0,Inputs!$B$43-B989)/(IF(Inputs!$B$38="pvp",15,MAX(0.1,Skills!D10-IF(TRUE=TRUE,Inputs!$B$32,0)))*(1-IF(AND(ArtifactsInput!$M$27,Inputs!$B$4="Chapter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$20+0+Skills!P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TRUE=TRUE,Inputs!$B$32,0)))*(1-IF(AND(ArtifactsInput!$M$27,Inputs!$B$4="Chapter Hunt"),CHOOSE(ArtifactsInput!$N$27+1,20,24,28,32,36,40),0)/100)))))/Skills!H10,1)))/Inputs!$B$43),G963*Q963))*IF(Inputs!$B$38="pvp",1,(1+(Inputs!$B$21+Skills!Q10+(((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Skills!G11*IF(Skills!H11&gt;0,IF(Inputs!$B$38="pvp",MIN(Skills!I11,15),Skills!I11)/Skills!H11,1)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(100-(100-((Inputs!$B$19+0)))*(1-IF(Inputs!$B$3&gt;=130,IF(Inputs!$B$3&gt;=118,8,IF(Inputs!$B$3&gt;=110,7,5)),0)/100)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138,MAX(0,IF(Inputs!$B$3&gt;=118,8,IF(Inputs!$B$3&gt;=110,7,5))-5)*50,0),0)/100)*(1+(IF(Skills!A11="RAGING_BLOW",Inputs!$B$17+((C974=TRUE)*(F974-Calc!F21))+((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IFERROR(1/(IF(Inputs!$B$38="pvp",15,MAX(0.1,Skills!D11-IF(TRUE=TRUE,Inputs!$B$32,0)))*(1-IF(AND(ArtifactsInput!$M$27,Inputs!$B$4="Chapter Hunt"),CHOOSE(ArtifactsInput!$N$27+1,20,24,28,32,36,40),0)/100)),0)</f>
        <v/>
      </c>
      <c r="R964">
        <f>IF(AND(Inputs!$B$38&lt;&gt;"pvp",Inputs!$B$43&gt;0),IF(MAX(0,Inputs!$B$43-B989)&lt;=0,0,(INT(MAX(0,Inputs!$B$43-B989)/(IF(Inputs!$B$38="pvp",15,MAX(0.1,Skills!D11-IF(TRUE=TRUE,Inputs!$B$32,0)))*(1-IF(AND(ArtifactsInput!$M$27,Inputs!$B$4="Chapter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$20+0+Skills!P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Inputs!$B$38&lt;&gt;"pvp",Inputs!$B$43=0),1,IF(IF(Inputs!$B$38="pvp",15,Inputs!$B$43)-(B989)&lt;=0,1,MAX(0,IF(Inputs!$B$38="pvp",15,Inputs!$B$43)-MAX(5,B989))/(IF(Inputs!$B$38="pvp",15,Inputs!$B$43)-(B989)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TRUE=TRUE,Inputs!$B$32,0)))*(1-IF(AND(ArtifactsInput!$M$27,Inputs!$B$4="Chapter Hunt"),CHOOSE(ArtifactsInput!$N$27+1,20,24,28,32,36,40),0)/100)))))/Skills!H11,1)))/Inputs!$B$43),G964*Q964))*IF(Inputs!$B$38="pvp",1,(1+(Inputs!$B$21+Skills!Q11+(((C969=TRUE)*F969*(Skills!J16/100)*IF(AND(Inputs!$B$38&lt;&gt;"pvp",Inputs!$B$43&gt;0),(((R969-1)*MIN((Skills!T16*(1+(Inputs!$B$34+(ArtifactsInput!$M$7-ArtifactsInput!$M$7)*CHOOSE(ArtifactsInput!$N$7+1,6,7.2,8.4,9.6,10.8,12))/100)),(1/Q969))+MIN((Skills!T16*(1+(Inputs!$B$34+(ArtifactsInput!$M$7-ArtifactsInput!$M$7)*CHOOSE(ArtifactsInput!$N$7+1,6,7.2,8.4,9.6,10.8,12))/100)),MAX(0,Inputs!$B$43-((R969-1)*(1/Q969)))))/Inputs!$B$43),IF(Inputs!$B$38="pvp",MIN((Skills!T16*(1+(Inputs!$B$34+(ArtifactsInput!$M$7-ArtifactsInput!$M$7)*CHOOSE(ArtifactsInput!$N$7+1,6,7.2,8.4,9.6,10.8,12))/100)),15)/15,MIN(1,(Skills!T16*(1+(Inputs!$B$34+(ArtifactsInput!$M$7-ArtifactsInput!$M$7)*CHOOSE(ArtifactsInput!$N$7+1,6,7.2,8.4,9.6,10.8,12))/100))/(1/Q969)))))+((C961=TRUE)*IF(Inputs!$B$3&gt;=126,10*MIN(1,15*Q961),0))+((C958=TRUE)*((100/10)*(INDEX(FactorTable!$B$2:$Y$301,MATCH(ROUND(MIN(300,MAX(1,MAX(0,(Inputs!$B$3-100)*3)+Inputs!$B$28+Inputs!$B$29)),0),FactorTable!$A$2:$A$301,0),22)/1000))*(1+IF(Inputs!$B$3&gt;=134,0.5,0))*MIN(1,10*(1+(Inputs!$B$34+(ArtifactsInput!$M$7-ArtifactsInput!$M$7)*CHOOSE(ArtifactsInput!$N$7+1,6,7.2,8.4,9.6,10.8,12))/100)*Q958)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Skills!G13*IF(Skills!H13&gt;0,IF(Inputs!$B$38="pvp",MIN(Skills!I13,15),Skills!I13)/Skills!H13,1)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Skills!G14*IF(Skills!H14&gt;0,IF(Inputs!$B$38="pvp",MIN(Skills!I14,15),Skills!I14)/Skills!H14,1)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Skills!G15*IF(Skills!H15&gt;0,IF(Inputs!$B$38="pvp",MIN(Skills!I15,15),Skills!I15)/Skills!H15,1)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IFERROR(1/(IF(Inputs!$B$38="pvp",15,MAX(0.1,Skills!D15-IF(TRUE=TRUE,Inputs!$B$32,0)))*(1-IF(AND(ArtifactsInput!$M$27,Inputs!$B$4="Chapter Hunt"),CHOOSE(ArtifactsInput!$N$27+1,20,24,28,32,36,40),0)/100)),0)</f>
        <v/>
      </c>
      <c r="R968">
        <f>IF(AND(Inputs!$B$38&lt;&gt;"pvp",Inputs!$B$43&gt;0),IF(Inputs!$B$43&lt;=0,0,(INT(Inputs!$B$43/(IF(Inputs!$B$38="pvp",15,MAX(0.1,Skills!D15-IF(TRUE=TRUE,Inputs!$B$32,0)))*(1-IF(AND(ArtifactsInput!$M$27,Inputs!$B$4="Chapter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Skills!G16*IF(Skills!H16&gt;0,IF(Inputs!$B$38="pvp",MIN(Skills!I16,15),Skills!I16)/Skills!H16,1)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IFERROR(1/(IF(Inputs!$B$38="pvp",15,MAX(0.1,Skills!D16-IF(TRUE=TRUE,Inputs!$B$32,0)))*(1-IF(AND(ArtifactsInput!$M$27,Inputs!$B$4="Chapter Hunt"),CHOOSE(ArtifactsInput!$N$27+1,20,24,28,32,36,40),0)/100)),0)</f>
        <v/>
      </c>
      <c r="R969">
        <f>IF(AND(Inputs!$B$38&lt;&gt;"pvp",Inputs!$B$43&gt;0),IF(Inputs!$B$43&lt;=0,0,(INT(Inputs!$B$43/(IF(Inputs!$B$38="pvp",15,MAX(0.1,Skills!D16-IF(TRUE=TRUE,Inputs!$B$32,0)))*(1-IF(AND(ArtifactsInput!$M$27,Inputs!$B$4="Chapter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Skills!G17*IF(Skills!H17&gt;0,IF(Inputs!$B$38="pvp",MIN(Skills!I17,15),Skills!I17)/Skills!H17,1)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IFERROR(1/(IF(Inputs!$B$38="pvp",15,MAX(0.1,Skills!D17-IF(TRUE=TRUE,Inputs!$B$32,0)))*(1-IF(AND(ArtifactsInput!$M$27,Inputs!$B$4="Chapter Hunt"),CHOOSE(ArtifactsInput!$N$27+1,20,24,28,32,36,40),0)/100)),0)</f>
        <v/>
      </c>
      <c r="R970">
        <f>IF(AND(Inputs!$B$38&lt;&gt;"pvp",Inputs!$B$43&gt;0),IF(Inputs!$B$43&lt;=0,0,(INT(Inputs!$B$43/(IF(Inputs!$B$38="pvp",15,MAX(0.1,Skills!D17-IF(TRUE=TRUE,Inputs!$B$32,0)))*(1-IF(AND(ArtifactsInput!$M$27,Inputs!$B$4="Chapter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Skills!G18*IF(Skills!H18&gt;0,IF(Inputs!$B$38="pvp",MIN(Skills!I18,15),Skills!I18)/Skills!H18,1)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IFERROR(1/(IF(Inputs!$B$38="pvp",15,MAX(0.1,Skills!D18-IF(TRUE=TRUE,Inputs!$B$32,0)))*(1-IF(AND(ArtifactsInput!$M$27,Inputs!$B$4="Chapter Hunt"),CHOOSE(ArtifactsInput!$N$27+1,20,24,28,32,36,40),0)/100)),0)</f>
        <v/>
      </c>
      <c r="R971">
        <f>IF(AND(Inputs!$B$38&lt;&gt;"pvp",Inputs!$B$43&gt;0),IF(Inputs!$B$43&lt;=0,0,(INT(Inputs!$B$43/(IF(Inputs!$B$38="pvp",15,MAX(0.1,Skills!D18-IF(TRUE=TRUE,Inputs!$B$32,0)))*(1-IF(AND(ArtifactsInput!$M$27,Inputs!$B$4="Chapter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Skills!G19*IF(Skills!H19&gt;0,IF(Inputs!$B$38="pvp",MIN(Skills!I19,15),Skills!I19)/Skills!H19,1)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IFERROR(1/(IF(Inputs!$B$38="pvp",15,MAX(0.1,Skills!D19-IF(TRUE=TRUE,Inputs!$B$32,0)))*(1-IF(AND(ArtifactsInput!$M$27,Inputs!$B$4="Chapter Hunt"),CHOOSE(ArtifactsInput!$N$27+1,20,24,28,32,36,40),0)/100)),0)</f>
        <v/>
      </c>
      <c r="R972">
        <f>IF(AND(Inputs!$B$38&lt;&gt;"pvp",Inputs!$B$43&gt;0),IF(Inputs!$B$43&lt;=0,0,(INT(Inputs!$B$43/(IF(Inputs!$B$38="pvp",15,MAX(0.1,Skills!D19-IF(TRUE=TRUE,Inputs!$B$32,0)))*(1-IF(AND(ArtifactsInput!$M$27,Inputs!$B$4="Chapter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Skills!G20*IF(Skills!H20&gt;0,IF(Inputs!$B$38="pvp",MIN(Skills!I20,15),Skills!I20)/Skills!H20,1)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Skills!G21*IF(Skills!H21&gt;0,IF(Inputs!$B$38="pvp",MIN(Skills!I21,15),Skills!I21)/Skills!H21,1)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Skills!G22*IF(Skills!H22&gt;0,IF(Inputs!$B$38="pvp",MIN(Skills!I22,15),Skills!I22)/Skills!H22,1)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Skills!G23*IF(Skills!H23&gt;0,IF(Inputs!$B$38="pvp",MIN(Skills!I23,15),Skills!I23)/Skills!H23,1)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Skills!G24*IF(Skills!H24&gt;0,IF(Inputs!$B$38="pvp",MIN(Skills!I24,15),Skills!I24)/Skills!H24,1)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Skills!G25*IF(Skills!H25&gt;0,IF(Inputs!$B$38="pvp",MIN(Skills!I25,15),Skills!I25)/Skills!H25,1)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Skills!G26*IF(Skills!H26&gt;0,IF(Inputs!$B$38="pvp",MIN(Skills!I26,15),Skills!I26)/Skills!H26,1)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118,8,IF(Inputs!$B$3&gt;=110,7,5)))+((C968=TRUE)*F968*IF(AND(Inputs!$B$38&lt;&gt;"pvp",Inputs!$B$43&gt;0),(((R968-1)*MIN((Skills!T15*(1+(Inputs!$B$34+(ArtifactsInput!$M$7-ArtifactsInput!$M$7)*CHOOSE(ArtifactsInput!$N$7+1,6,7.2,8.4,9.6,10.8,12))/100)),(1/Q968))+MIN((Skills!T15*(1+(Inputs!$B$34+(ArtifactsInput!$M$7-ArtifactsInput!$M$7)*CHOOSE(ArtifactsInput!$N$7+1,6,7.2,8.4,9.6,10.8,12))/100)),MAX(0,Inputs!$B$43-((R968-1)*(1/Q968)))))/Inputs!$B$43),IF(Inputs!$B$38="pvp",MIN((Skills!T15*(1+(Inputs!$B$34+(ArtifactsInput!$M$7-ArtifactsInput!$M$7)*CHOOSE(ArtifactsInput!$N$7+1,6,7.2,8.4,9.6,10.8,12))/100)),15)/15,MIN(1,(Skills!T15*(1+(Inputs!$B$34+(ArtifactsInput!$M$7-ArtifactsInput!$M$7)*CHOOSE(ArtifactsInput!$N$7+1,6,7.2,8.4,9.6,10.8,12))/100))/(1/Q968)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MIN((Skills!T19*(1+(Inputs!$B$34+(ArtifactsInput!$M$7-ArtifactsInput!$M$7)*CHOOSE(ArtifactsInput!$N$7+1,6,7.2,8.4,9.6,10.8,12))/100)),(1/Q972))+MIN((Skills!T19*(1+(Inputs!$B$34+(ArtifactsInput!$M$7-ArtifactsInput!$M$7)*CHOOSE(ArtifactsInput!$N$7+1,6,7.2,8.4,9.6,10.8,12))/100)),MAX(0,Inputs!$B$43-((R972-1)*(1/Q972)))))/Inputs!$B$43),IF(Inputs!$B$38="pvp",MIN((Skills!T19*(1+(Inputs!$B$34+(ArtifactsInput!$M$7-ArtifactsInput!$M$7)*CHOOSE(ArtifactsInput!$N$7+1,6,7.2,8.4,9.6,10.8,12))/100)),15)/15,MIN(1,(Skills!T19*(1+(Inputs!$B$34+(ArtifactsInput!$M$7-ArtifactsInput!$M$7)*CHOOSE(ArtifactsInput!$N$7+1,6,7.2,8.4,9.6,10.8,12))/100))/(1/Q972)))))</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MIN((Skills!T18*(1+(Inputs!$B$34+(ArtifactsInput!$M$7-ArtifactsInput!$M$7)*CHOOSE(ArtifactsInput!$N$7+1,6,7.2,8.4,9.6,10.8,12))/100)),(1/Q971))+MIN((Skills!T18*(1+(Inputs!$B$34+(ArtifactsInput!$M$7-ArtifactsInput!$M$7)*CHOOSE(ArtifactsInput!$N$7+1,6,7.2,8.4,9.6,10.8,12))/100)),MAX(0,Inputs!$B$43-((R971-1)*(1/Q971)))))/Inputs!$B$43),IF(Inputs!$B$38="pvp",MIN((Skills!T18*(1+(Inputs!$B$34+(ArtifactsInput!$M$7-ArtifactsInput!$M$7)*CHOOSE(ArtifactsInput!$N$7+1,6,7.2,8.4,9.6,10.8,12))/100)),15)/15,MIN(1,(Skills!T18*(1+(Inputs!$B$34+(ArtifactsInput!$M$7-ArtifactsInput!$M$7)*CHOOSE(ArtifactsInput!$N$7+1,6,7.2,8.4,9.6,10.8,12))/100))/(1/Q971)))))</f>
        <v/>
      </c>
    </row>
    <row r="988">
      <c r="A988" t="inlineStr">
        <is>
          <t>Global Final Damage Bonus % (Enrage + Combo Synergy)</t>
        </is>
      </c>
      <c r="B988">
        <f>((C970=TRUE)*F970*IF(AND(Inputs!$B$38&lt;&gt;"pvp",Inputs!$B$43&gt;0),(((R970-1)*MIN((Skills!T17*(1+(Inputs!$B$34+(ArtifactsInput!$M$7-ArtifactsInput!$M$7)*CHOOSE(ArtifactsInput!$N$7+1,6,7.2,8.4,9.6,10.8,12))/100)),(1/Q970))+MIN((Skills!T17*(1+(Inputs!$B$34+(ArtifactsInput!$M$7-ArtifactsInput!$M$7)*CHOOSE(ArtifactsInput!$N$7+1,6,7.2,8.4,9.6,10.8,12))/100)),MAX(0,Inputs!$B$43-((R970-1)*(1/Q970)))))/Inputs!$B$43),IF(Inputs!$B$38="pvp",MIN((Skills!T17*(1+(Inputs!$B$34+(ArtifactsInput!$M$7-ArtifactsInput!$M$7)*CHOOSE(ArtifactsInput!$N$7+1,6,7.2,8.4,9.6,10.8,12))/100)),15)/15,MIN(1,(Skills!T17*(1+(Inputs!$B$34+(ArtifactsInput!$M$7-ArtifactsInput!$M$7)*CHOOSE(ArtifactsInput!$N$7+1,6,7.2,8.4,9.6,10.8,12))/100))/(1/Q970)))))+((C967=TRUE)*F967*IF(Inputs!$B$3&gt;=118,8,IF(Inputs!$B$3&gt;=110,7,5)))+IF(Inputs!$B$3&gt;=98,5,0)</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Skills!G2*IF(Skills!H2&gt;0,IF(Inputs!$B$38="pvp",MIN(Skills!I2,15),Skills!I2)/Skills!H2,1)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Skills!G5*IF(Skills!H5&gt;0,IF(Inputs!$B$38="pvp",MIN(Skills!I5,15),Skills!I5)/Skills!H5,1)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IFERROR(1/(IF(Inputs!$B$38="pvp",15,MAX(0.1,Skills!D5-IF(TRUE=TRUE,Inputs!$B$32,0)))*(1-IF(AND(ArtifactsInput!$M$27,Inputs!$B$4="Chapter Hunt"),CHOOSE(ArtifactsInput!$N$27+1,20,24,28,32,36,40),0)/100)),0)</f>
        <v/>
      </c>
      <c r="R1000">
        <f>IF(AND(Inputs!$B$38&lt;&gt;"pvp",Inputs!$B$43&gt;0),IF(MAX(0,Inputs!$B$43-B1031)&lt;=0,0,(INT(MAX(0,Inputs!$B$43-B1031)/(IF(Inputs!$B$38="pvp",15,MAX(0.1,Skills!D5-IF(TRUE=TRUE,Inputs!$B$32,0)))*(1-IF(AND(ArtifactsInput!$M$27,Inputs!$B$4="Chapter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$20+0+Skills!P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TRUE=TRUE,Inputs!$B$32,0)))*(1-IF(AND(ArtifactsInput!$M$27,Inputs!$B$4="Chapter Hunt"),CHOOSE(ArtifactsInput!$N$27+1,20,24,28,32,36,40),0)/100)))))/Skills!H5,1)))/Inputs!$B$43),G1000*Q1000))*IF(Inputs!$B$38="pvp",1,(1+(Inputs!$B$21+Skills!Q5+(((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Skills!G6*IF(Skills!H6&gt;0,IF(Inputs!$B$38="pvp",MIN(Skills!I6,15),Skills!I6)/Skills!H6,1)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IFERROR(1/(IF(Inputs!$B$38="pvp",15,MAX(0.1,Skills!D6-IF(TRUE=TRUE,Inputs!$B$32,0)))*(1-IF(AND(ArtifactsInput!$M$27,Inputs!$B$4="Chapter Hunt"),CHOOSE(ArtifactsInput!$N$27+1,20,24,28,32,36,40),0)/100)),0)</f>
        <v/>
      </c>
      <c r="R1001">
        <f>IF(AND(Inputs!$B$38&lt;&gt;"pvp",Inputs!$B$43&gt;0),IF(MAX(0,Inputs!$B$43-B1031)&lt;=0,0,(INT(MAX(0,Inputs!$B$43-B1031)/(IF(Inputs!$B$38="pvp",15,MAX(0.1,Skills!D6-IF(TRUE=TRUE,Inputs!$B$32,0)))*(1-IF(AND(ArtifactsInput!$M$27,Inputs!$B$4="Chapter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$20+0+Skills!P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TRUE=TRUE,Inputs!$B$32,0)))*(1-IF(AND(ArtifactsInput!$M$27,Inputs!$B$4="Chapter Hunt"),CHOOSE(ArtifactsInput!$N$27+1,20,24,28,32,36,40),0)/100)))))/Skills!H6,1)))/Inputs!$B$43),G1001*Q1001))*IF(Inputs!$B$38="pvp",1,(1+(Inputs!$B$21+Skills!Q6+(((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Skills!G7*IF(Skills!H7&gt;0,IF(Inputs!$B$38="pvp",MIN(Skills!I7,15),Skills!I7)/Skills!H7,1)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IFERROR(1/(IF(Inputs!$B$38="pvp",15,MAX(0.1,Skills!D7-IF(TRUE=TRUE,Inputs!$B$32,0)))*(1-IF(AND(ArtifactsInput!$M$27,Inputs!$B$4="Chapter Hunt"),CHOOSE(ArtifactsInput!$N$27+1,20,24,28,32,36,40),0)/100)),0)</f>
        <v/>
      </c>
      <c r="R1002">
        <f>IF(AND(Inputs!$B$38&lt;&gt;"pvp",Inputs!$B$43&gt;0),IF(MAX(0,Inputs!$B$43-B1031)&lt;=0,0,(INT(MAX(0,Inputs!$B$43-B1031)/(IF(Inputs!$B$38="pvp",15,MAX(0.1,Skills!D7-IF(TRUE=TRUE,Inputs!$B$32,0)))*(1-IF(AND(ArtifactsInput!$M$27,Inputs!$B$4="Chapter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$20+0+Skills!P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TRUE=TRUE,Inputs!$B$32,0)))*(1-IF(AND(ArtifactsInput!$M$27,Inputs!$B$4="Chapter Hunt"),CHOOSE(ArtifactsInput!$N$27+1,20,24,28,32,36,40),0)/100)))))/Skills!H7,1)))/Inputs!$B$43),G1002*Q1002))*IF(Inputs!$B$38="pvp",1,(1+(Inputs!$B$21+Skills!Q7+(((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Skills!G8*IF(Skills!H8&gt;0,IF(Inputs!$B$38="pvp",MIN(Skills!I8,15),Skills!I8)/Skills!H8,1)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IFERROR(1/(IF(Inputs!$B$38="pvp",15,MAX(0.1,Skills!D8-IF(TRUE=TRUE,Inputs!$B$32,0)))*(1-IF(AND(ArtifactsInput!$M$27,Inputs!$B$4="Chapter Hunt"),CHOOSE(ArtifactsInput!$N$27+1,20,24,28,32,36,40),0)/100)),0)</f>
        <v/>
      </c>
      <c r="R1003">
        <f>IF(AND(Inputs!$B$38&lt;&gt;"pvp",Inputs!$B$43&gt;0),IF(MAX(0,Inputs!$B$43-B1031)&lt;=0,0,(INT(MAX(0,Inputs!$B$43-B1031)/(IF(Inputs!$B$38="pvp",15,MAX(0.1,Skills!D8-IF(TRUE=TRUE,Inputs!$B$32,0)))*(1-IF(AND(ArtifactsInput!$M$27,Inputs!$B$4="Chapter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$20+0+Skills!P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TRUE=TRUE,Inputs!$B$32,0)))*(1-IF(AND(ArtifactsInput!$M$27,Inputs!$B$4="Chapter Hunt"),CHOOSE(ArtifactsInput!$N$27+1,20,24,28,32,36,40),0)/100)))))/Skills!H8,1)))/Inputs!$B$43),G1003*Q1003))*IF(Inputs!$B$38="pvp",1,(1+(Inputs!$B$21+Skills!Q8+(((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Skills!G9*IF(Skills!H9&gt;0,IF(Inputs!$B$38="pvp",MIN(Skills!I9,15),Skills!I9)/Skills!H9,1)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138,MAX(0,IF(Inputs!$B$3&gt;=118,8,IF(Inputs!$B$3&gt;=110,7,5))-5)*50,0),0)/100)*(1+(IF(Skills!A9="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IFERROR(1/(IF(Inputs!$B$38="pvp",15,MAX(0.1,Skills!D9-IF(TRUE=TRUE,Inputs!$B$32,0)))*(1-IF(AND(ArtifactsInput!$M$27,Inputs!$B$4="Chapter Hunt"),CHOOSE(ArtifactsInput!$N$27+1,20,24,28,32,36,40),0)/100)),0)</f>
        <v/>
      </c>
      <c r="R1004">
        <f>IF(AND(Inputs!$B$38&lt;&gt;"pvp",Inputs!$B$43&gt;0),IF(MAX(0,Inputs!$B$43-B1031)&lt;=0,0,(INT(MAX(0,Inputs!$B$43-B1031)/(IF(Inputs!$B$38="pvp",15,MAX(0.1,Skills!D9-IF(TRUE=TRUE,Inputs!$B$32,0)))*(1-IF(AND(ArtifactsInput!$M$27,Inputs!$B$4="Chapter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TRUE=TRUE,Inputs!$B$32,0)))*(1-IF(AND(ArtifactsInput!$M$27,Inputs!$B$4="Chapter Hunt"),CHOOSE(ArtifactsInput!$N$27+1,20,24,28,32,36,40),0)/100)))))/Skills!H9,1)))/Inputs!$B$43),G1004*Q1004))*IF(Inputs!$B$38="pvp",1,1+(Inputs!$B$20+0+Skills!P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TRUE=TRUE,Inputs!$B$32,0)))*(1-IF(AND(ArtifactsInput!$M$27,Inputs!$B$4="Chapter Hunt"),CHOOSE(ArtifactsInput!$N$27+1,20,24,28,32,36,40),0)/100)))))/Skills!H9,1)))/Inputs!$B$43),G1004*Q1004))*IF(Inputs!$B$38="pvp",1,(1+(Inputs!$B$21+Skills!Q9+(((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Skills!G10*IF(Skills!H10&gt;0,IF(Inputs!$B$38="pvp",MIN(Skills!I10,15),Skills!I10)/Skills!H10,1)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138,MAX(0,IF(Inputs!$B$3&gt;=118,8,IF(Inputs!$B$3&gt;=110,7,5))-5)*50,0),0)/100)*(1+(IF(Skills!A10="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IFERROR(1/(IF(Inputs!$B$38="pvp",15,MAX(0.1,Skills!D10-IF(TRUE=TRUE,Inputs!$B$32,0)))*(1-IF(AND(ArtifactsInput!$M$27,Inputs!$B$4="Chapter Hunt"),CHOOSE(ArtifactsInput!$N$27+1,20,24,28,32,36,40),0)/100)),0)</f>
        <v/>
      </c>
      <c r="R1005">
        <f>IF(AND(Inputs!$B$38&lt;&gt;"pvp",Inputs!$B$43&gt;0),IF(MAX(0,Inputs!$B$43-B1031)&lt;=0,0,(INT(MAX(0,Inputs!$B$43-B1031)/(IF(Inputs!$B$38="pvp",15,MAX(0.1,Skills!D10-IF(TRUE=TRUE,Inputs!$B$32,0)))*(1-IF(AND(ArtifactsInput!$M$27,Inputs!$B$4="Chapter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$20+0+Skills!P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TRUE=TRUE,Inputs!$B$32,0)))*(1-IF(AND(ArtifactsInput!$M$27,Inputs!$B$4="Chapter Hunt"),CHOOSE(ArtifactsInput!$N$27+1,20,24,28,32,36,40),0)/100)))))/Skills!H10,1)))/Inputs!$B$43),G1005*Q1005))*IF(Inputs!$B$38="pvp",1,(1+(Inputs!$B$21+Skills!Q10+(((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Skills!G11*IF(Skills!H11&gt;0,IF(Inputs!$B$38="pvp",MIN(Skills!I11,15),Skills!I11)/Skills!H11,1)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(100-(100-((Inputs!$B$19+0)))*(1-IF(Inputs!$B$3&gt;=130,IF(Inputs!$B$3&gt;=118,8,IF(Inputs!$B$3&gt;=110,7,5)),0)/100)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138,MAX(0,IF(Inputs!$B$3&gt;=118,8,IF(Inputs!$B$3&gt;=110,7,5))-5)*50,0),0)/100)*(1+(IF(Skills!A11="RAGING_BLOW",Inputs!$B$17+((C1016=TRUE)*(F1016-Calc!F21))+((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IFERROR(1/(IF(Inputs!$B$38="pvp",15,MAX(0.1,Skills!D11-IF(TRUE=TRUE,Inputs!$B$32,0)))*(1-IF(AND(ArtifactsInput!$M$27,Inputs!$B$4="Chapter Hunt"),CHOOSE(ArtifactsInput!$N$27+1,20,24,28,32,36,40),0)/100)),0)</f>
        <v/>
      </c>
      <c r="R1006">
        <f>IF(AND(Inputs!$B$38&lt;&gt;"pvp",Inputs!$B$43&gt;0),IF(MAX(0,Inputs!$B$43-B1031)&lt;=0,0,(INT(MAX(0,Inputs!$B$43-B1031)/(IF(Inputs!$B$38="pvp",15,MAX(0.1,Skills!D11-IF(TRUE=TRUE,Inputs!$B$32,0)))*(1-IF(AND(ArtifactsInput!$M$27,Inputs!$B$4="Chapter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$20+0+Skills!P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Inputs!$B$38&lt;&gt;"pvp",Inputs!$B$43=0),1,IF(IF(Inputs!$B$38="pvp",15,Inputs!$B$43)-(B1031)&lt;=0,1,MAX(0,IF(Inputs!$B$38="pvp",15,Inputs!$B$43)-MAX(5,B1031))/(IF(Inputs!$B$38="pvp",15,Inputs!$B$43)-(B1031)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TRUE=TRUE,Inputs!$B$32,0)))*(1-IF(AND(ArtifactsInput!$M$27,Inputs!$B$4="Chapter Hunt"),CHOOSE(ArtifactsInput!$N$27+1,20,24,28,32,36,40),0)/100)))))/Skills!H11,1)))/Inputs!$B$43),G1006*Q1006))*IF(Inputs!$B$38="pvp",1,(1+(Inputs!$B$21+Skills!Q11+(((C1011=TRUE)*F1011*(Skills!J16/100)*IF(AND(Inputs!$B$38&lt;&gt;"pvp",Inputs!$B$43&gt;0),(((R1011-1)*MIN((Skills!T16*(1+(Inputs!$B$34+(ArtifactsInput!$M$7-ArtifactsInput!$M$7)*CHOOSE(ArtifactsInput!$N$7+1,6,7.2,8.4,9.6,10.8,12))/100)),(1/Q1011))+MIN((Skills!T16*(1+(Inputs!$B$34+(ArtifactsInput!$M$7-ArtifactsInput!$M$7)*CHOOSE(ArtifactsInput!$N$7+1,6,7.2,8.4,9.6,10.8,12))/100)),MAX(0,Inputs!$B$43-((R1011-1)*(1/Q1011)))))/Inputs!$B$43),IF(Inputs!$B$38="pvp",MIN((Skills!T16*(1+(Inputs!$B$34+(ArtifactsInput!$M$7-ArtifactsInput!$M$7)*CHOOSE(ArtifactsInput!$N$7+1,6,7.2,8.4,9.6,10.8,12))/100)),15)/15,MIN(1,(Skills!T16*(1+(Inputs!$B$34+(ArtifactsInput!$M$7-ArtifactsInput!$M$7)*CHOOSE(ArtifactsInput!$N$7+1,6,7.2,8.4,9.6,10.8,12))/100))/(1/Q1011)))))+((C1003=TRUE)*IF(Inputs!$B$3&gt;=126,10*MIN(1,15*Q1003),0))+((C1000=TRUE)*((100/10)*(INDEX(FactorTable!$B$2:$Y$301,MATCH(ROUND(MIN(300,MAX(1,MAX(0,(Inputs!$B$3-100)*3)+Inputs!$B$28+Inputs!$B$29)),0),FactorTable!$A$2:$A$301,0),22)/1000))*(1+IF(Inputs!$B$3&gt;=134,0.5,0))*MIN(1,10*(1+(Inputs!$B$34+(ArtifactsInput!$M$7-ArtifactsInput!$M$7)*CHOOSE(ArtifactsInput!$N$7+1,6,7.2,8.4,9.6,10.8,12))/100)*Q1000)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Skills!G13*IF(Skills!H13&gt;0,IF(Inputs!$B$38="pvp",MIN(Skills!I13,15),Skills!I13)/Skills!H13,1)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Skills!G14*IF(Skills!H14&gt;0,IF(Inputs!$B$38="pvp",MIN(Skills!I14,15),Skills!I14)/Skills!H14,1)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Skills!G15*IF(Skills!H15&gt;0,IF(Inputs!$B$38="pvp",MIN(Skills!I15,15),Skills!I15)/Skills!H15,1)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IFERROR(1/(IF(Inputs!$B$38="pvp",15,MAX(0.1,Skills!D15-IF(TRUE=TRUE,Inputs!$B$32,0)))*(1-IF(AND(ArtifactsInput!$M$27,Inputs!$B$4="Chapter Hunt"),CHOOSE(ArtifactsInput!$N$27+1,20,24,28,32,36,40),0)/100)),0)</f>
        <v/>
      </c>
      <c r="R1010">
        <f>IF(AND(Inputs!$B$38&lt;&gt;"pvp",Inputs!$B$43&gt;0),IF(Inputs!$B$43&lt;=0,0,(INT(Inputs!$B$43/(IF(Inputs!$B$38="pvp",15,MAX(0.1,Skills!D15-IF(TRUE=TRUE,Inputs!$B$32,0)))*(1-IF(AND(ArtifactsInput!$M$27,Inputs!$B$4="Chapter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Skills!G16*IF(Skills!H16&gt;0,IF(Inputs!$B$38="pvp",MIN(Skills!I16,15),Skills!I16)/Skills!H16,1)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IFERROR(1/(IF(Inputs!$B$38="pvp",15,MAX(0.1,Skills!D16-IF(TRUE=TRUE,Inputs!$B$32,0)))*(1-IF(AND(ArtifactsInput!$M$27,Inputs!$B$4="Chapter Hunt"),CHOOSE(ArtifactsInput!$N$27+1,20,24,28,32,36,40),0)/100)),0)</f>
        <v/>
      </c>
      <c r="R1011">
        <f>IF(AND(Inputs!$B$38&lt;&gt;"pvp",Inputs!$B$43&gt;0),IF(Inputs!$B$43&lt;=0,0,(INT(Inputs!$B$43/(IF(Inputs!$B$38="pvp",15,MAX(0.1,Skills!D16-IF(TRUE=TRUE,Inputs!$B$32,0)))*(1-IF(AND(ArtifactsInput!$M$27,Inputs!$B$4="Chapter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Skills!G17*IF(Skills!H17&gt;0,IF(Inputs!$B$38="pvp",MIN(Skills!I17,15),Skills!I17)/Skills!H17,1)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IFERROR(1/(IF(Inputs!$B$38="pvp",15,MAX(0.1,Skills!D17-IF(TRUE=TRUE,Inputs!$B$32,0)))*(1-IF(AND(ArtifactsInput!$M$27,Inputs!$B$4="Chapter Hunt"),CHOOSE(ArtifactsInput!$N$27+1,20,24,28,32,36,40),0)/100)),0)</f>
        <v/>
      </c>
      <c r="R1012">
        <f>IF(AND(Inputs!$B$38&lt;&gt;"pvp",Inputs!$B$43&gt;0),IF(Inputs!$B$43&lt;=0,0,(INT(Inputs!$B$43/(IF(Inputs!$B$38="pvp",15,MAX(0.1,Skills!D17-IF(TRUE=TRUE,Inputs!$B$32,0)))*(1-IF(AND(ArtifactsInput!$M$27,Inputs!$B$4="Chapter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Skills!G18*IF(Skills!H18&gt;0,IF(Inputs!$B$38="pvp",MIN(Skills!I18,15),Skills!I18)/Skills!H18,1)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IFERROR(1/(IF(Inputs!$B$38="pvp",15,MAX(0.1,Skills!D18-IF(TRUE=TRUE,Inputs!$B$32,0)))*(1-IF(AND(ArtifactsInput!$M$27,Inputs!$B$4="Chapter Hunt"),CHOOSE(ArtifactsInput!$N$27+1,20,24,28,32,36,40),0)/100)),0)</f>
        <v/>
      </c>
      <c r="R1013">
        <f>IF(AND(Inputs!$B$38&lt;&gt;"pvp",Inputs!$B$43&gt;0),IF(Inputs!$B$43&lt;=0,0,(INT(Inputs!$B$43/(IF(Inputs!$B$38="pvp",15,MAX(0.1,Skills!D18-IF(TRUE=TRUE,Inputs!$B$32,0)))*(1-IF(AND(ArtifactsInput!$M$27,Inputs!$B$4="Chapter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Skills!G19*IF(Skills!H19&gt;0,IF(Inputs!$B$38="pvp",MIN(Skills!I19,15),Skills!I19)/Skills!H19,1)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IFERROR(1/(IF(Inputs!$B$38="pvp",15,MAX(0.1,Skills!D19-IF(TRUE=TRUE,Inputs!$B$32,0)))*(1-IF(AND(ArtifactsInput!$M$27,Inputs!$B$4="Chapter Hunt"),CHOOSE(ArtifactsInput!$N$27+1,20,24,28,32,36,40),0)/100)),0)</f>
        <v/>
      </c>
      <c r="R1014">
        <f>IF(AND(Inputs!$B$38&lt;&gt;"pvp",Inputs!$B$43&gt;0),IF(Inputs!$B$43&lt;=0,0,(INT(Inputs!$B$43/(IF(Inputs!$B$38="pvp",15,MAX(0.1,Skills!D19-IF(TRUE=TRUE,Inputs!$B$32,0)))*(1-IF(AND(ArtifactsInput!$M$27,Inputs!$B$4="Chapter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Skills!G20*IF(Skills!H20&gt;0,IF(Inputs!$B$38="pvp",MIN(Skills!I20,15),Skills!I20)/Skills!H20,1)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Skills!G21*IF(Skills!H21&gt;0,IF(Inputs!$B$38="pvp",MIN(Skills!I21,15),Skills!I21)/Skills!H21,1)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Skills!G22*IF(Skills!H22&gt;0,IF(Inputs!$B$38="pvp",MIN(Skills!I22,15),Skills!I22)/Skills!H22,1)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Skills!G23*IF(Skills!H23&gt;0,IF(Inputs!$B$38="pvp",MIN(Skills!I23,15),Skills!I23)/Skills!H23,1)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Skills!G24*IF(Skills!H24&gt;0,IF(Inputs!$B$38="pvp",MIN(Skills!I24,15),Skills!I24)/Skills!H24,1)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Skills!G25*IF(Skills!H25&gt;0,IF(Inputs!$B$38="pvp",MIN(Skills!I25,15),Skills!I25)/Skills!H25,1)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Skills!G26*IF(Skills!H26&gt;0,IF(Inputs!$B$38="pvp",MIN(Skills!I26,15),Skills!I26)/Skills!H26,1)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118,8,IF(Inputs!$B$3&gt;=110,7,5)))+((C1010=TRUE)*F1010*IF(AND(Inputs!$B$38&lt;&gt;"pvp",Inputs!$B$43&gt;0),(((R1010-1)*MIN((Skills!T15*(1+(Inputs!$B$34+(ArtifactsInput!$M$7-ArtifactsInput!$M$7)*CHOOSE(ArtifactsInput!$N$7+1,6,7.2,8.4,9.6,10.8,12))/100)),(1/Q1010))+MIN((Skills!T15*(1+(Inputs!$B$34+(ArtifactsInput!$M$7-ArtifactsInput!$M$7)*CHOOSE(ArtifactsInput!$N$7+1,6,7.2,8.4,9.6,10.8,12))/100)),MAX(0,Inputs!$B$43-((R1010-1)*(1/Q1010)))))/Inputs!$B$43),IF(Inputs!$B$38="pvp",MIN((Skills!T15*(1+(Inputs!$B$34+(ArtifactsInput!$M$7-ArtifactsInput!$M$7)*CHOOSE(ArtifactsInput!$N$7+1,6,7.2,8.4,9.6,10.8,12))/100)),15)/15,MIN(1,(Skills!T15*(1+(Inputs!$B$34+(ArtifactsInput!$M$7-ArtifactsInput!$M$7)*CHOOSE(ArtifactsInput!$N$7+1,6,7.2,8.4,9.6,10.8,12))/100))/(1/Q1010)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MIN((Skills!T19*(1+(Inputs!$B$34+(ArtifactsInput!$M$7-ArtifactsInput!$M$7)*CHOOSE(ArtifactsInput!$N$7+1,6,7.2,8.4,9.6,10.8,12))/100)),(1/Q1014))+MIN((Skills!T19*(1+(Inputs!$B$34+(ArtifactsInput!$M$7-ArtifactsInput!$M$7)*CHOOSE(ArtifactsInput!$N$7+1,6,7.2,8.4,9.6,10.8,12))/100)),MAX(0,Inputs!$B$43-((R1014-1)*(1/Q1014)))))/Inputs!$B$43),IF(Inputs!$B$38="pvp",MIN((Skills!T19*(1+(Inputs!$B$34+(ArtifactsInput!$M$7-ArtifactsInput!$M$7)*CHOOSE(ArtifactsInput!$N$7+1,6,7.2,8.4,9.6,10.8,12))/100)),15)/15,MIN(1,(Skills!T19*(1+(Inputs!$B$34+(ArtifactsInput!$M$7-ArtifactsInput!$M$7)*CHOOSE(ArtifactsInput!$N$7+1,6,7.2,8.4,9.6,10.8,12))/100))/(1/Q1014)))))</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MIN((Skills!T18*(1+(Inputs!$B$34+(ArtifactsInput!$M$7-ArtifactsInput!$M$7)*CHOOSE(ArtifactsInput!$N$7+1,6,7.2,8.4,9.6,10.8,12))/100)),(1/Q1013))+MIN((Skills!T18*(1+(Inputs!$B$34+(ArtifactsInput!$M$7-ArtifactsInput!$M$7)*CHOOSE(ArtifactsInput!$N$7+1,6,7.2,8.4,9.6,10.8,12))/100)),MAX(0,Inputs!$B$43-((R1013-1)*(1/Q1013)))))/Inputs!$B$43),IF(Inputs!$B$38="pvp",MIN((Skills!T18*(1+(Inputs!$B$34+(ArtifactsInput!$M$7-ArtifactsInput!$M$7)*CHOOSE(ArtifactsInput!$N$7+1,6,7.2,8.4,9.6,10.8,12))/100)),15)/15,MIN(1,(Skills!T18*(1+(Inputs!$B$34+(ArtifactsInput!$M$7-ArtifactsInput!$M$7)*CHOOSE(ArtifactsInput!$N$7+1,6,7.2,8.4,9.6,10.8,12))/100))/(1/Q1013)))))</f>
        <v/>
      </c>
    </row>
    <row r="1030">
      <c r="A1030" t="inlineStr">
        <is>
          <t>Global Final Damage Bonus % (Enrage + Combo Synergy)</t>
        </is>
      </c>
      <c r="B1030">
        <f>((C1012=TRUE)*F1012*IF(AND(Inputs!$B$38&lt;&gt;"pvp",Inputs!$B$43&gt;0),(((R1012-1)*MIN((Skills!T17*(1+(Inputs!$B$34+(ArtifactsInput!$M$7-ArtifactsInput!$M$7)*CHOOSE(ArtifactsInput!$N$7+1,6,7.2,8.4,9.6,10.8,12))/100)),(1/Q1012))+MIN((Skills!T17*(1+(Inputs!$B$34+(ArtifactsInput!$M$7-ArtifactsInput!$M$7)*CHOOSE(ArtifactsInput!$N$7+1,6,7.2,8.4,9.6,10.8,12))/100)),MAX(0,Inputs!$B$43-((R1012-1)*(1/Q1012)))))/Inputs!$B$43),IF(Inputs!$B$38="pvp",MIN((Skills!T17*(1+(Inputs!$B$34+(ArtifactsInput!$M$7-ArtifactsInput!$M$7)*CHOOSE(ArtifactsInput!$N$7+1,6,7.2,8.4,9.6,10.8,12))/100)),15)/15,MIN(1,(Skills!T17*(1+(Inputs!$B$34+(ArtifactsInput!$M$7-ArtifactsInput!$M$7)*CHOOSE(ArtifactsInput!$N$7+1,6,7.2,8.4,9.6,10.8,12))/100))/(1/Q1012)))))+((C1009=TRUE)*F1009*IF(Inputs!$B$3&gt;=118,8,IF(Inputs!$B$3&gt;=110,7,5)))+IF(Inputs!$B$3&gt;=98,5,0)</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Skills!G2*IF(Skills!H2&gt;0,IF(Inputs!$B$38="pvp",MIN(Skills!I2,15),Skills!I2)/Skills!H2,1)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Skills!G5*IF(Skills!H5&gt;0,IF(Inputs!$B$38="pvp",MIN(Skills!I5,15),Skills!I5)/Skills!H5,1)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IFERROR(1/(IF(Inputs!$B$38="pvp",15,MAX(0.1,Skills!D5-IF(TRUE=TRUE,(Inputs!$B$32+1),0)))*(1-IF(AND(ArtifactsInput!$M$27,Inputs!$B$4="Chapter Hunt"),CHOOSE(ArtifactsInput!$N$27+1,20,24,28,32,36,40),0)/100)),0)</f>
        <v/>
      </c>
      <c r="R1042">
        <f>IF(AND(Inputs!$B$38&lt;&gt;"pvp",Inputs!$B$43&gt;0),IF(MAX(0,Inputs!$B$43-B1073)&lt;=0,0,(INT(MAX(0,Inputs!$B$43-B1073)/(IF(Inputs!$B$38="pvp",15,MAX(0.1,Skills!D5-IF(TRUE=TRUE,(Inputs!$B$32+1),0)))*(1-IF(AND(ArtifactsInput!$M$27,Inputs!$B$4="Chapter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$20+0+Skills!P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TRUE=TRUE,(Inputs!$B$32+1),0)))*(1-IF(AND(ArtifactsInput!$M$27,Inputs!$B$4="Chapter Hunt"),CHOOSE(ArtifactsInput!$N$27+1,20,24,28,32,36,40),0)/100)))))/Skills!H5,1)))/Inputs!$B$43),G1042*Q1042))*IF(Inputs!$B$38="pvp",1,(1+(Inputs!$B$21+Skills!Q5+(((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Skills!G6*IF(Skills!H6&gt;0,IF(Inputs!$B$38="pvp",MIN(Skills!I6,15),Skills!I6)/Skills!H6,1)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IFERROR(1/(IF(Inputs!$B$38="pvp",15,MAX(0.1,Skills!D6-IF(TRUE=TRUE,(Inputs!$B$32+1),0)))*(1-IF(AND(ArtifactsInput!$M$27,Inputs!$B$4="Chapter Hunt"),CHOOSE(ArtifactsInput!$N$27+1,20,24,28,32,36,40),0)/100)),0)</f>
        <v/>
      </c>
      <c r="R1043">
        <f>IF(AND(Inputs!$B$38&lt;&gt;"pvp",Inputs!$B$43&gt;0),IF(MAX(0,Inputs!$B$43-B1073)&lt;=0,0,(INT(MAX(0,Inputs!$B$43-B1073)/(IF(Inputs!$B$38="pvp",15,MAX(0.1,Skills!D6-IF(TRUE=TRUE,(Inputs!$B$32+1),0)))*(1-IF(AND(ArtifactsInput!$M$27,Inputs!$B$4="Chapter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$20+0+Skills!P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TRUE=TRUE,(Inputs!$B$32+1),0)))*(1-IF(AND(ArtifactsInput!$M$27,Inputs!$B$4="Chapter Hunt"),CHOOSE(ArtifactsInput!$N$27+1,20,24,28,32,36,40),0)/100)))))/Skills!H6,1)))/Inputs!$B$43),G1043*Q1043))*IF(Inputs!$B$38="pvp",1,(1+(Inputs!$B$21+Skills!Q6+(((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Skills!G7*IF(Skills!H7&gt;0,IF(Inputs!$B$38="pvp",MIN(Skills!I7,15),Skills!I7)/Skills!H7,1)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IFERROR(1/(IF(Inputs!$B$38="pvp",15,MAX(0.1,Skills!D7-IF(TRUE=TRUE,(Inputs!$B$32+1),0)))*(1-IF(AND(ArtifactsInput!$M$27,Inputs!$B$4="Chapter Hunt"),CHOOSE(ArtifactsInput!$N$27+1,20,24,28,32,36,40),0)/100)),0)</f>
        <v/>
      </c>
      <c r="R1044">
        <f>IF(AND(Inputs!$B$38&lt;&gt;"pvp",Inputs!$B$43&gt;0),IF(MAX(0,Inputs!$B$43-B1073)&lt;=0,0,(INT(MAX(0,Inputs!$B$43-B1073)/(IF(Inputs!$B$38="pvp",15,MAX(0.1,Skills!D7-IF(TRUE=TRUE,(Inputs!$B$32+1),0)))*(1-IF(AND(ArtifactsInput!$M$27,Inputs!$B$4="Chapter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$20+0+Skills!P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TRUE=TRUE,(Inputs!$B$32+1),0)))*(1-IF(AND(ArtifactsInput!$M$27,Inputs!$B$4="Chapter Hunt"),CHOOSE(ArtifactsInput!$N$27+1,20,24,28,32,36,40),0)/100)))))/Skills!H7,1)))/Inputs!$B$43),G1044*Q1044))*IF(Inputs!$B$38="pvp",1,(1+(Inputs!$B$21+Skills!Q7+(((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Skills!G8*IF(Skills!H8&gt;0,IF(Inputs!$B$38="pvp",MIN(Skills!I8,15),Skills!I8)/Skills!H8,1)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IFERROR(1/(IF(Inputs!$B$38="pvp",15,MAX(0.1,Skills!D8-IF(TRUE=TRUE,(Inputs!$B$32+1),0)))*(1-IF(AND(ArtifactsInput!$M$27,Inputs!$B$4="Chapter Hunt"),CHOOSE(ArtifactsInput!$N$27+1,20,24,28,32,36,40),0)/100)),0)</f>
        <v/>
      </c>
      <c r="R1045">
        <f>IF(AND(Inputs!$B$38&lt;&gt;"pvp",Inputs!$B$43&gt;0),IF(MAX(0,Inputs!$B$43-B1073)&lt;=0,0,(INT(MAX(0,Inputs!$B$43-B1073)/(IF(Inputs!$B$38="pvp",15,MAX(0.1,Skills!D8-IF(TRUE=TRUE,(Inputs!$B$32+1),0)))*(1-IF(AND(ArtifactsInput!$M$27,Inputs!$B$4="Chapter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$20+0+Skills!P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TRUE=TRUE,(Inputs!$B$32+1),0)))*(1-IF(AND(ArtifactsInput!$M$27,Inputs!$B$4="Chapter Hunt"),CHOOSE(ArtifactsInput!$N$27+1,20,24,28,32,36,40),0)/100)))))/Skills!H8,1)))/Inputs!$B$43),G1045*Q1045))*IF(Inputs!$B$38="pvp",1,(1+(Inputs!$B$21+Skills!Q8+(((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Skills!G9*IF(Skills!H9&gt;0,IF(Inputs!$B$38="pvp",MIN(Skills!I9,15),Skills!I9)/Skills!H9,1)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138,MAX(0,IF(Inputs!$B$3&gt;=118,8,IF(Inputs!$B$3&gt;=110,7,5))-5)*50,0),0)/100)*(1+(IF(Skills!A9="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IFERROR(1/(IF(Inputs!$B$38="pvp",15,MAX(0.1,Skills!D9-IF(TRUE=TRUE,(Inputs!$B$32+1),0)))*(1-IF(AND(ArtifactsInput!$M$27,Inputs!$B$4="Chapter Hunt"),CHOOSE(ArtifactsInput!$N$27+1,20,24,28,32,36,40),0)/100)),0)</f>
        <v/>
      </c>
      <c r="R1046">
        <f>IF(AND(Inputs!$B$38&lt;&gt;"pvp",Inputs!$B$43&gt;0),IF(MAX(0,Inputs!$B$43-B1073)&lt;=0,0,(INT(MAX(0,Inputs!$B$43-B1073)/(IF(Inputs!$B$38="pvp",15,MAX(0.1,Skills!D9-IF(TRUE=TRUE,(Inputs!$B$32+1),0)))*(1-IF(AND(ArtifactsInput!$M$27,Inputs!$B$4="Chapter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TRUE=TRUE,(Inputs!$B$32+1),0)))*(1-IF(AND(ArtifactsInput!$M$27,Inputs!$B$4="Chapter Hunt"),CHOOSE(ArtifactsInput!$N$27+1,20,24,28,32,36,40),0)/100)))))/Skills!H9,1)))/Inputs!$B$43),G1046*Q1046))*IF(Inputs!$B$38="pvp",1,1+(Inputs!$B$20+0+Skills!P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TRUE=TRUE,(Inputs!$B$32+1),0)))*(1-IF(AND(ArtifactsInput!$M$27,Inputs!$B$4="Chapter Hunt"),CHOOSE(ArtifactsInput!$N$27+1,20,24,28,32,36,40),0)/100)))))/Skills!H9,1)))/Inputs!$B$43),G1046*Q1046))*IF(Inputs!$B$38="pvp",1,(1+(Inputs!$B$21+Skills!Q9+(((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Skills!G10*IF(Skills!H10&gt;0,IF(Inputs!$B$38="pvp",MIN(Skills!I10,15),Skills!I10)/Skills!H10,1)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138,MAX(0,IF(Inputs!$B$3&gt;=118,8,IF(Inputs!$B$3&gt;=110,7,5))-5)*50,0),0)/100)*(1+(IF(Skills!A10="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IFERROR(1/(IF(Inputs!$B$38="pvp",15,MAX(0.1,Skills!D10-IF(TRUE=TRUE,(Inputs!$B$32+1),0)))*(1-IF(AND(ArtifactsInput!$M$27,Inputs!$B$4="Chapter Hunt"),CHOOSE(ArtifactsInput!$N$27+1,20,24,28,32,36,40),0)/100)),0)</f>
        <v/>
      </c>
      <c r="R1047">
        <f>IF(AND(Inputs!$B$38&lt;&gt;"pvp",Inputs!$B$43&gt;0),IF(MAX(0,Inputs!$B$43-B1073)&lt;=0,0,(INT(MAX(0,Inputs!$B$43-B1073)/(IF(Inputs!$B$38="pvp",15,MAX(0.1,Skills!D10-IF(TRUE=TRUE,(Inputs!$B$32+1),0)))*(1-IF(AND(ArtifactsInput!$M$27,Inputs!$B$4="Chapter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$20+0+Skills!P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TRUE=TRUE,(Inputs!$B$32+1),0)))*(1-IF(AND(ArtifactsInput!$M$27,Inputs!$B$4="Chapter Hunt"),CHOOSE(ArtifactsInput!$N$27+1,20,24,28,32,36,40),0)/100)))))/Skills!H10,1)))/Inputs!$B$43),G1047*Q1047))*IF(Inputs!$B$38="pvp",1,(1+(Inputs!$B$21+Skills!Q10+(((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Skills!G11*IF(Skills!H11&gt;0,IF(Inputs!$B$38="pvp",MIN(Skills!I11,15),Skills!I11)/Skills!H11,1)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(100-(100-((Inputs!$B$19+0)))*(1-IF(Inputs!$B$3&gt;=130,IF(Inputs!$B$3&gt;=118,8,IF(Inputs!$B$3&gt;=110,7,5)),0)/100)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138,MAX(0,IF(Inputs!$B$3&gt;=118,8,IF(Inputs!$B$3&gt;=110,7,5))-5)*50,0),0)/100)*(1+(IF(Skills!A11="RAGING_BLOW",Inputs!$B$17+((C1058=TRUE)*(F1058-Calc!F21))+((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IFERROR(1/(IF(Inputs!$B$38="pvp",15,MAX(0.1,Skills!D11-IF(TRUE=TRUE,(Inputs!$B$32+1),0)))*(1-IF(AND(ArtifactsInput!$M$27,Inputs!$B$4="Chapter Hunt"),CHOOSE(ArtifactsInput!$N$27+1,20,24,28,32,36,40),0)/100)),0)</f>
        <v/>
      </c>
      <c r="R1048">
        <f>IF(AND(Inputs!$B$38&lt;&gt;"pvp",Inputs!$B$43&gt;0),IF(MAX(0,Inputs!$B$43-B1073)&lt;=0,0,(INT(MAX(0,Inputs!$B$43-B1073)/(IF(Inputs!$B$38="pvp",15,MAX(0.1,Skills!D11-IF(TRUE=TRUE,(Inputs!$B$32+1),0)))*(1-IF(AND(ArtifactsInput!$M$27,Inputs!$B$4="Chapter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$20+0+Skills!P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Inputs!$B$38&lt;&gt;"pvp",Inputs!$B$43=0),1,IF(IF(Inputs!$B$38="pvp",15,Inputs!$B$43)-(B1073)&lt;=0,1,MAX(0,IF(Inputs!$B$38="pvp",15,Inputs!$B$43)-MAX(5,B1073))/(IF(Inputs!$B$38="pvp",15,Inputs!$B$43)-(B1073)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TRUE=TRUE,(Inputs!$B$32+1),0)))*(1-IF(AND(ArtifactsInput!$M$27,Inputs!$B$4="Chapter Hunt"),CHOOSE(ArtifactsInput!$N$27+1,20,24,28,32,36,40),0)/100)))))/Skills!H11,1)))/Inputs!$B$43),G1048*Q1048))*IF(Inputs!$B$38="pvp",1,(1+(Inputs!$B$21+Skills!Q11+(((C1053=TRUE)*F1053*(Skills!J16/100)*IF(AND(Inputs!$B$38&lt;&gt;"pvp",Inputs!$B$43&gt;0),(((R1053-1)*MIN((Skills!T16*(1+(Inputs!$B$34+(ArtifactsInput!$M$7-ArtifactsInput!$M$7)*CHOOSE(ArtifactsInput!$N$7+1,6,7.2,8.4,9.6,10.8,12))/100)),(1/Q1053))+MIN((Skills!T16*(1+(Inputs!$B$34+(ArtifactsInput!$M$7-ArtifactsInput!$M$7)*CHOOSE(ArtifactsInput!$N$7+1,6,7.2,8.4,9.6,10.8,12))/100)),MAX(0,Inputs!$B$43-((R1053-1)*(1/Q1053)))))/Inputs!$B$43),IF(Inputs!$B$38="pvp",MIN((Skills!T16*(1+(Inputs!$B$34+(ArtifactsInput!$M$7-ArtifactsInput!$M$7)*CHOOSE(ArtifactsInput!$N$7+1,6,7.2,8.4,9.6,10.8,12))/100)),15)/15,MIN(1,(Skills!T16*(1+(Inputs!$B$34+(ArtifactsInput!$M$7-ArtifactsInput!$M$7)*CHOOSE(ArtifactsInput!$N$7+1,6,7.2,8.4,9.6,10.8,12))/100))/(1/Q1053)))))+((C1045=TRUE)*IF(Inputs!$B$3&gt;=126,10*MIN(1,15*Q1045),0))+((C1042=TRUE)*((100/10)*(INDEX(FactorTable!$B$2:$Y$301,MATCH(ROUND(MIN(300,MAX(1,MAX(0,(Inputs!$B$3-100)*3)+Inputs!$B$28+Inputs!$B$29)),0),FactorTable!$A$2:$A$301,0),22)/1000))*(1+IF(Inputs!$B$3&gt;=134,0.5,0))*MIN(1,10*(1+(Inputs!$B$34+(ArtifactsInput!$M$7-ArtifactsInput!$M$7)*CHOOSE(ArtifactsInput!$N$7+1,6,7.2,8.4,9.6,10.8,12))/100)*Q1042)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Skills!G13*IF(Skills!H13&gt;0,IF(Inputs!$B$38="pvp",MIN(Skills!I13,15),Skills!I13)/Skills!H13,1)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Skills!G14*IF(Skills!H14&gt;0,IF(Inputs!$B$38="pvp",MIN(Skills!I14,15),Skills!I14)/Skills!H14,1)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Skills!G15*IF(Skills!H15&gt;0,IF(Inputs!$B$38="pvp",MIN(Skills!I15,15),Skills!I15)/Skills!H15,1)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IFERROR(1/(IF(Inputs!$B$38="pvp",15,MAX(0.1,Skills!D15-IF(TRUE=TRUE,(Inputs!$B$32+1),0)))*(1-IF(AND(ArtifactsInput!$M$27,Inputs!$B$4="Chapter Hunt"),CHOOSE(ArtifactsInput!$N$27+1,20,24,28,32,36,40),0)/100)),0)</f>
        <v/>
      </c>
      <c r="R1052">
        <f>IF(AND(Inputs!$B$38&lt;&gt;"pvp",Inputs!$B$43&gt;0),IF(Inputs!$B$43&lt;=0,0,(INT(Inputs!$B$43/(IF(Inputs!$B$38="pvp",15,MAX(0.1,Skills!D15-IF(TRUE=TRUE,(Inputs!$B$32+1),0)))*(1-IF(AND(ArtifactsInput!$M$27,Inputs!$B$4="Chapter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Skills!G16*IF(Skills!H16&gt;0,IF(Inputs!$B$38="pvp",MIN(Skills!I16,15),Skills!I16)/Skills!H16,1)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IFERROR(1/(IF(Inputs!$B$38="pvp",15,MAX(0.1,Skills!D16-IF(TRUE=TRUE,(Inputs!$B$32+1),0)))*(1-IF(AND(ArtifactsInput!$M$27,Inputs!$B$4="Chapter Hunt"),CHOOSE(ArtifactsInput!$N$27+1,20,24,28,32,36,40),0)/100)),0)</f>
        <v/>
      </c>
      <c r="R1053">
        <f>IF(AND(Inputs!$B$38&lt;&gt;"pvp",Inputs!$B$43&gt;0),IF(Inputs!$B$43&lt;=0,0,(INT(Inputs!$B$43/(IF(Inputs!$B$38="pvp",15,MAX(0.1,Skills!D16-IF(TRUE=TRUE,(Inputs!$B$32+1),0)))*(1-IF(AND(ArtifactsInput!$M$27,Inputs!$B$4="Chapter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Skills!G17*IF(Skills!H17&gt;0,IF(Inputs!$B$38="pvp",MIN(Skills!I17,15),Skills!I17)/Skills!H17,1)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IFERROR(1/(IF(Inputs!$B$38="pvp",15,MAX(0.1,Skills!D17-IF(TRUE=TRUE,(Inputs!$B$32+1),0)))*(1-IF(AND(ArtifactsInput!$M$27,Inputs!$B$4="Chapter Hunt"),CHOOSE(ArtifactsInput!$N$27+1,20,24,28,32,36,40),0)/100)),0)</f>
        <v/>
      </c>
      <c r="R1054">
        <f>IF(AND(Inputs!$B$38&lt;&gt;"pvp",Inputs!$B$43&gt;0),IF(Inputs!$B$43&lt;=0,0,(INT(Inputs!$B$43/(IF(Inputs!$B$38="pvp",15,MAX(0.1,Skills!D17-IF(TRUE=TRUE,(Inputs!$B$32+1),0)))*(1-IF(AND(ArtifactsInput!$M$27,Inputs!$B$4="Chapter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Skills!G18*IF(Skills!H18&gt;0,IF(Inputs!$B$38="pvp",MIN(Skills!I18,15),Skills!I18)/Skills!H18,1)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IFERROR(1/(IF(Inputs!$B$38="pvp",15,MAX(0.1,Skills!D18-IF(TRUE=TRUE,(Inputs!$B$32+1),0)))*(1-IF(AND(ArtifactsInput!$M$27,Inputs!$B$4="Chapter Hunt"),CHOOSE(ArtifactsInput!$N$27+1,20,24,28,32,36,40),0)/100)),0)</f>
        <v/>
      </c>
      <c r="R1055">
        <f>IF(AND(Inputs!$B$38&lt;&gt;"pvp",Inputs!$B$43&gt;0),IF(Inputs!$B$43&lt;=0,0,(INT(Inputs!$B$43/(IF(Inputs!$B$38="pvp",15,MAX(0.1,Skills!D18-IF(TRUE=TRUE,(Inputs!$B$32+1),0)))*(1-IF(AND(ArtifactsInput!$M$27,Inputs!$B$4="Chapter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Skills!G19*IF(Skills!H19&gt;0,IF(Inputs!$B$38="pvp",MIN(Skills!I19,15),Skills!I19)/Skills!H19,1)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IFERROR(1/(IF(Inputs!$B$38="pvp",15,MAX(0.1,Skills!D19-IF(TRUE=TRUE,(Inputs!$B$32+1),0)))*(1-IF(AND(ArtifactsInput!$M$27,Inputs!$B$4="Chapter Hunt"),CHOOSE(ArtifactsInput!$N$27+1,20,24,28,32,36,40),0)/100)),0)</f>
        <v/>
      </c>
      <c r="R1056">
        <f>IF(AND(Inputs!$B$38&lt;&gt;"pvp",Inputs!$B$43&gt;0),IF(Inputs!$B$43&lt;=0,0,(INT(Inputs!$B$43/(IF(Inputs!$B$38="pvp",15,MAX(0.1,Skills!D19-IF(TRUE=TRUE,(Inputs!$B$32+1),0)))*(1-IF(AND(ArtifactsInput!$M$27,Inputs!$B$4="Chapter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Skills!G20*IF(Skills!H20&gt;0,IF(Inputs!$B$38="pvp",MIN(Skills!I20,15),Skills!I20)/Skills!H20,1)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Skills!G21*IF(Skills!H21&gt;0,IF(Inputs!$B$38="pvp",MIN(Skills!I21,15),Skills!I21)/Skills!H21,1)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Skills!G22*IF(Skills!H22&gt;0,IF(Inputs!$B$38="pvp",MIN(Skills!I22,15),Skills!I22)/Skills!H22,1)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Skills!G23*IF(Skills!H23&gt;0,IF(Inputs!$B$38="pvp",MIN(Skills!I23,15),Skills!I23)/Skills!H23,1)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Skills!G24*IF(Skills!H24&gt;0,IF(Inputs!$B$38="pvp",MIN(Skills!I24,15),Skills!I24)/Skills!H24,1)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Skills!G25*IF(Skills!H25&gt;0,IF(Inputs!$B$38="pvp",MIN(Skills!I25,15),Skills!I25)/Skills!H25,1)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Skills!G26*IF(Skills!H26&gt;0,IF(Inputs!$B$38="pvp",MIN(Skills!I26,15),Skills!I26)/Skills!H26,1)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118,8,IF(Inputs!$B$3&gt;=110,7,5)))+((C1052=TRUE)*F1052*IF(AND(Inputs!$B$38&lt;&gt;"pvp",Inputs!$B$43&gt;0),(((R1052-1)*MIN((Skills!T15*(1+(Inputs!$B$34+(ArtifactsInput!$M$7-ArtifactsInput!$M$7)*CHOOSE(ArtifactsInput!$N$7+1,6,7.2,8.4,9.6,10.8,12))/100)),(1/Q1052))+MIN((Skills!T15*(1+(Inputs!$B$34+(ArtifactsInput!$M$7-ArtifactsInput!$M$7)*CHOOSE(ArtifactsInput!$N$7+1,6,7.2,8.4,9.6,10.8,12))/100)),MAX(0,Inputs!$B$43-((R1052-1)*(1/Q1052)))))/Inputs!$B$43),IF(Inputs!$B$38="pvp",MIN((Skills!T15*(1+(Inputs!$B$34+(ArtifactsInput!$M$7-ArtifactsInput!$M$7)*CHOOSE(ArtifactsInput!$N$7+1,6,7.2,8.4,9.6,10.8,12))/100)),15)/15,MIN(1,(Skills!T15*(1+(Inputs!$B$34+(ArtifactsInput!$M$7-ArtifactsInput!$M$7)*CHOOSE(ArtifactsInput!$N$7+1,6,7.2,8.4,9.6,10.8,12))/100))/(1/Q1052)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MIN((Skills!T19*(1+(Inputs!$B$34+(ArtifactsInput!$M$7-ArtifactsInput!$M$7)*CHOOSE(ArtifactsInput!$N$7+1,6,7.2,8.4,9.6,10.8,12))/100)),(1/Q1056))+MIN((Skills!T19*(1+(Inputs!$B$34+(ArtifactsInput!$M$7-ArtifactsInput!$M$7)*CHOOSE(ArtifactsInput!$N$7+1,6,7.2,8.4,9.6,10.8,12))/100)),MAX(0,Inputs!$B$43-((R1056-1)*(1/Q1056)))))/Inputs!$B$43),IF(Inputs!$B$38="pvp",MIN((Skills!T19*(1+(Inputs!$B$34+(ArtifactsInput!$M$7-ArtifactsInput!$M$7)*CHOOSE(ArtifactsInput!$N$7+1,6,7.2,8.4,9.6,10.8,12))/100)),15)/15,MIN(1,(Skills!T19*(1+(Inputs!$B$34+(ArtifactsInput!$M$7-ArtifactsInput!$M$7)*CHOOSE(ArtifactsInput!$N$7+1,6,7.2,8.4,9.6,10.8,12))/100))/(1/Q1056)))))</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MIN((Skills!T18*(1+(Inputs!$B$34+(ArtifactsInput!$M$7-ArtifactsInput!$M$7)*CHOOSE(ArtifactsInput!$N$7+1,6,7.2,8.4,9.6,10.8,12))/100)),(1/Q1055))+MIN((Skills!T18*(1+(Inputs!$B$34+(ArtifactsInput!$M$7-ArtifactsInput!$M$7)*CHOOSE(ArtifactsInput!$N$7+1,6,7.2,8.4,9.6,10.8,12))/100)),MAX(0,Inputs!$B$43-((R1055-1)*(1/Q1055)))))/Inputs!$B$43),IF(Inputs!$B$38="pvp",MIN((Skills!T18*(1+(Inputs!$B$34+(ArtifactsInput!$M$7-ArtifactsInput!$M$7)*CHOOSE(ArtifactsInput!$N$7+1,6,7.2,8.4,9.6,10.8,12))/100)),15)/15,MIN(1,(Skills!T18*(1+(Inputs!$B$34+(ArtifactsInput!$M$7-ArtifactsInput!$M$7)*CHOOSE(ArtifactsInput!$N$7+1,6,7.2,8.4,9.6,10.8,12))/100))/(1/Q1055)))))</f>
        <v/>
      </c>
    </row>
    <row r="1072">
      <c r="A1072" t="inlineStr">
        <is>
          <t>Global Final Damage Bonus % (Enrage + Combo Synergy)</t>
        </is>
      </c>
      <c r="B1072">
        <f>((C1054=TRUE)*F1054*IF(AND(Inputs!$B$38&lt;&gt;"pvp",Inputs!$B$43&gt;0),(((R1054-1)*MIN((Skills!T17*(1+(Inputs!$B$34+(ArtifactsInput!$M$7-ArtifactsInput!$M$7)*CHOOSE(ArtifactsInput!$N$7+1,6,7.2,8.4,9.6,10.8,12))/100)),(1/Q1054))+MIN((Skills!T17*(1+(Inputs!$B$34+(ArtifactsInput!$M$7-ArtifactsInput!$M$7)*CHOOSE(ArtifactsInput!$N$7+1,6,7.2,8.4,9.6,10.8,12))/100)),MAX(0,Inputs!$B$43-((R1054-1)*(1/Q1054)))))/Inputs!$B$43),IF(Inputs!$B$38="pvp",MIN((Skills!T17*(1+(Inputs!$B$34+(ArtifactsInput!$M$7-ArtifactsInput!$M$7)*CHOOSE(ArtifactsInput!$N$7+1,6,7.2,8.4,9.6,10.8,12))/100)),15)/15,MIN(1,(Skills!T17*(1+(Inputs!$B$34+(ArtifactsInput!$M$7-ArtifactsInput!$M$7)*CHOOSE(ArtifactsInput!$N$7+1,6,7.2,8.4,9.6,10.8,12))/100))/(1/Q1054)))))+((C1051=TRUE)*F1051*IF(Inputs!$B$3&gt;=118,8,IF(Inputs!$B$3&gt;=110,7,5)))+IF(Inputs!$B$3&gt;=98,5,0)</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Skills!G2*IF(Skills!H2&gt;0,IF(Inputs!$B$38="pvp",MIN(Skills!I2,15),Skills!I2)/Skills!H2,1)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Skills!G5*IF(Skills!H5&gt;0,IF(Inputs!$B$38="pvp",MIN(Skills!I5,15),Skills!I5)/Skills!H5,1)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IFERROR(1/(IF(Inputs!$B$38="pvp",15,MAX(0.1,Skills!D5-IF(TRUE=TRUE,Inputs!$B$32,0)))*(1-IF(AND(ArtifactsInput!$M$27,Inputs!$B$4="Chapter Hunt"),CHOOSE(ArtifactsInput!$N$27+1,20,24,28,32,36,40),0)/100)),0)</f>
        <v/>
      </c>
      <c r="R1084">
        <f>IF(AND(Inputs!$B$38&lt;&gt;"pvp",Inputs!$B$43&gt;0),IF(MAX(0,Inputs!$B$43-B1115)&lt;=0,0,(INT(MAX(0,Inputs!$B$43-B1115)/(IF(Inputs!$B$38="pvp",15,MAX(0.1,Skills!D5-IF(TRUE=TRUE,Inputs!$B$32,0)))*(1-IF(AND(ArtifactsInput!$M$27,Inputs!$B$4="Chapter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$20+0+Skills!P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TRUE=TRUE,Inputs!$B$32,0)))*(1-IF(AND(ArtifactsInput!$M$27,Inputs!$B$4="Chapter Hunt"),CHOOSE(ArtifactsInput!$N$27+1,20,24,28,32,36,40),0)/100)))))/Skills!H5,1)))/Inputs!$B$43),G1084*Q1084))*IF(Inputs!$B$38="pvp",1,(1+(Inputs!$B$21+Skills!Q5+(((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Skills!G6*IF(Skills!H6&gt;0,IF(Inputs!$B$38="pvp",MIN(Skills!I6,15),Skills!I6)/Skills!H6,1)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IFERROR(1/(IF(Inputs!$B$38="pvp",15,MAX(0.1,Skills!D6-IF(TRUE=TRUE,Inputs!$B$32,0)))*(1-IF(AND(ArtifactsInput!$M$27,Inputs!$B$4="Chapter Hunt"),CHOOSE(ArtifactsInput!$N$27+1,20,24,28,32,36,40),0)/100)),0)</f>
        <v/>
      </c>
      <c r="R1085">
        <f>IF(AND(Inputs!$B$38&lt;&gt;"pvp",Inputs!$B$43&gt;0),IF(MAX(0,Inputs!$B$43-B1115)&lt;=0,0,(INT(MAX(0,Inputs!$B$43-B1115)/(IF(Inputs!$B$38="pvp",15,MAX(0.1,Skills!D6-IF(TRUE=TRUE,Inputs!$B$32,0)))*(1-IF(AND(ArtifactsInput!$M$27,Inputs!$B$4="Chapter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$20+0+Skills!P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TRUE=TRUE,Inputs!$B$32,0)))*(1-IF(AND(ArtifactsInput!$M$27,Inputs!$B$4="Chapter Hunt"),CHOOSE(ArtifactsInput!$N$27+1,20,24,28,32,36,40),0)/100)))))/Skills!H6,1)))/Inputs!$B$43),G1085*Q1085))*IF(Inputs!$B$38="pvp",1,(1+(Inputs!$B$21+Skills!Q6+(((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Skills!G7*IF(Skills!H7&gt;0,IF(Inputs!$B$38="pvp",MIN(Skills!I7,15),Skills!I7)/Skills!H7,1)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IFERROR(1/(IF(Inputs!$B$38="pvp",15,MAX(0.1,Skills!D7-IF(TRUE=TRUE,Inputs!$B$32,0)))*(1-IF(AND(ArtifactsInput!$M$27,Inputs!$B$4="Chapter Hunt"),CHOOSE(ArtifactsInput!$N$27+1,20,24,28,32,36,40),0)/100)),0)</f>
        <v/>
      </c>
      <c r="R1086">
        <f>IF(AND(Inputs!$B$38&lt;&gt;"pvp",Inputs!$B$43&gt;0),IF(MAX(0,Inputs!$B$43-B1115)&lt;=0,0,(INT(MAX(0,Inputs!$B$43-B1115)/(IF(Inputs!$B$38="pvp",15,MAX(0.1,Skills!D7-IF(TRUE=TRUE,Inputs!$B$32,0)))*(1-IF(AND(ArtifactsInput!$M$27,Inputs!$B$4="Chapter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$20+0+Skills!P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TRUE=TRUE,Inputs!$B$32,0)))*(1-IF(AND(ArtifactsInput!$M$27,Inputs!$B$4="Chapter Hunt"),CHOOSE(ArtifactsInput!$N$27+1,20,24,28,32,36,40),0)/100)))))/Skills!H7,1)))/Inputs!$B$43),G1086*Q1086))*IF(Inputs!$B$38="pvp",1,(1+(Inputs!$B$21+Skills!Q7+(((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Skills!G8*IF(Skills!H8&gt;0,IF(Inputs!$B$38="pvp",MIN(Skills!I8,15),Skills!I8)/Skills!H8,1)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IFERROR(1/(IF(Inputs!$B$38="pvp",15,MAX(0.1,Skills!D8-IF(TRUE=TRUE,Inputs!$B$32,0)))*(1-IF(AND(ArtifactsInput!$M$27,Inputs!$B$4="Chapter Hunt"),CHOOSE(ArtifactsInput!$N$27+1,20,24,28,32,36,40),0)/100)),0)</f>
        <v/>
      </c>
      <c r="R1087">
        <f>IF(AND(Inputs!$B$38&lt;&gt;"pvp",Inputs!$B$43&gt;0),IF(MAX(0,Inputs!$B$43-B1115)&lt;=0,0,(INT(MAX(0,Inputs!$B$43-B1115)/(IF(Inputs!$B$38="pvp",15,MAX(0.1,Skills!D8-IF(TRUE=TRUE,Inputs!$B$32,0)))*(1-IF(AND(ArtifactsInput!$M$27,Inputs!$B$4="Chapter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$20+0+Skills!P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TRUE=TRUE,Inputs!$B$32,0)))*(1-IF(AND(ArtifactsInput!$M$27,Inputs!$B$4="Chapter Hunt"),CHOOSE(ArtifactsInput!$N$27+1,20,24,28,32,36,40),0)/100)))))/Skills!H8,1)))/Inputs!$B$43),G1087*Q1087))*IF(Inputs!$B$38="pvp",1,(1+(Inputs!$B$21+Skills!Q8+(((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Skills!G9*IF(Skills!H9&gt;0,IF(Inputs!$B$38="pvp",MIN(Skills!I9,15),Skills!I9)/Skills!H9,1)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138,MAX(0,IF(Inputs!$B$3&gt;=118,8,IF(Inputs!$B$3&gt;=110,7,5))-5)*50,0),0)/100)*(1+(IF(Skills!A9="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IFERROR(1/(IF(Inputs!$B$38="pvp",15,MAX(0.1,Skills!D9-IF(TRUE=TRUE,Inputs!$B$32,0)))*(1-IF(AND(ArtifactsInput!$M$27,Inputs!$B$4="Chapter Hunt"),CHOOSE(ArtifactsInput!$N$27+1,20,24,28,32,36,40),0)/100)),0)</f>
        <v/>
      </c>
      <c r="R1088">
        <f>IF(AND(Inputs!$B$38&lt;&gt;"pvp",Inputs!$B$43&gt;0),IF(MAX(0,Inputs!$B$43-B1115)&lt;=0,0,(INT(MAX(0,Inputs!$B$43-B1115)/(IF(Inputs!$B$38="pvp",15,MAX(0.1,Skills!D9-IF(TRUE=TRUE,Inputs!$B$32,0)))*(1-IF(AND(ArtifactsInput!$M$27,Inputs!$B$4="Chapter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TRUE=TRUE,Inputs!$B$32,0)))*(1-IF(AND(ArtifactsInput!$M$27,Inputs!$B$4="Chapter Hunt"),CHOOSE(ArtifactsInput!$N$27+1,20,24,28,32,36,40),0)/100)))))/Skills!H9,1)))/Inputs!$B$43),G1088*Q1088))*IF(Inputs!$B$38="pvp",1,1+(Inputs!$B$20+0+Skills!P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TRUE=TRUE,Inputs!$B$32,0)))*(1-IF(AND(ArtifactsInput!$M$27,Inputs!$B$4="Chapter Hunt"),CHOOSE(ArtifactsInput!$N$27+1,20,24,28,32,36,40),0)/100)))))/Skills!H9,1)))/Inputs!$B$43),G1088*Q1088))*IF(Inputs!$B$38="pvp",1,(1+(Inputs!$B$21+Skills!Q9+(((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Skills!G10*IF(Skills!H10&gt;0,IF(Inputs!$B$38="pvp",MIN(Skills!I10,15),Skills!I10)/Skills!H10,1)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138,MAX(0,IF(Inputs!$B$3&gt;=118,8,IF(Inputs!$B$3&gt;=110,7,5))-5)*50,0),0)/100)*(1+(IF(Skills!A10="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IFERROR(1/(IF(Inputs!$B$38="pvp",15,MAX(0.1,Skills!D10-IF(TRUE=TRUE,Inputs!$B$32,0)))*(1-IF(AND(ArtifactsInput!$M$27,Inputs!$B$4="Chapter Hunt"),CHOOSE(ArtifactsInput!$N$27+1,20,24,28,32,36,40),0)/100)),0)</f>
        <v/>
      </c>
      <c r="R1089">
        <f>IF(AND(Inputs!$B$38&lt;&gt;"pvp",Inputs!$B$43&gt;0),IF(MAX(0,Inputs!$B$43-B1115)&lt;=0,0,(INT(MAX(0,Inputs!$B$43-B1115)/(IF(Inputs!$B$38="pvp",15,MAX(0.1,Skills!D10-IF(TRUE=TRUE,Inputs!$B$32,0)))*(1-IF(AND(ArtifactsInput!$M$27,Inputs!$B$4="Chapter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$20+0+Skills!P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TRUE=TRUE,Inputs!$B$32,0)))*(1-IF(AND(ArtifactsInput!$M$27,Inputs!$B$4="Chapter Hunt"),CHOOSE(ArtifactsInput!$N$27+1,20,24,28,32,36,40),0)/100)))))/Skills!H10,1)))/Inputs!$B$43),G1089*Q1089))*IF(Inputs!$B$38="pvp",1,(1+(Inputs!$B$21+Skills!Q10+(((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Skills!G11*IF(Skills!H11&gt;0,IF(Inputs!$B$38="pvp",MIN(Skills!I11,15),Skills!I11)/Skills!H11,1)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(100-(100-((Inputs!$B$19+0)))*(1-IF(Inputs!$B$3&gt;=130,IF(Inputs!$B$3&gt;=118,8,IF(Inputs!$B$3&gt;=110,7,5)),0)/100)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138,MAX(0,IF(Inputs!$B$3&gt;=118,8,IF(Inputs!$B$3&gt;=110,7,5))-5)*50,0),0)/100)*(1+(IF(Skills!A11="RAGING_BLOW",Inputs!$B$17+((C1100=TRUE)*(F1100-Calc!F21))+((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IFERROR(1/(IF(Inputs!$B$38="pvp",15,MAX(0.1,Skills!D11-IF(TRUE=TRUE,Inputs!$B$32,0)))*(1-IF(AND(ArtifactsInput!$M$27,Inputs!$B$4="Chapter Hunt"),CHOOSE(ArtifactsInput!$N$27+1,20,24,28,32,36,40),0)/100)),0)</f>
        <v/>
      </c>
      <c r="R1090">
        <f>IF(AND(Inputs!$B$38&lt;&gt;"pvp",Inputs!$B$43&gt;0),IF(MAX(0,Inputs!$B$43-B1115)&lt;=0,0,(INT(MAX(0,Inputs!$B$43-B1115)/(IF(Inputs!$B$38="pvp",15,MAX(0.1,Skills!D11-IF(TRUE=TRUE,Inputs!$B$32,0)))*(1-IF(AND(ArtifactsInput!$M$27,Inputs!$B$4="Chapter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$20+0+Skills!P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Inputs!$B$38&lt;&gt;"pvp",Inputs!$B$43=0),1,IF(IF(Inputs!$B$38="pvp",15,Inputs!$B$43)-(B1115)&lt;=0,1,MAX(0,IF(Inputs!$B$38="pvp",15,Inputs!$B$43)-MAX(5,B1115))/(IF(Inputs!$B$38="pvp",15,Inputs!$B$43)-(B1115)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TRUE=TRUE,Inputs!$B$32,0)))*(1-IF(AND(ArtifactsInput!$M$27,Inputs!$B$4="Chapter Hunt"),CHOOSE(ArtifactsInput!$N$27+1,20,24,28,32,36,40),0)/100)))))/Skills!H11,1)))/Inputs!$B$43),G1090*Q1090))*IF(Inputs!$B$38="pvp",1,(1+(Inputs!$B$21+Skills!Q11+(((C1095=TRUE)*F1095*(Skills!J16/100)*IF(AND(Inputs!$B$38&lt;&gt;"pvp",Inputs!$B$43&gt;0),(((R1095-1)*MIN((Skills!T16*(1+(Inputs!$B$34+(ArtifactsInput!$M$7-ArtifactsInput!$M$7)*CHOOSE(ArtifactsInput!$N$7+1,6,7.2,8.4,9.6,10.8,12))/100)),(1/Q1095))+MIN((Skills!T16*(1+(Inputs!$B$34+(ArtifactsInput!$M$7-ArtifactsInput!$M$7)*CHOOSE(ArtifactsInput!$N$7+1,6,7.2,8.4,9.6,10.8,12))/100)),MAX(0,Inputs!$B$43-((R1095-1)*(1/Q1095)))))/Inputs!$B$43),IF(Inputs!$B$38="pvp",MIN((Skills!T16*(1+(Inputs!$B$34+(ArtifactsInput!$M$7-ArtifactsInput!$M$7)*CHOOSE(ArtifactsInput!$N$7+1,6,7.2,8.4,9.6,10.8,12))/100)),15)/15,MIN(1,(Skills!T16*(1+(Inputs!$B$34+(ArtifactsInput!$M$7-ArtifactsInput!$M$7)*CHOOSE(ArtifactsInput!$N$7+1,6,7.2,8.4,9.6,10.8,12))/100))/(1/Q1095)))))+((C1087=TRUE)*IF(Inputs!$B$3&gt;=126,10*MIN(1,15*Q1087),0))+((C1084=TRUE)*((100/10)*(INDEX(FactorTable!$B$2:$Y$301,MATCH(ROUND(MIN(300,MAX(1,MAX(0,(Inputs!$B$3-100)*3)+Inputs!$B$28+Inputs!$B$29)),0),FactorTable!$A$2:$A$301,0),22)/1000))*(1+IF(Inputs!$B$3&gt;=134,0.5,0))*MIN(1,10*(1+(Inputs!$B$34+(ArtifactsInput!$M$7-ArtifactsInput!$M$7)*CHOOSE(ArtifactsInput!$N$7+1,6,7.2,8.4,9.6,10.8,12))/100)*Q1084)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Skills!G13*IF(Skills!H13&gt;0,IF(Inputs!$B$38="pvp",MIN(Skills!I13,15),Skills!I13)/Skills!H13,1)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Skills!G14*IF(Skills!H14&gt;0,IF(Inputs!$B$38="pvp",MIN(Skills!I14,15),Skills!I14)/Skills!H14,1)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Skills!G15*IF(Skills!H15&gt;0,IF(Inputs!$B$38="pvp",MIN(Skills!I15,15),Skills!I15)/Skills!H15,1)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IFERROR(1/(IF(Inputs!$B$38="pvp",15,MAX(0.1,Skills!D15-IF(TRUE=TRUE,Inputs!$B$32,0)))*(1-IF(AND(ArtifactsInput!$M$27,Inputs!$B$4="Chapter Hunt"),CHOOSE(ArtifactsInput!$N$27+1,20,24,28,32,36,40),0)/100)),0)</f>
        <v/>
      </c>
      <c r="R1094">
        <f>IF(AND(Inputs!$B$38&lt;&gt;"pvp",Inputs!$B$43&gt;0),IF(Inputs!$B$43&lt;=0,0,(INT(Inputs!$B$43/(IF(Inputs!$B$38="pvp",15,MAX(0.1,Skills!D15-IF(TRUE=TRUE,Inputs!$B$32,0)))*(1-IF(AND(ArtifactsInput!$M$27,Inputs!$B$4="Chapter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Skills!G16*IF(Skills!H16&gt;0,IF(Inputs!$B$38="pvp",MIN(Skills!I16,15),Skills!I16)/Skills!H16,1)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IFERROR(1/(IF(Inputs!$B$38="pvp",15,MAX(0.1,Skills!D16-IF(TRUE=TRUE,Inputs!$B$32,0)))*(1-IF(AND(ArtifactsInput!$M$27,Inputs!$B$4="Chapter Hunt"),CHOOSE(ArtifactsInput!$N$27+1,20,24,28,32,36,40),0)/100)),0)</f>
        <v/>
      </c>
      <c r="R1095">
        <f>IF(AND(Inputs!$B$38&lt;&gt;"pvp",Inputs!$B$43&gt;0),IF(Inputs!$B$43&lt;=0,0,(INT(Inputs!$B$43/(IF(Inputs!$B$38="pvp",15,MAX(0.1,Skills!D16-IF(TRUE=TRUE,Inputs!$B$32,0)))*(1-IF(AND(ArtifactsInput!$M$27,Inputs!$B$4="Chapter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Skills!G17*IF(Skills!H17&gt;0,IF(Inputs!$B$38="pvp",MIN(Skills!I17,15),Skills!I17)/Skills!H17,1)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IFERROR(1/(IF(Inputs!$B$38="pvp",15,MAX(0.1,Skills!D17-IF(TRUE=TRUE,Inputs!$B$32,0)))*(1-IF(AND(ArtifactsInput!$M$27,Inputs!$B$4="Chapter Hunt"),CHOOSE(ArtifactsInput!$N$27+1,20,24,28,32,36,40),0)/100)),0)</f>
        <v/>
      </c>
      <c r="R1096">
        <f>IF(AND(Inputs!$B$38&lt;&gt;"pvp",Inputs!$B$43&gt;0),IF(Inputs!$B$43&lt;=0,0,(INT(Inputs!$B$43/(IF(Inputs!$B$38="pvp",15,MAX(0.1,Skills!D17-IF(TRUE=TRUE,Inputs!$B$32,0)))*(1-IF(AND(ArtifactsInput!$M$27,Inputs!$B$4="Chapter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Skills!G18*IF(Skills!H18&gt;0,IF(Inputs!$B$38="pvp",MIN(Skills!I18,15),Skills!I18)/Skills!H18,1)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IFERROR(1/(IF(Inputs!$B$38="pvp",15,MAX(0.1,Skills!D18-IF(TRUE=TRUE,Inputs!$B$32,0)))*(1-IF(AND(ArtifactsInput!$M$27,Inputs!$B$4="Chapter Hunt"),CHOOSE(ArtifactsInput!$N$27+1,20,24,28,32,36,40),0)/100)),0)</f>
        <v/>
      </c>
      <c r="R1097">
        <f>IF(AND(Inputs!$B$38&lt;&gt;"pvp",Inputs!$B$43&gt;0),IF(Inputs!$B$43&lt;=0,0,(INT(Inputs!$B$43/(IF(Inputs!$B$38="pvp",15,MAX(0.1,Skills!D18-IF(TRUE=TRUE,Inputs!$B$32,0)))*(1-IF(AND(ArtifactsInput!$M$27,Inputs!$B$4="Chapter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Skills!G19*IF(Skills!H19&gt;0,IF(Inputs!$B$38="pvp",MIN(Skills!I19,15),Skills!I19)/Skills!H19,1)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IFERROR(1/(IF(Inputs!$B$38="pvp",15,MAX(0.1,Skills!D19-IF(TRUE=TRUE,Inputs!$B$32,0)))*(1-IF(AND(ArtifactsInput!$M$27,Inputs!$B$4="Chapter Hunt"),CHOOSE(ArtifactsInput!$N$27+1,20,24,28,32,36,40),0)/100)),0)</f>
        <v/>
      </c>
      <c r="R1098">
        <f>IF(AND(Inputs!$B$38&lt;&gt;"pvp",Inputs!$B$43&gt;0),IF(Inputs!$B$43&lt;=0,0,(INT(Inputs!$B$43/(IF(Inputs!$B$38="pvp",15,MAX(0.1,Skills!D19-IF(TRUE=TRUE,Inputs!$B$32,0)))*(1-IF(AND(ArtifactsInput!$M$27,Inputs!$B$4="Chapter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Skills!G20*IF(Skills!H20&gt;0,IF(Inputs!$B$38="pvp",MIN(Skills!I20,15),Skills!I20)/Skills!H20,1)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Skills!G21*IF(Skills!H21&gt;0,IF(Inputs!$B$38="pvp",MIN(Skills!I21,15),Skills!I21)/Skills!H21,1)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Skills!G22*IF(Skills!H22&gt;0,IF(Inputs!$B$38="pvp",MIN(Skills!I22,15),Skills!I22)/Skills!H22,1)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Skills!G23*IF(Skills!H23&gt;0,IF(Inputs!$B$38="pvp",MIN(Skills!I23,15),Skills!I23)/Skills!H23,1)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Skills!G24*IF(Skills!H24&gt;0,IF(Inputs!$B$38="pvp",MIN(Skills!I24,15),Skills!I24)/Skills!H24,1)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Skills!G25*IF(Skills!H25&gt;0,IF(Inputs!$B$38="pvp",MIN(Skills!I25,15),Skills!I25)/Skills!H25,1)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Skills!G26*IF(Skills!H26&gt;0,IF(Inputs!$B$38="pvp",MIN(Skills!I26,15),Skills!I26)/Skills!H26,1)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118,8,IF(Inputs!$B$3&gt;=110,7,5)))+((C1094=TRUE)*F1094*IF(AND(Inputs!$B$38&lt;&gt;"pvp",Inputs!$B$43&gt;0),(((R1094-1)*MIN((Skills!T15*(1+(Inputs!$B$34+(ArtifactsInput!$M$7-ArtifactsInput!$M$7)*CHOOSE(ArtifactsInput!$N$7+1,6,7.2,8.4,9.6,10.8,12))/100)),(1/Q1094))+MIN((Skills!T15*(1+(Inputs!$B$34+(ArtifactsInput!$M$7-ArtifactsInput!$M$7)*CHOOSE(ArtifactsInput!$N$7+1,6,7.2,8.4,9.6,10.8,12))/100)),MAX(0,Inputs!$B$43-((R1094-1)*(1/Q1094)))))/Inputs!$B$43),IF(Inputs!$B$38="pvp",MIN((Skills!T15*(1+(Inputs!$B$34+(ArtifactsInput!$M$7-ArtifactsInput!$M$7)*CHOOSE(ArtifactsInput!$N$7+1,6,7.2,8.4,9.6,10.8,12))/100)),15)/15,MIN(1,(Skills!T15*(1+(Inputs!$B$34+(ArtifactsInput!$M$7-ArtifactsInput!$M$7)*CHOOSE(ArtifactsInput!$N$7+1,6,7.2,8.4,9.6,10.8,12))/100))/(1/Q1094)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MIN((Skills!T19*(1+(Inputs!$B$34+(ArtifactsInput!$M$7-ArtifactsInput!$M$7)*CHOOSE(ArtifactsInput!$N$7+1,6,7.2,8.4,9.6,10.8,12))/100)),(1/Q1098))+MIN((Skills!T19*(1+(Inputs!$B$34+(ArtifactsInput!$M$7-ArtifactsInput!$M$7)*CHOOSE(ArtifactsInput!$N$7+1,6,7.2,8.4,9.6,10.8,12))/100)),MAX(0,Inputs!$B$43-((R1098-1)*(1/Q1098)))))/Inputs!$B$43),IF(Inputs!$B$38="pvp",MIN((Skills!T19*(1+(Inputs!$B$34+(ArtifactsInput!$M$7-ArtifactsInput!$M$7)*CHOOSE(ArtifactsInput!$N$7+1,6,7.2,8.4,9.6,10.8,12))/100)),15)/15,MIN(1,(Skills!T19*(1+(Inputs!$B$34+(ArtifactsInput!$M$7-ArtifactsInput!$M$7)*CHOOSE(ArtifactsInput!$N$7+1,6,7.2,8.4,9.6,10.8,12))/100))/(1/Q1098)))))</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MIN((Skills!T18*(1+(Inputs!$B$34+(ArtifactsInput!$M$7-ArtifactsInput!$M$7)*CHOOSE(ArtifactsInput!$N$7+1,6,7.2,8.4,9.6,10.8,12))/100)),(1/Q1097))+MIN((Skills!T18*(1+(Inputs!$B$34+(ArtifactsInput!$M$7-ArtifactsInput!$M$7)*CHOOSE(ArtifactsInput!$N$7+1,6,7.2,8.4,9.6,10.8,12))/100)),MAX(0,Inputs!$B$43-((R1097-1)*(1/Q1097)))))/Inputs!$B$43),IF(Inputs!$B$38="pvp",MIN((Skills!T18*(1+(Inputs!$B$34+(ArtifactsInput!$M$7-ArtifactsInput!$M$7)*CHOOSE(ArtifactsInput!$N$7+1,6,7.2,8.4,9.6,10.8,12))/100)),15)/15,MIN(1,(Skills!T18*(1+(Inputs!$B$34+(ArtifactsInput!$M$7-ArtifactsInput!$M$7)*CHOOSE(ArtifactsInput!$N$7+1,6,7.2,8.4,9.6,10.8,12))/100))/(1/Q1097)))))</f>
        <v/>
      </c>
    </row>
    <row r="1114">
      <c r="A1114" t="inlineStr">
        <is>
          <t>Global Final Damage Bonus % (Enrage + Combo Synergy)</t>
        </is>
      </c>
      <c r="B1114">
        <f>((C1096=TRUE)*F1096*IF(AND(Inputs!$B$38&lt;&gt;"pvp",Inputs!$B$43&gt;0),(((R1096-1)*MIN((Skills!T17*(1+(Inputs!$B$34+(ArtifactsInput!$M$7-ArtifactsInput!$M$7)*CHOOSE(ArtifactsInput!$N$7+1,6,7.2,8.4,9.6,10.8,12))/100)),(1/Q1096))+MIN((Skills!T17*(1+(Inputs!$B$34+(ArtifactsInput!$M$7-ArtifactsInput!$M$7)*CHOOSE(ArtifactsInput!$N$7+1,6,7.2,8.4,9.6,10.8,12))/100)),MAX(0,Inputs!$B$43-((R1096-1)*(1/Q1096)))))/Inputs!$B$43),IF(Inputs!$B$38="pvp",MIN((Skills!T17*(1+(Inputs!$B$34+(ArtifactsInput!$M$7-ArtifactsInput!$M$7)*CHOOSE(ArtifactsInput!$N$7+1,6,7.2,8.4,9.6,10.8,12))/100)),15)/15,MIN(1,(Skills!T17*(1+(Inputs!$B$34+(ArtifactsInput!$M$7-ArtifactsInput!$M$7)*CHOOSE(ArtifactsInput!$N$7+1,6,7.2,8.4,9.6,10.8,12))/100))/(1/Q1096)))))+((C1093=TRUE)*F1093*IF(Inputs!$B$3&gt;=118,8,IF(Inputs!$B$3&gt;=110,7,5)))+IF(Inputs!$B$3&gt;=98,5,0)</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Skills!G2*IF(Skills!H2&gt;0,IF(Inputs!$B$38="pvp",MIN(Skills!I2,15),Skills!I2)/Skills!H2,1)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Skills!G5*IF(Skills!H5&gt;0,IF(Inputs!$B$38="pvp",MIN(Skills!I5,15),Skills!I5)/Skills!H5,1)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IFERROR(1/(IF(Inputs!$B$38="pvp",15,MAX(0.1,Skills!D5-IF(TRUE=TRUE,Inputs!$B$32,0)))*(1-IF(AND(ArtifactsInput!$M$27,Inputs!$B$4="Chapter Hunt"),CHOOSE(ArtifactsInput!$N$27+1,20,24,28,32,36,40),0)/100)),0)</f>
        <v/>
      </c>
      <c r="R1126">
        <f>IF(AND(Inputs!$B$38&lt;&gt;"pvp",Inputs!$B$43&gt;0),IF(MAX(0,Inputs!$B$43-B1157)&lt;=0,0,(INT(MAX(0,Inputs!$B$43-B1157)/(IF(Inputs!$B$38="pvp",15,MAX(0.1,Skills!D5-IF(TRUE=TRUE,Inputs!$B$32,0)))*(1-IF(AND(ArtifactsInput!$M$27,Inputs!$B$4="Chapter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$20+0+Skills!P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TRUE=TRUE,Inputs!$B$32,0)))*(1-IF(AND(ArtifactsInput!$M$27,Inputs!$B$4="Chapter Hunt"),CHOOSE(ArtifactsInput!$N$27+1,20,24,28,32,36,40),0)/100)))))/Skills!H5,1)))/Inputs!$B$43),G1126*Q1126))*IF(Inputs!$B$38="pvp",1,(1+(Inputs!$B$21+Skills!Q5+(((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Skills!G6*IF(Skills!H6&gt;0,IF(Inputs!$B$38="pvp",MIN(Skills!I6,15),Skills!I6)/Skills!H6,1)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IFERROR(1/(IF(Inputs!$B$38="pvp",15,MAX(0.1,Skills!D6-IF(TRUE=TRUE,Inputs!$B$32,0)))*(1-IF(AND(ArtifactsInput!$M$27,Inputs!$B$4="Chapter Hunt"),CHOOSE(ArtifactsInput!$N$27+1,20,24,28,32,36,40),0)/100)),0)</f>
        <v/>
      </c>
      <c r="R1127">
        <f>IF(AND(Inputs!$B$38&lt;&gt;"pvp",Inputs!$B$43&gt;0),IF(MAX(0,Inputs!$B$43-B1157)&lt;=0,0,(INT(MAX(0,Inputs!$B$43-B1157)/(IF(Inputs!$B$38="pvp",15,MAX(0.1,Skills!D6-IF(TRUE=TRUE,Inputs!$B$32,0)))*(1-IF(AND(ArtifactsInput!$M$27,Inputs!$B$4="Chapter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$20+0+Skills!P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TRUE=TRUE,Inputs!$B$32,0)))*(1-IF(AND(ArtifactsInput!$M$27,Inputs!$B$4="Chapter Hunt"),CHOOSE(ArtifactsInput!$N$27+1,20,24,28,32,36,40),0)/100)))))/Skills!H6,1)))/Inputs!$B$43),G1127*Q1127))*IF(Inputs!$B$38="pvp",1,(1+(Inputs!$B$21+Skills!Q6+(((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Skills!G7*IF(Skills!H7&gt;0,IF(Inputs!$B$38="pvp",MIN(Skills!I7,15),Skills!I7)/Skills!H7,1)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IFERROR(1/(IF(Inputs!$B$38="pvp",15,MAX(0.1,Skills!D7-IF(TRUE=TRUE,Inputs!$B$32,0)))*(1-IF(AND(ArtifactsInput!$M$27,Inputs!$B$4="Chapter Hunt"),CHOOSE(ArtifactsInput!$N$27+1,20,24,28,32,36,40),0)/100)),0)</f>
        <v/>
      </c>
      <c r="R1128">
        <f>IF(AND(Inputs!$B$38&lt;&gt;"pvp",Inputs!$B$43&gt;0),IF(MAX(0,Inputs!$B$43-B1157)&lt;=0,0,(INT(MAX(0,Inputs!$B$43-B1157)/(IF(Inputs!$B$38="pvp",15,MAX(0.1,Skills!D7-IF(TRUE=TRUE,Inputs!$B$32,0)))*(1-IF(AND(ArtifactsInput!$M$27,Inputs!$B$4="Chapter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$20+0+Skills!P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TRUE=TRUE,Inputs!$B$32,0)))*(1-IF(AND(ArtifactsInput!$M$27,Inputs!$B$4="Chapter Hunt"),CHOOSE(ArtifactsInput!$N$27+1,20,24,28,32,36,40),0)/100)))))/Skills!H7,1)))/Inputs!$B$43),G1128*Q1128))*IF(Inputs!$B$38="pvp",1,(1+(Inputs!$B$21+Skills!Q7+(((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Skills!G8*IF(Skills!H8&gt;0,IF(Inputs!$B$38="pvp",MIN(Skills!I8,15),Skills!I8)/Skills!H8,1)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IFERROR(1/(IF(Inputs!$B$38="pvp",15,MAX(0.1,Skills!D8-IF(TRUE=TRUE,Inputs!$B$32,0)))*(1-IF(AND(ArtifactsInput!$M$27,Inputs!$B$4="Chapter Hunt"),CHOOSE(ArtifactsInput!$N$27+1,20,24,28,32,36,40),0)/100)),0)</f>
        <v/>
      </c>
      <c r="R1129">
        <f>IF(AND(Inputs!$B$38&lt;&gt;"pvp",Inputs!$B$43&gt;0),IF(MAX(0,Inputs!$B$43-B1157)&lt;=0,0,(INT(MAX(0,Inputs!$B$43-B1157)/(IF(Inputs!$B$38="pvp",15,MAX(0.1,Skills!D8-IF(TRUE=TRUE,Inputs!$B$32,0)))*(1-IF(AND(ArtifactsInput!$M$27,Inputs!$B$4="Chapter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$20+0+Skills!P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TRUE=TRUE,Inputs!$B$32,0)))*(1-IF(AND(ArtifactsInput!$M$27,Inputs!$B$4="Chapter Hunt"),CHOOSE(ArtifactsInput!$N$27+1,20,24,28,32,36,40),0)/100)))))/Skills!H8,1)))/Inputs!$B$43),G1129*Q1129))*IF(Inputs!$B$38="pvp",1,(1+(Inputs!$B$21+Skills!Q8+(((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Skills!G9*IF(Skills!H9&gt;0,IF(Inputs!$B$38="pvp",MIN(Skills!I9,15),Skills!I9)/Skills!H9,1)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138,MAX(0,IF(Inputs!$B$3&gt;=118,8,IF(Inputs!$B$3&gt;=110,7,5))-5)*50,0),0)/100)*(1+(IF(Skills!A9="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IFERROR(1/(IF(Inputs!$B$38="pvp",15,MAX(0.1,Skills!D9-IF(TRUE=TRUE,Inputs!$B$32,0)))*(1-IF(AND(ArtifactsInput!$M$27,Inputs!$B$4="Chapter Hunt"),CHOOSE(ArtifactsInput!$N$27+1,20,24,28,32,36,40),0)/100)),0)</f>
        <v/>
      </c>
      <c r="R1130">
        <f>IF(AND(Inputs!$B$38&lt;&gt;"pvp",Inputs!$B$43&gt;0),IF(MAX(0,Inputs!$B$43-B1157)&lt;=0,0,(INT(MAX(0,Inputs!$B$43-B1157)/(IF(Inputs!$B$38="pvp",15,MAX(0.1,Skills!D9-IF(TRUE=TRUE,Inputs!$B$32,0)))*(1-IF(AND(ArtifactsInput!$M$27,Inputs!$B$4="Chapter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TRUE=TRUE,Inputs!$B$32,0)))*(1-IF(AND(ArtifactsInput!$M$27,Inputs!$B$4="Chapter Hunt"),CHOOSE(ArtifactsInput!$N$27+1,20,24,28,32,36,40),0)/100)))))/Skills!H9,1)))/Inputs!$B$43),G1130*Q1130))*IF(Inputs!$B$38="pvp",1,1+(Inputs!$B$20+0+Skills!P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TRUE=TRUE,Inputs!$B$32,0)))*(1-IF(AND(ArtifactsInput!$M$27,Inputs!$B$4="Chapter Hunt"),CHOOSE(ArtifactsInput!$N$27+1,20,24,28,32,36,40),0)/100)))))/Skills!H9,1)))/Inputs!$B$43),G1130*Q1130))*IF(Inputs!$B$38="pvp",1,(1+(Inputs!$B$21+Skills!Q9+(((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Skills!G10*IF(Skills!H10&gt;0,IF(Inputs!$B$38="pvp",MIN(Skills!I10,15),Skills!I10)/Skills!H10,1)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138,MAX(0,IF(Inputs!$B$3&gt;=118,8,IF(Inputs!$B$3&gt;=110,7,5))-5)*50,0),0)/100)*(1+(IF(Skills!A10="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IFERROR(1/(IF(Inputs!$B$38="pvp",15,MAX(0.1,Skills!D10-IF(TRUE=TRUE,Inputs!$B$32,0)))*(1-IF(AND(ArtifactsInput!$M$27,Inputs!$B$4="Chapter Hunt"),CHOOSE(ArtifactsInput!$N$27+1,20,24,28,32,36,40),0)/100)),0)</f>
        <v/>
      </c>
      <c r="R1131">
        <f>IF(AND(Inputs!$B$38&lt;&gt;"pvp",Inputs!$B$43&gt;0),IF(MAX(0,Inputs!$B$43-B1157)&lt;=0,0,(INT(MAX(0,Inputs!$B$43-B1157)/(IF(Inputs!$B$38="pvp",15,MAX(0.1,Skills!D10-IF(TRUE=TRUE,Inputs!$B$32,0)))*(1-IF(AND(ArtifactsInput!$M$27,Inputs!$B$4="Chapter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$20+0+Skills!P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TRUE=TRUE,Inputs!$B$32,0)))*(1-IF(AND(ArtifactsInput!$M$27,Inputs!$B$4="Chapter Hunt"),CHOOSE(ArtifactsInput!$N$27+1,20,24,28,32,36,40),0)/100)))))/Skills!H10,1)))/Inputs!$B$43),G1131*Q1131))*IF(Inputs!$B$38="pvp",1,(1+(Inputs!$B$21+Skills!Q10+(((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Skills!G11*IF(Skills!H11&gt;0,IF(Inputs!$B$38="pvp",MIN(Skills!I11,15),Skills!I11)/Skills!H11,1)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(100-(100-((Inputs!$B$19+0)))*(1-IF(Inputs!$B$3&gt;=130,IF(Inputs!$B$3&gt;=118,8,IF(Inputs!$B$3&gt;=110,7,5)),0)/100)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138,MAX(0,IF(Inputs!$B$3&gt;=118,8,IF(Inputs!$B$3&gt;=110,7,5))-5)*50,0),0)/100)*(1+(IF(Skills!A11="RAGING_BLOW",Inputs!$B$17+((C1142=TRUE)*(F1142-Calc!F21))+((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IFERROR(1/(IF(Inputs!$B$38="pvp",15,MAX(0.1,Skills!D11-IF(TRUE=TRUE,Inputs!$B$32,0)))*(1-IF(AND(ArtifactsInput!$M$27,Inputs!$B$4="Chapter Hunt"),CHOOSE(ArtifactsInput!$N$27+1,20,24,28,32,36,40),0)/100)),0)</f>
        <v/>
      </c>
      <c r="R1132">
        <f>IF(AND(Inputs!$B$38&lt;&gt;"pvp",Inputs!$B$43&gt;0),IF(MAX(0,Inputs!$B$43-B1157)&lt;=0,0,(INT(MAX(0,Inputs!$B$43-B1157)/(IF(Inputs!$B$38="pvp",15,MAX(0.1,Skills!D11-IF(TRUE=TRUE,Inputs!$B$32,0)))*(1-IF(AND(ArtifactsInput!$M$27,Inputs!$B$4="Chapter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$20+0+Skills!P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Inputs!$B$38&lt;&gt;"pvp",Inputs!$B$43=0),1,IF(IF(Inputs!$B$38="pvp",15,Inputs!$B$43)-(B1157)&lt;=0,1,MAX(0,IF(Inputs!$B$38="pvp",15,Inputs!$B$43)-MAX(5,B1157))/(IF(Inputs!$B$38="pvp",15,Inputs!$B$43)-(B1157)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TRUE=TRUE,Inputs!$B$32,0)))*(1-IF(AND(ArtifactsInput!$M$27,Inputs!$B$4="Chapter Hunt"),CHOOSE(ArtifactsInput!$N$27+1,20,24,28,32,36,40),0)/100)))))/Skills!H11,1)))/Inputs!$B$43),G1132*Q1132))*IF(Inputs!$B$38="pvp",1,(1+(Inputs!$B$21+Skills!Q11+(((C1137=TRUE)*F1137*(Skills!J16/100)*IF(AND(Inputs!$B$38&lt;&gt;"pvp",Inputs!$B$43&gt;0),(((R1137-1)*MIN((Skills!T16*(1+((Inputs!$B$34+1)+(ArtifactsInput!$M$7-ArtifactsInput!$M$7)*CHOOSE(ArtifactsInput!$N$7+1,6,7.2,8.4,9.6,10.8,12))/100)),(1/Q1137))+MIN((Skills!T16*(1+((Inputs!$B$34+1)+(ArtifactsInput!$M$7-ArtifactsInput!$M$7)*CHOOSE(ArtifactsInput!$N$7+1,6,7.2,8.4,9.6,10.8,12))/100)),MAX(0,Inputs!$B$43-((R1137-1)*(1/Q1137)))))/Inputs!$B$43),IF(Inputs!$B$38="pvp",MIN((Skills!T16*(1+((Inputs!$B$34+1)+(ArtifactsInput!$M$7-ArtifactsInput!$M$7)*CHOOSE(ArtifactsInput!$N$7+1,6,7.2,8.4,9.6,10.8,12))/100)),15)/15,MIN(1,(Skills!T16*(1+((Inputs!$B$34+1)+(ArtifactsInput!$M$7-ArtifactsInput!$M$7)*CHOOSE(ArtifactsInput!$N$7+1,6,7.2,8.4,9.6,10.8,12))/100))/(1/Q1137)))))+((C1129=TRUE)*IF(Inputs!$B$3&gt;=126,10*MIN(1,15*Q1129),0))+((C1126=TRUE)*((100/10)*(INDEX(FactorTable!$B$2:$Y$301,MATCH(ROUND(MIN(300,MAX(1,MAX(0,(Inputs!$B$3-100)*3)+Inputs!$B$28+Inputs!$B$29)),0),FactorTable!$A$2:$A$301,0),22)/1000))*(1+IF(Inputs!$B$3&gt;=134,0.5,0))*MIN(1,10*(1+((Inputs!$B$34+1)+(ArtifactsInput!$M$7-ArtifactsInput!$M$7)*CHOOSE(ArtifactsInput!$N$7+1,6,7.2,8.4,9.6,10.8,12))/100)*Q1126)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Skills!G13*IF(Skills!H13&gt;0,IF(Inputs!$B$38="pvp",MIN(Skills!I13,15),Skills!I13)/Skills!H13,1)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Skills!G14*IF(Skills!H14&gt;0,IF(Inputs!$B$38="pvp",MIN(Skills!I14,15),Skills!I14)/Skills!H14,1)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Skills!G15*IF(Skills!H15&gt;0,IF(Inputs!$B$38="pvp",MIN(Skills!I15,15),Skills!I15)/Skills!H15,1)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IFERROR(1/(IF(Inputs!$B$38="pvp",15,MAX(0.1,Skills!D15-IF(TRUE=TRUE,Inputs!$B$32,0)))*(1-IF(AND(ArtifactsInput!$M$27,Inputs!$B$4="Chapter Hunt"),CHOOSE(ArtifactsInput!$N$27+1,20,24,28,32,36,40),0)/100)),0)</f>
        <v/>
      </c>
      <c r="R1136">
        <f>IF(AND(Inputs!$B$38&lt;&gt;"pvp",Inputs!$B$43&gt;0),IF(Inputs!$B$43&lt;=0,0,(INT(Inputs!$B$43/(IF(Inputs!$B$38="pvp",15,MAX(0.1,Skills!D15-IF(TRUE=TRUE,Inputs!$B$32,0)))*(1-IF(AND(ArtifactsInput!$M$27,Inputs!$B$4="Chapter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Skills!G16*IF(Skills!H16&gt;0,IF(Inputs!$B$38="pvp",MIN(Skills!I16,15),Skills!I16)/Skills!H16,1)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IFERROR(1/(IF(Inputs!$B$38="pvp",15,MAX(0.1,Skills!D16-IF(TRUE=TRUE,Inputs!$B$32,0)))*(1-IF(AND(ArtifactsInput!$M$27,Inputs!$B$4="Chapter Hunt"),CHOOSE(ArtifactsInput!$N$27+1,20,24,28,32,36,40),0)/100)),0)</f>
        <v/>
      </c>
      <c r="R1137">
        <f>IF(AND(Inputs!$B$38&lt;&gt;"pvp",Inputs!$B$43&gt;0),IF(Inputs!$B$43&lt;=0,0,(INT(Inputs!$B$43/(IF(Inputs!$B$38="pvp",15,MAX(0.1,Skills!D16-IF(TRUE=TRUE,Inputs!$B$32,0)))*(1-IF(AND(ArtifactsInput!$M$27,Inputs!$B$4="Chapter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Skills!G17*IF(Skills!H17&gt;0,IF(Inputs!$B$38="pvp",MIN(Skills!I17,15),Skills!I17)/Skills!H17,1)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IFERROR(1/(IF(Inputs!$B$38="pvp",15,MAX(0.1,Skills!D17-IF(TRUE=TRUE,Inputs!$B$32,0)))*(1-IF(AND(ArtifactsInput!$M$27,Inputs!$B$4="Chapter Hunt"),CHOOSE(ArtifactsInput!$N$27+1,20,24,28,32,36,40),0)/100)),0)</f>
        <v/>
      </c>
      <c r="R1138">
        <f>IF(AND(Inputs!$B$38&lt;&gt;"pvp",Inputs!$B$43&gt;0),IF(Inputs!$B$43&lt;=0,0,(INT(Inputs!$B$43/(IF(Inputs!$B$38="pvp",15,MAX(0.1,Skills!D17-IF(TRUE=TRUE,Inputs!$B$32,0)))*(1-IF(AND(ArtifactsInput!$M$27,Inputs!$B$4="Chapter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Skills!G18*IF(Skills!H18&gt;0,IF(Inputs!$B$38="pvp",MIN(Skills!I18,15),Skills!I18)/Skills!H18,1)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IFERROR(1/(IF(Inputs!$B$38="pvp",15,MAX(0.1,Skills!D18-IF(TRUE=TRUE,Inputs!$B$32,0)))*(1-IF(AND(ArtifactsInput!$M$27,Inputs!$B$4="Chapter Hunt"),CHOOSE(ArtifactsInput!$N$27+1,20,24,28,32,36,40),0)/100)),0)</f>
        <v/>
      </c>
      <c r="R1139">
        <f>IF(AND(Inputs!$B$38&lt;&gt;"pvp",Inputs!$B$43&gt;0),IF(Inputs!$B$43&lt;=0,0,(INT(Inputs!$B$43/(IF(Inputs!$B$38="pvp",15,MAX(0.1,Skills!D18-IF(TRUE=TRUE,Inputs!$B$32,0)))*(1-IF(AND(ArtifactsInput!$M$27,Inputs!$B$4="Chapter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Skills!G19*IF(Skills!H19&gt;0,IF(Inputs!$B$38="pvp",MIN(Skills!I19,15),Skills!I19)/Skills!H19,1)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IFERROR(1/(IF(Inputs!$B$38="pvp",15,MAX(0.1,Skills!D19-IF(TRUE=TRUE,Inputs!$B$32,0)))*(1-IF(AND(ArtifactsInput!$M$27,Inputs!$B$4="Chapter Hunt"),CHOOSE(ArtifactsInput!$N$27+1,20,24,28,32,36,40),0)/100)),0)</f>
        <v/>
      </c>
      <c r="R1140">
        <f>IF(AND(Inputs!$B$38&lt;&gt;"pvp",Inputs!$B$43&gt;0),IF(Inputs!$B$43&lt;=0,0,(INT(Inputs!$B$43/(IF(Inputs!$B$38="pvp",15,MAX(0.1,Skills!D19-IF(TRUE=TRUE,Inputs!$B$32,0)))*(1-IF(AND(ArtifactsInput!$M$27,Inputs!$B$4="Chapter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Skills!G20*IF(Skills!H20&gt;0,IF(Inputs!$B$38="pvp",MIN(Skills!I20,15),Skills!I20)/Skills!H20,1)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Skills!G21*IF(Skills!H21&gt;0,IF(Inputs!$B$38="pvp",MIN(Skills!I21,15),Skills!I21)/Skills!H21,1)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Skills!G22*IF(Skills!H22&gt;0,IF(Inputs!$B$38="pvp",MIN(Skills!I22,15),Skills!I22)/Skills!H22,1)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Skills!G23*IF(Skills!H23&gt;0,IF(Inputs!$B$38="pvp",MIN(Skills!I23,15),Skills!I23)/Skills!H23,1)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Skills!G24*IF(Skills!H24&gt;0,IF(Inputs!$B$38="pvp",MIN(Skills!I24,15),Skills!I24)/Skills!H24,1)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Skills!G25*IF(Skills!H25&gt;0,IF(Inputs!$B$38="pvp",MIN(Skills!I25,15),Skills!I25)/Skills!H25,1)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Skills!G26*IF(Skills!H26&gt;0,IF(Inputs!$B$38="pvp",MIN(Skills!I26,15),Skills!I26)/Skills!H26,1)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118,8,IF(Inputs!$B$3&gt;=110,7,5)))+((C1136=TRUE)*F1136*IF(AND(Inputs!$B$38&lt;&gt;"pvp",Inputs!$B$43&gt;0),(((R1136-1)*MIN((Skills!T15*(1+((Inputs!$B$34+1)+(ArtifactsInput!$M$7-ArtifactsInput!$M$7)*CHOOSE(ArtifactsInput!$N$7+1,6,7.2,8.4,9.6,10.8,12))/100)),(1/Q1136))+MIN((Skills!T15*(1+((Inputs!$B$34+1)+(ArtifactsInput!$M$7-ArtifactsInput!$M$7)*CHOOSE(ArtifactsInput!$N$7+1,6,7.2,8.4,9.6,10.8,12))/100)),MAX(0,Inputs!$B$43-((R1136-1)*(1/Q1136)))))/Inputs!$B$43),IF(Inputs!$B$38="pvp",MIN((Skills!T15*(1+((Inputs!$B$34+1)+(ArtifactsInput!$M$7-ArtifactsInput!$M$7)*CHOOSE(ArtifactsInput!$N$7+1,6,7.2,8.4,9.6,10.8,12))/100)),15)/15,MIN(1,(Skills!T15*(1+((Inputs!$B$34+1)+(ArtifactsInput!$M$7-ArtifactsInput!$M$7)*CHOOSE(ArtifactsInput!$N$7+1,6,7.2,8.4,9.6,10.8,12))/100))/(1/Q1136)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MIN((Skills!T19*(1+((Inputs!$B$34+1)+(ArtifactsInput!$M$7-ArtifactsInput!$M$7)*CHOOSE(ArtifactsInput!$N$7+1,6,7.2,8.4,9.6,10.8,12))/100)),(1/Q1140))+MIN((Skills!T19*(1+((Inputs!$B$34+1)+(ArtifactsInput!$M$7-ArtifactsInput!$M$7)*CHOOSE(ArtifactsInput!$N$7+1,6,7.2,8.4,9.6,10.8,12))/100)),MAX(0,Inputs!$B$43-((R1140-1)*(1/Q1140)))))/Inputs!$B$43),IF(Inputs!$B$38="pvp",MIN((Skills!T19*(1+((Inputs!$B$34+1)+(ArtifactsInput!$M$7-ArtifactsInput!$M$7)*CHOOSE(ArtifactsInput!$N$7+1,6,7.2,8.4,9.6,10.8,12))/100)),15)/15,MIN(1,(Skills!T19*(1+((Inputs!$B$34+1)+(ArtifactsInput!$M$7-ArtifactsInput!$M$7)*CHOOSE(ArtifactsInput!$N$7+1,6,7.2,8.4,9.6,10.8,12))/100))/(1/Q1140)))))</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MIN((Skills!T18*(1+((Inputs!$B$34+1)+(ArtifactsInput!$M$7-ArtifactsInput!$M$7)*CHOOSE(ArtifactsInput!$N$7+1,6,7.2,8.4,9.6,10.8,12))/100)),(1/Q1139))+MIN((Skills!T18*(1+((Inputs!$B$34+1)+(ArtifactsInput!$M$7-ArtifactsInput!$M$7)*CHOOSE(ArtifactsInput!$N$7+1,6,7.2,8.4,9.6,10.8,12))/100)),MAX(0,Inputs!$B$43-((R1139-1)*(1/Q1139)))))/Inputs!$B$43),IF(Inputs!$B$38="pvp",MIN((Skills!T18*(1+((Inputs!$B$34+1)+(ArtifactsInput!$M$7-ArtifactsInput!$M$7)*CHOOSE(ArtifactsInput!$N$7+1,6,7.2,8.4,9.6,10.8,12))/100)),15)/15,MIN(1,(Skills!T18*(1+((Inputs!$B$34+1)+(ArtifactsInput!$M$7-ArtifactsInput!$M$7)*CHOOSE(ArtifactsInput!$N$7+1,6,7.2,8.4,9.6,10.8,12))/100))/(1/Q1139)))))</f>
        <v/>
      </c>
    </row>
    <row r="1156">
      <c r="A1156" t="inlineStr">
        <is>
          <t>Global Final Damage Bonus % (Enrage + Combo Synergy)</t>
        </is>
      </c>
      <c r="B1156">
        <f>((C1138=TRUE)*F1138*IF(AND(Inputs!$B$38&lt;&gt;"pvp",Inputs!$B$43&gt;0),(((R1138-1)*MIN((Skills!T17*(1+((Inputs!$B$34+1)+(ArtifactsInput!$M$7-ArtifactsInput!$M$7)*CHOOSE(ArtifactsInput!$N$7+1,6,7.2,8.4,9.6,10.8,12))/100)),(1/Q1138))+MIN((Skills!T17*(1+((Inputs!$B$34+1)+(ArtifactsInput!$M$7-ArtifactsInput!$M$7)*CHOOSE(ArtifactsInput!$N$7+1,6,7.2,8.4,9.6,10.8,12))/100)),MAX(0,Inputs!$B$43-((R1138-1)*(1/Q1138)))))/Inputs!$B$43),IF(Inputs!$B$38="pvp",MIN((Skills!T17*(1+((Inputs!$B$34+1)+(ArtifactsInput!$M$7-ArtifactsInput!$M$7)*CHOOSE(ArtifactsInput!$N$7+1,6,7.2,8.4,9.6,10.8,12))/100)),15)/15,MIN(1,(Skills!T17*(1+((Inputs!$B$34+1)+(ArtifactsInput!$M$7-ArtifactsInput!$M$7)*CHOOSE(ArtifactsInput!$N$7+1,6,7.2,8.4,9.6,10.8,12))/100))/(1/Q1138)))))+((C1135=TRUE)*F1135*IF(Inputs!$B$3&gt;=118,8,IF(Inputs!$B$3&gt;=110,7,5)))+IF(Inputs!$B$3&gt;=98,5,0)</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Skills!G2*IF(Skills!H2&gt;0,IF(Inputs!$B$38="pvp",MIN(Skills!I2,15),Skills!I2)/Skills!H2,1)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Skills!G5*IF(Skills!H5&gt;0,IF(Inputs!$B$38="pvp",MIN(Skills!I5,15),Skills!I5)/Skills!H5,1)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IFERROR(1/(IF(Inputs!$B$38="pvp",15,MAX(0.1,Skills!D5-IF(TRUE=TRUE,Inputs!$B$32,0)))*(1-IF(AND(ArtifactsInput!$M$27,Inputs!$B$4="Chapter Hunt"),CHOOSE(ArtifactsInput!$N$27+1,20,24,28,32,36,40),0)/100)),0)</f>
        <v/>
      </c>
      <c r="R1168">
        <f>IF(AND(Inputs!$B$38&lt;&gt;"pvp",Inputs!$B$43&gt;0),IF(MAX(0,Inputs!$B$43-B1199)&lt;=0,0,(INT(MAX(0,Inputs!$B$43-B1199)/(IF(Inputs!$B$38="pvp",15,MAX(0.1,Skills!D5-IF(TRUE=TRUE,Inputs!$B$32,0)))*(1-IF(AND(ArtifactsInput!$M$27,Inputs!$B$4="Chapter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$20+0+Skills!P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TRUE=TRUE,Inputs!$B$32,0)))*(1-IF(AND(ArtifactsInput!$M$27,Inputs!$B$4="Chapter Hunt"),CHOOSE(ArtifactsInput!$N$27+1,20,24,28,32,36,40),0)/100)))))/Skills!H5,1)))/Inputs!$B$43),G1168*Q1168))*IF(Inputs!$B$38="pvp",1,(1+(Inputs!$B$21+Skills!Q5+(((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Skills!G6*IF(Skills!H6&gt;0,IF(Inputs!$B$38="pvp",MIN(Skills!I6,15),Skills!I6)/Skills!H6,1)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IFERROR(1/(IF(Inputs!$B$38="pvp",15,MAX(0.1,Skills!D6-IF(TRUE=TRUE,Inputs!$B$32,0)))*(1-IF(AND(ArtifactsInput!$M$27,Inputs!$B$4="Chapter Hunt"),CHOOSE(ArtifactsInput!$N$27+1,20,24,28,32,36,40),0)/100)),0)</f>
        <v/>
      </c>
      <c r="R1169">
        <f>IF(AND(Inputs!$B$38&lt;&gt;"pvp",Inputs!$B$43&gt;0),IF(MAX(0,Inputs!$B$43-B1199)&lt;=0,0,(INT(MAX(0,Inputs!$B$43-B1199)/(IF(Inputs!$B$38="pvp",15,MAX(0.1,Skills!D6-IF(TRUE=TRUE,Inputs!$B$32,0)))*(1-IF(AND(ArtifactsInput!$M$27,Inputs!$B$4="Chapter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$20+0+Skills!P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TRUE=TRUE,Inputs!$B$32,0)))*(1-IF(AND(ArtifactsInput!$M$27,Inputs!$B$4="Chapter Hunt"),CHOOSE(ArtifactsInput!$N$27+1,20,24,28,32,36,40),0)/100)))))/Skills!H6,1)))/Inputs!$B$43),G1169*Q1169))*IF(Inputs!$B$38="pvp",1,(1+(Inputs!$B$21+Skills!Q6+(((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Skills!G7*IF(Skills!H7&gt;0,IF(Inputs!$B$38="pvp",MIN(Skills!I7,15),Skills!I7)/Skills!H7,1)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IFERROR(1/(IF(Inputs!$B$38="pvp",15,MAX(0.1,Skills!D7-IF(TRUE=TRUE,Inputs!$B$32,0)))*(1-IF(AND(ArtifactsInput!$M$27,Inputs!$B$4="Chapter Hunt"),CHOOSE(ArtifactsInput!$N$27+1,20,24,28,32,36,40),0)/100)),0)</f>
        <v/>
      </c>
      <c r="R1170">
        <f>IF(AND(Inputs!$B$38&lt;&gt;"pvp",Inputs!$B$43&gt;0),IF(MAX(0,Inputs!$B$43-B1199)&lt;=0,0,(INT(MAX(0,Inputs!$B$43-B1199)/(IF(Inputs!$B$38="pvp",15,MAX(0.1,Skills!D7-IF(TRUE=TRUE,Inputs!$B$32,0)))*(1-IF(AND(ArtifactsInput!$M$27,Inputs!$B$4="Chapter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$20+0+Skills!P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TRUE=TRUE,Inputs!$B$32,0)))*(1-IF(AND(ArtifactsInput!$M$27,Inputs!$B$4="Chapter Hunt"),CHOOSE(ArtifactsInput!$N$27+1,20,24,28,32,36,40),0)/100)))))/Skills!H7,1)))/Inputs!$B$43),G1170*Q1170))*IF(Inputs!$B$38="pvp",1,(1+(Inputs!$B$21+Skills!Q7+(((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Skills!G8*IF(Skills!H8&gt;0,IF(Inputs!$B$38="pvp",MIN(Skills!I8,15),Skills!I8)/Skills!H8,1)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IFERROR(1/(IF(Inputs!$B$38="pvp",15,MAX(0.1,Skills!D8-IF(TRUE=TRUE,Inputs!$B$32,0)))*(1-IF(AND(ArtifactsInput!$M$27,Inputs!$B$4="Chapter Hunt"),CHOOSE(ArtifactsInput!$N$27+1,20,24,28,32,36,40),0)/100)),0)</f>
        <v/>
      </c>
      <c r="R1171">
        <f>IF(AND(Inputs!$B$38&lt;&gt;"pvp",Inputs!$B$43&gt;0),IF(MAX(0,Inputs!$B$43-B1199)&lt;=0,0,(INT(MAX(0,Inputs!$B$43-B1199)/(IF(Inputs!$B$38="pvp",15,MAX(0.1,Skills!D8-IF(TRUE=TRUE,Inputs!$B$32,0)))*(1-IF(AND(ArtifactsInput!$M$27,Inputs!$B$4="Chapter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$20+0+Skills!P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TRUE=TRUE,Inputs!$B$32,0)))*(1-IF(AND(ArtifactsInput!$M$27,Inputs!$B$4="Chapter Hunt"),CHOOSE(ArtifactsInput!$N$27+1,20,24,28,32,36,40),0)/100)))))/Skills!H8,1)))/Inputs!$B$43),G1171*Q1171))*IF(Inputs!$B$38="pvp",1,(1+(Inputs!$B$21+Skills!Q8+(((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Skills!G9*IF(Skills!H9&gt;0,IF(Inputs!$B$38="pvp",MIN(Skills!I9,15),Skills!I9)/Skills!H9,1)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138,MAX(0,IF(Inputs!$B$3&gt;=118,8,IF(Inputs!$B$3&gt;=110,7,5))-5)*50,0),0)/100)*(1+(IF(Skills!A9="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IFERROR(1/(IF(Inputs!$B$38="pvp",15,MAX(0.1,Skills!D9-IF(TRUE=TRUE,Inputs!$B$32,0)))*(1-IF(AND(ArtifactsInput!$M$27,Inputs!$B$4="Chapter Hunt"),CHOOSE(ArtifactsInput!$N$27+1,20,24,28,32,36,40),0)/100)),0)</f>
        <v/>
      </c>
      <c r="R1172">
        <f>IF(AND(Inputs!$B$38&lt;&gt;"pvp",Inputs!$B$43&gt;0),IF(MAX(0,Inputs!$B$43-B1199)&lt;=0,0,(INT(MAX(0,Inputs!$B$43-B1199)/(IF(Inputs!$B$38="pvp",15,MAX(0.1,Skills!D9-IF(TRUE=TRUE,Inputs!$B$32,0)))*(1-IF(AND(ArtifactsInput!$M$27,Inputs!$B$4="Chapter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TRUE=TRUE,Inputs!$B$32,0)))*(1-IF(AND(ArtifactsInput!$M$27,Inputs!$B$4="Chapter Hunt"),CHOOSE(ArtifactsInput!$N$27+1,20,24,28,32,36,40),0)/100)))))/Skills!H9,1)))/Inputs!$B$43),G1172*Q1172))*IF(Inputs!$B$38="pvp",1,1+(Inputs!$B$20+0+Skills!P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TRUE=TRUE,Inputs!$B$32,0)))*(1-IF(AND(ArtifactsInput!$M$27,Inputs!$B$4="Chapter Hunt"),CHOOSE(ArtifactsInput!$N$27+1,20,24,28,32,36,40),0)/100)))))/Skills!H9,1)))/Inputs!$B$43),G1172*Q1172))*IF(Inputs!$B$38="pvp",1,(1+(Inputs!$B$21+Skills!Q9+(((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Skills!G10*IF(Skills!H10&gt;0,IF(Inputs!$B$38="pvp",MIN(Skills!I10,15),Skills!I10)/Skills!H10,1)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138,MAX(0,IF(Inputs!$B$3&gt;=118,8,IF(Inputs!$B$3&gt;=110,7,5))-5)*50,0),0)/100)*(1+(IF(Skills!A10="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IFERROR(1/(IF(Inputs!$B$38="pvp",15,MAX(0.1,Skills!D10-IF(TRUE=TRUE,Inputs!$B$32,0)))*(1-IF(AND(ArtifactsInput!$M$27,Inputs!$B$4="Chapter Hunt"),CHOOSE(ArtifactsInput!$N$27+1,20,24,28,32,36,40),0)/100)),0)</f>
        <v/>
      </c>
      <c r="R1173">
        <f>IF(AND(Inputs!$B$38&lt;&gt;"pvp",Inputs!$B$43&gt;0),IF(MAX(0,Inputs!$B$43-B1199)&lt;=0,0,(INT(MAX(0,Inputs!$B$43-B1199)/(IF(Inputs!$B$38="pvp",15,MAX(0.1,Skills!D10-IF(TRUE=TRUE,Inputs!$B$32,0)))*(1-IF(AND(ArtifactsInput!$M$27,Inputs!$B$4="Chapter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$20+0+Skills!P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TRUE=TRUE,Inputs!$B$32,0)))*(1-IF(AND(ArtifactsInput!$M$27,Inputs!$B$4="Chapter Hunt"),CHOOSE(ArtifactsInput!$N$27+1,20,24,28,32,36,40),0)/100)))))/Skills!H10,1)))/Inputs!$B$43),G1173*Q1173))*IF(Inputs!$B$38="pvp",1,(1+(Inputs!$B$21+Skills!Q10+(((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Skills!G11*IF(Skills!H11&gt;0,IF(Inputs!$B$38="pvp",MIN(Skills!I11,15),Skills!I11)/Skills!H11,1)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(100-(100-((Inputs!$B$19+0)))*(1-IF(Inputs!$B$3&gt;=130,IF(Inputs!$B$3&gt;=118,8,IF(Inputs!$B$3&gt;=110,7,5)),0)/100)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138,MAX(0,IF(Inputs!$B$3&gt;=118,8,IF(Inputs!$B$3&gt;=110,7,5))-5)*50,0),0)/100)*(1+(IF(Skills!A11="RAGING_BLOW",Inputs!$B$17+((C1184=TRUE)*(F1184-Calc!F21))+((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IFERROR(1/(IF(Inputs!$B$38="pvp",15,MAX(0.1,Skills!D11-IF(TRUE=TRUE,Inputs!$B$32,0)))*(1-IF(AND(ArtifactsInput!$M$27,Inputs!$B$4="Chapter Hunt"),CHOOSE(ArtifactsInput!$N$27+1,20,24,28,32,36,40),0)/100)),0)</f>
        <v/>
      </c>
      <c r="R1174">
        <f>IF(AND(Inputs!$B$38&lt;&gt;"pvp",Inputs!$B$43&gt;0),IF(MAX(0,Inputs!$B$43-B1199)&lt;=0,0,(INT(MAX(0,Inputs!$B$43-B1199)/(IF(Inputs!$B$38="pvp",15,MAX(0.1,Skills!D11-IF(TRUE=TRUE,Inputs!$B$32,0)))*(1-IF(AND(ArtifactsInput!$M$27,Inputs!$B$4="Chapter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$20+0+Skills!P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Inputs!$B$38&lt;&gt;"pvp",Inputs!$B$43=0),1,IF(IF(Inputs!$B$38="pvp",15,Inputs!$B$43)-(B1199)&lt;=0,1,MAX(0,IF(Inputs!$B$38="pvp",15,Inputs!$B$43)-MAX(5,B1199))/(IF(Inputs!$B$38="pvp",15,Inputs!$B$43)-(B1199)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TRUE=TRUE,Inputs!$B$32,0)))*(1-IF(AND(ArtifactsInput!$M$27,Inputs!$B$4="Chapter Hunt"),CHOOSE(ArtifactsInput!$N$27+1,20,24,28,32,36,40),0)/100)))))/Skills!H11,1)))/Inputs!$B$43),G1174*Q1174))*IF(Inputs!$B$38="pvp",1,(1+(Inputs!$B$21+Skills!Q11+(((C1179=TRUE)*F1179*(Skills!J16/100)*IF(AND(Inputs!$B$38&lt;&gt;"pvp",Inputs!$B$43&gt;0),(((R1179-1)*MIN((Skills!T16*(1+(Inputs!$B$34+(ArtifactsInput!$M$7-ArtifactsInput!$M$7)*CHOOSE(ArtifactsInput!$N$7+1,6,7.2,8.4,9.6,10.8,12))/100)),(1/Q1179))+MIN((Skills!T16*(1+(Inputs!$B$34+(ArtifactsInput!$M$7-ArtifactsInput!$M$7)*CHOOSE(ArtifactsInput!$N$7+1,6,7.2,8.4,9.6,10.8,12))/100)),MAX(0,Inputs!$B$43-((R1179-1)*(1/Q1179)))))/Inputs!$B$43),IF(Inputs!$B$38="pvp",MIN((Skills!T16*(1+(Inputs!$B$34+(ArtifactsInput!$M$7-ArtifactsInput!$M$7)*CHOOSE(ArtifactsInput!$N$7+1,6,7.2,8.4,9.6,10.8,12))/100)),15)/15,MIN(1,(Skills!T16*(1+(Inputs!$B$34+(ArtifactsInput!$M$7-ArtifactsInput!$M$7)*CHOOSE(ArtifactsInput!$N$7+1,6,7.2,8.4,9.6,10.8,12))/100))/(1/Q1179)))))+((C1171=TRUE)*IF(Inputs!$B$3&gt;=126,10*MIN(1,15*Q1171),0))+((C1168=TRUE)*((100/10)*(INDEX(FactorTable!$B$2:$Y$301,MATCH(ROUND(MIN(300,MAX(1,MAX(0,(Inputs!$B$3-100)*3)+Inputs!$B$28+Inputs!$B$29)),0),FactorTable!$A$2:$A$301,0),22)/1000))*(1+IF(Inputs!$B$3&gt;=134,0.5,0))*MIN(1,10*(1+(Inputs!$B$34+(ArtifactsInput!$M$7-ArtifactsInput!$M$7)*CHOOSE(ArtifactsInput!$N$7+1,6,7.2,8.4,9.6,10.8,12))/100)*Q1168)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Skills!G13*IF(Skills!H13&gt;0,IF(Inputs!$B$38="pvp",MIN(Skills!I13,15),Skills!I13)/Skills!H13,1)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Skills!G14*IF(Skills!H14&gt;0,IF(Inputs!$B$38="pvp",MIN(Skills!I14,15),Skills!I14)/Skills!H14,1)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Skills!G15*IF(Skills!H15&gt;0,IF(Inputs!$B$38="pvp",MIN(Skills!I15,15),Skills!I15)/Skills!H15,1)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IFERROR(1/(IF(Inputs!$B$38="pvp",15,MAX(0.1,Skills!D15-IF(TRUE=TRUE,Inputs!$B$32,0)))*(1-IF(AND(ArtifactsInput!$M$27,Inputs!$B$4="Chapter Hunt"),CHOOSE(ArtifactsInput!$N$27+1,20,24,28,32,36,40),0)/100)),0)</f>
        <v/>
      </c>
      <c r="R1178">
        <f>IF(AND(Inputs!$B$38&lt;&gt;"pvp",Inputs!$B$43&gt;0),IF(Inputs!$B$43&lt;=0,0,(INT(Inputs!$B$43/(IF(Inputs!$B$38="pvp",15,MAX(0.1,Skills!D15-IF(TRUE=TRUE,Inputs!$B$32,0)))*(1-IF(AND(ArtifactsInput!$M$27,Inputs!$B$4="Chapter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Skills!G16*IF(Skills!H16&gt;0,IF(Inputs!$B$38="pvp",MIN(Skills!I16,15),Skills!I16)/Skills!H16,1)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IFERROR(1/(IF(Inputs!$B$38="pvp",15,MAX(0.1,Skills!D16-IF(TRUE=TRUE,Inputs!$B$32,0)))*(1-IF(AND(ArtifactsInput!$M$27,Inputs!$B$4="Chapter Hunt"),CHOOSE(ArtifactsInput!$N$27+1,20,24,28,32,36,40),0)/100)),0)</f>
        <v/>
      </c>
      <c r="R1179">
        <f>IF(AND(Inputs!$B$38&lt;&gt;"pvp",Inputs!$B$43&gt;0),IF(Inputs!$B$43&lt;=0,0,(INT(Inputs!$B$43/(IF(Inputs!$B$38="pvp",15,MAX(0.1,Skills!D16-IF(TRUE=TRUE,Inputs!$B$32,0)))*(1-IF(AND(ArtifactsInput!$M$27,Inputs!$B$4="Chapter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Skills!G17*IF(Skills!H17&gt;0,IF(Inputs!$B$38="pvp",MIN(Skills!I17,15),Skills!I17)/Skills!H17,1)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IFERROR(1/(IF(Inputs!$B$38="pvp",15,MAX(0.1,Skills!D17-IF(TRUE=TRUE,Inputs!$B$32,0)))*(1-IF(AND(ArtifactsInput!$M$27,Inputs!$B$4="Chapter Hunt"),CHOOSE(ArtifactsInput!$N$27+1,20,24,28,32,36,40),0)/100)),0)</f>
        <v/>
      </c>
      <c r="R1180">
        <f>IF(AND(Inputs!$B$38&lt;&gt;"pvp",Inputs!$B$43&gt;0),IF(Inputs!$B$43&lt;=0,0,(INT(Inputs!$B$43/(IF(Inputs!$B$38="pvp",15,MAX(0.1,Skills!D17-IF(TRUE=TRUE,Inputs!$B$32,0)))*(1-IF(AND(ArtifactsInput!$M$27,Inputs!$B$4="Chapter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Skills!G18*IF(Skills!H18&gt;0,IF(Inputs!$B$38="pvp",MIN(Skills!I18,15),Skills!I18)/Skills!H18,1)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IFERROR(1/(IF(Inputs!$B$38="pvp",15,MAX(0.1,Skills!D18-IF(TRUE=TRUE,Inputs!$B$32,0)))*(1-IF(AND(ArtifactsInput!$M$27,Inputs!$B$4="Chapter Hunt"),CHOOSE(ArtifactsInput!$N$27+1,20,24,28,32,36,40),0)/100)),0)</f>
        <v/>
      </c>
      <c r="R1181">
        <f>IF(AND(Inputs!$B$38&lt;&gt;"pvp",Inputs!$B$43&gt;0),IF(Inputs!$B$43&lt;=0,0,(INT(Inputs!$B$43/(IF(Inputs!$B$38="pvp",15,MAX(0.1,Skills!D18-IF(TRUE=TRUE,Inputs!$B$32,0)))*(1-IF(AND(ArtifactsInput!$M$27,Inputs!$B$4="Chapter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Skills!G19*IF(Skills!H19&gt;0,IF(Inputs!$B$38="pvp",MIN(Skills!I19,15),Skills!I19)/Skills!H19,1)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IFERROR(1/(IF(Inputs!$B$38="pvp",15,MAX(0.1,Skills!D19-IF(TRUE=TRUE,Inputs!$B$32,0)))*(1-IF(AND(ArtifactsInput!$M$27,Inputs!$B$4="Chapter Hunt"),CHOOSE(ArtifactsInput!$N$27+1,20,24,28,32,36,40),0)/100)),0)</f>
        <v/>
      </c>
      <c r="R1182">
        <f>IF(AND(Inputs!$B$38&lt;&gt;"pvp",Inputs!$B$43&gt;0),IF(Inputs!$B$43&lt;=0,0,(INT(Inputs!$B$43/(IF(Inputs!$B$38="pvp",15,MAX(0.1,Skills!D19-IF(TRUE=TRUE,Inputs!$B$32,0)))*(1-IF(AND(ArtifactsInput!$M$27,Inputs!$B$4="Chapter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Skills!G20*IF(Skills!H20&gt;0,IF(Inputs!$B$38="pvp",MIN(Skills!I20,15),Skills!I20)/Skills!H20,1)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Skills!G21*IF(Skills!H21&gt;0,IF(Inputs!$B$38="pvp",MIN(Skills!I21,15),Skills!I21)/Skills!H21,1)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Skills!G22*IF(Skills!H22&gt;0,IF(Inputs!$B$38="pvp",MIN(Skills!I22,15),Skills!I22)/Skills!H22,1)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Skills!G23*IF(Skills!H23&gt;0,IF(Inputs!$B$38="pvp",MIN(Skills!I23,15),Skills!I23)/Skills!H23,1)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Skills!G24*IF(Skills!H24&gt;0,IF(Inputs!$B$38="pvp",MIN(Skills!I24,15),Skills!I24)/Skills!H24,1)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Skills!G25*IF(Skills!H25&gt;0,IF(Inputs!$B$38="pvp",MIN(Skills!I25,15),Skills!I25)/Skills!H25,1)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Skills!G26*IF(Skills!H26&gt;0,IF(Inputs!$B$38="pvp",MIN(Skills!I26,15),Skills!I26)/Skills!H26,1)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118,8,IF(Inputs!$B$3&gt;=110,7,5)))+((C1178=TRUE)*F1178*IF(AND(Inputs!$B$38&lt;&gt;"pvp",Inputs!$B$43&gt;0),(((R1178-1)*MIN((Skills!T15*(1+(Inputs!$B$34+(ArtifactsInput!$M$7-ArtifactsInput!$M$7)*CHOOSE(ArtifactsInput!$N$7+1,6,7.2,8.4,9.6,10.8,12))/100)),(1/Q1178))+MIN((Skills!T15*(1+(Inputs!$B$34+(ArtifactsInput!$M$7-ArtifactsInput!$M$7)*CHOOSE(ArtifactsInput!$N$7+1,6,7.2,8.4,9.6,10.8,12))/100)),MAX(0,Inputs!$B$43-((R1178-1)*(1/Q1178)))))/Inputs!$B$43),IF(Inputs!$B$38="pvp",MIN((Skills!T15*(1+(Inputs!$B$34+(ArtifactsInput!$M$7-ArtifactsInput!$M$7)*CHOOSE(ArtifactsInput!$N$7+1,6,7.2,8.4,9.6,10.8,12))/100)),15)/15,MIN(1,(Skills!T15*(1+(Inputs!$B$34+(ArtifactsInput!$M$7-ArtifactsInput!$M$7)*CHOOSE(ArtifactsInput!$N$7+1,6,7.2,8.4,9.6,10.8,12))/100))/(1/Q1178)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MIN((Skills!T19*(1+(Inputs!$B$34+(ArtifactsInput!$M$7-ArtifactsInput!$M$7)*CHOOSE(ArtifactsInput!$N$7+1,6,7.2,8.4,9.6,10.8,12))/100)),(1/Q1182))+MIN((Skills!T19*(1+(Inputs!$B$34+(ArtifactsInput!$M$7-ArtifactsInput!$M$7)*CHOOSE(ArtifactsInput!$N$7+1,6,7.2,8.4,9.6,10.8,12))/100)),MAX(0,Inputs!$B$43-((R1182-1)*(1/Q1182)))))/Inputs!$B$43),IF(Inputs!$B$38="pvp",MIN((Skills!T19*(1+(Inputs!$B$34+(ArtifactsInput!$M$7-ArtifactsInput!$M$7)*CHOOSE(ArtifactsInput!$N$7+1,6,7.2,8.4,9.6,10.8,12))/100)),15)/15,MIN(1,(Skills!T19*(1+(Inputs!$B$34+(ArtifactsInput!$M$7-ArtifactsInput!$M$7)*CHOOSE(ArtifactsInput!$N$7+1,6,7.2,8.4,9.6,10.8,12))/100))/(1/Q1182)))))</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MIN((Skills!T18*(1+(Inputs!$B$34+(ArtifactsInput!$M$7-ArtifactsInput!$M$7)*CHOOSE(ArtifactsInput!$N$7+1,6,7.2,8.4,9.6,10.8,12))/100)),(1/Q1181))+MIN((Skills!T18*(1+(Inputs!$B$34+(ArtifactsInput!$M$7-ArtifactsInput!$M$7)*CHOOSE(ArtifactsInput!$N$7+1,6,7.2,8.4,9.6,10.8,12))/100)),MAX(0,Inputs!$B$43-((R1181-1)*(1/Q1181)))))/Inputs!$B$43),IF(Inputs!$B$38="pvp",MIN((Skills!T18*(1+(Inputs!$B$34+(ArtifactsInput!$M$7-ArtifactsInput!$M$7)*CHOOSE(ArtifactsInput!$N$7+1,6,7.2,8.4,9.6,10.8,12))/100)),15)/15,MIN(1,(Skills!T18*(1+(Inputs!$B$34+(ArtifactsInput!$M$7-ArtifactsInput!$M$7)*CHOOSE(ArtifactsInput!$N$7+1,6,7.2,8.4,9.6,10.8,12))/100))/(1/Q1181)))))</f>
        <v/>
      </c>
    </row>
    <row r="1198">
      <c r="A1198" t="inlineStr">
        <is>
          <t>Global Final Damage Bonus % (Enrage + Combo Synergy)</t>
        </is>
      </c>
      <c r="B1198">
        <f>((C1180=TRUE)*F1180*IF(AND(Inputs!$B$38&lt;&gt;"pvp",Inputs!$B$43&gt;0),(((R1180-1)*MIN((Skills!T17*(1+(Inputs!$B$34+(ArtifactsInput!$M$7-ArtifactsInput!$M$7)*CHOOSE(ArtifactsInput!$N$7+1,6,7.2,8.4,9.6,10.8,12))/100)),(1/Q1180))+MIN((Skills!T17*(1+(Inputs!$B$34+(ArtifactsInput!$M$7-ArtifactsInput!$M$7)*CHOOSE(ArtifactsInput!$N$7+1,6,7.2,8.4,9.6,10.8,12))/100)),MAX(0,Inputs!$B$43-((R1180-1)*(1/Q1180)))))/Inputs!$B$43),IF(Inputs!$B$38="pvp",MIN((Skills!T17*(1+(Inputs!$B$34+(ArtifactsInput!$M$7-ArtifactsInput!$M$7)*CHOOSE(ArtifactsInput!$N$7+1,6,7.2,8.4,9.6,10.8,12))/100)),15)/15,MIN(1,(Skills!T17*(1+(Inputs!$B$34+(ArtifactsInput!$M$7-ArtifactsInput!$M$7)*CHOOSE(ArtifactsInput!$N$7+1,6,7.2,8.4,9.6,10.8,12))/100))/(1/Q1180)))))+((C1177=TRUE)*F1177*IF(Inputs!$B$3&gt;=118,8,IF(Inputs!$B$3&gt;=110,7,5)))+IF(Inputs!$B$3&gt;=98,5,0)</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Skills!G2*IF(Skills!H2&gt;0,IF(Inputs!$B$38="pvp",MIN(Skills!I2,15),Skills!I2)/Skills!H2,1)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Skills!G5*IF(Skills!H5&gt;0,IF(Inputs!$B$38="pvp",MIN(Skills!I5,15),Skills!I5)/Skills!H5,1)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IFERROR(1/(IF(Inputs!$B$38="pvp",15,MAX(0.1,Skills!D5-IF(TRUE=TRUE,Inputs!$B$32,0)))*(1-IF(AND(ArtifactsInput!$M$27,Inputs!$B$4="Chapter Hunt"),CHOOSE(ArtifactsInput!$N$27+1,20,24,28,32,36,40),0)/100)),0)</f>
        <v/>
      </c>
      <c r="R1210">
        <f>IF(AND(Inputs!$B$38&lt;&gt;"pvp",Inputs!$B$43&gt;0),IF(MAX(0,Inputs!$B$43-B1241)&lt;=0,0,(INT(MAX(0,Inputs!$B$43-B1241)/(IF(Inputs!$B$38="pvp",15,MAX(0.1,Skills!D5-IF(TRUE=TRUE,Inputs!$B$32,0)))*(1-IF(AND(ArtifactsInput!$M$27,Inputs!$B$4="Chapter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$20+0+Skills!P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TRUE=TRUE,Inputs!$B$32,0)))*(1-IF(AND(ArtifactsInput!$M$27,Inputs!$B$4="Chapter Hunt"),CHOOSE(ArtifactsInput!$N$27+1,20,24,28,32,36,40),0)/100)))))/Skills!H5,1)))/Inputs!$B$43),G1210*Q1210))*IF(Inputs!$B$38="pvp",1,(1+(Inputs!$B$21+Skills!Q5+(((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Skills!G6*IF(Skills!H6&gt;0,IF(Inputs!$B$38="pvp",MIN(Skills!I6,15),Skills!I6)/Skills!H6,1)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IFERROR(1/(IF(Inputs!$B$38="pvp",15,MAX(0.1,Skills!D6-IF(TRUE=TRUE,Inputs!$B$32,0)))*(1-IF(AND(ArtifactsInput!$M$27,Inputs!$B$4="Chapter Hunt"),CHOOSE(ArtifactsInput!$N$27+1,20,24,28,32,36,40),0)/100)),0)</f>
        <v/>
      </c>
      <c r="R1211">
        <f>IF(AND(Inputs!$B$38&lt;&gt;"pvp",Inputs!$B$43&gt;0),IF(MAX(0,Inputs!$B$43-B1241)&lt;=0,0,(INT(MAX(0,Inputs!$B$43-B1241)/(IF(Inputs!$B$38="pvp",15,MAX(0.1,Skills!D6-IF(TRUE=TRUE,Inputs!$B$32,0)))*(1-IF(AND(ArtifactsInput!$M$27,Inputs!$B$4="Chapter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$20+0+Skills!P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TRUE=TRUE,Inputs!$B$32,0)))*(1-IF(AND(ArtifactsInput!$M$27,Inputs!$B$4="Chapter Hunt"),CHOOSE(ArtifactsInput!$N$27+1,20,24,28,32,36,40),0)/100)))))/Skills!H6,1)))/Inputs!$B$43),G1211*Q1211))*IF(Inputs!$B$38="pvp",1,(1+(Inputs!$B$21+Skills!Q6+(((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Skills!G7*IF(Skills!H7&gt;0,IF(Inputs!$B$38="pvp",MIN(Skills!I7,15),Skills!I7)/Skills!H7,1)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IFERROR(1/(IF(Inputs!$B$38="pvp",15,MAX(0.1,Skills!D7-IF(TRUE=TRUE,Inputs!$B$32,0)))*(1-IF(AND(ArtifactsInput!$M$27,Inputs!$B$4="Chapter Hunt"),CHOOSE(ArtifactsInput!$N$27+1,20,24,28,32,36,40),0)/100)),0)</f>
        <v/>
      </c>
      <c r="R1212">
        <f>IF(AND(Inputs!$B$38&lt;&gt;"pvp",Inputs!$B$43&gt;0),IF(MAX(0,Inputs!$B$43-B1241)&lt;=0,0,(INT(MAX(0,Inputs!$B$43-B1241)/(IF(Inputs!$B$38="pvp",15,MAX(0.1,Skills!D7-IF(TRUE=TRUE,Inputs!$B$32,0)))*(1-IF(AND(ArtifactsInput!$M$27,Inputs!$B$4="Chapter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$20+0+Skills!P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TRUE=TRUE,Inputs!$B$32,0)))*(1-IF(AND(ArtifactsInput!$M$27,Inputs!$B$4="Chapter Hunt"),CHOOSE(ArtifactsInput!$N$27+1,20,24,28,32,36,40),0)/100)))))/Skills!H7,1)))/Inputs!$B$43),G1212*Q1212))*IF(Inputs!$B$38="pvp",1,(1+(Inputs!$B$21+Skills!Q7+(((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Skills!G8*IF(Skills!H8&gt;0,IF(Inputs!$B$38="pvp",MIN(Skills!I8,15),Skills!I8)/Skills!H8,1)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IFERROR(1/(IF(Inputs!$B$38="pvp",15,MAX(0.1,Skills!D8-IF(TRUE=TRUE,Inputs!$B$32,0)))*(1-IF(AND(ArtifactsInput!$M$27,Inputs!$B$4="Chapter Hunt"),CHOOSE(ArtifactsInput!$N$27+1,20,24,28,32,36,40),0)/100)),0)</f>
        <v/>
      </c>
      <c r="R1213">
        <f>IF(AND(Inputs!$B$38&lt;&gt;"pvp",Inputs!$B$43&gt;0),IF(MAX(0,Inputs!$B$43-B1241)&lt;=0,0,(INT(MAX(0,Inputs!$B$43-B1241)/(IF(Inputs!$B$38="pvp",15,MAX(0.1,Skills!D8-IF(TRUE=TRUE,Inputs!$B$32,0)))*(1-IF(AND(ArtifactsInput!$M$27,Inputs!$B$4="Chapter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$20+0+Skills!P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TRUE=TRUE,Inputs!$B$32,0)))*(1-IF(AND(ArtifactsInput!$M$27,Inputs!$B$4="Chapter Hunt"),CHOOSE(ArtifactsInput!$N$27+1,20,24,28,32,36,40),0)/100)))))/Skills!H8,1)))/Inputs!$B$43),G1213*Q1213))*IF(Inputs!$B$38="pvp",1,(1+(Inputs!$B$21+Skills!Q8+(((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Skills!G9*IF(Skills!H9&gt;0,IF(Inputs!$B$38="pvp",MIN(Skills!I9,15),Skills!I9)/Skills!H9,1)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138,MAX(0,IF(Inputs!$B$3&gt;=118,8,IF(Inputs!$B$3&gt;=110,7,5))-5)*50,0),0)/100)*(1+(IF(Skills!A9="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IFERROR(1/(IF(Inputs!$B$38="pvp",15,MAX(0.1,Skills!D9-IF(TRUE=TRUE,Inputs!$B$32,0)))*(1-IF(AND(ArtifactsInput!$M$27,Inputs!$B$4="Chapter Hunt"),CHOOSE(ArtifactsInput!$N$27+1,20,24,28,32,36,40),0)/100)),0)</f>
        <v/>
      </c>
      <c r="R1214">
        <f>IF(AND(Inputs!$B$38&lt;&gt;"pvp",Inputs!$B$43&gt;0),IF(MAX(0,Inputs!$B$43-B1241)&lt;=0,0,(INT(MAX(0,Inputs!$B$43-B1241)/(IF(Inputs!$B$38="pvp",15,MAX(0.1,Skills!D9-IF(TRUE=TRUE,Inputs!$B$32,0)))*(1-IF(AND(ArtifactsInput!$M$27,Inputs!$B$4="Chapter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TRUE=TRUE,Inputs!$B$32,0)))*(1-IF(AND(ArtifactsInput!$M$27,Inputs!$B$4="Chapter Hunt"),CHOOSE(ArtifactsInput!$N$27+1,20,24,28,32,36,40),0)/100)))))/Skills!H9,1)))/Inputs!$B$43),G1214*Q1214))*IF(Inputs!$B$38="pvp",1,1+(Inputs!$B$20+0+Skills!P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TRUE=TRUE,Inputs!$B$32,0)))*(1-IF(AND(ArtifactsInput!$M$27,Inputs!$B$4="Chapter Hunt"),CHOOSE(ArtifactsInput!$N$27+1,20,24,28,32,36,40),0)/100)))))/Skills!H9,1)))/Inputs!$B$43),G1214*Q1214))*IF(Inputs!$B$38="pvp",1,(1+(Inputs!$B$21+Skills!Q9+(((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Skills!G10*IF(Skills!H10&gt;0,IF(Inputs!$B$38="pvp",MIN(Skills!I10,15),Skills!I10)/Skills!H10,1)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138,MAX(0,IF(Inputs!$B$3&gt;=118,8,IF(Inputs!$B$3&gt;=110,7,5))-5)*50,0),0)/100)*(1+(IF(Skills!A10="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IFERROR(1/(IF(Inputs!$B$38="pvp",15,MAX(0.1,Skills!D10-IF(TRUE=TRUE,Inputs!$B$32,0)))*(1-IF(AND(ArtifactsInput!$M$27,Inputs!$B$4="Chapter Hunt"),CHOOSE(ArtifactsInput!$N$27+1,20,24,28,32,36,40),0)/100)),0)</f>
        <v/>
      </c>
      <c r="R1215">
        <f>IF(AND(Inputs!$B$38&lt;&gt;"pvp",Inputs!$B$43&gt;0),IF(MAX(0,Inputs!$B$43-B1241)&lt;=0,0,(INT(MAX(0,Inputs!$B$43-B1241)/(IF(Inputs!$B$38="pvp",15,MAX(0.1,Skills!D10-IF(TRUE=TRUE,Inputs!$B$32,0)))*(1-IF(AND(ArtifactsInput!$M$27,Inputs!$B$4="Chapter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$20+0+Skills!P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TRUE=TRUE,Inputs!$B$32,0)))*(1-IF(AND(ArtifactsInput!$M$27,Inputs!$B$4="Chapter Hunt"),CHOOSE(ArtifactsInput!$N$27+1,20,24,28,32,36,40),0)/100)))))/Skills!H10,1)))/Inputs!$B$43),G1215*Q1215))*IF(Inputs!$B$38="pvp",1,(1+(Inputs!$B$21+Skills!Q10+(((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Skills!G11*IF(Skills!H11&gt;0,IF(Inputs!$B$38="pvp",MIN(Skills!I11,15),Skills!I11)/Skills!H11,1)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(100-(100-((Inputs!$B$19+0)))*(1-IF(Inputs!$B$3&gt;=130,IF(Inputs!$B$3&gt;=118,8,IF(Inputs!$B$3&gt;=110,7,5)),0)/100)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138,MAX(0,IF(Inputs!$B$3&gt;=118,8,IF(Inputs!$B$3&gt;=110,7,5))-5)*50,0),0)/100)*(1+(IF(Skills!A11="RAGING_BLOW",Inputs!$B$17+((C1226=TRUE)*(F1226-Calc!F21))+((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IFERROR(1/(IF(Inputs!$B$38="pvp",15,MAX(0.1,Skills!D11-IF(TRUE=TRUE,Inputs!$B$32,0)))*(1-IF(AND(ArtifactsInput!$M$27,Inputs!$B$4="Chapter Hunt"),CHOOSE(ArtifactsInput!$N$27+1,20,24,28,32,36,40),0)/100)),0)</f>
        <v/>
      </c>
      <c r="R1216">
        <f>IF(AND(Inputs!$B$38&lt;&gt;"pvp",Inputs!$B$43&gt;0),IF(MAX(0,Inputs!$B$43-B1241)&lt;=0,0,(INT(MAX(0,Inputs!$B$43-B1241)/(IF(Inputs!$B$38="pvp",15,MAX(0.1,Skills!D11-IF(TRUE=TRUE,Inputs!$B$32,0)))*(1-IF(AND(ArtifactsInput!$M$27,Inputs!$B$4="Chapter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$20+0+Skills!P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Inputs!$B$38&lt;&gt;"pvp",Inputs!$B$43=0),1,IF(IF(Inputs!$B$38="pvp",15,Inputs!$B$43)-(B1241)&lt;=0,1,MAX(0,IF(Inputs!$B$38="pvp",15,Inputs!$B$43)-MAX(5,B1241))/(IF(Inputs!$B$38="pvp",15,Inputs!$B$43)-(B1241)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TRUE=TRUE,Inputs!$B$32,0)))*(1-IF(AND(ArtifactsInput!$M$27,Inputs!$B$4="Chapter Hunt"),CHOOSE(ArtifactsInput!$N$27+1,20,24,28,32,36,40),0)/100)))))/Skills!H11,1)))/Inputs!$B$43),G1216*Q1216))*IF(Inputs!$B$38="pvp",1,(1+(Inputs!$B$21+Skills!Q11+(((C1221=TRUE)*F1221*(Skills!J16/100)*IF(AND(Inputs!$B$38&lt;&gt;"pvp",Inputs!$B$43&gt;0),(((R1221-1)*MIN((Skills!T16*(1+(Inputs!$B$34+(ArtifactsInput!$M$7-ArtifactsInput!$M$7)*CHOOSE(ArtifactsInput!$N$7+1,6,7.2,8.4,9.6,10.8,12))/100)),(1/Q1221))+MIN((Skills!T16*(1+(Inputs!$B$34+(ArtifactsInput!$M$7-ArtifactsInput!$M$7)*CHOOSE(ArtifactsInput!$N$7+1,6,7.2,8.4,9.6,10.8,12))/100)),MAX(0,Inputs!$B$43-((R1221-1)*(1/Q1221)))))/Inputs!$B$43),IF(Inputs!$B$38="pvp",MIN((Skills!T16*(1+(Inputs!$B$34+(ArtifactsInput!$M$7-ArtifactsInput!$M$7)*CHOOSE(ArtifactsInput!$N$7+1,6,7.2,8.4,9.6,10.8,12))/100)),15)/15,MIN(1,(Skills!T16*(1+(Inputs!$B$34+(ArtifactsInput!$M$7-ArtifactsInput!$M$7)*CHOOSE(ArtifactsInput!$N$7+1,6,7.2,8.4,9.6,10.8,12))/100))/(1/Q1221)))))+((C1213=TRUE)*IF(Inputs!$B$3&gt;=126,10*MIN(1,15*Q1213),0))+((C1210=TRUE)*((100/10)*(INDEX(FactorTable!$B$2:$Y$301,MATCH(ROUND(MIN(300,MAX(1,MAX(0,(Inputs!$B$3-100)*3)+Inputs!$B$28+Inputs!$B$29)),0),FactorTable!$A$2:$A$301,0),22)/1000))*(1+IF(Inputs!$B$3&gt;=134,0.5,0))*MIN(1,10*(1+(Inputs!$B$34+(ArtifactsInput!$M$7-ArtifactsInput!$M$7)*CHOOSE(ArtifactsInput!$N$7+1,6,7.2,8.4,9.6,10.8,12))/100)*Q1210)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Skills!G13*IF(Skills!H13&gt;0,IF(Inputs!$B$38="pvp",MIN(Skills!I13,15),Skills!I13)/Skills!H13,1)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Skills!G14*IF(Skills!H14&gt;0,IF(Inputs!$B$38="pvp",MIN(Skills!I14,15),Skills!I14)/Skills!H14,1)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Skills!G15*IF(Skills!H15&gt;0,IF(Inputs!$B$38="pvp",MIN(Skills!I15,15),Skills!I15)/Skills!H15,1)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IFERROR(1/(IF(Inputs!$B$38="pvp",15,MAX(0.1,Skills!D15-IF(TRUE=TRUE,Inputs!$B$32,0)))*(1-IF(AND(ArtifactsInput!$M$27,Inputs!$B$4="Chapter Hunt"),CHOOSE(ArtifactsInput!$N$27+1,20,24,28,32,36,40),0)/100)),0)</f>
        <v/>
      </c>
      <c r="R1220">
        <f>IF(AND(Inputs!$B$38&lt;&gt;"pvp",Inputs!$B$43&gt;0),IF(Inputs!$B$43&lt;=0,0,(INT(Inputs!$B$43/(IF(Inputs!$B$38="pvp",15,MAX(0.1,Skills!D15-IF(TRUE=TRUE,Inputs!$B$32,0)))*(1-IF(AND(ArtifactsInput!$M$27,Inputs!$B$4="Chapter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Skills!G16*IF(Skills!H16&gt;0,IF(Inputs!$B$38="pvp",MIN(Skills!I16,15),Skills!I16)/Skills!H16,1)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IFERROR(1/(IF(Inputs!$B$38="pvp",15,MAX(0.1,Skills!D16-IF(TRUE=TRUE,Inputs!$B$32,0)))*(1-IF(AND(ArtifactsInput!$M$27,Inputs!$B$4="Chapter Hunt"),CHOOSE(ArtifactsInput!$N$27+1,20,24,28,32,36,40),0)/100)),0)</f>
        <v/>
      </c>
      <c r="R1221">
        <f>IF(AND(Inputs!$B$38&lt;&gt;"pvp",Inputs!$B$43&gt;0),IF(Inputs!$B$43&lt;=0,0,(INT(Inputs!$B$43/(IF(Inputs!$B$38="pvp",15,MAX(0.1,Skills!D16-IF(TRUE=TRUE,Inputs!$B$32,0)))*(1-IF(AND(ArtifactsInput!$M$27,Inputs!$B$4="Chapter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Skills!G17*IF(Skills!H17&gt;0,IF(Inputs!$B$38="pvp",MIN(Skills!I17,15),Skills!I17)/Skills!H17,1)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IFERROR(1/(IF(Inputs!$B$38="pvp",15,MAX(0.1,Skills!D17-IF(TRUE=TRUE,Inputs!$B$32,0)))*(1-IF(AND(ArtifactsInput!$M$27,Inputs!$B$4="Chapter Hunt"),CHOOSE(ArtifactsInput!$N$27+1,20,24,28,32,36,40),0)/100)),0)</f>
        <v/>
      </c>
      <c r="R1222">
        <f>IF(AND(Inputs!$B$38&lt;&gt;"pvp",Inputs!$B$43&gt;0),IF(Inputs!$B$43&lt;=0,0,(INT(Inputs!$B$43/(IF(Inputs!$B$38="pvp",15,MAX(0.1,Skills!D17-IF(TRUE=TRUE,Inputs!$B$32,0)))*(1-IF(AND(ArtifactsInput!$M$27,Inputs!$B$4="Chapter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Skills!G18*IF(Skills!H18&gt;0,IF(Inputs!$B$38="pvp",MIN(Skills!I18,15),Skills!I18)/Skills!H18,1)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IFERROR(1/(IF(Inputs!$B$38="pvp",15,MAX(0.1,Skills!D18-IF(TRUE=TRUE,Inputs!$B$32,0)))*(1-IF(AND(ArtifactsInput!$M$27,Inputs!$B$4="Chapter Hunt"),CHOOSE(ArtifactsInput!$N$27+1,20,24,28,32,36,40),0)/100)),0)</f>
        <v/>
      </c>
      <c r="R1223">
        <f>IF(AND(Inputs!$B$38&lt;&gt;"pvp",Inputs!$B$43&gt;0),IF(Inputs!$B$43&lt;=0,0,(INT(Inputs!$B$43/(IF(Inputs!$B$38="pvp",15,MAX(0.1,Skills!D18-IF(TRUE=TRUE,Inputs!$B$32,0)))*(1-IF(AND(ArtifactsInput!$M$27,Inputs!$B$4="Chapter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Skills!G19*IF(Skills!H19&gt;0,IF(Inputs!$B$38="pvp",MIN(Skills!I19,15),Skills!I19)/Skills!H19,1)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IFERROR(1/(IF(Inputs!$B$38="pvp",15,MAX(0.1,Skills!D19-IF(TRUE=TRUE,Inputs!$B$32,0)))*(1-IF(AND(ArtifactsInput!$M$27,Inputs!$B$4="Chapter Hunt"),CHOOSE(ArtifactsInput!$N$27+1,20,24,28,32,36,40),0)/100)),0)</f>
        <v/>
      </c>
      <c r="R1224">
        <f>IF(AND(Inputs!$B$38&lt;&gt;"pvp",Inputs!$B$43&gt;0),IF(Inputs!$B$43&lt;=0,0,(INT(Inputs!$B$43/(IF(Inputs!$B$38="pvp",15,MAX(0.1,Skills!D19-IF(TRUE=TRUE,Inputs!$B$32,0)))*(1-IF(AND(ArtifactsInput!$M$27,Inputs!$B$4="Chapter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Skills!G20*IF(Skills!H20&gt;0,IF(Inputs!$B$38="pvp",MIN(Skills!I20,15),Skills!I20)/Skills!H20,1)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Skills!G21*IF(Skills!H21&gt;0,IF(Inputs!$B$38="pvp",MIN(Skills!I21,15),Skills!I21)/Skills!H21,1)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Skills!G22*IF(Skills!H22&gt;0,IF(Inputs!$B$38="pvp",MIN(Skills!I22,15),Skills!I22)/Skills!H22,1)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Skills!G23*IF(Skills!H23&gt;0,IF(Inputs!$B$38="pvp",MIN(Skills!I23,15),Skills!I23)/Skills!H23,1)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Skills!G24*IF(Skills!H24&gt;0,IF(Inputs!$B$38="pvp",MIN(Skills!I24,15),Skills!I24)/Skills!H24,1)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Skills!G25*IF(Skills!H25&gt;0,IF(Inputs!$B$38="pvp",MIN(Skills!I25,15),Skills!I25)/Skills!H25,1)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Skills!G26*IF(Skills!H26&gt;0,IF(Inputs!$B$38="pvp",MIN(Skills!I26,15),Skills!I26)/Skills!H26,1)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118,8,IF(Inputs!$B$3&gt;=110,7,5)))+((C1220=TRUE)*F1220*IF(AND(Inputs!$B$38&lt;&gt;"pvp",Inputs!$B$43&gt;0),(((R1220-1)*MIN((Skills!T15*(1+(Inputs!$B$34+(ArtifactsInput!$M$7-ArtifactsInput!$M$7)*CHOOSE(ArtifactsInput!$N$7+1,6,7.2,8.4,9.6,10.8,12))/100)),(1/Q1220))+MIN((Skills!T15*(1+(Inputs!$B$34+(ArtifactsInput!$M$7-ArtifactsInput!$M$7)*CHOOSE(ArtifactsInput!$N$7+1,6,7.2,8.4,9.6,10.8,12))/100)),MAX(0,Inputs!$B$43-((R1220-1)*(1/Q1220)))))/Inputs!$B$43),IF(Inputs!$B$38="pvp",MIN((Skills!T15*(1+(Inputs!$B$34+(ArtifactsInput!$M$7-ArtifactsInput!$M$7)*CHOOSE(ArtifactsInput!$N$7+1,6,7.2,8.4,9.6,10.8,12))/100)),15)/15,MIN(1,(Skills!T15*(1+(Inputs!$B$34+(ArtifactsInput!$M$7-ArtifactsInput!$M$7)*CHOOSE(ArtifactsInput!$N$7+1,6,7.2,8.4,9.6,10.8,12))/100))/(1/Q1220)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MIN((Skills!T19*(1+(Inputs!$B$34+(ArtifactsInput!$M$7-ArtifactsInput!$M$7)*CHOOSE(ArtifactsInput!$N$7+1,6,7.2,8.4,9.6,10.8,12))/100)),(1/Q1224))+MIN((Skills!T19*(1+(Inputs!$B$34+(ArtifactsInput!$M$7-ArtifactsInput!$M$7)*CHOOSE(ArtifactsInput!$N$7+1,6,7.2,8.4,9.6,10.8,12))/100)),MAX(0,Inputs!$B$43-((R1224-1)*(1/Q1224)))))/Inputs!$B$43),IF(Inputs!$B$38="pvp",MIN((Skills!T19*(1+(Inputs!$B$34+(ArtifactsInput!$M$7-ArtifactsInput!$M$7)*CHOOSE(ArtifactsInput!$N$7+1,6,7.2,8.4,9.6,10.8,12))/100)),15)/15,MIN(1,(Skills!T19*(1+(Inputs!$B$34+(ArtifactsInput!$M$7-ArtifactsInput!$M$7)*CHOOSE(ArtifactsInput!$N$7+1,6,7.2,8.4,9.6,10.8,12))/100))/(1/Q1224)))))</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MIN((Skills!T18*(1+(Inputs!$B$34+(ArtifactsInput!$M$7-ArtifactsInput!$M$7)*CHOOSE(ArtifactsInput!$N$7+1,6,7.2,8.4,9.6,10.8,12))/100)),(1/Q1223))+MIN((Skills!T18*(1+(Inputs!$B$34+(ArtifactsInput!$M$7-ArtifactsInput!$M$7)*CHOOSE(ArtifactsInput!$N$7+1,6,7.2,8.4,9.6,10.8,12))/100)),MAX(0,Inputs!$B$43-((R1223-1)*(1/Q1223)))))/Inputs!$B$43),IF(Inputs!$B$38="pvp",MIN((Skills!T18*(1+(Inputs!$B$34+(ArtifactsInput!$M$7-ArtifactsInput!$M$7)*CHOOSE(ArtifactsInput!$N$7+1,6,7.2,8.4,9.6,10.8,12))/100)),15)/15,MIN(1,(Skills!T18*(1+(Inputs!$B$34+(ArtifactsInput!$M$7-ArtifactsInput!$M$7)*CHOOSE(ArtifactsInput!$N$7+1,6,7.2,8.4,9.6,10.8,12))/100))/(1/Q1223)))))</f>
        <v/>
      </c>
    </row>
    <row r="1240">
      <c r="A1240" t="inlineStr">
        <is>
          <t>Global Final Damage Bonus % (Enrage + Combo Synergy)</t>
        </is>
      </c>
      <c r="B1240">
        <f>((C1222=TRUE)*F1222*IF(AND(Inputs!$B$38&lt;&gt;"pvp",Inputs!$B$43&gt;0),(((R1222-1)*MIN((Skills!T17*(1+(Inputs!$B$34+(ArtifactsInput!$M$7-ArtifactsInput!$M$7)*CHOOSE(ArtifactsInput!$N$7+1,6,7.2,8.4,9.6,10.8,12))/100)),(1/Q1222))+MIN((Skills!T17*(1+(Inputs!$B$34+(ArtifactsInput!$M$7-ArtifactsInput!$M$7)*CHOOSE(ArtifactsInput!$N$7+1,6,7.2,8.4,9.6,10.8,12))/100)),MAX(0,Inputs!$B$43-((R1222-1)*(1/Q1222)))))/Inputs!$B$43),IF(Inputs!$B$38="pvp",MIN((Skills!T17*(1+(Inputs!$B$34+(ArtifactsInput!$M$7-ArtifactsInput!$M$7)*CHOOSE(ArtifactsInput!$N$7+1,6,7.2,8.4,9.6,10.8,12))/100)),15)/15,MIN(1,(Skills!T17*(1+(Inputs!$B$34+(ArtifactsInput!$M$7-ArtifactsInput!$M$7)*CHOOSE(ArtifactsInput!$N$7+1,6,7.2,8.4,9.6,10.8,12))/100))/(1/Q1222)))))+((C1219=TRUE)*F1219*IF(Inputs!$B$3&gt;=118,8,IF(Inputs!$B$3&gt;=110,7,5)))+IF(Inputs!$B$3&gt;=98,5,0)</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Skills!G2*IF(Skills!H2&gt;0,IF(Inputs!$B$38="pvp",MIN(Skills!I2,15),Skills!I2)/Skills!H2,1)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Skills!G5*IF(Skills!H5&gt;0,IF(Inputs!$B$38="pvp",MIN(Skills!I5,15),Skills!I5)/Skills!H5,1)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IFERROR(1/(IF(Inputs!$B$38="pvp",15,MAX(0.1,Skills!D5-IF(TRUE=TRUE,Inputs!$B$32,0)))*(1-IF(AND(ArtifactsInput!$M$27,Inputs!$B$4="Chapter Hunt"),CHOOSE(ArtifactsInput!$N$27+1,20,24,28,32,36,40),0)/100)),0)</f>
        <v/>
      </c>
      <c r="R1252">
        <f>IF(AND(Inputs!$B$38&lt;&gt;"pvp",Inputs!$B$43&gt;0),IF(MAX(0,Inputs!$B$43-B1283)&lt;=0,0,(INT(MAX(0,Inputs!$B$43-B1283)/(IF(Inputs!$B$38="pvp",15,MAX(0.1,Skills!D5-IF(TRUE=TRUE,Inputs!$B$32,0)))*(1-IF(AND(ArtifactsInput!$M$27,Inputs!$B$4="Chapter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$20+0+Skills!P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TRUE=TRUE,Inputs!$B$32,0)))*(1-IF(AND(ArtifactsInput!$M$27,Inputs!$B$4="Chapter Hunt"),CHOOSE(ArtifactsInput!$N$27+1,20,24,28,32,36,40),0)/100)))))/Skills!H5,1)))/Inputs!$B$43),G1252*Q1252))*IF(Inputs!$B$38="pvp",1,(1+(Inputs!$B$21+Skills!Q5+(((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Skills!G6*IF(Skills!H6&gt;0,IF(Inputs!$B$38="pvp",MIN(Skills!I6,15),Skills!I6)/Skills!H6,1)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IFERROR(1/(IF(Inputs!$B$38="pvp",15,MAX(0.1,Skills!D6-IF(TRUE=TRUE,Inputs!$B$32,0)))*(1-IF(AND(ArtifactsInput!$M$27,Inputs!$B$4="Chapter Hunt"),CHOOSE(ArtifactsInput!$N$27+1,20,24,28,32,36,40),0)/100)),0)</f>
        <v/>
      </c>
      <c r="R1253">
        <f>IF(AND(Inputs!$B$38&lt;&gt;"pvp",Inputs!$B$43&gt;0),IF(MAX(0,Inputs!$B$43-B1283)&lt;=0,0,(INT(MAX(0,Inputs!$B$43-B1283)/(IF(Inputs!$B$38="pvp",15,MAX(0.1,Skills!D6-IF(TRUE=TRUE,Inputs!$B$32,0)))*(1-IF(AND(ArtifactsInput!$M$27,Inputs!$B$4="Chapter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$20+0+Skills!P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TRUE=TRUE,Inputs!$B$32,0)))*(1-IF(AND(ArtifactsInput!$M$27,Inputs!$B$4="Chapter Hunt"),CHOOSE(ArtifactsInput!$N$27+1,20,24,28,32,36,40),0)/100)))))/Skills!H6,1)))/Inputs!$B$43),G1253*Q1253))*IF(Inputs!$B$38="pvp",1,(1+(Inputs!$B$21+Skills!Q6+(((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Skills!G7*IF(Skills!H7&gt;0,IF(Inputs!$B$38="pvp",MIN(Skills!I7,15),Skills!I7)/Skills!H7,1)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IFERROR(1/(IF(Inputs!$B$38="pvp",15,MAX(0.1,Skills!D7-IF(TRUE=TRUE,Inputs!$B$32,0)))*(1-IF(AND(ArtifactsInput!$M$27,Inputs!$B$4="Chapter Hunt"),CHOOSE(ArtifactsInput!$N$27+1,20,24,28,32,36,40),0)/100)),0)</f>
        <v/>
      </c>
      <c r="R1254">
        <f>IF(AND(Inputs!$B$38&lt;&gt;"pvp",Inputs!$B$43&gt;0),IF(MAX(0,Inputs!$B$43-B1283)&lt;=0,0,(INT(MAX(0,Inputs!$B$43-B1283)/(IF(Inputs!$B$38="pvp",15,MAX(0.1,Skills!D7-IF(TRUE=TRUE,Inputs!$B$32,0)))*(1-IF(AND(ArtifactsInput!$M$27,Inputs!$B$4="Chapter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$20+0+Skills!P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TRUE=TRUE,Inputs!$B$32,0)))*(1-IF(AND(ArtifactsInput!$M$27,Inputs!$B$4="Chapter Hunt"),CHOOSE(ArtifactsInput!$N$27+1,20,24,28,32,36,40),0)/100)))))/Skills!H7,1)))/Inputs!$B$43),G1254*Q1254))*IF(Inputs!$B$38="pvp",1,(1+(Inputs!$B$21+Skills!Q7+(((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Skills!G8*IF(Skills!H8&gt;0,IF(Inputs!$B$38="pvp",MIN(Skills!I8,15),Skills!I8)/Skills!H8,1)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IFERROR(1/(IF(Inputs!$B$38="pvp",15,MAX(0.1,Skills!D8-IF(TRUE=TRUE,Inputs!$B$32,0)))*(1-IF(AND(ArtifactsInput!$M$27,Inputs!$B$4="Chapter Hunt"),CHOOSE(ArtifactsInput!$N$27+1,20,24,28,32,36,40),0)/100)),0)</f>
        <v/>
      </c>
      <c r="R1255">
        <f>IF(AND(Inputs!$B$38&lt;&gt;"pvp",Inputs!$B$43&gt;0),IF(MAX(0,Inputs!$B$43-B1283)&lt;=0,0,(INT(MAX(0,Inputs!$B$43-B1283)/(IF(Inputs!$B$38="pvp",15,MAX(0.1,Skills!D8-IF(TRUE=TRUE,Inputs!$B$32,0)))*(1-IF(AND(ArtifactsInput!$M$27,Inputs!$B$4="Chapter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$20+0+Skills!P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TRUE=TRUE,Inputs!$B$32,0)))*(1-IF(AND(ArtifactsInput!$M$27,Inputs!$B$4="Chapter Hunt"),CHOOSE(ArtifactsInput!$N$27+1,20,24,28,32,36,40),0)/100)))))/Skills!H8,1)))/Inputs!$B$43),G1255*Q1255))*IF(Inputs!$B$38="pvp",1,(1+(Inputs!$B$21+Skills!Q8+(((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Skills!G9*IF(Skills!H9&gt;0,IF(Inputs!$B$38="pvp",MIN(Skills!I9,15),Skills!I9)/Skills!H9,1)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138,MAX(0,IF(Inputs!$B$3&gt;=118,8,IF(Inputs!$B$3&gt;=110,7,5))-5)*50,0),0)/100)*(1+(IF(Skills!A9="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IFERROR(1/(IF(Inputs!$B$38="pvp",15,MAX(0.1,Skills!D9-IF(TRUE=TRUE,Inputs!$B$32,0)))*(1-IF(AND(ArtifactsInput!$M$27,Inputs!$B$4="Chapter Hunt"),CHOOSE(ArtifactsInput!$N$27+1,20,24,28,32,36,40),0)/100)),0)</f>
        <v/>
      </c>
      <c r="R1256">
        <f>IF(AND(Inputs!$B$38&lt;&gt;"pvp",Inputs!$B$43&gt;0),IF(MAX(0,Inputs!$B$43-B1283)&lt;=0,0,(INT(MAX(0,Inputs!$B$43-B1283)/(IF(Inputs!$B$38="pvp",15,MAX(0.1,Skills!D9-IF(TRUE=TRUE,Inputs!$B$32,0)))*(1-IF(AND(ArtifactsInput!$M$27,Inputs!$B$4="Chapter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TRUE=TRUE,Inputs!$B$32,0)))*(1-IF(AND(ArtifactsInput!$M$27,Inputs!$B$4="Chapter Hunt"),CHOOSE(ArtifactsInput!$N$27+1,20,24,28,32,36,40),0)/100)))))/Skills!H9,1)))/Inputs!$B$43),G1256*Q1256))*IF(Inputs!$B$38="pvp",1,1+(Inputs!$B$20+0+Skills!P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TRUE=TRUE,Inputs!$B$32,0)))*(1-IF(AND(ArtifactsInput!$M$27,Inputs!$B$4="Chapter Hunt"),CHOOSE(ArtifactsInput!$N$27+1,20,24,28,32,36,40),0)/100)))))/Skills!H9,1)))/Inputs!$B$43),G1256*Q1256))*IF(Inputs!$B$38="pvp",1,(1+(Inputs!$B$21+Skills!Q9+(((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Skills!G10*IF(Skills!H10&gt;0,IF(Inputs!$B$38="pvp",MIN(Skills!I10,15),Skills!I10)/Skills!H10,1)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138,MAX(0,IF(Inputs!$B$3&gt;=118,8,IF(Inputs!$B$3&gt;=110,7,5))-5)*50,0),0)/100)*(1+(IF(Skills!A10="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IFERROR(1/(IF(Inputs!$B$38="pvp",15,MAX(0.1,Skills!D10-IF(TRUE=TRUE,Inputs!$B$32,0)))*(1-IF(AND(ArtifactsInput!$M$27,Inputs!$B$4="Chapter Hunt"),CHOOSE(ArtifactsInput!$N$27+1,20,24,28,32,36,40),0)/100)),0)</f>
        <v/>
      </c>
      <c r="R1257">
        <f>IF(AND(Inputs!$B$38&lt;&gt;"pvp",Inputs!$B$43&gt;0),IF(MAX(0,Inputs!$B$43-B1283)&lt;=0,0,(INT(MAX(0,Inputs!$B$43-B1283)/(IF(Inputs!$B$38="pvp",15,MAX(0.1,Skills!D10-IF(TRUE=TRUE,Inputs!$B$32,0)))*(1-IF(AND(ArtifactsInput!$M$27,Inputs!$B$4="Chapter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$20+0+Skills!P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TRUE=TRUE,Inputs!$B$32,0)))*(1-IF(AND(ArtifactsInput!$M$27,Inputs!$B$4="Chapter Hunt"),CHOOSE(ArtifactsInput!$N$27+1,20,24,28,32,36,40),0)/100)))))/Skills!H10,1)))/Inputs!$B$43),G1257*Q1257))*IF(Inputs!$B$38="pvp",1,(1+(Inputs!$B$21+Skills!Q10+(((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Skills!G11*IF(Skills!H11&gt;0,IF(Inputs!$B$38="pvp",MIN(Skills!I11,15),Skills!I11)/Skills!H11,1)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(100-(100-((Inputs!$B$19+0)))*(1-IF(Inputs!$B$3&gt;=130,IF(Inputs!$B$3&gt;=118,8,IF(Inputs!$B$3&gt;=110,7,5)),0)/100)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138,MAX(0,IF(Inputs!$B$3&gt;=118,8,IF(Inputs!$B$3&gt;=110,7,5))-5)*50,0),0)/100)*(1+(IF(Skills!A11="RAGING_BLOW",Inputs!$B$17+((C1268=TRUE)*(F1268-Calc!F21))+((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IFERROR(1/(IF(Inputs!$B$38="pvp",15,MAX(0.1,Skills!D11-IF(TRUE=TRUE,Inputs!$B$32,0)))*(1-IF(AND(ArtifactsInput!$M$27,Inputs!$B$4="Chapter Hunt"),CHOOSE(ArtifactsInput!$N$27+1,20,24,28,32,36,40),0)/100)),0)</f>
        <v/>
      </c>
      <c r="R1258">
        <f>IF(AND(Inputs!$B$38&lt;&gt;"pvp",Inputs!$B$43&gt;0),IF(MAX(0,Inputs!$B$43-B1283)&lt;=0,0,(INT(MAX(0,Inputs!$B$43-B1283)/(IF(Inputs!$B$38="pvp",15,MAX(0.1,Skills!D11-IF(TRUE=TRUE,Inputs!$B$32,0)))*(1-IF(AND(ArtifactsInput!$M$27,Inputs!$B$4="Chapter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$20+0+Skills!P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Inputs!$B$38&lt;&gt;"pvp",Inputs!$B$43=0),1,IF(IF(Inputs!$B$38="pvp",15,Inputs!$B$43)-(B1283)&lt;=0,1,MAX(0,IF(Inputs!$B$38="pvp",15,Inputs!$B$43)-MAX(5,B1283))/(IF(Inputs!$B$38="pvp",15,Inputs!$B$43)-(B1283)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TRUE=TRUE,Inputs!$B$32,0)))*(1-IF(AND(ArtifactsInput!$M$27,Inputs!$B$4="Chapter Hunt"),CHOOSE(ArtifactsInput!$N$27+1,20,24,28,32,36,40),0)/100)))))/Skills!H11,1)))/Inputs!$B$43),G1258*Q1258))*IF(Inputs!$B$38="pvp",1,(1+(Inputs!$B$21+Skills!Q11+(((C1263=TRUE)*F1263*(Skills!J16/100)*IF(AND(Inputs!$B$38&lt;&gt;"pvp",Inputs!$B$43&gt;0),(((R1263-1)*MIN((Skills!T16*(1+(Inputs!$B$34+(IF(ArtifactsInput!$M$7,FALSE,TRUE)-ArtifactsInput!$M$7)*CHOOSE(ArtifactsInput!$N$7+1,6,7.2,8.4,9.6,10.8,12))/100)),(1/Q1263))+MIN((Skills!T16*(1+(Inputs!$B$34+(IF(ArtifactsInput!$M$7,FALSE,TRUE)-ArtifactsInput!$M$7)*CHOOSE(ArtifactsInput!$N$7+1,6,7.2,8.4,9.6,10.8,12))/100)),MAX(0,Inputs!$B$43-((R1263-1)*(1/Q1263)))))/Inputs!$B$43),IF(Inputs!$B$38="pvp",MIN((Skills!T16*(1+(Inputs!$B$34+(IF(ArtifactsInput!$M$7,FALSE,TRUE)-ArtifactsInput!$M$7)*CHOOSE(ArtifactsInput!$N$7+1,6,7.2,8.4,9.6,10.8,12))/100)),15)/15,MIN(1,(Skills!T16*(1+(Inputs!$B$34+(IF(ArtifactsInput!$M$7,FALSE,TRUE)-ArtifactsInput!$M$7)*CHOOSE(ArtifactsInput!$N$7+1,6,7.2,8.4,9.6,10.8,12))/100))/(1/Q1263)))))+((C1255=TRUE)*IF(Inputs!$B$3&gt;=126,10*MIN(1,15*Q1255),0))+((C1252=TRUE)*((100/10)*(INDEX(FactorTable!$B$2:$Y$301,MATCH(ROUND(MIN(300,MAX(1,MAX(0,(Inputs!$B$3-100)*3)+Inputs!$B$28+Inputs!$B$29)),0),FactorTable!$A$2:$A$301,0),22)/1000))*(1+IF(Inputs!$B$3&gt;=134,0.5,0))*MIN(1,10*(1+(Inputs!$B$34+(IF(ArtifactsInput!$M$7,FALSE,TRUE)-ArtifactsInput!$M$7)*CHOOSE(ArtifactsInput!$N$7+1,6,7.2,8.4,9.6,10.8,12))/100)*Q1252)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Skills!G13*IF(Skills!H13&gt;0,IF(Inputs!$B$38="pvp",MIN(Skills!I13,15),Skills!I13)/Skills!H13,1)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Skills!G14*IF(Skills!H14&gt;0,IF(Inputs!$B$38="pvp",MIN(Skills!I14,15),Skills!I14)/Skills!H14,1)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Skills!G15*IF(Skills!H15&gt;0,IF(Inputs!$B$38="pvp",MIN(Skills!I15,15),Skills!I15)/Skills!H15,1)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IFERROR(1/(IF(Inputs!$B$38="pvp",15,MAX(0.1,Skills!D15-IF(TRUE=TRUE,Inputs!$B$32,0)))*(1-IF(AND(ArtifactsInput!$M$27,Inputs!$B$4="Chapter Hunt"),CHOOSE(ArtifactsInput!$N$27+1,20,24,28,32,36,40),0)/100)),0)</f>
        <v/>
      </c>
      <c r="R1262">
        <f>IF(AND(Inputs!$B$38&lt;&gt;"pvp",Inputs!$B$43&gt;0),IF(Inputs!$B$43&lt;=0,0,(INT(Inputs!$B$43/(IF(Inputs!$B$38="pvp",15,MAX(0.1,Skills!D15-IF(TRUE=TRUE,Inputs!$B$32,0)))*(1-IF(AND(ArtifactsInput!$M$27,Inputs!$B$4="Chapter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Skills!G16*IF(Skills!H16&gt;0,IF(Inputs!$B$38="pvp",MIN(Skills!I16,15),Skills!I16)/Skills!H16,1)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IFERROR(1/(IF(Inputs!$B$38="pvp",15,MAX(0.1,Skills!D16-IF(TRUE=TRUE,Inputs!$B$32,0)))*(1-IF(AND(ArtifactsInput!$M$27,Inputs!$B$4="Chapter Hunt"),CHOOSE(ArtifactsInput!$N$27+1,20,24,28,32,36,40),0)/100)),0)</f>
        <v/>
      </c>
      <c r="R1263">
        <f>IF(AND(Inputs!$B$38&lt;&gt;"pvp",Inputs!$B$43&gt;0),IF(Inputs!$B$43&lt;=0,0,(INT(Inputs!$B$43/(IF(Inputs!$B$38="pvp",15,MAX(0.1,Skills!D16-IF(TRUE=TRUE,Inputs!$B$32,0)))*(1-IF(AND(ArtifactsInput!$M$27,Inputs!$B$4="Chapter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Skills!G17*IF(Skills!H17&gt;0,IF(Inputs!$B$38="pvp",MIN(Skills!I17,15),Skills!I17)/Skills!H17,1)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IFERROR(1/(IF(Inputs!$B$38="pvp",15,MAX(0.1,Skills!D17-IF(TRUE=TRUE,Inputs!$B$32,0)))*(1-IF(AND(ArtifactsInput!$M$27,Inputs!$B$4="Chapter Hunt"),CHOOSE(ArtifactsInput!$N$27+1,20,24,28,32,36,40),0)/100)),0)</f>
        <v/>
      </c>
      <c r="R1264">
        <f>IF(AND(Inputs!$B$38&lt;&gt;"pvp",Inputs!$B$43&gt;0),IF(Inputs!$B$43&lt;=0,0,(INT(Inputs!$B$43/(IF(Inputs!$B$38="pvp",15,MAX(0.1,Skills!D17-IF(TRUE=TRUE,Inputs!$B$32,0)))*(1-IF(AND(ArtifactsInput!$M$27,Inputs!$B$4="Chapter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Skills!G18*IF(Skills!H18&gt;0,IF(Inputs!$B$38="pvp",MIN(Skills!I18,15),Skills!I18)/Skills!H18,1)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IFERROR(1/(IF(Inputs!$B$38="pvp",15,MAX(0.1,Skills!D18-IF(TRUE=TRUE,Inputs!$B$32,0)))*(1-IF(AND(ArtifactsInput!$M$27,Inputs!$B$4="Chapter Hunt"),CHOOSE(ArtifactsInput!$N$27+1,20,24,28,32,36,40),0)/100)),0)</f>
        <v/>
      </c>
      <c r="R1265">
        <f>IF(AND(Inputs!$B$38&lt;&gt;"pvp",Inputs!$B$43&gt;0),IF(Inputs!$B$43&lt;=0,0,(INT(Inputs!$B$43/(IF(Inputs!$B$38="pvp",15,MAX(0.1,Skills!D18-IF(TRUE=TRUE,Inputs!$B$32,0)))*(1-IF(AND(ArtifactsInput!$M$27,Inputs!$B$4="Chapter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Skills!G19*IF(Skills!H19&gt;0,IF(Inputs!$B$38="pvp",MIN(Skills!I19,15),Skills!I19)/Skills!H19,1)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IFERROR(1/(IF(Inputs!$B$38="pvp",15,MAX(0.1,Skills!D19-IF(TRUE=TRUE,Inputs!$B$32,0)))*(1-IF(AND(ArtifactsInput!$M$27,Inputs!$B$4="Chapter Hunt"),CHOOSE(ArtifactsInput!$N$27+1,20,24,28,32,36,40),0)/100)),0)</f>
        <v/>
      </c>
      <c r="R1266">
        <f>IF(AND(Inputs!$B$38&lt;&gt;"pvp",Inputs!$B$43&gt;0),IF(Inputs!$B$43&lt;=0,0,(INT(Inputs!$B$43/(IF(Inputs!$B$38="pvp",15,MAX(0.1,Skills!D19-IF(TRUE=TRUE,Inputs!$B$32,0)))*(1-IF(AND(ArtifactsInput!$M$27,Inputs!$B$4="Chapter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Skills!G20*IF(Skills!H20&gt;0,IF(Inputs!$B$38="pvp",MIN(Skills!I20,15),Skills!I20)/Skills!H20,1)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Skills!G21*IF(Skills!H21&gt;0,IF(Inputs!$B$38="pvp",MIN(Skills!I21,15),Skills!I21)/Skills!H21,1)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Skills!G22*IF(Skills!H22&gt;0,IF(Inputs!$B$38="pvp",MIN(Skills!I22,15),Skills!I22)/Skills!H22,1)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Skills!G23*IF(Skills!H23&gt;0,IF(Inputs!$B$38="pvp",MIN(Skills!I23,15),Skills!I23)/Skills!H23,1)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Skills!G24*IF(Skills!H24&gt;0,IF(Inputs!$B$38="pvp",MIN(Skills!I24,15),Skills!I24)/Skills!H24,1)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Skills!G25*IF(Skills!H25&gt;0,IF(Inputs!$B$38="pvp",MIN(Skills!I25,15),Skills!I25)/Skills!H25,1)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Skills!G26*IF(Skills!H26&gt;0,IF(Inputs!$B$38="pvp",MIN(Skills!I26,15),Skills!I26)/Skills!H26,1)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118,8,IF(Inputs!$B$3&gt;=110,7,5)))+((C1262=TRUE)*F1262*IF(AND(Inputs!$B$38&lt;&gt;"pvp",Inputs!$B$43&gt;0),(((R1262-1)*MIN((Skills!T15*(1+(Inputs!$B$34+(IF(ArtifactsInput!$M$7,FALSE,TRUE)-ArtifactsInput!$M$7)*CHOOSE(ArtifactsInput!$N$7+1,6,7.2,8.4,9.6,10.8,12))/100)),(1/Q1262))+MIN((Skills!T15*(1+(Inputs!$B$34+(IF(ArtifactsInput!$M$7,FALSE,TRUE)-ArtifactsInput!$M$7)*CHOOSE(ArtifactsInput!$N$7+1,6,7.2,8.4,9.6,10.8,12))/100)),MAX(0,Inputs!$B$43-((R1262-1)*(1/Q1262)))))/Inputs!$B$43),IF(Inputs!$B$38="pvp",MIN((Skills!T15*(1+(Inputs!$B$34+(IF(ArtifactsInput!$M$7,FALSE,TRUE)-ArtifactsInput!$M$7)*CHOOSE(ArtifactsInput!$N$7+1,6,7.2,8.4,9.6,10.8,12))/100)),15)/15,MIN(1,(Skills!T15*(1+(Inputs!$B$34+(IF(ArtifactsInput!$M$7,FALSE,TRUE)-ArtifactsInput!$M$7)*CHOOSE(ArtifactsInput!$N$7+1,6,7.2,8.4,9.6,10.8,12))/100))/(1/Q1262)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MIN((Skills!T19*(1+(Inputs!$B$34+(IF(ArtifactsInput!$M$7,FALSE,TRUE)-ArtifactsInput!$M$7)*CHOOSE(ArtifactsInput!$N$7+1,6,7.2,8.4,9.6,10.8,12))/100)),(1/Q1266))+MIN((Skills!T19*(1+(Inputs!$B$34+(IF(ArtifactsInput!$M$7,FALSE,TRUE)-ArtifactsInput!$M$7)*CHOOSE(ArtifactsInput!$N$7+1,6,7.2,8.4,9.6,10.8,12))/100)),MAX(0,Inputs!$B$43-((R1266-1)*(1/Q1266)))))/Inputs!$B$43),IF(Inputs!$B$38="pvp",MIN((Skills!T19*(1+(Inputs!$B$34+(IF(ArtifactsInput!$M$7,FALSE,TRUE)-ArtifactsInput!$M$7)*CHOOSE(ArtifactsInput!$N$7+1,6,7.2,8.4,9.6,10.8,12))/100)),15)/15,MIN(1,(Skills!T19*(1+(Inputs!$B$34+(IF(ArtifactsInput!$M$7,FALSE,TRUE)-ArtifactsInput!$M$7)*CHOOSE(ArtifactsInput!$N$7+1,6,7.2,8.4,9.6,10.8,12))/100))/(1/Q1266)))))</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MIN((Skills!T18*(1+(Inputs!$B$34+(IF(ArtifactsInput!$M$7,FALSE,TRUE)-ArtifactsInput!$M$7)*CHOOSE(ArtifactsInput!$N$7+1,6,7.2,8.4,9.6,10.8,12))/100)),(1/Q1265))+MIN((Skills!T18*(1+(Inputs!$B$34+(IF(ArtifactsInput!$M$7,FALSE,TRUE)-ArtifactsInput!$M$7)*CHOOSE(ArtifactsInput!$N$7+1,6,7.2,8.4,9.6,10.8,12))/100)),MAX(0,Inputs!$B$43-((R1265-1)*(1/Q1265)))))/Inputs!$B$43),IF(Inputs!$B$38="pvp",MIN((Skills!T18*(1+(Inputs!$B$34+(IF(ArtifactsInput!$M$7,FALSE,TRUE)-ArtifactsInput!$M$7)*CHOOSE(ArtifactsInput!$N$7+1,6,7.2,8.4,9.6,10.8,12))/100)),15)/15,MIN(1,(Skills!T18*(1+(Inputs!$B$34+(IF(ArtifactsInput!$M$7,FALSE,TRUE)-ArtifactsInput!$M$7)*CHOOSE(ArtifactsInput!$N$7+1,6,7.2,8.4,9.6,10.8,12))/100))/(1/Q1265)))))</f>
        <v/>
      </c>
    </row>
    <row r="1282">
      <c r="A1282" t="inlineStr">
        <is>
          <t>Global Final Damage Bonus % (Enrage + Combo Synergy)</t>
        </is>
      </c>
      <c r="B1282">
        <f>((C1264=TRUE)*F1264*IF(AND(Inputs!$B$38&lt;&gt;"pvp",Inputs!$B$43&gt;0),(((R1264-1)*MIN((Skills!T17*(1+(Inputs!$B$34+(IF(ArtifactsInput!$M$7,FALSE,TRUE)-ArtifactsInput!$M$7)*CHOOSE(ArtifactsInput!$N$7+1,6,7.2,8.4,9.6,10.8,12))/100)),(1/Q1264))+MIN((Skills!T17*(1+(Inputs!$B$34+(IF(ArtifactsInput!$M$7,FALSE,TRUE)-ArtifactsInput!$M$7)*CHOOSE(ArtifactsInput!$N$7+1,6,7.2,8.4,9.6,10.8,12))/100)),MAX(0,Inputs!$B$43-((R1264-1)*(1/Q1264)))))/Inputs!$B$43),IF(Inputs!$B$38="pvp",MIN((Skills!T17*(1+(Inputs!$B$34+(IF(ArtifactsInput!$M$7,FALSE,TRUE)-ArtifactsInput!$M$7)*CHOOSE(ArtifactsInput!$N$7+1,6,7.2,8.4,9.6,10.8,12))/100)),15)/15,MIN(1,(Skills!T17*(1+(Inputs!$B$34+(IF(ArtifactsInput!$M$7,FALSE,TRUE)-ArtifactsInput!$M$7)*CHOOSE(ArtifactsInput!$N$7+1,6,7.2,8.4,9.6,10.8,12))/100))/(1/Q1264)))))+((C1261=TRUE)*F1261*IF(Inputs!$B$3&gt;=118,8,IF(Inputs!$B$3&gt;=110,7,5)))+IF(Inputs!$B$3&gt;=98,5,0)</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Skills!G2*IF(Skills!H2&gt;0,IF(Inputs!$B$38="pvp",MIN(Skills!I2,15),Skills!I2)/Skills!H2,1)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Skills!G5*IF(Skills!H5&gt;0,IF(Inputs!$B$38="pvp",MIN(Skills!I5,15),Skills!I5)/Skills!H5,1)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IFERROR(1/(IF(Inputs!$B$38="pvp",15,MAX(0.1,Skills!D5-IF(TRUE=TRUE,Inputs!$B$32,0)))*(1-IF(AND(ArtifactsInput!$M$27,Inputs!$B$4="Chapter Hunt"),CHOOSE(ArtifactsInput!$N$27+1,20,24,28,32,36,40),0)/100)),0)</f>
        <v/>
      </c>
      <c r="R1294">
        <f>IF(AND(Inputs!$B$38&lt;&gt;"pvp",Inputs!$B$43&gt;0),IF(MAX(0,Inputs!$B$43-B1325)&lt;=0,0,(INT(MAX(0,Inputs!$B$43-B1325)/(IF(Inputs!$B$38="pvp",15,MAX(0.1,Skills!D5-IF(TRUE=TRUE,Inputs!$B$32,0)))*(1-IF(AND(ArtifactsInput!$M$27,Inputs!$B$4="Chapter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$20+0+Skills!P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TRUE=TRUE,Inputs!$B$32,0)))*(1-IF(AND(ArtifactsInput!$M$27,Inputs!$B$4="Chapter Hunt"),CHOOSE(ArtifactsInput!$N$27+1,20,24,28,32,36,40),0)/100)))))/Skills!H5,1)))/Inputs!$B$43),G1294*Q1294))*IF(Inputs!$B$38="pvp",1,(1+(Inputs!$B$21+Skills!Q5+(((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Skills!G6*IF(Skills!H6&gt;0,IF(Inputs!$B$38="pvp",MIN(Skills!I6,15),Skills!I6)/Skills!H6,1)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IFERROR(1/(IF(Inputs!$B$38="pvp",15,MAX(0.1,Skills!D6-IF(TRUE=TRUE,Inputs!$B$32,0)))*(1-IF(AND(ArtifactsInput!$M$27,Inputs!$B$4="Chapter Hunt"),CHOOSE(ArtifactsInput!$N$27+1,20,24,28,32,36,40),0)/100)),0)</f>
        <v/>
      </c>
      <c r="R1295">
        <f>IF(AND(Inputs!$B$38&lt;&gt;"pvp",Inputs!$B$43&gt;0),IF(MAX(0,Inputs!$B$43-B1325)&lt;=0,0,(INT(MAX(0,Inputs!$B$43-B1325)/(IF(Inputs!$B$38="pvp",15,MAX(0.1,Skills!D6-IF(TRUE=TRUE,Inputs!$B$32,0)))*(1-IF(AND(ArtifactsInput!$M$27,Inputs!$B$4="Chapter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$20+0+Skills!P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TRUE=TRUE,Inputs!$B$32,0)))*(1-IF(AND(ArtifactsInput!$M$27,Inputs!$B$4="Chapter Hunt"),CHOOSE(ArtifactsInput!$N$27+1,20,24,28,32,36,40),0)/100)))))/Skills!H6,1)))/Inputs!$B$43),G1295*Q1295))*IF(Inputs!$B$38="pvp",1,(1+(Inputs!$B$21+Skills!Q6+(((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Skills!G7*IF(Skills!H7&gt;0,IF(Inputs!$B$38="pvp",MIN(Skills!I7,15),Skills!I7)/Skills!H7,1)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IFERROR(1/(IF(Inputs!$B$38="pvp",15,MAX(0.1,Skills!D7-IF(TRUE=TRUE,Inputs!$B$32,0)))*(1-IF(AND(ArtifactsInput!$M$27,Inputs!$B$4="Chapter Hunt"),CHOOSE(ArtifactsInput!$N$27+1,20,24,28,32,36,40),0)/100)),0)</f>
        <v/>
      </c>
      <c r="R1296">
        <f>IF(AND(Inputs!$B$38&lt;&gt;"pvp",Inputs!$B$43&gt;0),IF(MAX(0,Inputs!$B$43-B1325)&lt;=0,0,(INT(MAX(0,Inputs!$B$43-B1325)/(IF(Inputs!$B$38="pvp",15,MAX(0.1,Skills!D7-IF(TRUE=TRUE,Inputs!$B$32,0)))*(1-IF(AND(ArtifactsInput!$M$27,Inputs!$B$4="Chapter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$20+0+Skills!P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TRUE=TRUE,Inputs!$B$32,0)))*(1-IF(AND(ArtifactsInput!$M$27,Inputs!$B$4="Chapter Hunt"),CHOOSE(ArtifactsInput!$N$27+1,20,24,28,32,36,40),0)/100)))))/Skills!H7,1)))/Inputs!$B$43),G1296*Q1296))*IF(Inputs!$B$38="pvp",1,(1+(Inputs!$B$21+Skills!Q7+(((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Skills!G8*IF(Skills!H8&gt;0,IF(Inputs!$B$38="pvp",MIN(Skills!I8,15),Skills!I8)/Skills!H8,1)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IFERROR(1/(IF(Inputs!$B$38="pvp",15,MAX(0.1,Skills!D8-IF(TRUE=TRUE,Inputs!$B$32,0)))*(1-IF(AND(ArtifactsInput!$M$27,Inputs!$B$4="Chapter Hunt"),CHOOSE(ArtifactsInput!$N$27+1,20,24,28,32,36,40),0)/100)),0)</f>
        <v/>
      </c>
      <c r="R1297">
        <f>IF(AND(Inputs!$B$38&lt;&gt;"pvp",Inputs!$B$43&gt;0),IF(MAX(0,Inputs!$B$43-B1325)&lt;=0,0,(INT(MAX(0,Inputs!$B$43-B1325)/(IF(Inputs!$B$38="pvp",15,MAX(0.1,Skills!D8-IF(TRUE=TRUE,Inputs!$B$32,0)))*(1-IF(AND(ArtifactsInput!$M$27,Inputs!$B$4="Chapter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$20+0+Skills!P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TRUE=TRUE,Inputs!$B$32,0)))*(1-IF(AND(ArtifactsInput!$M$27,Inputs!$B$4="Chapter Hunt"),CHOOSE(ArtifactsInput!$N$27+1,20,24,28,32,36,40),0)/100)))))/Skills!H8,1)))/Inputs!$B$43),G1297*Q1297))*IF(Inputs!$B$38="pvp",1,(1+(Inputs!$B$21+Skills!Q8+(((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Skills!G9*IF(Skills!H9&gt;0,IF(Inputs!$B$38="pvp",MIN(Skills!I9,15),Skills!I9)/Skills!H9,1)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138,MAX(0,IF(Inputs!$B$3&gt;=118,8,IF(Inputs!$B$3&gt;=110,7,5))-5)*50,0),0)/100)*(1+(IF(Skills!A9="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IFERROR(1/(IF(Inputs!$B$38="pvp",15,MAX(0.1,Skills!D9-IF(TRUE=TRUE,Inputs!$B$32,0)))*(1-IF(AND(ArtifactsInput!$M$27,Inputs!$B$4="Chapter Hunt"),CHOOSE(ArtifactsInput!$N$27+1,20,24,28,32,36,40),0)/100)),0)</f>
        <v/>
      </c>
      <c r="R1298">
        <f>IF(AND(Inputs!$B$38&lt;&gt;"pvp",Inputs!$B$43&gt;0),IF(MAX(0,Inputs!$B$43-B1325)&lt;=0,0,(INT(MAX(0,Inputs!$B$43-B1325)/(IF(Inputs!$B$38="pvp",15,MAX(0.1,Skills!D9-IF(TRUE=TRUE,Inputs!$B$32,0)))*(1-IF(AND(ArtifactsInput!$M$27,Inputs!$B$4="Chapter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TRUE=TRUE,Inputs!$B$32,0)))*(1-IF(AND(ArtifactsInput!$M$27,Inputs!$B$4="Chapter Hunt"),CHOOSE(ArtifactsInput!$N$27+1,20,24,28,32,36,40),0)/100)))))/Skills!H9,1)))/Inputs!$B$43),G1298*Q1298))*IF(Inputs!$B$38="pvp",1,1+(Inputs!$B$20+0+Skills!P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TRUE=TRUE,Inputs!$B$32,0)))*(1-IF(AND(ArtifactsInput!$M$27,Inputs!$B$4="Chapter Hunt"),CHOOSE(ArtifactsInput!$N$27+1,20,24,28,32,36,40),0)/100)))))/Skills!H9,1)))/Inputs!$B$43),G1298*Q1298))*IF(Inputs!$B$38="pvp",1,(1+(Inputs!$B$21+Skills!Q9+(((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Skills!G10*IF(Skills!H10&gt;0,IF(Inputs!$B$38="pvp",MIN(Skills!I10,15),Skills!I10)/Skills!H10,1)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138,MAX(0,IF(Inputs!$B$3&gt;=118,8,IF(Inputs!$B$3&gt;=110,7,5))-5)*50,0),0)/100)*(1+(IF(Skills!A10="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IFERROR(1/(IF(Inputs!$B$38="pvp",15,MAX(0.1,Skills!D10-IF(TRUE=TRUE,Inputs!$B$32,0)))*(1-IF(AND(ArtifactsInput!$M$27,Inputs!$B$4="Chapter Hunt"),CHOOSE(ArtifactsInput!$N$27+1,20,24,28,32,36,40),0)/100)),0)</f>
        <v/>
      </c>
      <c r="R1299">
        <f>IF(AND(Inputs!$B$38&lt;&gt;"pvp",Inputs!$B$43&gt;0),IF(MAX(0,Inputs!$B$43-B1325)&lt;=0,0,(INT(MAX(0,Inputs!$B$43-B1325)/(IF(Inputs!$B$38="pvp",15,MAX(0.1,Skills!D10-IF(TRUE=TRUE,Inputs!$B$32,0)))*(1-IF(AND(ArtifactsInput!$M$27,Inputs!$B$4="Chapter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$20+0+Skills!P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TRUE=TRUE,Inputs!$B$32,0)))*(1-IF(AND(ArtifactsInput!$M$27,Inputs!$B$4="Chapter Hunt"),CHOOSE(ArtifactsInput!$N$27+1,20,24,28,32,36,40),0)/100)))))/Skills!H10,1)))/Inputs!$B$43),G1299*Q1299))*IF(Inputs!$B$38="pvp",1,(1+(Inputs!$B$21+Skills!Q10+(((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Skills!G11*IF(Skills!H11&gt;0,IF(Inputs!$B$38="pvp",MIN(Skills!I11,15),Skills!I11)/Skills!H11,1)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(100-(100-((Inputs!$B$19+0)))*(1-IF(Inputs!$B$3&gt;=130,IF(Inputs!$B$3&gt;=118,8,IF(Inputs!$B$3&gt;=110,7,5)),0)/100)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138,MAX(0,IF(Inputs!$B$3&gt;=118,8,IF(Inputs!$B$3&gt;=110,7,5))-5)*50,0),0)/100)*(1+(IF(Skills!A11="RAGING_BLOW",Inputs!$B$17+((C1310=TRUE)*(F1310-Calc!F21))+((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IFERROR(1/(IF(Inputs!$B$38="pvp",15,MAX(0.1,Skills!D11-IF(TRUE=TRUE,Inputs!$B$32,0)))*(1-IF(AND(ArtifactsInput!$M$27,Inputs!$B$4="Chapter Hunt"),CHOOSE(ArtifactsInput!$N$27+1,20,24,28,32,36,40),0)/100)),0)</f>
        <v/>
      </c>
      <c r="R1300">
        <f>IF(AND(Inputs!$B$38&lt;&gt;"pvp",Inputs!$B$43&gt;0),IF(MAX(0,Inputs!$B$43-B1325)&lt;=0,0,(INT(MAX(0,Inputs!$B$43-B1325)/(IF(Inputs!$B$38="pvp",15,MAX(0.1,Skills!D11-IF(TRUE=TRUE,Inputs!$B$32,0)))*(1-IF(AND(ArtifactsInput!$M$27,Inputs!$B$4="Chapter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$20+0+Skills!P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Inputs!$B$38&lt;&gt;"pvp",Inputs!$B$43=0),1,IF(IF(Inputs!$B$38="pvp",15,Inputs!$B$43)-(B1325)&lt;=0,1,MAX(0,IF(Inputs!$B$38="pvp",15,Inputs!$B$43)-MAX(5,B1325))/(IF(Inputs!$B$38="pvp",15,Inputs!$B$43)-(B1325)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TRUE=TRUE,Inputs!$B$32,0)))*(1-IF(AND(ArtifactsInput!$M$27,Inputs!$B$4="Chapter Hunt"),CHOOSE(ArtifactsInput!$N$27+1,20,24,28,32,36,40),0)/100)))))/Skills!H11,1)))/Inputs!$B$43),G1300*Q1300))*IF(Inputs!$B$38="pvp",1,(1+(Inputs!$B$21+Skills!Q11+(((C1305=TRUE)*F1305*(Skills!J16/100)*IF(AND(Inputs!$B$38&lt;&gt;"pvp",Inputs!$B$43&gt;0),(((R1305-1)*MIN((Skills!T16*(1+(Inputs!$B$34+(ArtifactsInput!$M$7-ArtifactsInput!$M$7)*CHOOSE(ArtifactsInput!$N$7+1,6,7.2,8.4,9.6,10.8,12))/100)),(1/Q1305))+MIN((Skills!T16*(1+(Inputs!$B$34+(ArtifactsInput!$M$7-ArtifactsInput!$M$7)*CHOOSE(ArtifactsInput!$N$7+1,6,7.2,8.4,9.6,10.8,12))/100)),MAX(0,Inputs!$B$43-((R1305-1)*(1/Q1305)))))/Inputs!$B$43),IF(Inputs!$B$38="pvp",MIN((Skills!T16*(1+(Inputs!$B$34+(ArtifactsInput!$M$7-ArtifactsInput!$M$7)*CHOOSE(ArtifactsInput!$N$7+1,6,7.2,8.4,9.6,10.8,12))/100)),15)/15,MIN(1,(Skills!T16*(1+(Inputs!$B$34+(ArtifactsInput!$M$7-ArtifactsInput!$M$7)*CHOOSE(ArtifactsInput!$N$7+1,6,7.2,8.4,9.6,10.8,12))/100))/(1/Q1305)))))+((C1297=TRUE)*IF(Inputs!$B$3&gt;=126,10*MIN(1,15*Q1297),0))+((C1294=TRUE)*((100/10)*(INDEX(FactorTable!$B$2:$Y$301,MATCH(ROUND(MIN(300,MAX(1,MAX(0,(Inputs!$B$3-100)*3)+Inputs!$B$28+Inputs!$B$29)),0),FactorTable!$A$2:$A$301,0),22)/1000))*(1+IF(Inputs!$B$3&gt;=134,0.5,0))*MIN(1,10*(1+(Inputs!$B$34+(ArtifactsInput!$M$7-ArtifactsInput!$M$7)*CHOOSE(ArtifactsInput!$N$7+1,6,7.2,8.4,9.6,10.8,12))/100)*Q1294)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Skills!G13*IF(Skills!H13&gt;0,IF(Inputs!$B$38="pvp",MIN(Skills!I13,15),Skills!I13)/Skills!H13,1)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Skills!G14*IF(Skills!H14&gt;0,IF(Inputs!$B$38="pvp",MIN(Skills!I14,15),Skills!I14)/Skills!H14,1)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Skills!G15*IF(Skills!H15&gt;0,IF(Inputs!$B$38="pvp",MIN(Skills!I15,15),Skills!I15)/Skills!H15,1)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IFERROR(1/(IF(Inputs!$B$38="pvp",15,MAX(0.1,Skills!D15-IF(TRUE=TRUE,Inputs!$B$32,0)))*(1-IF(AND(ArtifactsInput!$M$27,Inputs!$B$4="Chapter Hunt"),CHOOSE(ArtifactsInput!$N$27+1,20,24,28,32,36,40),0)/100)),0)</f>
        <v/>
      </c>
      <c r="R1304">
        <f>IF(AND(Inputs!$B$38&lt;&gt;"pvp",Inputs!$B$43&gt;0),IF(Inputs!$B$43&lt;=0,0,(INT(Inputs!$B$43/(IF(Inputs!$B$38="pvp",15,MAX(0.1,Skills!D15-IF(TRUE=TRUE,Inputs!$B$32,0)))*(1-IF(AND(ArtifactsInput!$M$27,Inputs!$B$4="Chapter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Skills!G16*IF(Skills!H16&gt;0,IF(Inputs!$B$38="pvp",MIN(Skills!I16,15),Skills!I16)/Skills!H16,1)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IFERROR(1/(IF(Inputs!$B$38="pvp",15,MAX(0.1,Skills!D16-IF(TRUE=TRUE,Inputs!$B$32,0)))*(1-IF(AND(ArtifactsInput!$M$27,Inputs!$B$4="Chapter Hunt"),CHOOSE(ArtifactsInput!$N$27+1,20,24,28,32,36,40),0)/100)),0)</f>
        <v/>
      </c>
      <c r="R1305">
        <f>IF(AND(Inputs!$B$38&lt;&gt;"pvp",Inputs!$B$43&gt;0),IF(Inputs!$B$43&lt;=0,0,(INT(Inputs!$B$43/(IF(Inputs!$B$38="pvp",15,MAX(0.1,Skills!D16-IF(TRUE=TRUE,Inputs!$B$32,0)))*(1-IF(AND(ArtifactsInput!$M$27,Inputs!$B$4="Chapter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Skills!G17*IF(Skills!H17&gt;0,IF(Inputs!$B$38="pvp",MIN(Skills!I17,15),Skills!I17)/Skills!H17,1)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IFERROR(1/(IF(Inputs!$B$38="pvp",15,MAX(0.1,Skills!D17-IF(TRUE=TRUE,Inputs!$B$32,0)))*(1-IF(AND(ArtifactsInput!$M$27,Inputs!$B$4="Chapter Hunt"),CHOOSE(ArtifactsInput!$N$27+1,20,24,28,32,36,40),0)/100)),0)</f>
        <v/>
      </c>
      <c r="R1306">
        <f>IF(AND(Inputs!$B$38&lt;&gt;"pvp",Inputs!$B$43&gt;0),IF(Inputs!$B$43&lt;=0,0,(INT(Inputs!$B$43/(IF(Inputs!$B$38="pvp",15,MAX(0.1,Skills!D17-IF(TRUE=TRUE,Inputs!$B$32,0)))*(1-IF(AND(ArtifactsInput!$M$27,Inputs!$B$4="Chapter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Skills!G18*IF(Skills!H18&gt;0,IF(Inputs!$B$38="pvp",MIN(Skills!I18,15),Skills!I18)/Skills!H18,1)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IFERROR(1/(IF(Inputs!$B$38="pvp",15,MAX(0.1,Skills!D18-IF(TRUE=TRUE,Inputs!$B$32,0)))*(1-IF(AND(ArtifactsInput!$M$27,Inputs!$B$4="Chapter Hunt"),CHOOSE(ArtifactsInput!$N$27+1,20,24,28,32,36,40),0)/100)),0)</f>
        <v/>
      </c>
      <c r="R1307">
        <f>IF(AND(Inputs!$B$38&lt;&gt;"pvp",Inputs!$B$43&gt;0),IF(Inputs!$B$43&lt;=0,0,(INT(Inputs!$B$43/(IF(Inputs!$B$38="pvp",15,MAX(0.1,Skills!D18-IF(TRUE=TRUE,Inputs!$B$32,0)))*(1-IF(AND(ArtifactsInput!$M$27,Inputs!$B$4="Chapter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Skills!G19*IF(Skills!H19&gt;0,IF(Inputs!$B$38="pvp",MIN(Skills!I19,15),Skills!I19)/Skills!H19,1)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IFERROR(1/(IF(Inputs!$B$38="pvp",15,MAX(0.1,Skills!D19-IF(TRUE=TRUE,Inputs!$B$32,0)))*(1-IF(AND(ArtifactsInput!$M$27,Inputs!$B$4="Chapter Hunt"),CHOOSE(ArtifactsInput!$N$27+1,20,24,28,32,36,40),0)/100)),0)</f>
        <v/>
      </c>
      <c r="R1308">
        <f>IF(AND(Inputs!$B$38&lt;&gt;"pvp",Inputs!$B$43&gt;0),IF(Inputs!$B$43&lt;=0,0,(INT(Inputs!$B$43/(IF(Inputs!$B$38="pvp",15,MAX(0.1,Skills!D19-IF(TRUE=TRUE,Inputs!$B$32,0)))*(1-IF(AND(ArtifactsInput!$M$27,Inputs!$B$4="Chapter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Skills!G20*IF(Skills!H20&gt;0,IF(Inputs!$B$38="pvp",MIN(Skills!I20,15),Skills!I20)/Skills!H20,1)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Skills!G21*IF(Skills!H21&gt;0,IF(Inputs!$B$38="pvp",MIN(Skills!I21,15),Skills!I21)/Skills!H21,1)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Skills!G22*IF(Skills!H22&gt;0,IF(Inputs!$B$38="pvp",MIN(Skills!I22,15),Skills!I22)/Skills!H22,1)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Skills!G23*IF(Skills!H23&gt;0,IF(Inputs!$B$38="pvp",MIN(Skills!I23,15),Skills!I23)/Skills!H23,1)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Skills!G24*IF(Skills!H24&gt;0,IF(Inputs!$B$38="pvp",MIN(Skills!I24,15),Skills!I24)/Skills!H24,1)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Skills!G25*IF(Skills!H25&gt;0,IF(Inputs!$B$38="pvp",MIN(Skills!I25,15),Skills!I25)/Skills!H25,1)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Skills!G26*IF(Skills!H26&gt;0,IF(Inputs!$B$38="pvp",MIN(Skills!I26,15),Skills!I26)/Skills!H26,1)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118,8,IF(Inputs!$B$3&gt;=110,7,5)))+((C1304=TRUE)*F1304*IF(AND(Inputs!$B$38&lt;&gt;"pvp",Inputs!$B$43&gt;0),(((R1304-1)*MIN((Skills!T15*(1+(Inputs!$B$34+(ArtifactsInput!$M$7-ArtifactsInput!$M$7)*CHOOSE(ArtifactsInput!$N$7+1,6,7.2,8.4,9.6,10.8,12))/100)),(1/Q1304))+MIN((Skills!T15*(1+(Inputs!$B$34+(ArtifactsInput!$M$7-ArtifactsInput!$M$7)*CHOOSE(ArtifactsInput!$N$7+1,6,7.2,8.4,9.6,10.8,12))/100)),MAX(0,Inputs!$B$43-((R1304-1)*(1/Q1304)))))/Inputs!$B$43),IF(Inputs!$B$38="pvp",MIN((Skills!T15*(1+(Inputs!$B$34+(ArtifactsInput!$M$7-ArtifactsInput!$M$7)*CHOOSE(ArtifactsInput!$N$7+1,6,7.2,8.4,9.6,10.8,12))/100)),15)/15,MIN(1,(Skills!T15*(1+(Inputs!$B$34+(ArtifactsInput!$M$7-ArtifactsInput!$M$7)*CHOOSE(ArtifactsInput!$N$7+1,6,7.2,8.4,9.6,10.8,12))/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MIN((Skills!T19*(1+(Inputs!$B$34+(ArtifactsInput!$M$7-ArtifactsInput!$M$7)*CHOOSE(ArtifactsInput!$N$7+1,6,7.2,8.4,9.6,10.8,12))/100)),(1/Q1308))+MIN((Skills!T19*(1+(Inputs!$B$34+(ArtifactsInput!$M$7-ArtifactsInput!$M$7)*CHOOSE(ArtifactsInput!$N$7+1,6,7.2,8.4,9.6,10.8,12))/100)),MAX(0,Inputs!$B$43-((R1308-1)*(1/Q1308)))))/Inputs!$B$43),IF(Inputs!$B$38="pvp",MIN((Skills!T19*(1+(Inputs!$B$34+(ArtifactsInput!$M$7-ArtifactsInput!$M$7)*CHOOSE(ArtifactsInput!$N$7+1,6,7.2,8.4,9.6,10.8,12))/100)),15)/15,MIN(1,(Skills!T19*(1+(Inputs!$B$34+(ArtifactsInput!$M$7-ArtifactsInput!$M$7)*CHOOSE(ArtifactsInput!$N$7+1,6,7.2,8.4,9.6,10.8,12))/100))/(1/Q1308)))))</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MIN((Skills!T18*(1+(Inputs!$B$34+(ArtifactsInput!$M$7-ArtifactsInput!$M$7)*CHOOSE(ArtifactsInput!$N$7+1,6,7.2,8.4,9.6,10.8,12))/100)),(1/Q1307))+MIN((Skills!T18*(1+(Inputs!$B$34+(ArtifactsInput!$M$7-ArtifactsInput!$M$7)*CHOOSE(ArtifactsInput!$N$7+1,6,7.2,8.4,9.6,10.8,12))/100)),MAX(0,Inputs!$B$43-((R1307-1)*(1/Q1307)))))/Inputs!$B$43),IF(Inputs!$B$38="pvp",MIN((Skills!T18*(1+(Inputs!$B$34+(ArtifactsInput!$M$7-ArtifactsInput!$M$7)*CHOOSE(ArtifactsInput!$N$7+1,6,7.2,8.4,9.6,10.8,12))/100)),15)/15,MIN(1,(Skills!T18*(1+(Inputs!$B$34+(ArtifactsInput!$M$7-ArtifactsInput!$M$7)*CHOOSE(ArtifactsInput!$N$7+1,6,7.2,8.4,9.6,10.8,12))/100))/(1/Q1307)))))</f>
        <v/>
      </c>
    </row>
    <row r="1324">
      <c r="A1324" t="inlineStr">
        <is>
          <t>Global Final Damage Bonus % (Enrage + Combo Synergy)</t>
        </is>
      </c>
      <c r="B1324">
        <f>((C1306=TRUE)*F1306*IF(AND(Inputs!$B$38&lt;&gt;"pvp",Inputs!$B$43&gt;0),(((R1306-1)*MIN((Skills!T17*(1+(Inputs!$B$34+(ArtifactsInput!$M$7-ArtifactsInput!$M$7)*CHOOSE(ArtifactsInput!$N$7+1,6,7.2,8.4,9.6,10.8,12))/100)),(1/Q1306))+MIN((Skills!T17*(1+(Inputs!$B$34+(ArtifactsInput!$M$7-ArtifactsInput!$M$7)*CHOOSE(ArtifactsInput!$N$7+1,6,7.2,8.4,9.6,10.8,12))/100)),MAX(0,Inputs!$B$43-((R1306-1)*(1/Q1306)))))/Inputs!$B$43),IF(Inputs!$B$38="pvp",MIN((Skills!T17*(1+(Inputs!$B$34+(ArtifactsInput!$M$7-ArtifactsInput!$M$7)*CHOOSE(ArtifactsInput!$N$7+1,6,7.2,8.4,9.6,10.8,12))/100)),15)/15,MIN(1,(Skills!T17*(1+(Inputs!$B$34+(ArtifactsInput!$M$7-ArtifactsInput!$M$7)*CHOOSE(ArtifactsInput!$N$7+1,6,7.2,8.4,9.6,10.8,12))/100))/(1/Q1306)))))+((C1303=TRUE)*F1303*IF(Inputs!$B$3&gt;=118,8,IF(Inputs!$B$3&gt;=110,7,5)))+IF(Inputs!$B$3&gt;=98,5,0)</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Skills!G2*IF(Skills!H2&gt;0,IF(Inputs!$B$38="pvp",MIN(Skills!I2,15),Skills!I2)/Skills!H2,1)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Skills!G5*IF(Skills!H5&gt;0,IF(Inputs!$B$38="pvp",MIN(Skills!I5,15),Skills!I5)/Skills!H5,1)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IFERROR(1/(IF(Inputs!$B$38="pvp",15,MAX(0.1,Skills!D5-IF(TRUE=TRUE,Inputs!$B$32,0)))*(1-IF(AND(ArtifactsInput!$M$27,Inputs!$B$4="Chapter Hunt"),CHOOSE(ArtifactsInput!$N$27+1,20,24,28,32,36,40),0)/100)),0)</f>
        <v/>
      </c>
      <c r="R1336">
        <f>IF(AND(Inputs!$B$38&lt;&gt;"pvp",Inputs!$B$43&gt;0),IF(MAX(0,Inputs!$B$43-B1367)&lt;=0,0,(INT(MAX(0,Inputs!$B$43-B1367)/(IF(Inputs!$B$38="pvp",15,MAX(0.1,Skills!D5-IF(TRUE=TRUE,Inputs!$B$32,0)))*(1-IF(AND(ArtifactsInput!$M$27,Inputs!$B$4="Chapter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$20+0+Skills!P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TRUE=TRUE,Inputs!$B$32,0)))*(1-IF(AND(ArtifactsInput!$M$27,Inputs!$B$4="Chapter Hunt"),CHOOSE(ArtifactsInput!$N$27+1,20,24,28,32,36,40),0)/100)))))/Skills!H5,1)))/Inputs!$B$43),G1336*Q1336))*IF(Inputs!$B$38="pvp",1,(1+(Inputs!$B$21+Skills!Q5+(((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Skills!G6*IF(Skills!H6&gt;0,IF(Inputs!$B$38="pvp",MIN(Skills!I6,15),Skills!I6)/Skills!H6,1)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$20+0+Skills!P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TRUE=TRUE,Inputs!$B$32,0)))*(1-IF(AND(ArtifactsInput!$M$27,Inputs!$B$4="Chapter Hunt"),CHOOSE(ArtifactsInput!$N$27+1,20,24,28,32,36,40),0)/100)))))/Skills!H6,1)))/Inputs!$B$43),G1337*Q1337))*IF(Inputs!$B$38="pvp",1,(1+(Inputs!$B$21+Skills!Q6+(((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Skills!G7*IF(Skills!H7&gt;0,IF(Inputs!$B$38="pvp",MIN(Skills!I7,15),Skills!I7)/Skills!H7,1)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$20+0+Skills!P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TRUE=TRUE,Inputs!$B$32,0)))*(1-IF(AND(ArtifactsInput!$M$27,Inputs!$B$4="Chapter Hunt"),CHOOSE(ArtifactsInput!$N$27+1,20,24,28,32,36,40),0)/100)))))/Skills!H7,1)))/Inputs!$B$43),G1338*Q1338))*IF(Inputs!$B$38="pvp",1,(1+(Inputs!$B$21+Skills!Q7+(((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Skills!G8*IF(Skills!H8&gt;0,IF(Inputs!$B$38="pvp",MIN(Skills!I8,15),Skills!I8)/Skills!H8,1)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$20+0+Skills!P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TRUE=TRUE,Inputs!$B$32,0)))*(1-IF(AND(ArtifactsInput!$M$27,Inputs!$B$4="Chapter Hunt"),CHOOSE(ArtifactsInput!$N$27+1,20,24,28,32,36,40),0)/100)))))/Skills!H8,1)))/Inputs!$B$43),G1339*Q1339))*IF(Inputs!$B$38="pvp",1,(1+(Inputs!$B$21+Skills!Q8+(((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Skills!G9*IF(Skills!H9&gt;0,IF(Inputs!$B$38="pvp",MIN(Skills!I9,15),Skills!I9)/Skills!H9,1)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138,MAX(0,IF(Inputs!$B$3&gt;=118,8,IF(Inputs!$B$3&gt;=110,7,5))-5)*50,0),0)/100)*(1+(IF(Skills!A9="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IFERROR(1/(IF(Inputs!$B$38="pvp",15,MAX(0.1,Skills!D9-IF(TRUE=TRUE,Inputs!$B$32,0)))*(1-IF(AND(ArtifactsInput!$M$27,Inputs!$B$4="Chapter Hunt"),CHOOSE(ArtifactsInput!$N$27+1,20,24,28,32,36,40),0)/100)),0)</f>
        <v/>
      </c>
      <c r="R1340">
        <f>IF(AND(Inputs!$B$38&lt;&gt;"pvp",Inputs!$B$43&gt;0),IF(MAX(0,Inputs!$B$43-B1367)&lt;=0,0,(INT(MAX(0,Inputs!$B$43-B1367)/(IF(Inputs!$B$38="pvp",15,MAX(0.1,Skills!D9-IF(TRUE=TRUE,Inputs!$B$32,0)))*(1-IF(AND(ArtifactsInput!$M$27,Inputs!$B$4="Chapter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$20+0+Skills!P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TRUE=TRUE,Inputs!$B$32,0)))*(1-IF(AND(ArtifactsInput!$M$27,Inputs!$B$4="Chapter Hunt"),CHOOSE(ArtifactsInput!$N$27+1,20,24,28,32,36,40),0)/100)))))/Skills!H9,1)))/Inputs!$B$43),G1340*Q1340))*IF(Inputs!$B$38="pvp",1,(1+(Inputs!$B$21+Skills!Q9+(((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Skills!G10*IF(Skills!H10&gt;0,IF(Inputs!$B$38="pvp",MIN(Skills!I10,15),Skills!I10)/Skills!H10,1)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138,MAX(0,IF(Inputs!$B$3&gt;=118,8,IF(Inputs!$B$3&gt;=110,7,5))-5)*50,0),0)/100)*(1+(IF(Skills!A10="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$20+0+Skills!P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TRUE=TRUE,Inputs!$B$32,0)))*(1-IF(AND(ArtifactsInput!$M$27,Inputs!$B$4="Chapter Hunt"),CHOOSE(ArtifactsInput!$N$27+1,20,24,28,32,36,40),0)/100)))))/Skills!H10,1)))/Inputs!$B$43),G1341*Q1341))*IF(Inputs!$B$38="pvp",1,(1+(Inputs!$B$21+Skills!Q10+(((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Skills!G11*IF(Skills!H11&gt;0,IF(Inputs!$B$38="pvp",MIN(Skills!I11,15),Skills!I11)/Skills!H11,1)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(100-(100-((Inputs!$B$19+0)))*(1-IF(Inputs!$B$3&gt;=130,IF(Inputs!$B$3&gt;=118,8,IF(Inputs!$B$3&gt;=110,7,5)),0)/100)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138,MAX(0,IF(Inputs!$B$3&gt;=118,8,IF(Inputs!$B$3&gt;=110,7,5))-5)*50,0),0)/100)*(1+(IF(Skills!A11="RAGING_BLOW",Inputs!$B$17+((C1352=TRUE)*(F1352-Calc!F21))+((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IFERROR(1/(IF(Inputs!$B$38="pvp",15,MAX(0.1,Skills!D11-IF(TRUE=TRUE,Inputs!$B$32,0)))*(1-IF(AND(ArtifactsInput!$M$27,Inputs!$B$4="Chapter Hunt"),CHOOSE(ArtifactsInput!$N$27+1,20,24,28,32,36,40),0)/100)),0)</f>
        <v/>
      </c>
      <c r="R1342">
        <f>IF(AND(Inputs!$B$38&lt;&gt;"pvp",Inputs!$B$43&gt;0),IF(MAX(0,Inputs!$B$43-B1367)&lt;=0,0,(INT(MAX(0,Inputs!$B$43-B1367)/(IF(Inputs!$B$38="pvp",15,MAX(0.1,Skills!D11-IF(TRUE=TRUE,Inputs!$B$32,0)))*(1-IF(AND(ArtifactsInput!$M$27,Inputs!$B$4="Chapter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$20+0+Skills!P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Inputs!$B$38&lt;&gt;"pvp",Inputs!$B$43=0),1,IF(IF(Inputs!$B$38="pvp",15,Inputs!$B$43)-(B1367)&lt;=0,1,MAX(0,IF(Inputs!$B$38="pvp",15,Inputs!$B$43)-MAX(5,B1367))/(IF(Inputs!$B$38="pvp",15,Inputs!$B$43)-(B1367))))*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TRUE=TRUE,Inputs!$B$32,0)))*(1-IF(AND(ArtifactsInput!$M$27,Inputs!$B$4="Chapter Hunt"),CHOOSE(ArtifactsInput!$N$27+1,20,24,28,32,36,40),0)/100)))))/Skills!H11,1)))/Inputs!$B$43),G1342*Q1342))*IF(Inputs!$B$38="pvp",1,(1+(Inputs!$B$21+Skills!Q11+(((C1347=TRUE)*F1347*(Skills!J16/100)*IF(AND(Inputs!$B$38&lt;&gt;"pvp",Inputs!$B$43&gt;0),(((R1347-1)*MIN((Skills!T16*(1+(Inputs!$B$34+(ArtifactsInput!$M$7-ArtifactsInput!$M$7)*CHOOSE(ArtifactsInput!$N$7+1,6,7.2,8.4,9.6,10.8,12))/100)),(1/Q1347))+MIN((Skills!T16*(1+(Inputs!$B$34+(ArtifactsInput!$M$7-ArtifactsInput!$M$7)*CHOOSE(ArtifactsInput!$N$7+1,6,7.2,8.4,9.6,10.8,12))/100)),MAX(0,Inputs!$B$43-((R1347-1)*(1/Q1347)))))/Inputs!$B$43),IF(Inputs!$B$38="pvp",MIN((Skills!T16*(1+(Inputs!$B$34+(ArtifactsInput!$M$7-ArtifactsInput!$M$7)*CHOOSE(ArtifactsInput!$N$7+1,6,7.2,8.4,9.6,10.8,12))/100)),15)/15,MIN(1,(Skills!T16*(1+(Inputs!$B$34+(ArtifactsInput!$M$7-ArtifactsInput!$M$7)*CHOOSE(ArtifactsInput!$N$7+1,6,7.2,8.4,9.6,10.8,12))/100))/(1/Q1347)))))+((C1339=TRUE)*IF(Inputs!$B$3&gt;=126,10*MIN(1,15*Q1339),0))+((C1336=TRUE)*((100/10)*(INDEX(FactorTable!$B$2:$Y$301,MATCH(ROUND(MIN(300,MAX(1,MAX(0,(Inputs!$B$3-100)*3)+Inputs!$B$28+Inputs!$B$29)),0),FactorTable!$A$2:$A$301,0),22)/1000))*(1+IF(Inputs!$B$3&gt;=134,0.5,0))*MIN(1,10*(1+(Inputs!$B$34+(ArtifactsInput!$M$7-ArtifactsInput!$M$7)*CHOOSE(ArtifactsInput!$N$7+1,6,7.2,8.4,9.6,10.8,12))/100)*Q1336)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Skills!G13*IF(Skills!H13&gt;0,IF(Inputs!$B$38="pvp",MIN(Skills!I13,15),Skills!I13)/Skills!H13,1)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Skills!G14*IF(Skills!H14&gt;0,IF(Inputs!$B$38="pvp",MIN(Skills!I14,15),Skills!I14)/Skills!H14,1)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Skills!G15*IF(Skills!H15&gt;0,IF(Inputs!$B$38="pvp",MIN(Skills!I15,15),Skills!I15)/Skills!H15,1)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Skills!G16*IF(Skills!H16&gt;0,IF(Inputs!$B$38="pvp",MIN(Skills!I16,15),Skills!I16)/Skills!H16,1)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IFERROR(1/(IF(Inputs!$B$38="pvp",15,MAX(0.1,Skills!D16-IF(TRUE=TRUE,Inputs!$B$32,0)))*(1-IF(AND(ArtifactsInput!$M$27,Inputs!$B$4="Chapter Hunt"),CHOOSE(ArtifactsInput!$N$27+1,20,24,28,32,36,40),0)/100)),0)</f>
        <v/>
      </c>
      <c r="R1347">
        <f>IF(AND(Inputs!$B$38&lt;&gt;"pvp",Inputs!$B$43&gt;0),IF(Inputs!$B$43&lt;=0,0,(INT(Inputs!$B$43/(IF(Inputs!$B$38="pvp",15,MAX(0.1,Skills!D16-IF(TRUE=TRUE,Inputs!$B$32,0)))*(1-IF(AND(ArtifactsInput!$M$27,Inputs!$B$4="Chapter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Skills!G17*IF(Skills!H17&gt;0,IF(Inputs!$B$38="pvp",MIN(Skills!I17,15),Skills!I17)/Skills!H17,1)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IFERROR(1/(IF(Inputs!$B$38="pvp",15,MAX(0.1,Skills!D17-IF(TRUE=TRUE,Inputs!$B$32,0)))*(1-IF(AND(ArtifactsInput!$M$27,Inputs!$B$4="Chapter Hunt"),CHOOSE(ArtifactsInput!$N$27+1,20,24,28,32,36,40),0)/100)),0)</f>
        <v/>
      </c>
      <c r="R1348">
        <f>IF(AND(Inputs!$B$38&lt;&gt;"pvp",Inputs!$B$43&gt;0),IF(Inputs!$B$43&lt;=0,0,(INT(Inputs!$B$43/(IF(Inputs!$B$38="pvp",15,MAX(0.1,Skills!D17-IF(TRUE=TRUE,Inputs!$B$32,0)))*(1-IF(AND(ArtifactsInput!$M$27,Inputs!$B$4="Chapter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Skills!G18*IF(Skills!H18&gt;0,IF(Inputs!$B$38="pvp",MIN(Skills!I18,15),Skills!I18)/Skills!H18,1)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IFERROR(1/(IF(Inputs!$B$38="pvp",15,MAX(0.1,Skills!D18-IF(TRUE=TRUE,Inputs!$B$32,0)))*(1-IF(AND(ArtifactsInput!$M$27,Inputs!$B$4="Chapter Hunt"),CHOOSE(ArtifactsInput!$N$27+1,20,24,28,32,36,40),0)/100)),0)</f>
        <v/>
      </c>
      <c r="R1349">
        <f>IF(AND(Inputs!$B$38&lt;&gt;"pvp",Inputs!$B$43&gt;0),IF(Inputs!$B$43&lt;=0,0,(INT(Inputs!$B$43/(IF(Inputs!$B$38="pvp",15,MAX(0.1,Skills!D18-IF(TRUE=TRUE,Inputs!$B$32,0)))*(1-IF(AND(ArtifactsInput!$M$27,Inputs!$B$4="Chapter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Skills!G19*IF(Skills!H19&gt;0,IF(Inputs!$B$38="pvp",MIN(Skills!I19,15),Skills!I19)/Skills!H19,1)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IFERROR(1/(IF(Inputs!$B$38="pvp",15,MAX(0.1,Skills!D19-IF(TRUE=TRUE,Inputs!$B$32,0)))*(1-IF(AND(ArtifactsInput!$M$27,Inputs!$B$4="Chapter Hunt"),CHOOSE(ArtifactsInput!$N$27+1,20,24,28,32,36,40),0)/100)),0)</f>
        <v/>
      </c>
      <c r="R1350">
        <f>IF(AND(Inputs!$B$38&lt;&gt;"pvp",Inputs!$B$43&gt;0),IF(Inputs!$B$43&lt;=0,0,(INT(Inputs!$B$43/(IF(Inputs!$B$38="pvp",15,MAX(0.1,Skills!D19-IF(TRUE=TRUE,Inputs!$B$32,0)))*(1-IF(AND(ArtifactsInput!$M$27,Inputs!$B$4="Chapter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Skills!G20*IF(Skills!H20&gt;0,IF(Inputs!$B$38="pvp",MIN(Skills!I20,15),Skills!I20)/Skills!H20,1)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Skills!G21*IF(Skills!H21&gt;0,IF(Inputs!$B$38="pvp",MIN(Skills!I21,15),Skills!I21)/Skills!H21,1)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Skills!G22*IF(Skills!H22&gt;0,IF(Inputs!$B$38="pvp",MIN(Skills!I22,15),Skills!I22)/Skills!H22,1)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Skills!G23*IF(Skills!H23&gt;0,IF(Inputs!$B$38="pvp",MIN(Skills!I23,15),Skills!I23)/Skills!H23,1)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Skills!G24*IF(Skills!H24&gt;0,IF(Inputs!$B$38="pvp",MIN(Skills!I24,15),Skills!I24)/Skills!H24,1)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Skills!G25*IF(Skills!H25&gt;0,IF(Inputs!$B$38="pvp",MIN(Skills!I25,15),Skills!I25)/Skills!H25,1)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Skills!G26*IF(Skills!H26&gt;0,IF(Inputs!$B$38="pvp",MIN(Skills!I26,15),Skills!I26)/Skills!H26,1)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118,8,IF(Inputs!$B$3&gt;=110,7,5)))+((C1346=TRUE)*F1346*IF(AND(Inputs!$B$38&lt;&gt;"pvp",Inputs!$B$43&gt;0),(((R1346-1)*MIN((Skills!T15*(1+(Inputs!$B$34+(ArtifactsInput!$M$7-ArtifactsInput!$M$7)*CHOOSE(ArtifactsInput!$N$7+1,6,7.2,8.4,9.6,10.8,12))/100)),(1/Q1346))+MIN((Skills!T15*(1+(Inputs!$B$34+(ArtifactsInput!$M$7-ArtifactsInput!$M$7)*CHOOSE(ArtifactsInput!$N$7+1,6,7.2,8.4,9.6,10.8,12))/100)),MAX(0,Inputs!$B$43-((R1346-1)*(1/Q1346)))))/Inputs!$B$43),IF(Inputs!$B$38="pvp",MIN((Skills!T15*(1+(Inputs!$B$34+(ArtifactsInput!$M$7-ArtifactsInput!$M$7)*CHOOSE(ArtifactsInput!$N$7+1,6,7.2,8.4,9.6,10.8,12))/100)),15)/15,MIN(1,(Skills!T15*(1+(Inputs!$B$34+(ArtifactsInput!$M$7-ArtifactsInput!$M$7)*CHOOSE(ArtifactsInput!$N$7+1,6,7.2,8.4,9.6,10.8,12))/100))/(1/Q1346)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MIN((Skills!T19*(1+(Inputs!$B$34+(ArtifactsInput!$M$7-ArtifactsInput!$M$7)*CHOOSE(ArtifactsInput!$N$7+1,6,7.2,8.4,9.6,10.8,12))/100)),(1/Q1350))+MIN((Skills!T19*(1+(Inputs!$B$34+(ArtifactsInput!$M$7-ArtifactsInput!$M$7)*CHOOSE(ArtifactsInput!$N$7+1,6,7.2,8.4,9.6,10.8,12))/100)),MAX(0,Inputs!$B$43-((R1350-1)*(1/Q1350)))))/Inputs!$B$43),IF(Inputs!$B$38="pvp",MIN((Skills!T19*(1+(Inputs!$B$34+(ArtifactsInput!$M$7-ArtifactsInput!$M$7)*CHOOSE(ArtifactsInput!$N$7+1,6,7.2,8.4,9.6,10.8,12))/100)),15)/15,MIN(1,(Skills!T19*(1+(Inputs!$B$34+(ArtifactsInput!$M$7-ArtifactsInput!$M$7)*CHOOSE(ArtifactsInput!$N$7+1,6,7.2,8.4,9.6,10.8,12))/100))/(1/Q1350)))))</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MIN((Skills!T18*(1+(Inputs!$B$34+(ArtifactsInput!$M$7-ArtifactsInput!$M$7)*CHOOSE(ArtifactsInput!$N$7+1,6,7.2,8.4,9.6,10.8,12))/100)),(1/Q1349))+MIN((Skills!T18*(1+(Inputs!$B$34+(ArtifactsInput!$M$7-ArtifactsInput!$M$7)*CHOOSE(ArtifactsInput!$N$7+1,6,7.2,8.4,9.6,10.8,12))/100)),MAX(0,Inputs!$B$43-((R1349-1)*(1/Q1349)))))/Inputs!$B$43),IF(Inputs!$B$38="pvp",MIN((Skills!T18*(1+(Inputs!$B$34+(ArtifactsInput!$M$7-ArtifactsInput!$M$7)*CHOOSE(ArtifactsInput!$N$7+1,6,7.2,8.4,9.6,10.8,12))/100)),15)/15,MIN(1,(Skills!T18*(1+(Inputs!$B$34+(ArtifactsInput!$M$7-ArtifactsInput!$M$7)*CHOOSE(ArtifactsInput!$N$7+1,6,7.2,8.4,9.6,10.8,12))/100))/(1/Q1349)))))</f>
        <v/>
      </c>
    </row>
    <row r="1366">
      <c r="A1366" t="inlineStr">
        <is>
          <t>Global Final Damage Bonus % (Enrage + Combo Synergy)</t>
        </is>
      </c>
      <c r="B1366">
        <f>((C1348=TRUE)*F1348*IF(AND(Inputs!$B$38&lt;&gt;"pvp",Inputs!$B$43&gt;0),(((R1348-1)*MIN((Skills!T17*(1+(Inputs!$B$34+(ArtifactsInput!$M$7-ArtifactsInput!$M$7)*CHOOSE(ArtifactsInput!$N$7+1,6,7.2,8.4,9.6,10.8,12))/100)),(1/Q1348))+MIN((Skills!T17*(1+(Inputs!$B$34+(ArtifactsInput!$M$7-ArtifactsInput!$M$7)*CHOOSE(ArtifactsInput!$N$7+1,6,7.2,8.4,9.6,10.8,12))/100)),MAX(0,Inputs!$B$43-((R1348-1)*(1/Q1348)))))/Inputs!$B$43),IF(Inputs!$B$38="pvp",MIN((Skills!T17*(1+(Inputs!$B$34+(ArtifactsInput!$M$7-ArtifactsInput!$M$7)*CHOOSE(ArtifactsInput!$N$7+1,6,7.2,8.4,9.6,10.8,12))/100)),15)/15,MIN(1,(Skills!T17*(1+(Inputs!$B$34+(ArtifactsInput!$M$7-ArtifactsInput!$M$7)*CHOOSE(ArtifactsInput!$N$7+1,6,7.2,8.4,9.6,10.8,12))/100))/(1/Q1348)))))+((C1345=TRUE)*F1345*IF(Inputs!$B$3&gt;=118,8,IF(Inputs!$B$3&gt;=110,7,5)))+IF(Inputs!$B$3&gt;=98,5,0)</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Skills!G2*IF(Skills!H2&gt;0,IF(Inputs!$B$38="pvp",MIN(Skills!I2,15),Skills!I2)/Skills!H2,1)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Skills!G5*IF(Skills!H5&gt;0,IF(Inputs!$B$38="pvp",MIN(Skills!I5,15),Skills!I5)/Skills!H5,1)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IFERROR(1/(IF(Inputs!$B$38="pvp",15,MAX(0.1,Skills!D5-IF(TRUE=TRUE,Inputs!$B$32,0)))*(1-IF(AND(ArtifactsInput!$M$27,Inputs!$B$4="Chapter Hunt"),CHOOSE(ArtifactsInput!$N$27+1,20,24,28,32,36,40),0)/100)),0)</f>
        <v/>
      </c>
      <c r="R1378">
        <f>IF(AND(Inputs!$B$38&lt;&gt;"pvp",Inputs!$B$43&gt;0),IF(MAX(0,Inputs!$B$43-B1409)&lt;=0,0,(INT(MAX(0,Inputs!$B$43-B1409)/(IF(Inputs!$B$38="pvp",15,MAX(0.1,Skills!D5-IF(TRUE=TRUE,Inputs!$B$32,0)))*(1-IF(AND(ArtifactsInput!$M$27,Inputs!$B$4="Chapter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$20+0+Skills!P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TRUE=TRUE,Inputs!$B$32,0)))*(1-IF(AND(ArtifactsInput!$M$27,Inputs!$B$4="Chapter Hunt"),CHOOSE(ArtifactsInput!$N$27+1,20,24,28,32,36,40),0)/100)))))/Skills!H5,1)))/Inputs!$B$43),G1378*Q1378))*IF(Inputs!$B$38="pvp",1,(1+(Inputs!$B$21+Skills!Q5+(((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Skills!G6*IF(Skills!H6&gt;0,IF(Inputs!$B$38="pvp",MIN(Skills!I6,15),Skills!I6)/Skills!H6,1)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IFERROR(1/(IF(Inputs!$B$38="pvp",15,MAX(0.1,Skills!D6-IF(TRUE=TRUE,Inputs!$B$32,0)))*(1-IF(AND(ArtifactsInput!$M$27,Inputs!$B$4="Chapter Hunt"),CHOOSE(ArtifactsInput!$N$27+1,20,24,28,32,36,40),0)/100)),0)</f>
        <v/>
      </c>
      <c r="R1379">
        <f>IF(AND(Inputs!$B$38&lt;&gt;"pvp",Inputs!$B$43&gt;0),IF(MAX(0,Inputs!$B$43-B1409)&lt;=0,0,(INT(MAX(0,Inputs!$B$43-B1409)/(IF(Inputs!$B$38="pvp",15,MAX(0.1,Skills!D6-IF(TRUE=TRUE,Inputs!$B$32,0)))*(1-IF(AND(ArtifactsInput!$M$27,Inputs!$B$4="Chapter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$20+0+Skills!P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TRUE=TRUE,Inputs!$B$32,0)))*(1-IF(AND(ArtifactsInput!$M$27,Inputs!$B$4="Chapter Hunt"),CHOOSE(ArtifactsInput!$N$27+1,20,24,28,32,36,40),0)/100)))))/Skills!H6,1)))/Inputs!$B$43),G1379*Q1379))*IF(Inputs!$B$38="pvp",1,(1+(Inputs!$B$21+Skills!Q6+(((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Skills!G7*IF(Skills!H7&gt;0,IF(Inputs!$B$38="pvp",MIN(Skills!I7,15),Skills!I7)/Skills!H7,1)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IFERROR(1/(IF(Inputs!$B$38="pvp",15,MAX(0.1,Skills!D7-IF(TRUE=TRUE,Inputs!$B$32,0)))*(1-IF(AND(ArtifactsInput!$M$27,Inputs!$B$4="Chapter Hunt"),CHOOSE(ArtifactsInput!$N$27+1,20,24,28,32,36,40),0)/100)),0)</f>
        <v/>
      </c>
      <c r="R1380">
        <f>IF(AND(Inputs!$B$38&lt;&gt;"pvp",Inputs!$B$43&gt;0),IF(MAX(0,Inputs!$B$43-B1409)&lt;=0,0,(INT(MAX(0,Inputs!$B$43-B1409)/(IF(Inputs!$B$38="pvp",15,MAX(0.1,Skills!D7-IF(TRUE=TRUE,Inputs!$B$32,0)))*(1-IF(AND(ArtifactsInput!$M$27,Inputs!$B$4="Chapter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$20+0+Skills!P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TRUE=TRUE,Inputs!$B$32,0)))*(1-IF(AND(ArtifactsInput!$M$27,Inputs!$B$4="Chapter Hunt"),CHOOSE(ArtifactsInput!$N$27+1,20,24,28,32,36,40),0)/100)))))/Skills!H7,1)))/Inputs!$B$43),G1380*Q1380))*IF(Inputs!$B$38="pvp",1,(1+(Inputs!$B$21+Skills!Q7+(((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Skills!G8*IF(Skills!H8&gt;0,IF(Inputs!$B$38="pvp",MIN(Skills!I8,15),Skills!I8)/Skills!H8,1)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IFERROR(1/(IF(Inputs!$B$38="pvp",15,MAX(0.1,Skills!D8-IF(TRUE=TRUE,Inputs!$B$32,0)))*(1-IF(AND(ArtifactsInput!$M$27,Inputs!$B$4="Chapter Hunt"),CHOOSE(ArtifactsInput!$N$27+1,20,24,28,32,36,40),0)/100)),0)</f>
        <v/>
      </c>
      <c r="R1381">
        <f>IF(AND(Inputs!$B$38&lt;&gt;"pvp",Inputs!$B$43&gt;0),IF(MAX(0,Inputs!$B$43-B1409)&lt;=0,0,(INT(MAX(0,Inputs!$B$43-B1409)/(IF(Inputs!$B$38="pvp",15,MAX(0.1,Skills!D8-IF(TRUE=TRUE,Inputs!$B$32,0)))*(1-IF(AND(ArtifactsInput!$M$27,Inputs!$B$4="Chapter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$20+0+Skills!P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TRUE=TRUE,Inputs!$B$32,0)))*(1-IF(AND(ArtifactsInput!$M$27,Inputs!$B$4="Chapter Hunt"),CHOOSE(ArtifactsInput!$N$27+1,20,24,28,32,36,40),0)/100)))))/Skills!H8,1)))/Inputs!$B$43),G1381*Q1381))*IF(Inputs!$B$38="pvp",1,(1+(Inputs!$B$21+Skills!Q8+(((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Skills!G9*IF(Skills!H9&gt;0,IF(Inputs!$B$38="pvp",MIN(Skills!I9,15),Skills!I9)/Skills!H9,1)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138,MAX(0,IF(Inputs!$B$3&gt;=118,8,IF(Inputs!$B$3&gt;=110,7,5))-5)*50,0),0)/100)*(1+(IF(Skills!A9="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IFERROR(1/(IF(Inputs!$B$38="pvp",15,MAX(0.1,Skills!D9-IF(TRUE=TRUE,Inputs!$B$32,0)))*(1-IF(AND(ArtifactsInput!$M$27,Inputs!$B$4="Chapter Hunt"),CHOOSE(ArtifactsInput!$N$27+1,20,24,28,32,36,40),0)/100)),0)</f>
        <v/>
      </c>
      <c r="R1382">
        <f>IF(AND(Inputs!$B$38&lt;&gt;"pvp",Inputs!$B$43&gt;0),IF(MAX(0,Inputs!$B$43-B1409)&lt;=0,0,(INT(MAX(0,Inputs!$B$43-B1409)/(IF(Inputs!$B$38="pvp",15,MAX(0.1,Skills!D9-IF(TRUE=TRUE,Inputs!$B$32,0)))*(1-IF(AND(ArtifactsInput!$M$27,Inputs!$B$4="Chapter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TRUE=TRUE,Inputs!$B$32,0)))*(1-IF(AND(ArtifactsInput!$M$27,Inputs!$B$4="Chapter Hunt"),CHOOSE(ArtifactsInput!$N$27+1,20,24,28,32,36,40),0)/100)))))/Skills!H9,1)))/Inputs!$B$43),G1382*Q1382))*IF(Inputs!$B$38="pvp",1,1+(Inputs!$B$20+0+Skills!P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TRUE=TRUE,Inputs!$B$32,0)))*(1-IF(AND(ArtifactsInput!$M$27,Inputs!$B$4="Chapter Hunt"),CHOOSE(ArtifactsInput!$N$27+1,20,24,28,32,36,40),0)/100)))))/Skills!H9,1)))/Inputs!$B$43),G1382*Q1382))*IF(Inputs!$B$38="pvp",1,(1+(Inputs!$B$21+Skills!Q9+(((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Skills!G10*IF(Skills!H10&gt;0,IF(Inputs!$B$38="pvp",MIN(Skills!I10,15),Skills!I10)/Skills!H10,1)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138,MAX(0,IF(Inputs!$B$3&gt;=118,8,IF(Inputs!$B$3&gt;=110,7,5))-5)*50,0),0)/100)*(1+(IF(Skills!A10="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IFERROR(1/(IF(Inputs!$B$38="pvp",15,MAX(0.1,Skills!D10-IF(TRUE=TRUE,Inputs!$B$32,0)))*(1-IF(AND(ArtifactsInput!$M$27,Inputs!$B$4="Chapter Hunt"),CHOOSE(ArtifactsInput!$N$27+1,20,24,28,32,36,40),0)/100)),0)</f>
        <v/>
      </c>
      <c r="R1383">
        <f>IF(AND(Inputs!$B$38&lt;&gt;"pvp",Inputs!$B$43&gt;0),IF(MAX(0,Inputs!$B$43-B1409)&lt;=0,0,(INT(MAX(0,Inputs!$B$43-B1409)/(IF(Inputs!$B$38="pvp",15,MAX(0.1,Skills!D10-IF(TRUE=TRUE,Inputs!$B$32,0)))*(1-IF(AND(ArtifactsInput!$M$27,Inputs!$B$4="Chapter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$20+0+Skills!P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TRUE=TRUE,Inputs!$B$32,0)))*(1-IF(AND(ArtifactsInput!$M$27,Inputs!$B$4="Chapter Hunt"),CHOOSE(ArtifactsInput!$N$27+1,20,24,28,32,36,40),0)/100)))))/Skills!H10,1)))/Inputs!$B$43),G1383*Q1383))*IF(Inputs!$B$38="pvp",1,(1+(Inputs!$B$21+Skills!Q10+(((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Skills!G11*IF(Skills!H11&gt;0,IF(Inputs!$B$38="pvp",MIN(Skills!I11,15),Skills!I11)/Skills!H11,1)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(100-(100-((Inputs!$B$19+0)))*(1-IF(Inputs!$B$3&gt;=130,IF(Inputs!$B$3&gt;=118,8,IF(Inputs!$B$3&gt;=110,7,5)),0)/100)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138,MAX(0,IF(Inputs!$B$3&gt;=118,8,IF(Inputs!$B$3&gt;=110,7,5))-5)*50,0),0)/100)*(1+(IF(Skills!A11="RAGING_BLOW",Inputs!$B$17+((C1394=TRUE)*(F1394-Calc!F21))+((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IFERROR(1/(IF(Inputs!$B$38="pvp",15,MAX(0.1,Skills!D11-IF(TRUE=TRUE,Inputs!$B$32,0)))*(1-IF(AND(ArtifactsInput!$M$27,Inputs!$B$4="Chapter Hunt"),CHOOSE(ArtifactsInput!$N$27+1,20,24,28,32,36,40),0)/100)),0)</f>
        <v/>
      </c>
      <c r="R1384">
        <f>IF(AND(Inputs!$B$38&lt;&gt;"pvp",Inputs!$B$43&gt;0),IF(MAX(0,Inputs!$B$43-B1409)&lt;=0,0,(INT(MAX(0,Inputs!$B$43-B1409)/(IF(Inputs!$B$38="pvp",15,MAX(0.1,Skills!D11-IF(TRUE=TRUE,Inputs!$B$32,0)))*(1-IF(AND(ArtifactsInput!$M$27,Inputs!$B$4="Chapter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$20+0+Skills!P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Inputs!$B$38&lt;&gt;"pvp",Inputs!$B$43=0),1,IF(IF(Inputs!$B$38="pvp",15,Inputs!$B$43)-(B1409)&lt;=0,1,MAX(0,IF(Inputs!$B$38="pvp",15,Inputs!$B$43)-MAX(5,B1409))/(IF(Inputs!$B$38="pvp",15,Inputs!$B$43)-(B1409)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TRUE=TRUE,Inputs!$B$32,0)))*(1-IF(AND(ArtifactsInput!$M$27,Inputs!$B$4="Chapter Hunt"),CHOOSE(ArtifactsInput!$N$27+1,20,24,28,32,36,40),0)/100)))))/Skills!H11,1)))/Inputs!$B$43),G1384*Q1384))*IF(Inputs!$B$38="pvp",1,(1+(Inputs!$B$21+Skills!Q11+(((C1389=TRUE)*F1389*(Skills!J16/100)*IF(AND(Inputs!$B$38&lt;&gt;"pvp",Inputs!$B$43&gt;0),(((R1389-1)*MIN((Skills!T16*(1+(Inputs!$B$34+(ArtifactsInput!$M$7-ArtifactsInput!$M$7)*CHOOSE(ArtifactsInput!$N$7+1,6,7.2,8.4,9.6,10.8,12))/100)),(1/Q1389))+MIN((Skills!T16*(1+(Inputs!$B$34+(ArtifactsInput!$M$7-ArtifactsInput!$M$7)*CHOOSE(ArtifactsInput!$N$7+1,6,7.2,8.4,9.6,10.8,12))/100)),MAX(0,Inputs!$B$43-((R1389-1)*(1/Q1389)))))/Inputs!$B$43),IF(Inputs!$B$38="pvp",MIN((Skills!T16*(1+(Inputs!$B$34+(ArtifactsInput!$M$7-ArtifactsInput!$M$7)*CHOOSE(ArtifactsInput!$N$7+1,6,7.2,8.4,9.6,10.8,12))/100)),15)/15,MIN(1,(Skills!T16*(1+(Inputs!$B$34+(ArtifactsInput!$M$7-ArtifactsInput!$M$7)*CHOOSE(ArtifactsInput!$N$7+1,6,7.2,8.4,9.6,10.8,12))/100))/(1/Q1389)))))+((C1381=TRUE)*IF(Inputs!$B$3&gt;=126,10*MIN(1,15*Q1381),0))+((C1378=TRUE)*((100/10)*(INDEX(FactorTable!$B$2:$Y$301,MATCH(ROUND(MIN(300,MAX(1,MAX(0,(Inputs!$B$3-100)*3)+Inputs!$B$28+Inputs!$B$29)),0),FactorTable!$A$2:$A$301,0),22)/1000))*(1+IF(Inputs!$B$3&gt;=134,0.5,0))*MIN(1,10*(1+(Inputs!$B$34+(ArtifactsInput!$M$7-ArtifactsInput!$M$7)*CHOOSE(ArtifactsInput!$N$7+1,6,7.2,8.4,9.6,10.8,12))/100)*Q1378)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Skills!G13*IF(Skills!H13&gt;0,IF(Inputs!$B$38="pvp",MIN(Skills!I13,15),Skills!I13)/Skills!H13,1)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Skills!G14*IF(Skills!H14&gt;0,IF(Inputs!$B$38="pvp",MIN(Skills!I14,15),Skills!I14)/Skills!H14,1)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Skills!G15*IF(Skills!H15&gt;0,IF(Inputs!$B$38="pvp",MIN(Skills!I15,15),Skills!I15)/Skills!H15,1)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IFERROR(1/(IF(Inputs!$B$38="pvp",15,MAX(0.1,Skills!D15-IF(TRUE=TRUE,Inputs!$B$32,0)))*(1-IF(AND(ArtifactsInput!$M$27,Inputs!$B$4="Chapter Hunt"),CHOOSE(ArtifactsInput!$N$27+1,20,24,28,32,36,40),0)/100)),0)</f>
        <v/>
      </c>
      <c r="R1388">
        <f>IF(AND(Inputs!$B$38&lt;&gt;"pvp",Inputs!$B$43&gt;0),IF(Inputs!$B$43&lt;=0,0,(INT(Inputs!$B$43/(IF(Inputs!$B$38="pvp",15,MAX(0.1,Skills!D15-IF(TRUE=TRUE,Inputs!$B$32,0)))*(1-IF(AND(ArtifactsInput!$M$27,Inputs!$B$4="Chapter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Skills!G16*IF(Skills!H16&gt;0,IF(Inputs!$B$38="pvp",MIN(Skills!I16,15),Skills!I16)/Skills!H16,1)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IFERROR(1/(IF(Inputs!$B$38="pvp",15,MAX(0.1,Skills!D16-IF(TRUE=TRUE,Inputs!$B$32,0)))*(1-IF(AND(ArtifactsInput!$M$27,Inputs!$B$4="Chapter Hunt"),CHOOSE(ArtifactsInput!$N$27+1,20,24,28,32,36,40),0)/100)),0)</f>
        <v/>
      </c>
      <c r="R1389">
        <f>IF(AND(Inputs!$B$38&lt;&gt;"pvp",Inputs!$B$43&gt;0),IF(Inputs!$B$43&lt;=0,0,(INT(Inputs!$B$43/(IF(Inputs!$B$38="pvp",15,MAX(0.1,Skills!D16-IF(TRUE=TRUE,Inputs!$B$32,0)))*(1-IF(AND(ArtifactsInput!$M$27,Inputs!$B$4="Chapter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Skills!G17*IF(Skills!H17&gt;0,IF(Inputs!$B$38="pvp",MIN(Skills!I17,15),Skills!I17)/Skills!H17,1)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IFERROR(1/(IF(Inputs!$B$38="pvp",15,MAX(0.1,Skills!D17-IF(TRUE=TRUE,Inputs!$B$32,0)))*(1-IF(AND(ArtifactsInput!$M$27,Inputs!$B$4="Chapter Hunt"),CHOOSE(ArtifactsInput!$N$27+1,20,24,28,32,36,40),0)/100)),0)</f>
        <v/>
      </c>
      <c r="R1390">
        <f>IF(AND(Inputs!$B$38&lt;&gt;"pvp",Inputs!$B$43&gt;0),IF(Inputs!$B$43&lt;=0,0,(INT(Inputs!$B$43/(IF(Inputs!$B$38="pvp",15,MAX(0.1,Skills!D17-IF(TRUE=TRUE,Inputs!$B$32,0)))*(1-IF(AND(ArtifactsInput!$M$27,Inputs!$B$4="Chapter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Skills!G18*IF(Skills!H18&gt;0,IF(Inputs!$B$38="pvp",MIN(Skills!I18,15),Skills!I18)/Skills!H18,1)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IFERROR(1/(IF(Inputs!$B$38="pvp",15,MAX(0.1,Skills!D18-IF(TRUE=TRUE,Inputs!$B$32,0)))*(1-IF(AND(ArtifactsInput!$M$27,Inputs!$B$4="Chapter Hunt"),CHOOSE(ArtifactsInput!$N$27+1,20,24,28,32,36,40),0)/100)),0)</f>
        <v/>
      </c>
      <c r="R1391">
        <f>IF(AND(Inputs!$B$38&lt;&gt;"pvp",Inputs!$B$43&gt;0),IF(Inputs!$B$43&lt;=0,0,(INT(Inputs!$B$43/(IF(Inputs!$B$38="pvp",15,MAX(0.1,Skills!D18-IF(TRUE=TRUE,Inputs!$B$32,0)))*(1-IF(AND(ArtifactsInput!$M$27,Inputs!$B$4="Chapter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Skills!G19*IF(Skills!H19&gt;0,IF(Inputs!$B$38="pvp",MIN(Skills!I19,15),Skills!I19)/Skills!H19,1)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IFERROR(1/(IF(Inputs!$B$38="pvp",15,MAX(0.1,Skills!D19-IF(TRUE=TRUE,Inputs!$B$32,0)))*(1-IF(AND(ArtifactsInput!$M$27,Inputs!$B$4="Chapter Hunt"),CHOOSE(ArtifactsInput!$N$27+1,20,24,28,32,36,40),0)/100)),0)</f>
        <v/>
      </c>
      <c r="R1392">
        <f>IF(AND(Inputs!$B$38&lt;&gt;"pvp",Inputs!$B$43&gt;0),IF(Inputs!$B$43&lt;=0,0,(INT(Inputs!$B$43/(IF(Inputs!$B$38="pvp",15,MAX(0.1,Skills!D19-IF(TRUE=TRUE,Inputs!$B$32,0)))*(1-IF(AND(ArtifactsInput!$M$27,Inputs!$B$4="Chapter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Skills!G20*IF(Skills!H20&gt;0,IF(Inputs!$B$38="pvp",MIN(Skills!I20,15),Skills!I20)/Skills!H20,1)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Skills!G21*IF(Skills!H21&gt;0,IF(Inputs!$B$38="pvp",MIN(Skills!I21,15),Skills!I21)/Skills!H21,1)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Skills!G22*IF(Skills!H22&gt;0,IF(Inputs!$B$38="pvp",MIN(Skills!I22,15),Skills!I22)/Skills!H22,1)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Skills!G23*IF(Skills!H23&gt;0,IF(Inputs!$B$38="pvp",MIN(Skills!I23,15),Skills!I23)/Skills!H23,1)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Skills!G24*IF(Skills!H24&gt;0,IF(Inputs!$B$38="pvp",MIN(Skills!I24,15),Skills!I24)/Skills!H24,1)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Skills!G25*IF(Skills!H25&gt;0,IF(Inputs!$B$38="pvp",MIN(Skills!I25,15),Skills!I25)/Skills!H25,1)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Skills!G26*IF(Skills!H26&gt;0,IF(Inputs!$B$38="pvp",MIN(Skills!I26,15),Skills!I26)/Skills!H26,1)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118,8,IF(Inputs!$B$3&gt;=110,7,5)))+((C1388=TRUE)*F1388*IF(AND(Inputs!$B$38&lt;&gt;"pvp",Inputs!$B$43&gt;0),(((R1388-1)*MIN((Skills!T15*(1+(Inputs!$B$34+(ArtifactsInput!$M$7-ArtifactsInput!$M$7)*CHOOSE(ArtifactsInput!$N$7+1,6,7.2,8.4,9.6,10.8,12))/100)),(1/Q1388))+MIN((Skills!T15*(1+(Inputs!$B$34+(ArtifactsInput!$M$7-ArtifactsInput!$M$7)*CHOOSE(ArtifactsInput!$N$7+1,6,7.2,8.4,9.6,10.8,12))/100)),MAX(0,Inputs!$B$43-((R1388-1)*(1/Q1388)))))/Inputs!$B$43),IF(Inputs!$B$38="pvp",MIN((Skills!T15*(1+(Inputs!$B$34+(ArtifactsInput!$M$7-ArtifactsInput!$M$7)*CHOOSE(ArtifactsInput!$N$7+1,6,7.2,8.4,9.6,10.8,12))/100)),15)/15,MIN(1,(Skills!T15*(1+(Inputs!$B$34+(ArtifactsInput!$M$7-ArtifactsInput!$M$7)*CHOOSE(ArtifactsInput!$N$7+1,6,7.2,8.4,9.6,10.8,12))/100))/(1/Q1388)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MIN((Skills!T19*(1+(Inputs!$B$34+(ArtifactsInput!$M$7-ArtifactsInput!$M$7)*CHOOSE(ArtifactsInput!$N$7+1,6,7.2,8.4,9.6,10.8,12))/100)),(1/Q1392))+MIN((Skills!T19*(1+(Inputs!$B$34+(ArtifactsInput!$M$7-ArtifactsInput!$M$7)*CHOOSE(ArtifactsInput!$N$7+1,6,7.2,8.4,9.6,10.8,12))/100)),MAX(0,Inputs!$B$43-((R1392-1)*(1/Q1392)))))/Inputs!$B$43),IF(Inputs!$B$38="pvp",MIN((Skills!T19*(1+(Inputs!$B$34+(ArtifactsInput!$M$7-ArtifactsInput!$M$7)*CHOOSE(ArtifactsInput!$N$7+1,6,7.2,8.4,9.6,10.8,12))/100)),15)/15,MIN(1,(Skills!T19*(1+(Inputs!$B$34+(ArtifactsInput!$M$7-ArtifactsInput!$M$7)*CHOOSE(ArtifactsInput!$N$7+1,6,7.2,8.4,9.6,10.8,12))/100))/(1/Q1392)))))</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MIN((Skills!T18*(1+(Inputs!$B$34+(ArtifactsInput!$M$7-ArtifactsInput!$M$7)*CHOOSE(ArtifactsInput!$N$7+1,6,7.2,8.4,9.6,10.8,12))/100)),(1/Q1391))+MIN((Skills!T18*(1+(Inputs!$B$34+(ArtifactsInput!$M$7-ArtifactsInput!$M$7)*CHOOSE(ArtifactsInput!$N$7+1,6,7.2,8.4,9.6,10.8,12))/100)),MAX(0,Inputs!$B$43-((R1391-1)*(1/Q1391)))))/Inputs!$B$43),IF(Inputs!$B$38="pvp",MIN((Skills!T18*(1+(Inputs!$B$34+(ArtifactsInput!$M$7-ArtifactsInput!$M$7)*CHOOSE(ArtifactsInput!$N$7+1,6,7.2,8.4,9.6,10.8,12))/100)),15)/15,MIN(1,(Skills!T18*(1+(Inputs!$B$34+(ArtifactsInput!$M$7-ArtifactsInput!$M$7)*CHOOSE(ArtifactsInput!$N$7+1,6,7.2,8.4,9.6,10.8,12))/100))/(1/Q1391)))))</f>
        <v/>
      </c>
    </row>
    <row r="1408">
      <c r="A1408" t="inlineStr">
        <is>
          <t>Global Final Damage Bonus % (Enrage + Combo Synergy)</t>
        </is>
      </c>
      <c r="B1408">
        <f>((C1390=TRUE)*F1390*IF(AND(Inputs!$B$38&lt;&gt;"pvp",Inputs!$B$43&gt;0),(((R1390-1)*MIN((Skills!T17*(1+(Inputs!$B$34+(ArtifactsInput!$M$7-ArtifactsInput!$M$7)*CHOOSE(ArtifactsInput!$N$7+1,6,7.2,8.4,9.6,10.8,12))/100)),(1/Q1390))+MIN((Skills!T17*(1+(Inputs!$B$34+(ArtifactsInput!$M$7-ArtifactsInput!$M$7)*CHOOSE(ArtifactsInput!$N$7+1,6,7.2,8.4,9.6,10.8,12))/100)),MAX(0,Inputs!$B$43-((R1390-1)*(1/Q1390)))))/Inputs!$B$43),IF(Inputs!$B$38="pvp",MIN((Skills!T17*(1+(Inputs!$B$34+(ArtifactsInput!$M$7-ArtifactsInput!$M$7)*CHOOSE(ArtifactsInput!$N$7+1,6,7.2,8.4,9.6,10.8,12))/100)),15)/15,MIN(1,(Skills!T17*(1+(Inputs!$B$34+(ArtifactsInput!$M$7-ArtifactsInput!$M$7)*CHOOSE(ArtifactsInput!$N$7+1,6,7.2,8.4,9.6,10.8,12))/100))/(1/Q1390)))))+((C1387=TRUE)*F1387*IF(Inputs!$B$3&gt;=118,8,IF(Inputs!$B$3&gt;=110,7,5)))+IF(Inputs!$B$3&gt;=98,5,0)</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Skills!G2*IF(Skills!H2&gt;0,IF(Inputs!$B$38="pvp",MIN(Skills!I2,15),Skills!I2)/Skills!H2,1)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Skills!G5*IF(Skills!H5&gt;0,IF(Inputs!$B$38="pvp",MIN(Skills!I5,15),Skills!I5)/Skills!H5,1)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IFERROR(1/(IF(Inputs!$B$38="pvp",15,MAX(0.1,Skills!D5-IF(TRUE=TRUE,Inputs!$B$32,0)))*(1-IF(AND(ArtifactsInput!$M$27,Inputs!$B$4="Chapter Hunt"),CHOOSE(ArtifactsInput!$N$27+1,20,24,28,32,36,40),0)/100)),0)</f>
        <v/>
      </c>
      <c r="R1420">
        <f>IF(AND(Inputs!$B$38&lt;&gt;"pvp",Inputs!$B$43&gt;0),IF(MAX(0,Inputs!$B$43-B1451)&lt;=0,0,(INT(MAX(0,Inputs!$B$43-B1451)/(IF(Inputs!$B$38="pvp",15,MAX(0.1,Skills!D5-IF(TRUE=TRUE,Inputs!$B$32,0)))*(1-IF(AND(ArtifactsInput!$M$27,Inputs!$B$4="Chapter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$20+0+Skills!P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TRUE=TRUE,Inputs!$B$32,0)))*(1-IF(AND(ArtifactsInput!$M$27,Inputs!$B$4="Chapter Hunt"),CHOOSE(ArtifactsInput!$N$27+1,20,24,28,32,36,40),0)/100)))))/Skills!H5,1)))/Inputs!$B$43),G1420*Q1420))*IF(Inputs!$B$38="pvp",1,(1+(Inputs!$B$21+Skills!Q5+(((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Skills!G6*IF(Skills!H6&gt;0,IF(Inputs!$B$38="pvp",MIN(Skills!I6,15),Skills!I6)/Skills!H6,1)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IFERROR(1/(IF(Inputs!$B$38="pvp",15,MAX(0.1,Skills!D6-IF(TRUE=TRUE,Inputs!$B$32,0)))*(1-IF(AND(ArtifactsInput!$M$27,Inputs!$B$4="Chapter Hunt"),CHOOSE(ArtifactsInput!$N$27+1,20,24,28,32,36,40),0)/100)),0)</f>
        <v/>
      </c>
      <c r="R1421">
        <f>IF(AND(Inputs!$B$38&lt;&gt;"pvp",Inputs!$B$43&gt;0),IF(MAX(0,Inputs!$B$43-B1451)&lt;=0,0,(INT(MAX(0,Inputs!$B$43-B1451)/(IF(Inputs!$B$38="pvp",15,MAX(0.1,Skills!D6-IF(TRUE=TRUE,Inputs!$B$32,0)))*(1-IF(AND(ArtifactsInput!$M$27,Inputs!$B$4="Chapter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$20+0+Skills!P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TRUE=TRUE,Inputs!$B$32,0)))*(1-IF(AND(ArtifactsInput!$M$27,Inputs!$B$4="Chapter Hunt"),CHOOSE(ArtifactsInput!$N$27+1,20,24,28,32,36,40),0)/100)))))/Skills!H6,1)))/Inputs!$B$43),G1421*Q1421))*IF(Inputs!$B$38="pvp",1,(1+(Inputs!$B$21+Skills!Q6+(((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Skills!G7*IF(Skills!H7&gt;0,IF(Inputs!$B$38="pvp",MIN(Skills!I7,15),Skills!I7)/Skills!H7,1)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IFERROR(1/(IF(Inputs!$B$38="pvp",15,MAX(0.1,Skills!D7-IF(TRUE=TRUE,Inputs!$B$32,0)))*(1-IF(AND(ArtifactsInput!$M$27,Inputs!$B$4="Chapter Hunt"),CHOOSE(ArtifactsInput!$N$27+1,20,24,28,32,36,40),0)/100)),0)</f>
        <v/>
      </c>
      <c r="R1422">
        <f>IF(AND(Inputs!$B$38&lt;&gt;"pvp",Inputs!$B$43&gt;0),IF(MAX(0,Inputs!$B$43-B1451)&lt;=0,0,(INT(MAX(0,Inputs!$B$43-B1451)/(IF(Inputs!$B$38="pvp",15,MAX(0.1,Skills!D7-IF(TRUE=TRUE,Inputs!$B$32,0)))*(1-IF(AND(ArtifactsInput!$M$27,Inputs!$B$4="Chapter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$20+0+Skills!P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TRUE=TRUE,Inputs!$B$32,0)))*(1-IF(AND(ArtifactsInput!$M$27,Inputs!$B$4="Chapter Hunt"),CHOOSE(ArtifactsInput!$N$27+1,20,24,28,32,36,40),0)/100)))))/Skills!H7,1)))/Inputs!$B$43),G1422*Q1422))*IF(Inputs!$B$38="pvp",1,(1+(Inputs!$B$21+Skills!Q7+(((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Skills!G8*IF(Skills!H8&gt;0,IF(Inputs!$B$38="pvp",MIN(Skills!I8,15),Skills!I8)/Skills!H8,1)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IFERROR(1/(IF(Inputs!$B$38="pvp",15,MAX(0.1,Skills!D8-IF(TRUE=TRUE,Inputs!$B$32,0)))*(1-IF(AND(ArtifactsInput!$M$27,Inputs!$B$4="Chapter Hunt"),CHOOSE(ArtifactsInput!$N$27+1,20,24,28,32,36,40),0)/100)),0)</f>
        <v/>
      </c>
      <c r="R1423">
        <f>IF(AND(Inputs!$B$38&lt;&gt;"pvp",Inputs!$B$43&gt;0),IF(MAX(0,Inputs!$B$43-B1451)&lt;=0,0,(INT(MAX(0,Inputs!$B$43-B1451)/(IF(Inputs!$B$38="pvp",15,MAX(0.1,Skills!D8-IF(TRUE=TRUE,Inputs!$B$32,0)))*(1-IF(AND(ArtifactsInput!$M$27,Inputs!$B$4="Chapter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$20+0+Skills!P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TRUE=TRUE,Inputs!$B$32,0)))*(1-IF(AND(ArtifactsInput!$M$27,Inputs!$B$4="Chapter Hunt"),CHOOSE(ArtifactsInput!$N$27+1,20,24,28,32,36,40),0)/100)))))/Skills!H8,1)))/Inputs!$B$43),G1423*Q1423))*IF(Inputs!$B$38="pvp",1,(1+(Inputs!$B$21+Skills!Q8+(((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Skills!G9*IF(Skills!H9&gt;0,IF(Inputs!$B$38="pvp",MIN(Skills!I9,15),Skills!I9)/Skills!H9,1)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138,MAX(0,IF(Inputs!$B$3&gt;=118,8,IF(Inputs!$B$3&gt;=110,7,5))-5)*50,0),0)/100)*(1+(IF(Skills!A9="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IFERROR(1/(IF(Inputs!$B$38="pvp",15,MAX(0.1,Skills!D9-IF(TRUE=TRUE,Inputs!$B$32,0)))*(1-IF(AND(ArtifactsInput!$M$27,Inputs!$B$4="Chapter Hunt"),CHOOSE(ArtifactsInput!$N$27+1,20,24,28,32,36,40),0)/100)),0)</f>
        <v/>
      </c>
      <c r="R1424">
        <f>IF(AND(Inputs!$B$38&lt;&gt;"pvp",Inputs!$B$43&gt;0),IF(MAX(0,Inputs!$B$43-B1451)&lt;=0,0,(INT(MAX(0,Inputs!$B$43-B1451)/(IF(Inputs!$B$38="pvp",15,MAX(0.1,Skills!D9-IF(TRUE=TRUE,Inputs!$B$32,0)))*(1-IF(AND(ArtifactsInput!$M$27,Inputs!$B$4="Chapter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TRUE=TRUE,Inputs!$B$32,0)))*(1-IF(AND(ArtifactsInput!$M$27,Inputs!$B$4="Chapter Hunt"),CHOOSE(ArtifactsInput!$N$27+1,20,24,28,32,36,40),0)/100)))))/Skills!H9,1)))/Inputs!$B$43),G1424*Q1424))*IF(Inputs!$B$38="pvp",1,1+(Inputs!$B$20+0+Skills!P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TRUE=TRUE,Inputs!$B$32,0)))*(1-IF(AND(ArtifactsInput!$M$27,Inputs!$B$4="Chapter Hunt"),CHOOSE(ArtifactsInput!$N$27+1,20,24,28,32,36,40),0)/100)))))/Skills!H9,1)))/Inputs!$B$43),G1424*Q1424))*IF(Inputs!$B$38="pvp",1,(1+(Inputs!$B$21+Skills!Q9+(((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Skills!G10*IF(Skills!H10&gt;0,IF(Inputs!$B$38="pvp",MIN(Skills!I10,15),Skills!I10)/Skills!H10,1)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138,MAX(0,IF(Inputs!$B$3&gt;=118,8,IF(Inputs!$B$3&gt;=110,7,5))-5)*50,0),0)/100)*(1+(IF(Skills!A10="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IFERROR(1/(IF(Inputs!$B$38="pvp",15,MAX(0.1,Skills!D10-IF(TRUE=TRUE,Inputs!$B$32,0)))*(1-IF(AND(ArtifactsInput!$M$27,Inputs!$B$4="Chapter Hunt"),CHOOSE(ArtifactsInput!$N$27+1,20,24,28,32,36,40),0)/100)),0)</f>
        <v/>
      </c>
      <c r="R1425">
        <f>IF(AND(Inputs!$B$38&lt;&gt;"pvp",Inputs!$B$43&gt;0),IF(MAX(0,Inputs!$B$43-B1451)&lt;=0,0,(INT(MAX(0,Inputs!$B$43-B1451)/(IF(Inputs!$B$38="pvp",15,MAX(0.1,Skills!D10-IF(TRUE=TRUE,Inputs!$B$32,0)))*(1-IF(AND(ArtifactsInput!$M$27,Inputs!$B$4="Chapter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$20+0+Skills!P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TRUE=TRUE,Inputs!$B$32,0)))*(1-IF(AND(ArtifactsInput!$M$27,Inputs!$B$4="Chapter Hunt"),CHOOSE(ArtifactsInput!$N$27+1,20,24,28,32,36,40),0)/100)))))/Skills!H10,1)))/Inputs!$B$43),G1425*Q1425))*IF(Inputs!$B$38="pvp",1,(1+(Inputs!$B$21+Skills!Q10+(((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Skills!G11*IF(Skills!H11&gt;0,IF(Inputs!$B$38="pvp",MIN(Skills!I11,15),Skills!I11)/Skills!H11,1)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(100-(100-((Inputs!$B$19+0)))*(1-IF(Inputs!$B$3&gt;=130,IF(Inputs!$B$3&gt;=118,8,IF(Inputs!$B$3&gt;=110,7,5)),0)/100)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138,MAX(0,IF(Inputs!$B$3&gt;=118,8,IF(Inputs!$B$3&gt;=110,7,5))-5)*50,0),0)/100)*(1+(IF(Skills!A11="RAGING_BLOW",Inputs!$B$17+((C1436=TRUE)*(F1436-Calc!F21))+((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IFERROR(1/(IF(Inputs!$B$38="pvp",15,MAX(0.1,Skills!D11-IF(TRUE=TRUE,Inputs!$B$32,0)))*(1-IF(AND(ArtifactsInput!$M$27,Inputs!$B$4="Chapter Hunt"),CHOOSE(ArtifactsInput!$N$27+1,20,24,28,32,36,40),0)/100)),0)</f>
        <v/>
      </c>
      <c r="R1426">
        <f>IF(AND(Inputs!$B$38&lt;&gt;"pvp",Inputs!$B$43&gt;0),IF(MAX(0,Inputs!$B$43-B1451)&lt;=0,0,(INT(MAX(0,Inputs!$B$43-B1451)/(IF(Inputs!$B$38="pvp",15,MAX(0.1,Skills!D11-IF(TRUE=TRUE,Inputs!$B$32,0)))*(1-IF(AND(ArtifactsInput!$M$27,Inputs!$B$4="Chapter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$20+0+Skills!P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Inputs!$B$38&lt;&gt;"pvp",Inputs!$B$43=0),1,IF(IF(Inputs!$B$38="pvp",15,Inputs!$B$43)-(B1451)&lt;=0,1,MAX(0,IF(Inputs!$B$38="pvp",15,Inputs!$B$43)-MAX(5,B1451))/(IF(Inputs!$B$38="pvp",15,Inputs!$B$43)-(B1451)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TRUE=TRUE,Inputs!$B$32,0)))*(1-IF(AND(ArtifactsInput!$M$27,Inputs!$B$4="Chapter Hunt"),CHOOSE(ArtifactsInput!$N$27+1,20,24,28,32,36,40),0)/100)))))/Skills!H11,1)))/Inputs!$B$43),G1426*Q1426))*IF(Inputs!$B$38="pvp",1,(1+(Inputs!$B$21+Skills!Q11+(((C1431=TRUE)*F1431*(Skills!J16/100)*IF(AND(Inputs!$B$38&lt;&gt;"pvp",Inputs!$B$43&gt;0),(((R1431-1)*MIN((Skills!T16*(1+(Inputs!$B$34+(ArtifactsInput!$M$7-ArtifactsInput!$M$7)*CHOOSE(ArtifactsInput!$N$7+1,6,7.2,8.4,9.6,10.8,12))/100)),(1/Q1431))+MIN((Skills!T16*(1+(Inputs!$B$34+(ArtifactsInput!$M$7-ArtifactsInput!$M$7)*CHOOSE(ArtifactsInput!$N$7+1,6,7.2,8.4,9.6,10.8,12))/100)),MAX(0,Inputs!$B$43-((R1431-1)*(1/Q1431)))))/Inputs!$B$43),IF(Inputs!$B$38="pvp",MIN((Skills!T16*(1+(Inputs!$B$34+(ArtifactsInput!$M$7-ArtifactsInput!$M$7)*CHOOSE(ArtifactsInput!$N$7+1,6,7.2,8.4,9.6,10.8,12))/100)),15)/15,MIN(1,(Skills!T16*(1+(Inputs!$B$34+(ArtifactsInput!$M$7-ArtifactsInput!$M$7)*CHOOSE(ArtifactsInput!$N$7+1,6,7.2,8.4,9.6,10.8,12))/100))/(1/Q1431)))))+((C1423=TRUE)*IF(Inputs!$B$3&gt;=126,10*MIN(1,15*Q1423),0))+((C1420=TRUE)*((100/10)*(INDEX(FactorTable!$B$2:$Y$301,MATCH(ROUND(MIN(300,MAX(1,MAX(0,(Inputs!$B$3-100)*3)+Inputs!$B$28+Inputs!$B$29)),0),FactorTable!$A$2:$A$301,0),22)/1000))*(1+IF(Inputs!$B$3&gt;=134,0.5,0))*MIN(1,10*(1+(Inputs!$B$34+(ArtifactsInput!$M$7-ArtifactsInput!$M$7)*CHOOSE(ArtifactsInput!$N$7+1,6,7.2,8.4,9.6,10.8,12))/100)*Q1420)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Skills!G13*IF(Skills!H13&gt;0,IF(Inputs!$B$38="pvp",MIN(Skills!I13,15),Skills!I13)/Skills!H13,1)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Skills!G14*IF(Skills!H14&gt;0,IF(Inputs!$B$38="pvp",MIN(Skills!I14,15),Skills!I14)/Skills!H14,1)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Skills!G15*IF(Skills!H15&gt;0,IF(Inputs!$B$38="pvp",MIN(Skills!I15,15),Skills!I15)/Skills!H15,1)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IFERROR(1/(IF(Inputs!$B$38="pvp",15,MAX(0.1,Skills!D15-IF(TRUE=TRUE,Inputs!$B$32,0)))*(1-IF(AND(ArtifactsInput!$M$27,Inputs!$B$4="Chapter Hunt"),CHOOSE(ArtifactsInput!$N$27+1,20,24,28,32,36,40),0)/100)),0)</f>
        <v/>
      </c>
      <c r="R1430">
        <f>IF(AND(Inputs!$B$38&lt;&gt;"pvp",Inputs!$B$43&gt;0),IF(Inputs!$B$43&lt;=0,0,(INT(Inputs!$B$43/(IF(Inputs!$B$38="pvp",15,MAX(0.1,Skills!D15-IF(TRUE=TRUE,Inputs!$B$32,0)))*(1-IF(AND(ArtifactsInput!$M$27,Inputs!$B$4="Chapter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Skills!G16*IF(Skills!H16&gt;0,IF(Inputs!$B$38="pvp",MIN(Skills!I16,15),Skills!I16)/Skills!H16,1)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IFERROR(1/(IF(Inputs!$B$38="pvp",15,MAX(0.1,Skills!D16-IF(TRUE=TRUE,Inputs!$B$32,0)))*(1-IF(AND(ArtifactsInput!$M$27,Inputs!$B$4="Chapter Hunt"),CHOOSE(ArtifactsInput!$N$27+1,20,24,28,32,36,40),0)/100)),0)</f>
        <v/>
      </c>
      <c r="R1431">
        <f>IF(AND(Inputs!$B$38&lt;&gt;"pvp",Inputs!$B$43&gt;0),IF(Inputs!$B$43&lt;=0,0,(INT(Inputs!$B$43/(IF(Inputs!$B$38="pvp",15,MAX(0.1,Skills!D16-IF(TRUE=TRUE,Inputs!$B$32,0)))*(1-IF(AND(ArtifactsInput!$M$27,Inputs!$B$4="Chapter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Skills!G17*IF(Skills!H17&gt;0,IF(Inputs!$B$38="pvp",MIN(Skills!I17,15),Skills!I17)/Skills!H17,1)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IFERROR(1/(IF(Inputs!$B$38="pvp",15,MAX(0.1,Skills!D17-IF(TRUE=TRUE,Inputs!$B$32,0)))*(1-IF(AND(ArtifactsInput!$M$27,Inputs!$B$4="Chapter Hunt"),CHOOSE(ArtifactsInput!$N$27+1,20,24,28,32,36,40),0)/100)),0)</f>
        <v/>
      </c>
      <c r="R1432">
        <f>IF(AND(Inputs!$B$38&lt;&gt;"pvp",Inputs!$B$43&gt;0),IF(Inputs!$B$43&lt;=0,0,(INT(Inputs!$B$43/(IF(Inputs!$B$38="pvp",15,MAX(0.1,Skills!D17-IF(TRUE=TRUE,Inputs!$B$32,0)))*(1-IF(AND(ArtifactsInput!$M$27,Inputs!$B$4="Chapter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Skills!G18*IF(Skills!H18&gt;0,IF(Inputs!$B$38="pvp",MIN(Skills!I18,15),Skills!I18)/Skills!H18,1)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IFERROR(1/(IF(Inputs!$B$38="pvp",15,MAX(0.1,Skills!D18-IF(TRUE=TRUE,Inputs!$B$32,0)))*(1-IF(AND(ArtifactsInput!$M$27,Inputs!$B$4="Chapter Hunt"),CHOOSE(ArtifactsInput!$N$27+1,20,24,28,32,36,40),0)/100)),0)</f>
        <v/>
      </c>
      <c r="R1433">
        <f>IF(AND(Inputs!$B$38&lt;&gt;"pvp",Inputs!$B$43&gt;0),IF(Inputs!$B$43&lt;=0,0,(INT(Inputs!$B$43/(IF(Inputs!$B$38="pvp",15,MAX(0.1,Skills!D18-IF(TRUE=TRUE,Inputs!$B$32,0)))*(1-IF(AND(ArtifactsInput!$M$27,Inputs!$B$4="Chapter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Skills!G19*IF(Skills!H19&gt;0,IF(Inputs!$B$38="pvp",MIN(Skills!I19,15),Skills!I19)/Skills!H19,1)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IFERROR(1/(IF(Inputs!$B$38="pvp",15,MAX(0.1,Skills!D19-IF(TRUE=TRUE,Inputs!$B$32,0)))*(1-IF(AND(ArtifactsInput!$M$27,Inputs!$B$4="Chapter Hunt"),CHOOSE(ArtifactsInput!$N$27+1,20,24,28,32,36,40),0)/100)),0)</f>
        <v/>
      </c>
      <c r="R1434">
        <f>IF(AND(Inputs!$B$38&lt;&gt;"pvp",Inputs!$B$43&gt;0),IF(Inputs!$B$43&lt;=0,0,(INT(Inputs!$B$43/(IF(Inputs!$B$38="pvp",15,MAX(0.1,Skills!D19-IF(TRUE=TRUE,Inputs!$B$32,0)))*(1-IF(AND(ArtifactsInput!$M$27,Inputs!$B$4="Chapter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Skills!G20*IF(Skills!H20&gt;0,IF(Inputs!$B$38="pvp",MIN(Skills!I20,15),Skills!I20)/Skills!H20,1)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Skills!G21*IF(Skills!H21&gt;0,IF(Inputs!$B$38="pvp",MIN(Skills!I21,15),Skills!I21)/Skills!H21,1)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Skills!G22*IF(Skills!H22&gt;0,IF(Inputs!$B$38="pvp",MIN(Skills!I22,15),Skills!I22)/Skills!H22,1)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Skills!G23*IF(Skills!H23&gt;0,IF(Inputs!$B$38="pvp",MIN(Skills!I23,15),Skills!I23)/Skills!H23,1)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Skills!G24*IF(Skills!H24&gt;0,IF(Inputs!$B$38="pvp",MIN(Skills!I24,15),Skills!I24)/Skills!H24,1)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Skills!G25*IF(Skills!H25&gt;0,IF(Inputs!$B$38="pvp",MIN(Skills!I25,15),Skills!I25)/Skills!H25,1)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Skills!G26*IF(Skills!H26&gt;0,IF(Inputs!$B$38="pvp",MIN(Skills!I26,15),Skills!I26)/Skills!H26,1)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118,8,IF(Inputs!$B$3&gt;=110,7,5)))+((C1430=TRUE)*F1430*IF(AND(Inputs!$B$38&lt;&gt;"pvp",Inputs!$B$43&gt;0),(((R1430-1)*MIN((Skills!T15*(1+(Inputs!$B$34+(ArtifactsInput!$M$7-ArtifactsInput!$M$7)*CHOOSE(ArtifactsInput!$N$7+1,6,7.2,8.4,9.6,10.8,12))/100)),(1/Q1430))+MIN((Skills!T15*(1+(Inputs!$B$34+(ArtifactsInput!$M$7-ArtifactsInput!$M$7)*CHOOSE(ArtifactsInput!$N$7+1,6,7.2,8.4,9.6,10.8,12))/100)),MAX(0,Inputs!$B$43-((R1430-1)*(1/Q1430)))))/Inputs!$B$43),IF(Inputs!$B$38="pvp",MIN((Skills!T15*(1+(Inputs!$B$34+(ArtifactsInput!$M$7-ArtifactsInput!$M$7)*CHOOSE(ArtifactsInput!$N$7+1,6,7.2,8.4,9.6,10.8,12))/100)),15)/15,MIN(1,(Skills!T15*(1+(Inputs!$B$34+(ArtifactsInput!$M$7-ArtifactsInput!$M$7)*CHOOSE(ArtifactsInput!$N$7+1,6,7.2,8.4,9.6,10.8,12))/100))/(1/Q1430)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MIN((Skills!T19*(1+(Inputs!$B$34+(ArtifactsInput!$M$7-ArtifactsInput!$M$7)*CHOOSE(ArtifactsInput!$N$7+1,6,7.2,8.4,9.6,10.8,12))/100)),(1/Q1434))+MIN((Skills!T19*(1+(Inputs!$B$34+(ArtifactsInput!$M$7-ArtifactsInput!$M$7)*CHOOSE(ArtifactsInput!$N$7+1,6,7.2,8.4,9.6,10.8,12))/100)),MAX(0,Inputs!$B$43-((R1434-1)*(1/Q1434)))))/Inputs!$B$43),IF(Inputs!$B$38="pvp",MIN((Skills!T19*(1+(Inputs!$B$34+(ArtifactsInput!$M$7-ArtifactsInput!$M$7)*CHOOSE(ArtifactsInput!$N$7+1,6,7.2,8.4,9.6,10.8,12))/100)),15)/15,MIN(1,(Skills!T19*(1+(Inputs!$B$34+(ArtifactsInput!$M$7-ArtifactsInput!$M$7)*CHOOSE(ArtifactsInput!$N$7+1,6,7.2,8.4,9.6,10.8,12))/100))/(1/Q1434)))))</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MIN((Skills!T18*(1+(Inputs!$B$34+(ArtifactsInput!$M$7-ArtifactsInput!$M$7)*CHOOSE(ArtifactsInput!$N$7+1,6,7.2,8.4,9.6,10.8,12))/100)),(1/Q1433))+MIN((Skills!T18*(1+(Inputs!$B$34+(ArtifactsInput!$M$7-ArtifactsInput!$M$7)*CHOOSE(ArtifactsInput!$N$7+1,6,7.2,8.4,9.6,10.8,12))/100)),MAX(0,Inputs!$B$43-((R1433-1)*(1/Q1433)))))/Inputs!$B$43),IF(Inputs!$B$38="pvp",MIN((Skills!T18*(1+(Inputs!$B$34+(ArtifactsInput!$M$7-ArtifactsInput!$M$7)*CHOOSE(ArtifactsInput!$N$7+1,6,7.2,8.4,9.6,10.8,12))/100)),15)/15,MIN(1,(Skills!T18*(1+(Inputs!$B$34+(ArtifactsInput!$M$7-ArtifactsInput!$M$7)*CHOOSE(ArtifactsInput!$N$7+1,6,7.2,8.4,9.6,10.8,12))/100))/(1/Q1433)))))</f>
        <v/>
      </c>
    </row>
    <row r="1450">
      <c r="A1450" t="inlineStr">
        <is>
          <t>Global Final Damage Bonus % (Enrage + Combo Synergy)</t>
        </is>
      </c>
      <c r="B1450">
        <f>((C1432=TRUE)*F1432*IF(AND(Inputs!$B$38&lt;&gt;"pvp",Inputs!$B$43&gt;0),(((R1432-1)*MIN((Skills!T17*(1+(Inputs!$B$34+(ArtifactsInput!$M$7-ArtifactsInput!$M$7)*CHOOSE(ArtifactsInput!$N$7+1,6,7.2,8.4,9.6,10.8,12))/100)),(1/Q1432))+MIN((Skills!T17*(1+(Inputs!$B$34+(ArtifactsInput!$M$7-ArtifactsInput!$M$7)*CHOOSE(ArtifactsInput!$N$7+1,6,7.2,8.4,9.6,10.8,12))/100)),MAX(0,Inputs!$B$43-((R1432-1)*(1/Q1432)))))/Inputs!$B$43),IF(Inputs!$B$38="pvp",MIN((Skills!T17*(1+(Inputs!$B$34+(ArtifactsInput!$M$7-ArtifactsInput!$M$7)*CHOOSE(ArtifactsInput!$N$7+1,6,7.2,8.4,9.6,10.8,12))/100)),15)/15,MIN(1,(Skills!T17*(1+(Inputs!$B$34+(ArtifactsInput!$M$7-ArtifactsInput!$M$7)*CHOOSE(ArtifactsInput!$N$7+1,6,7.2,8.4,9.6,10.8,12))/100))/(1/Q1432)))))+((C1429=TRUE)*F1429*IF(Inputs!$B$3&gt;=118,8,IF(Inputs!$B$3&gt;=110,7,5)))+IF(Inputs!$B$3&gt;=98,5,0)</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Skills!G2*IF(Skills!H2&gt;0,IF(Inputs!$B$38="pvp",MIN(Skills!I2,15),Skills!I2)/Skills!H2,1)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Skills!G5*IF(Skills!H5&gt;0,IF(Inputs!$B$38="pvp",MIN(Skills!I5,15),Skills!I5)/Skills!H5,1)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IFERROR(1/(IF(Inputs!$B$38="pvp",15,MAX(0.1,Skills!D5-IF(TRUE=TRUE,Inputs!$B$32,0)))*(1-IF(AND(ArtifactsInput!$M$27,Inputs!$B$4="Chapter Hunt"),CHOOSE(ArtifactsInput!$N$27+1,20,24,28,32,36,40),0)/100)),0)</f>
        <v/>
      </c>
      <c r="R1462">
        <f>IF(AND(Inputs!$B$38&lt;&gt;"pvp",Inputs!$B$43&gt;0),IF(MAX(0,Inputs!$B$43-B1493)&lt;=0,0,(INT(MAX(0,Inputs!$B$43-B1493)/(IF(Inputs!$B$38="pvp",15,MAX(0.1,Skills!D5-IF(TRUE=TRUE,Inputs!$B$32,0)))*(1-IF(AND(ArtifactsInput!$M$27,Inputs!$B$4="Chapter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$20+0+Skills!P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TRUE=TRUE,Inputs!$B$32,0)))*(1-IF(AND(ArtifactsInput!$M$27,Inputs!$B$4="Chapter Hunt"),CHOOSE(ArtifactsInput!$N$27+1,20,24,28,32,36,40),0)/100)))))/Skills!H5,1)))/Inputs!$B$43),G1462*Q1462))*IF(Inputs!$B$38="pvp",1,(1+(Inputs!$B$21+Skills!Q5+(((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Skills!G6*IF(Skills!H6&gt;0,IF(Inputs!$B$38="pvp",MIN(Skills!I6,15),Skills!I6)/Skills!H6,1)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IFERROR(1/(IF(Inputs!$B$38="pvp",15,MAX(0.1,Skills!D6-IF(TRUE=TRUE,Inputs!$B$32,0)))*(1-IF(AND(ArtifactsInput!$M$27,Inputs!$B$4="Chapter Hunt"),CHOOSE(ArtifactsInput!$N$27+1,20,24,28,32,36,40),0)/100)),0)</f>
        <v/>
      </c>
      <c r="R1463">
        <f>IF(AND(Inputs!$B$38&lt;&gt;"pvp",Inputs!$B$43&gt;0),IF(MAX(0,Inputs!$B$43-B1493)&lt;=0,0,(INT(MAX(0,Inputs!$B$43-B1493)/(IF(Inputs!$B$38="pvp",15,MAX(0.1,Skills!D6-IF(TRUE=TRUE,Inputs!$B$32,0)))*(1-IF(AND(ArtifactsInput!$M$27,Inputs!$B$4="Chapter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$20+0+Skills!P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TRUE=TRUE,Inputs!$B$32,0)))*(1-IF(AND(ArtifactsInput!$M$27,Inputs!$B$4="Chapter Hunt"),CHOOSE(ArtifactsInput!$N$27+1,20,24,28,32,36,40),0)/100)))))/Skills!H6,1)))/Inputs!$B$43),G1463*Q1463))*IF(Inputs!$B$38="pvp",1,(1+(Inputs!$B$21+Skills!Q6+(((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Skills!G7*IF(Skills!H7&gt;0,IF(Inputs!$B$38="pvp",MIN(Skills!I7,15),Skills!I7)/Skills!H7,1)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IFERROR(1/(IF(Inputs!$B$38="pvp",15,MAX(0.1,Skills!D7-IF(TRUE=TRUE,Inputs!$B$32,0)))*(1-IF(AND(ArtifactsInput!$M$27,Inputs!$B$4="Chapter Hunt"),CHOOSE(ArtifactsInput!$N$27+1,20,24,28,32,36,40),0)/100)),0)</f>
        <v/>
      </c>
      <c r="R1464">
        <f>IF(AND(Inputs!$B$38&lt;&gt;"pvp",Inputs!$B$43&gt;0),IF(MAX(0,Inputs!$B$43-B1493)&lt;=0,0,(INT(MAX(0,Inputs!$B$43-B1493)/(IF(Inputs!$B$38="pvp",15,MAX(0.1,Skills!D7-IF(TRUE=TRUE,Inputs!$B$32,0)))*(1-IF(AND(ArtifactsInput!$M$27,Inputs!$B$4="Chapter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$20+0+Skills!P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TRUE=TRUE,Inputs!$B$32,0)))*(1-IF(AND(ArtifactsInput!$M$27,Inputs!$B$4="Chapter Hunt"),CHOOSE(ArtifactsInput!$N$27+1,20,24,28,32,36,40),0)/100)))))/Skills!H7,1)))/Inputs!$B$43),G1464*Q1464))*IF(Inputs!$B$38="pvp",1,(1+(Inputs!$B$21+Skills!Q7+(((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Skills!G8*IF(Skills!H8&gt;0,IF(Inputs!$B$38="pvp",MIN(Skills!I8,15),Skills!I8)/Skills!H8,1)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IFERROR(1/(IF(Inputs!$B$38="pvp",15,MAX(0.1,Skills!D8-IF(TRUE=TRUE,Inputs!$B$32,0)))*(1-IF(AND(ArtifactsInput!$M$27,Inputs!$B$4="Chapter Hunt"),CHOOSE(ArtifactsInput!$N$27+1,20,24,28,32,36,40),0)/100)),0)</f>
        <v/>
      </c>
      <c r="R1465">
        <f>IF(AND(Inputs!$B$38&lt;&gt;"pvp",Inputs!$B$43&gt;0),IF(MAX(0,Inputs!$B$43-B1493)&lt;=0,0,(INT(MAX(0,Inputs!$B$43-B1493)/(IF(Inputs!$B$38="pvp",15,MAX(0.1,Skills!D8-IF(TRUE=TRUE,Inputs!$B$32,0)))*(1-IF(AND(ArtifactsInput!$M$27,Inputs!$B$4="Chapter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$20+0+Skills!P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TRUE=TRUE,Inputs!$B$32,0)))*(1-IF(AND(ArtifactsInput!$M$27,Inputs!$B$4="Chapter Hunt"),CHOOSE(ArtifactsInput!$N$27+1,20,24,28,32,36,40),0)/100)))))/Skills!H8,1)))/Inputs!$B$43),G1465*Q1465))*IF(Inputs!$B$38="pvp",1,(1+(Inputs!$B$21+Skills!Q8+(((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Skills!G9*IF(Skills!H9&gt;0,IF(Inputs!$B$38="pvp",MIN(Skills!I9,15),Skills!I9)/Skills!H9,1)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138,MAX(0,IF(Inputs!$B$3&gt;=118,8,IF(Inputs!$B$3&gt;=110,7,5))-5)*50,0),0)/100)*(1+(IF(Skills!A9="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IFERROR(1/(IF(Inputs!$B$38="pvp",15,MAX(0.1,Skills!D9-IF(TRUE=TRUE,Inputs!$B$32,0)))*(1-IF(AND(ArtifactsInput!$M$27,Inputs!$B$4="Chapter Hunt"),CHOOSE(ArtifactsInput!$N$27+1,20,24,28,32,36,40),0)/100)),0)</f>
        <v/>
      </c>
      <c r="R1466">
        <f>IF(AND(Inputs!$B$38&lt;&gt;"pvp",Inputs!$B$43&gt;0),IF(MAX(0,Inputs!$B$43-B1493)&lt;=0,0,(INT(MAX(0,Inputs!$B$43-B1493)/(IF(Inputs!$B$38="pvp",15,MAX(0.1,Skills!D9-IF(TRUE=TRUE,Inputs!$B$32,0)))*(1-IF(AND(ArtifactsInput!$M$27,Inputs!$B$4="Chapter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TRUE=TRUE,Inputs!$B$32,0)))*(1-IF(AND(ArtifactsInput!$M$27,Inputs!$B$4="Chapter Hunt"),CHOOSE(ArtifactsInput!$N$27+1,20,24,28,32,36,40),0)/100)))))/Skills!H9,1)))/Inputs!$B$43),G1466*Q1466))*IF(Inputs!$B$38="pvp",1,1+(Inputs!$B$20+0+Skills!P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TRUE=TRUE,Inputs!$B$32,0)))*(1-IF(AND(ArtifactsInput!$M$27,Inputs!$B$4="Chapter Hunt"),CHOOSE(ArtifactsInput!$N$27+1,20,24,28,32,36,40),0)/100)))))/Skills!H9,1)))/Inputs!$B$43),G1466*Q1466))*IF(Inputs!$B$38="pvp",1,(1+(Inputs!$B$21+Skills!Q9+(((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Skills!G10*IF(Skills!H10&gt;0,IF(Inputs!$B$38="pvp",MIN(Skills!I10,15),Skills!I10)/Skills!H10,1)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138,MAX(0,IF(Inputs!$B$3&gt;=118,8,IF(Inputs!$B$3&gt;=110,7,5))-5)*50,0),0)/100)*(1+(IF(Skills!A10="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IFERROR(1/(IF(Inputs!$B$38="pvp",15,MAX(0.1,Skills!D10-IF(TRUE=TRUE,Inputs!$B$32,0)))*(1-IF(AND(ArtifactsInput!$M$27,Inputs!$B$4="Chapter Hunt"),CHOOSE(ArtifactsInput!$N$27+1,20,24,28,32,36,40),0)/100)),0)</f>
        <v/>
      </c>
      <c r="R1467">
        <f>IF(AND(Inputs!$B$38&lt;&gt;"pvp",Inputs!$B$43&gt;0),IF(MAX(0,Inputs!$B$43-B1493)&lt;=0,0,(INT(MAX(0,Inputs!$B$43-B1493)/(IF(Inputs!$B$38="pvp",15,MAX(0.1,Skills!D10-IF(TRUE=TRUE,Inputs!$B$32,0)))*(1-IF(AND(ArtifactsInput!$M$27,Inputs!$B$4="Chapter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$20+0+Skills!P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TRUE=TRUE,Inputs!$B$32,0)))*(1-IF(AND(ArtifactsInput!$M$27,Inputs!$B$4="Chapter Hunt"),CHOOSE(ArtifactsInput!$N$27+1,20,24,28,32,36,40),0)/100)))))/Skills!H10,1)))/Inputs!$B$43),G1467*Q1467))*IF(Inputs!$B$38="pvp",1,(1+(Inputs!$B$21+Skills!Q10+(((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Skills!G11*IF(Skills!H11&gt;0,IF(Inputs!$B$38="pvp",MIN(Skills!I11,15),Skills!I11)/Skills!H11,1)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(100-(100-((Inputs!$B$19+0)))*(1-IF(Inputs!$B$3&gt;=130,IF(Inputs!$B$3&gt;=118,8,IF(Inputs!$B$3&gt;=110,7,5)),0)/100)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138,MAX(0,IF(Inputs!$B$3&gt;=118,8,IF(Inputs!$B$3&gt;=110,7,5))-5)*50,0),0)/100)*(1+(IF(Skills!A11="RAGING_BLOW",Inputs!$B$17+((C1478=TRUE)*(F1478-Calc!F21))+((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IFERROR(1/(IF(Inputs!$B$38="pvp",15,MAX(0.1,Skills!D11-IF(TRUE=TRUE,Inputs!$B$32,0)))*(1-IF(AND(ArtifactsInput!$M$27,Inputs!$B$4="Chapter Hunt"),CHOOSE(ArtifactsInput!$N$27+1,20,24,28,32,36,40),0)/100)),0)</f>
        <v/>
      </c>
      <c r="R1468">
        <f>IF(AND(Inputs!$B$38&lt;&gt;"pvp",Inputs!$B$43&gt;0),IF(MAX(0,Inputs!$B$43-B1493)&lt;=0,0,(INT(MAX(0,Inputs!$B$43-B1493)/(IF(Inputs!$B$38="pvp",15,MAX(0.1,Skills!D11-IF(TRUE=TRUE,Inputs!$B$32,0)))*(1-IF(AND(ArtifactsInput!$M$27,Inputs!$B$4="Chapter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$20+0+Skills!P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Inputs!$B$38&lt;&gt;"pvp",Inputs!$B$43=0),1,IF(IF(Inputs!$B$38="pvp",15,Inputs!$B$43)-(B1493)&lt;=0,1,MAX(0,IF(Inputs!$B$38="pvp",15,Inputs!$B$43)-MAX(5,B1493))/(IF(Inputs!$B$38="pvp",15,Inputs!$B$43)-(B1493)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TRUE=TRUE,Inputs!$B$32,0)))*(1-IF(AND(ArtifactsInput!$M$27,Inputs!$B$4="Chapter Hunt"),CHOOSE(ArtifactsInput!$N$27+1,20,24,28,32,36,40),0)/100)))))/Skills!H11,1)))/Inputs!$B$43),G1468*Q1468))*IF(Inputs!$B$38="pvp",1,(1+(Inputs!$B$21+Skills!Q11+(((C1473=TRUE)*F1473*(Skills!J16/100)*IF(AND(Inputs!$B$38&lt;&gt;"pvp",Inputs!$B$43&gt;0),(((R1473-1)*MIN((Skills!T16*(1+(Inputs!$B$34+(ArtifactsInput!$M$7-ArtifactsInput!$M$7)*CHOOSE(ArtifactsInput!$N$7+1,6,7.2,8.4,9.6,10.8,12))/100)),(1/Q1473))+MIN((Skills!T16*(1+(Inputs!$B$34+(ArtifactsInput!$M$7-ArtifactsInput!$M$7)*CHOOSE(ArtifactsInput!$N$7+1,6,7.2,8.4,9.6,10.8,12))/100)),MAX(0,Inputs!$B$43-((R1473-1)*(1/Q1473)))))/Inputs!$B$43),IF(Inputs!$B$38="pvp",MIN((Skills!T16*(1+(Inputs!$B$34+(ArtifactsInput!$M$7-ArtifactsInput!$M$7)*CHOOSE(ArtifactsInput!$N$7+1,6,7.2,8.4,9.6,10.8,12))/100)),15)/15,MIN(1,(Skills!T16*(1+(Inputs!$B$34+(ArtifactsInput!$M$7-ArtifactsInput!$M$7)*CHOOSE(ArtifactsInput!$N$7+1,6,7.2,8.4,9.6,10.8,12))/100))/(1/Q1473)))))+((C1465=TRUE)*IF(Inputs!$B$3&gt;=126,10*MIN(1,15*Q1465),0))+((C1462=TRUE)*((100/10)*(INDEX(FactorTable!$B$2:$Y$301,MATCH(ROUND(MIN(300,MAX(1,MAX(0,(Inputs!$B$3-100)*3)+Inputs!$B$28+Inputs!$B$29)),0),FactorTable!$A$2:$A$301,0),22)/1000))*(1+IF(Inputs!$B$3&gt;=134,0.5,0))*MIN(1,10*(1+(Inputs!$B$34+(ArtifactsInput!$M$7-ArtifactsInput!$M$7)*CHOOSE(ArtifactsInput!$N$7+1,6,7.2,8.4,9.6,10.8,12))/100)*Q1462)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Skills!G13*IF(Skills!H13&gt;0,IF(Inputs!$B$38="pvp",MIN(Skills!I13,15),Skills!I13)/Skills!H13,1)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Skills!G14*IF(Skills!H14&gt;0,IF(Inputs!$B$38="pvp",MIN(Skills!I14,15),Skills!I14)/Skills!H14,1)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Skills!G15*IF(Skills!H15&gt;0,IF(Inputs!$B$38="pvp",MIN(Skills!I15,15),Skills!I15)/Skills!H15,1)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IFERROR(1/(IF(Inputs!$B$38="pvp",15,MAX(0.1,Skills!D15-IF(TRUE=TRUE,Inputs!$B$32,0)))*(1-IF(AND(ArtifactsInput!$M$27,Inputs!$B$4="Chapter Hunt"),CHOOSE(ArtifactsInput!$N$27+1,20,24,28,32,36,40),0)/100)),0)</f>
        <v/>
      </c>
      <c r="R1472">
        <f>IF(AND(Inputs!$B$38&lt;&gt;"pvp",Inputs!$B$43&gt;0),IF(Inputs!$B$43&lt;=0,0,(INT(Inputs!$B$43/(IF(Inputs!$B$38="pvp",15,MAX(0.1,Skills!D15-IF(TRUE=TRUE,Inputs!$B$32,0)))*(1-IF(AND(ArtifactsInput!$M$27,Inputs!$B$4="Chapter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Skills!G16*IF(Skills!H16&gt;0,IF(Inputs!$B$38="pvp",MIN(Skills!I16,15),Skills!I16)/Skills!H16,1)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IFERROR(1/(IF(Inputs!$B$38="pvp",15,MAX(0.1,Skills!D16-IF(TRUE=TRUE,Inputs!$B$32,0)))*(1-IF(AND(ArtifactsInput!$M$27,Inputs!$B$4="Chapter Hunt"),CHOOSE(ArtifactsInput!$N$27+1,20,24,28,32,36,40),0)/100)),0)</f>
        <v/>
      </c>
      <c r="R1473">
        <f>IF(AND(Inputs!$B$38&lt;&gt;"pvp",Inputs!$B$43&gt;0),IF(Inputs!$B$43&lt;=0,0,(INT(Inputs!$B$43/(IF(Inputs!$B$38="pvp",15,MAX(0.1,Skills!D16-IF(TRUE=TRUE,Inputs!$B$32,0)))*(1-IF(AND(ArtifactsInput!$M$27,Inputs!$B$4="Chapter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Skills!G17*IF(Skills!H17&gt;0,IF(Inputs!$B$38="pvp",MIN(Skills!I17,15),Skills!I17)/Skills!H17,1)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IFERROR(1/(IF(Inputs!$B$38="pvp",15,MAX(0.1,Skills!D17-IF(TRUE=TRUE,Inputs!$B$32,0)))*(1-IF(AND(ArtifactsInput!$M$27,Inputs!$B$4="Chapter Hunt"),CHOOSE(ArtifactsInput!$N$27+1,20,24,28,32,36,40),0)/100)),0)</f>
        <v/>
      </c>
      <c r="R1474">
        <f>IF(AND(Inputs!$B$38&lt;&gt;"pvp",Inputs!$B$43&gt;0),IF(Inputs!$B$43&lt;=0,0,(INT(Inputs!$B$43/(IF(Inputs!$B$38="pvp",15,MAX(0.1,Skills!D17-IF(TRUE=TRUE,Inputs!$B$32,0)))*(1-IF(AND(ArtifactsInput!$M$27,Inputs!$B$4="Chapter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Skills!G18*IF(Skills!H18&gt;0,IF(Inputs!$B$38="pvp",MIN(Skills!I18,15),Skills!I18)/Skills!H18,1)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IFERROR(1/(IF(Inputs!$B$38="pvp",15,MAX(0.1,Skills!D18-IF(TRUE=TRUE,Inputs!$B$32,0)))*(1-IF(AND(ArtifactsInput!$M$27,Inputs!$B$4="Chapter Hunt"),CHOOSE(ArtifactsInput!$N$27+1,20,24,28,32,36,40),0)/100)),0)</f>
        <v/>
      </c>
      <c r="R1475">
        <f>IF(AND(Inputs!$B$38&lt;&gt;"pvp",Inputs!$B$43&gt;0),IF(Inputs!$B$43&lt;=0,0,(INT(Inputs!$B$43/(IF(Inputs!$B$38="pvp",15,MAX(0.1,Skills!D18-IF(TRUE=TRUE,Inputs!$B$32,0)))*(1-IF(AND(ArtifactsInput!$M$27,Inputs!$B$4="Chapter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Skills!G19*IF(Skills!H19&gt;0,IF(Inputs!$B$38="pvp",MIN(Skills!I19,15),Skills!I19)/Skills!H19,1)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IFERROR(1/(IF(Inputs!$B$38="pvp",15,MAX(0.1,Skills!D19-IF(TRUE=TRUE,Inputs!$B$32,0)))*(1-IF(AND(ArtifactsInput!$M$27,Inputs!$B$4="Chapter Hunt"),CHOOSE(ArtifactsInput!$N$27+1,20,24,28,32,36,40),0)/100)),0)</f>
        <v/>
      </c>
      <c r="R1476">
        <f>IF(AND(Inputs!$B$38&lt;&gt;"pvp",Inputs!$B$43&gt;0),IF(Inputs!$B$43&lt;=0,0,(INT(Inputs!$B$43/(IF(Inputs!$B$38="pvp",15,MAX(0.1,Skills!D19-IF(TRUE=TRUE,Inputs!$B$32,0)))*(1-IF(AND(ArtifactsInput!$M$27,Inputs!$B$4="Chapter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Skills!G20*IF(Skills!H20&gt;0,IF(Inputs!$B$38="pvp",MIN(Skills!I20,15),Skills!I20)/Skills!H20,1)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Skills!G21*IF(Skills!H21&gt;0,IF(Inputs!$B$38="pvp",MIN(Skills!I21,15),Skills!I21)/Skills!H21,1)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Skills!G22*IF(Skills!H22&gt;0,IF(Inputs!$B$38="pvp",MIN(Skills!I22,15),Skills!I22)/Skills!H22,1)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Skills!G23*IF(Skills!H23&gt;0,IF(Inputs!$B$38="pvp",MIN(Skills!I23,15),Skills!I23)/Skills!H23,1)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Skills!G24*IF(Skills!H24&gt;0,IF(Inputs!$B$38="pvp",MIN(Skills!I24,15),Skills!I24)/Skills!H24,1)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Skills!G25*IF(Skills!H25&gt;0,IF(Inputs!$B$38="pvp",MIN(Skills!I25,15),Skills!I25)/Skills!H25,1)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Skills!G26*IF(Skills!H26&gt;0,IF(Inputs!$B$38="pvp",MIN(Skills!I26,15),Skills!I26)/Skills!H26,1)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118,8,IF(Inputs!$B$3&gt;=110,7,5)))+((C1472=TRUE)*F1472*IF(AND(Inputs!$B$38&lt;&gt;"pvp",Inputs!$B$43&gt;0),(((R1472-1)*MIN((Skills!T15*(1+(Inputs!$B$34+(ArtifactsInput!$M$7-ArtifactsInput!$M$7)*CHOOSE(ArtifactsInput!$N$7+1,6,7.2,8.4,9.6,10.8,12))/100)),(1/Q1472))+MIN((Skills!T15*(1+(Inputs!$B$34+(ArtifactsInput!$M$7-ArtifactsInput!$M$7)*CHOOSE(ArtifactsInput!$N$7+1,6,7.2,8.4,9.6,10.8,12))/100)),MAX(0,Inputs!$B$43-((R1472-1)*(1/Q1472)))))/Inputs!$B$43),IF(Inputs!$B$38="pvp",MIN((Skills!T15*(1+(Inputs!$B$34+(ArtifactsInput!$M$7-ArtifactsInput!$M$7)*CHOOSE(ArtifactsInput!$N$7+1,6,7.2,8.4,9.6,10.8,12))/100)),15)/15,MIN(1,(Skills!T15*(1+(Inputs!$B$34+(ArtifactsInput!$M$7-ArtifactsInput!$M$7)*CHOOSE(ArtifactsInput!$N$7+1,6,7.2,8.4,9.6,10.8,12))/100))/(1/Q1472)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MIN((Skills!T19*(1+(Inputs!$B$34+(ArtifactsInput!$M$7-ArtifactsInput!$M$7)*CHOOSE(ArtifactsInput!$N$7+1,6,7.2,8.4,9.6,10.8,12))/100)),(1/Q1476))+MIN((Skills!T19*(1+(Inputs!$B$34+(ArtifactsInput!$M$7-ArtifactsInput!$M$7)*CHOOSE(ArtifactsInput!$N$7+1,6,7.2,8.4,9.6,10.8,12))/100)),MAX(0,Inputs!$B$43-((R1476-1)*(1/Q1476)))))/Inputs!$B$43),IF(Inputs!$B$38="pvp",MIN((Skills!T19*(1+(Inputs!$B$34+(ArtifactsInput!$M$7-ArtifactsInput!$M$7)*CHOOSE(ArtifactsInput!$N$7+1,6,7.2,8.4,9.6,10.8,12))/100)),15)/15,MIN(1,(Skills!T19*(1+(Inputs!$B$34+(ArtifactsInput!$M$7-ArtifactsInput!$M$7)*CHOOSE(ArtifactsInput!$N$7+1,6,7.2,8.4,9.6,10.8,12))/100))/(1/Q1476)))))</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MIN((Skills!T18*(1+(Inputs!$B$34+(ArtifactsInput!$M$7-ArtifactsInput!$M$7)*CHOOSE(ArtifactsInput!$N$7+1,6,7.2,8.4,9.6,10.8,12))/100)),(1/Q1475))+MIN((Skills!T18*(1+(Inputs!$B$34+(ArtifactsInput!$M$7-ArtifactsInput!$M$7)*CHOOSE(ArtifactsInput!$N$7+1,6,7.2,8.4,9.6,10.8,12))/100)),MAX(0,Inputs!$B$43-((R1475-1)*(1/Q1475)))))/Inputs!$B$43),IF(Inputs!$B$38="pvp",MIN((Skills!T18*(1+(Inputs!$B$34+(ArtifactsInput!$M$7-ArtifactsInput!$M$7)*CHOOSE(ArtifactsInput!$N$7+1,6,7.2,8.4,9.6,10.8,12))/100)),15)/15,MIN(1,(Skills!T18*(1+(Inputs!$B$34+(ArtifactsInput!$M$7-ArtifactsInput!$M$7)*CHOOSE(ArtifactsInput!$N$7+1,6,7.2,8.4,9.6,10.8,12))/100))/(1/Q1475)))))</f>
        <v/>
      </c>
    </row>
    <row r="1492">
      <c r="A1492" t="inlineStr">
        <is>
          <t>Global Final Damage Bonus % (Enrage + Combo Synergy)</t>
        </is>
      </c>
      <c r="B1492">
        <f>((C1474=TRUE)*F1474*IF(AND(Inputs!$B$38&lt;&gt;"pvp",Inputs!$B$43&gt;0),(((R1474-1)*MIN((Skills!T17*(1+(Inputs!$B$34+(ArtifactsInput!$M$7-ArtifactsInput!$M$7)*CHOOSE(ArtifactsInput!$N$7+1,6,7.2,8.4,9.6,10.8,12))/100)),(1/Q1474))+MIN((Skills!T17*(1+(Inputs!$B$34+(ArtifactsInput!$M$7-ArtifactsInput!$M$7)*CHOOSE(ArtifactsInput!$N$7+1,6,7.2,8.4,9.6,10.8,12))/100)),MAX(0,Inputs!$B$43-((R1474-1)*(1/Q1474)))))/Inputs!$B$43),IF(Inputs!$B$38="pvp",MIN((Skills!T17*(1+(Inputs!$B$34+(ArtifactsInput!$M$7-ArtifactsInput!$M$7)*CHOOSE(ArtifactsInput!$N$7+1,6,7.2,8.4,9.6,10.8,12))/100)),15)/15,MIN(1,(Skills!T17*(1+(Inputs!$B$34+(ArtifactsInput!$M$7-ArtifactsInput!$M$7)*CHOOSE(ArtifactsInput!$N$7+1,6,7.2,8.4,9.6,10.8,12))/100))/(1/Q1474)))))+((C1471=TRUE)*F1471*IF(Inputs!$B$3&gt;=118,8,IF(Inputs!$B$3&gt;=110,7,5)))+IF(Inputs!$B$3&gt;=98,5,0)</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Skills!G2*IF(Skills!H2&gt;0,IF(Inputs!$B$38="pvp",MIN(Skills!I2,15),Skills!I2)/Skills!H2,1)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Skills!G5*IF(Skills!H5&gt;0,IF(Inputs!$B$38="pvp",MIN(Skills!I5,15),Skills!I5)/Skills!H5,1)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IFERROR(1/(IF(Inputs!$B$38="pvp",15,MAX(0.1,Skills!D5-IF(TRUE=TRUE,Inputs!$B$32,0)))*(1-IF(AND(ArtifactsInput!$M$27,Inputs!$B$4="Chapter Hunt"),CHOOSE(ArtifactsInput!$N$27+1,20,24,28,32,36,40),0)/100)),0)</f>
        <v/>
      </c>
      <c r="R1504">
        <f>IF(AND(Inputs!$B$38&lt;&gt;"pvp",Inputs!$B$43&gt;0),IF(MAX(0,Inputs!$B$43-B1535)&lt;=0,0,(INT(MAX(0,Inputs!$B$43-B1535)/(IF(Inputs!$B$38="pvp",15,MAX(0.1,Skills!D5-IF(TRUE=TRUE,Inputs!$B$32,0)))*(1-IF(AND(ArtifactsInput!$M$27,Inputs!$B$4="Chapter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$20+0+Skills!P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TRUE=TRUE,Inputs!$B$32,0)))*(1-IF(AND(ArtifactsInput!$M$27,Inputs!$B$4="Chapter Hunt"),CHOOSE(ArtifactsInput!$N$27+1,20,24,28,32,36,40),0)/100)))))/Skills!H5,1)))/Inputs!$B$43),G1504*Q1504))*IF(Inputs!$B$38="pvp",1,(1+(Inputs!$B$21+Skills!Q5+(((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Skills!G6*IF(Skills!H6&gt;0,IF(Inputs!$B$38="pvp",MIN(Skills!I6,15),Skills!I6)/Skills!H6,1)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IFERROR(1/(IF(Inputs!$B$38="pvp",15,MAX(0.1,Skills!D6-IF(TRUE=TRUE,Inputs!$B$32,0)))*(1-IF(AND(ArtifactsInput!$M$27,Inputs!$B$4="Chapter Hunt"),CHOOSE(ArtifactsInput!$N$27+1,20,24,28,32,36,40),0)/100)),0)</f>
        <v/>
      </c>
      <c r="R1505">
        <f>IF(AND(Inputs!$B$38&lt;&gt;"pvp",Inputs!$B$43&gt;0),IF(MAX(0,Inputs!$B$43-B1535)&lt;=0,0,(INT(MAX(0,Inputs!$B$43-B1535)/(IF(Inputs!$B$38="pvp",15,MAX(0.1,Skills!D6-IF(TRUE=TRUE,Inputs!$B$32,0)))*(1-IF(AND(ArtifactsInput!$M$27,Inputs!$B$4="Chapter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$20+0+Skills!P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TRUE=TRUE,Inputs!$B$32,0)))*(1-IF(AND(ArtifactsInput!$M$27,Inputs!$B$4="Chapter Hunt"),CHOOSE(ArtifactsInput!$N$27+1,20,24,28,32,36,40),0)/100)))))/Skills!H6,1)))/Inputs!$B$43),G1505*Q1505))*IF(Inputs!$B$38="pvp",1,(1+(Inputs!$B$21+Skills!Q6+(((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Skills!G7*IF(Skills!H7&gt;0,IF(Inputs!$B$38="pvp",MIN(Skills!I7,15),Skills!I7)/Skills!H7,1)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IFERROR(1/(IF(Inputs!$B$38="pvp",15,MAX(0.1,Skills!D7-IF(TRUE=TRUE,Inputs!$B$32,0)))*(1-IF(AND(ArtifactsInput!$M$27,Inputs!$B$4="Chapter Hunt"),CHOOSE(ArtifactsInput!$N$27+1,20,24,28,32,36,40),0)/100)),0)</f>
        <v/>
      </c>
      <c r="R1506">
        <f>IF(AND(Inputs!$B$38&lt;&gt;"pvp",Inputs!$B$43&gt;0),IF(MAX(0,Inputs!$B$43-B1535)&lt;=0,0,(INT(MAX(0,Inputs!$B$43-B1535)/(IF(Inputs!$B$38="pvp",15,MAX(0.1,Skills!D7-IF(TRUE=TRUE,Inputs!$B$32,0)))*(1-IF(AND(ArtifactsInput!$M$27,Inputs!$B$4="Chapter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$20+0+Skills!P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TRUE=TRUE,Inputs!$B$32,0)))*(1-IF(AND(ArtifactsInput!$M$27,Inputs!$B$4="Chapter Hunt"),CHOOSE(ArtifactsInput!$N$27+1,20,24,28,32,36,40),0)/100)))))/Skills!H7,1)))/Inputs!$B$43),G1506*Q1506))*IF(Inputs!$B$38="pvp",1,(1+(Inputs!$B$21+Skills!Q7+(((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Skills!G8*IF(Skills!H8&gt;0,IF(Inputs!$B$38="pvp",MIN(Skills!I8,15),Skills!I8)/Skills!H8,1)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IFERROR(1/(IF(Inputs!$B$38="pvp",15,MAX(0.1,Skills!D8-IF(TRUE=TRUE,Inputs!$B$32,0)))*(1-IF(AND(ArtifactsInput!$M$27,Inputs!$B$4="Chapter Hunt"),CHOOSE(ArtifactsInput!$N$27+1,20,24,28,32,36,40),0)/100)),0)</f>
        <v/>
      </c>
      <c r="R1507">
        <f>IF(AND(Inputs!$B$38&lt;&gt;"pvp",Inputs!$B$43&gt;0),IF(MAX(0,Inputs!$B$43-B1535)&lt;=0,0,(INT(MAX(0,Inputs!$B$43-B1535)/(IF(Inputs!$B$38="pvp",15,MAX(0.1,Skills!D8-IF(TRUE=TRUE,Inputs!$B$32,0)))*(1-IF(AND(ArtifactsInput!$M$27,Inputs!$B$4="Chapter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$20+0+Skills!P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TRUE=TRUE,Inputs!$B$32,0)))*(1-IF(AND(ArtifactsInput!$M$27,Inputs!$B$4="Chapter Hunt"),CHOOSE(ArtifactsInput!$N$27+1,20,24,28,32,36,40),0)/100)))))/Skills!H8,1)))/Inputs!$B$43),G1507*Q1507))*IF(Inputs!$B$38="pvp",1,(1+(Inputs!$B$21+Skills!Q8+(((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Skills!G9*IF(Skills!H9&gt;0,IF(Inputs!$B$38="pvp",MIN(Skills!I9,15),Skills!I9)/Skills!H9,1)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138,MAX(0,IF(Inputs!$B$3&gt;=118,8,IF(Inputs!$B$3&gt;=110,7,5))-5)*50,0),0)/100)*(1+(IF(Skills!A9="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IFERROR(1/(IF(Inputs!$B$38="pvp",15,MAX(0.1,Skills!D9-IF(TRUE=TRUE,Inputs!$B$32,0)))*(1-IF(AND(ArtifactsInput!$M$27,Inputs!$B$4="Chapter Hunt"),CHOOSE(ArtifactsInput!$N$27+1,20,24,28,32,36,40),0)/100)),0)</f>
        <v/>
      </c>
      <c r="R1508">
        <f>IF(AND(Inputs!$B$38&lt;&gt;"pvp",Inputs!$B$43&gt;0),IF(MAX(0,Inputs!$B$43-B1535)&lt;=0,0,(INT(MAX(0,Inputs!$B$43-B1535)/(IF(Inputs!$B$38="pvp",15,MAX(0.1,Skills!D9-IF(TRUE=TRUE,Inputs!$B$32,0)))*(1-IF(AND(ArtifactsInput!$M$27,Inputs!$B$4="Chapter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TRUE=TRUE,Inputs!$B$32,0)))*(1-IF(AND(ArtifactsInput!$M$27,Inputs!$B$4="Chapter Hunt"),CHOOSE(ArtifactsInput!$N$27+1,20,24,28,32,36,40),0)/100)))))/Skills!H9,1)))/Inputs!$B$43),G1508*Q1508))*IF(Inputs!$B$38="pvp",1,1+(Inputs!$B$20+0+Skills!P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TRUE=TRUE,Inputs!$B$32,0)))*(1-IF(AND(ArtifactsInput!$M$27,Inputs!$B$4="Chapter Hunt"),CHOOSE(ArtifactsInput!$N$27+1,20,24,28,32,36,40),0)/100)))))/Skills!H9,1)))/Inputs!$B$43),G1508*Q1508))*IF(Inputs!$B$38="pvp",1,(1+(Inputs!$B$21+Skills!Q9+(((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Skills!G10*IF(Skills!H10&gt;0,IF(Inputs!$B$38="pvp",MIN(Skills!I10,15),Skills!I10)/Skills!H10,1)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138,MAX(0,IF(Inputs!$B$3&gt;=118,8,IF(Inputs!$B$3&gt;=110,7,5))-5)*50,0),0)/100)*(1+(IF(Skills!A10="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IFERROR(1/(IF(Inputs!$B$38="pvp",15,MAX(0.1,Skills!D10-IF(TRUE=TRUE,Inputs!$B$32,0)))*(1-IF(AND(ArtifactsInput!$M$27,Inputs!$B$4="Chapter Hunt"),CHOOSE(ArtifactsInput!$N$27+1,20,24,28,32,36,40),0)/100)),0)</f>
        <v/>
      </c>
      <c r="R1509">
        <f>IF(AND(Inputs!$B$38&lt;&gt;"pvp",Inputs!$B$43&gt;0),IF(MAX(0,Inputs!$B$43-B1535)&lt;=0,0,(INT(MAX(0,Inputs!$B$43-B1535)/(IF(Inputs!$B$38="pvp",15,MAX(0.1,Skills!D10-IF(TRUE=TRUE,Inputs!$B$32,0)))*(1-IF(AND(ArtifactsInput!$M$27,Inputs!$B$4="Chapter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$20+0+Skills!P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TRUE=TRUE,Inputs!$B$32,0)))*(1-IF(AND(ArtifactsInput!$M$27,Inputs!$B$4="Chapter Hunt"),CHOOSE(ArtifactsInput!$N$27+1,20,24,28,32,36,40),0)/100)))))/Skills!H10,1)))/Inputs!$B$43),G1509*Q1509))*IF(Inputs!$B$38="pvp",1,(1+(Inputs!$B$21+Skills!Q10+(((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Skills!G11*IF(Skills!H11&gt;0,IF(Inputs!$B$38="pvp",MIN(Skills!I11,15),Skills!I11)/Skills!H11,1)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(100-(100-((Inputs!$B$19+0)))*(1-IF(Inputs!$B$3&gt;=130,IF(Inputs!$B$3&gt;=118,8,IF(Inputs!$B$3&gt;=110,7,5)),0)/100)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138,MAX(0,IF(Inputs!$B$3&gt;=118,8,IF(Inputs!$B$3&gt;=110,7,5))-5)*50,0),0)/100)*(1+(IF(Skills!A11="RAGING_BLOW",Inputs!$B$17+((C1520=TRUE)*(F1520-Calc!F21))+((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IFERROR(1/(IF(Inputs!$B$38="pvp",15,MAX(0.1,Skills!D11-IF(TRUE=TRUE,Inputs!$B$32,0)))*(1-IF(AND(ArtifactsInput!$M$27,Inputs!$B$4="Chapter Hunt"),CHOOSE(ArtifactsInput!$N$27+1,20,24,28,32,36,40),0)/100)),0)</f>
        <v/>
      </c>
      <c r="R1510">
        <f>IF(AND(Inputs!$B$38&lt;&gt;"pvp",Inputs!$B$43&gt;0),IF(MAX(0,Inputs!$B$43-B1535)&lt;=0,0,(INT(MAX(0,Inputs!$B$43-B1535)/(IF(Inputs!$B$38="pvp",15,MAX(0.1,Skills!D11-IF(TRUE=TRUE,Inputs!$B$32,0)))*(1-IF(AND(ArtifactsInput!$M$27,Inputs!$B$4="Chapter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$20+0+Skills!P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Inputs!$B$38&lt;&gt;"pvp",Inputs!$B$43=0),1,IF(IF(Inputs!$B$38="pvp",15,Inputs!$B$43)-(B1535)&lt;=0,1,MAX(0,IF(Inputs!$B$38="pvp",15,Inputs!$B$43)-MAX(5,B1535))/(IF(Inputs!$B$38="pvp",15,Inputs!$B$43)-(B1535)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TRUE=TRUE,Inputs!$B$32,0)))*(1-IF(AND(ArtifactsInput!$M$27,Inputs!$B$4="Chapter Hunt"),CHOOSE(ArtifactsInput!$N$27+1,20,24,28,32,36,40),0)/100)))))/Skills!H11,1)))/Inputs!$B$43),G1510*Q1510))*IF(Inputs!$B$38="pvp",1,(1+(Inputs!$B$21+Skills!Q11+(((C1515=TRUE)*F1515*(Skills!J16/100)*IF(AND(Inputs!$B$38&lt;&gt;"pvp",Inputs!$B$43&gt;0),(((R1515-1)*MIN((Skills!T16*(1+(Inputs!$B$34+(ArtifactsInput!$M$7-ArtifactsInput!$M$7)*CHOOSE(ArtifactsInput!$N$7+1,6,7.2,8.4,9.6,10.8,12))/100)),(1/Q1515))+MIN((Skills!T16*(1+(Inputs!$B$34+(ArtifactsInput!$M$7-ArtifactsInput!$M$7)*CHOOSE(ArtifactsInput!$N$7+1,6,7.2,8.4,9.6,10.8,12))/100)),MAX(0,Inputs!$B$43-((R1515-1)*(1/Q1515)))))/Inputs!$B$43),IF(Inputs!$B$38="pvp",MIN((Skills!T16*(1+(Inputs!$B$34+(ArtifactsInput!$M$7-ArtifactsInput!$M$7)*CHOOSE(ArtifactsInput!$N$7+1,6,7.2,8.4,9.6,10.8,12))/100)),15)/15,MIN(1,(Skills!T16*(1+(Inputs!$B$34+(ArtifactsInput!$M$7-ArtifactsInput!$M$7)*CHOOSE(ArtifactsInput!$N$7+1,6,7.2,8.4,9.6,10.8,12))/100))/(1/Q1515)))))+((C1507=TRUE)*IF(Inputs!$B$3&gt;=126,10*MIN(1,15*Q1507),0))+((C1504=TRUE)*((100/10)*(INDEX(FactorTable!$B$2:$Y$301,MATCH(ROUND(MIN(300,MAX(1,MAX(0,(Inputs!$B$3-100)*3)+Inputs!$B$28+Inputs!$B$29)),0),FactorTable!$A$2:$A$301,0),22)/1000))*(1+IF(Inputs!$B$3&gt;=134,0.5,0))*MIN(1,10*(1+(Inputs!$B$34+(ArtifactsInput!$M$7-ArtifactsInput!$M$7)*CHOOSE(ArtifactsInput!$N$7+1,6,7.2,8.4,9.6,10.8,12))/100)*Q1504)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Skills!G13*IF(Skills!H13&gt;0,IF(Inputs!$B$38="pvp",MIN(Skills!I13,15),Skills!I13)/Skills!H13,1)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Skills!G14*IF(Skills!H14&gt;0,IF(Inputs!$B$38="pvp",MIN(Skills!I14,15),Skills!I14)/Skills!H14,1)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Skills!G15*IF(Skills!H15&gt;0,IF(Inputs!$B$38="pvp",MIN(Skills!I15,15),Skills!I15)/Skills!H15,1)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IFERROR(1/(IF(Inputs!$B$38="pvp",15,MAX(0.1,Skills!D15-IF(TRUE=TRUE,Inputs!$B$32,0)))*(1-IF(AND(ArtifactsInput!$M$27,Inputs!$B$4="Chapter Hunt"),CHOOSE(ArtifactsInput!$N$27+1,20,24,28,32,36,40),0)/100)),0)</f>
        <v/>
      </c>
      <c r="R1514">
        <f>IF(AND(Inputs!$B$38&lt;&gt;"pvp",Inputs!$B$43&gt;0),IF(Inputs!$B$43&lt;=0,0,(INT(Inputs!$B$43/(IF(Inputs!$B$38="pvp",15,MAX(0.1,Skills!D15-IF(TRUE=TRUE,Inputs!$B$32,0)))*(1-IF(AND(ArtifactsInput!$M$27,Inputs!$B$4="Chapter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Skills!G16*IF(Skills!H16&gt;0,IF(Inputs!$B$38="pvp",MIN(Skills!I16,15),Skills!I16)/Skills!H16,1)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IFERROR(1/(IF(Inputs!$B$38="pvp",15,MAX(0.1,Skills!D16-IF(TRUE=TRUE,Inputs!$B$32,0)))*(1-IF(AND(ArtifactsInput!$M$27,Inputs!$B$4="Chapter Hunt"),CHOOSE(ArtifactsInput!$N$27+1,20,24,28,32,36,40),0)/100)),0)</f>
        <v/>
      </c>
      <c r="R1515">
        <f>IF(AND(Inputs!$B$38&lt;&gt;"pvp",Inputs!$B$43&gt;0),IF(Inputs!$B$43&lt;=0,0,(INT(Inputs!$B$43/(IF(Inputs!$B$38="pvp",15,MAX(0.1,Skills!D16-IF(TRUE=TRUE,Inputs!$B$32,0)))*(1-IF(AND(ArtifactsInput!$M$27,Inputs!$B$4="Chapter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Skills!G17*IF(Skills!H17&gt;0,IF(Inputs!$B$38="pvp",MIN(Skills!I17,15),Skills!I17)/Skills!H17,1)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IFERROR(1/(IF(Inputs!$B$38="pvp",15,MAX(0.1,Skills!D17-IF(TRUE=TRUE,Inputs!$B$32,0)))*(1-IF(AND(ArtifactsInput!$M$27,Inputs!$B$4="Chapter Hunt"),CHOOSE(ArtifactsInput!$N$27+1,20,24,28,32,36,40),0)/100)),0)</f>
        <v/>
      </c>
      <c r="R1516">
        <f>IF(AND(Inputs!$B$38&lt;&gt;"pvp",Inputs!$B$43&gt;0),IF(Inputs!$B$43&lt;=0,0,(INT(Inputs!$B$43/(IF(Inputs!$B$38="pvp",15,MAX(0.1,Skills!D17-IF(TRUE=TRUE,Inputs!$B$32,0)))*(1-IF(AND(ArtifactsInput!$M$27,Inputs!$B$4="Chapter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Skills!G18*IF(Skills!H18&gt;0,IF(Inputs!$B$38="pvp",MIN(Skills!I18,15),Skills!I18)/Skills!H18,1)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IFERROR(1/(IF(Inputs!$B$38="pvp",15,MAX(0.1,Skills!D18-IF(TRUE=TRUE,Inputs!$B$32,0)))*(1-IF(AND(ArtifactsInput!$M$27,Inputs!$B$4="Chapter Hunt"),CHOOSE(ArtifactsInput!$N$27+1,20,24,28,32,36,40),0)/100)),0)</f>
        <v/>
      </c>
      <c r="R1517">
        <f>IF(AND(Inputs!$B$38&lt;&gt;"pvp",Inputs!$B$43&gt;0),IF(Inputs!$B$43&lt;=0,0,(INT(Inputs!$B$43/(IF(Inputs!$B$38="pvp",15,MAX(0.1,Skills!D18-IF(TRUE=TRUE,Inputs!$B$32,0)))*(1-IF(AND(ArtifactsInput!$M$27,Inputs!$B$4="Chapter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Skills!G19*IF(Skills!H19&gt;0,IF(Inputs!$B$38="pvp",MIN(Skills!I19,15),Skills!I19)/Skills!H19,1)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IFERROR(1/(IF(Inputs!$B$38="pvp",15,MAX(0.1,Skills!D19-IF(TRUE=TRUE,Inputs!$B$32,0)))*(1-IF(AND(ArtifactsInput!$M$27,Inputs!$B$4="Chapter Hunt"),CHOOSE(ArtifactsInput!$N$27+1,20,24,28,32,36,40),0)/100)),0)</f>
        <v/>
      </c>
      <c r="R1518">
        <f>IF(AND(Inputs!$B$38&lt;&gt;"pvp",Inputs!$B$43&gt;0),IF(Inputs!$B$43&lt;=0,0,(INT(Inputs!$B$43/(IF(Inputs!$B$38="pvp",15,MAX(0.1,Skills!D19-IF(TRUE=TRUE,Inputs!$B$32,0)))*(1-IF(AND(ArtifactsInput!$M$27,Inputs!$B$4="Chapter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Skills!G20*IF(Skills!H20&gt;0,IF(Inputs!$B$38="pvp",MIN(Skills!I20,15),Skills!I20)/Skills!H20,1)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Skills!G21*IF(Skills!H21&gt;0,IF(Inputs!$B$38="pvp",MIN(Skills!I21,15),Skills!I21)/Skills!H21,1)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Skills!G22*IF(Skills!H22&gt;0,IF(Inputs!$B$38="pvp",MIN(Skills!I22,15),Skills!I22)/Skills!H22,1)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Skills!G23*IF(Skills!H23&gt;0,IF(Inputs!$B$38="pvp",MIN(Skills!I23,15),Skills!I23)/Skills!H23,1)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Skills!G24*IF(Skills!H24&gt;0,IF(Inputs!$B$38="pvp",MIN(Skills!I24,15),Skills!I24)/Skills!H24,1)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Skills!G25*IF(Skills!H25&gt;0,IF(Inputs!$B$38="pvp",MIN(Skills!I25,15),Skills!I25)/Skills!H25,1)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Skills!G26*IF(Skills!H26&gt;0,IF(Inputs!$B$38="pvp",MIN(Skills!I26,15),Skills!I26)/Skills!H26,1)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118,8,IF(Inputs!$B$3&gt;=110,7,5)))+((C1514=TRUE)*F1514*IF(AND(Inputs!$B$38&lt;&gt;"pvp",Inputs!$B$43&gt;0),(((R1514-1)*MIN((Skills!T15*(1+(Inputs!$B$34+(ArtifactsInput!$M$7-ArtifactsInput!$M$7)*CHOOSE(ArtifactsInput!$N$7+1,6,7.2,8.4,9.6,10.8,12))/100)),(1/Q1514))+MIN((Skills!T15*(1+(Inputs!$B$34+(ArtifactsInput!$M$7-ArtifactsInput!$M$7)*CHOOSE(ArtifactsInput!$N$7+1,6,7.2,8.4,9.6,10.8,12))/100)),MAX(0,Inputs!$B$43-((R1514-1)*(1/Q1514)))))/Inputs!$B$43),IF(Inputs!$B$38="pvp",MIN((Skills!T15*(1+(Inputs!$B$34+(ArtifactsInput!$M$7-ArtifactsInput!$M$7)*CHOOSE(ArtifactsInput!$N$7+1,6,7.2,8.4,9.6,10.8,12))/100)),15)/15,MIN(1,(Skills!T15*(1+(Inputs!$B$34+(ArtifactsInput!$M$7-ArtifactsInput!$M$7)*CHOOSE(ArtifactsInput!$N$7+1,6,7.2,8.4,9.6,10.8,12))/100))/(1/Q1514)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MIN((Skills!T19*(1+(Inputs!$B$34+(ArtifactsInput!$M$7-ArtifactsInput!$M$7)*CHOOSE(ArtifactsInput!$N$7+1,6,7.2,8.4,9.6,10.8,12))/100)),(1/Q1518))+MIN((Skills!T19*(1+(Inputs!$B$34+(ArtifactsInput!$M$7-ArtifactsInput!$M$7)*CHOOSE(ArtifactsInput!$N$7+1,6,7.2,8.4,9.6,10.8,12))/100)),MAX(0,Inputs!$B$43-((R1518-1)*(1/Q1518)))))/Inputs!$B$43),IF(Inputs!$B$38="pvp",MIN((Skills!T19*(1+(Inputs!$B$34+(ArtifactsInput!$M$7-ArtifactsInput!$M$7)*CHOOSE(ArtifactsInput!$N$7+1,6,7.2,8.4,9.6,10.8,12))/100)),15)/15,MIN(1,(Skills!T19*(1+(Inputs!$B$34+(ArtifactsInput!$M$7-ArtifactsInput!$M$7)*CHOOSE(ArtifactsInput!$N$7+1,6,7.2,8.4,9.6,10.8,12))/100))/(1/Q1518)))))</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MIN((Skills!T18*(1+(Inputs!$B$34+(ArtifactsInput!$M$7-ArtifactsInput!$M$7)*CHOOSE(ArtifactsInput!$N$7+1,6,7.2,8.4,9.6,10.8,12))/100)),(1/Q1517))+MIN((Skills!T18*(1+(Inputs!$B$34+(ArtifactsInput!$M$7-ArtifactsInput!$M$7)*CHOOSE(ArtifactsInput!$N$7+1,6,7.2,8.4,9.6,10.8,12))/100)),MAX(0,Inputs!$B$43-((R1517-1)*(1/Q1517)))))/Inputs!$B$43),IF(Inputs!$B$38="pvp",MIN((Skills!T18*(1+(Inputs!$B$34+(ArtifactsInput!$M$7-ArtifactsInput!$M$7)*CHOOSE(ArtifactsInput!$N$7+1,6,7.2,8.4,9.6,10.8,12))/100)),15)/15,MIN(1,(Skills!T18*(1+(Inputs!$B$34+(ArtifactsInput!$M$7-ArtifactsInput!$M$7)*CHOOSE(ArtifactsInput!$N$7+1,6,7.2,8.4,9.6,10.8,12))/100))/(1/Q1517)))))</f>
        <v/>
      </c>
    </row>
    <row r="1534">
      <c r="A1534" t="inlineStr">
        <is>
          <t>Global Final Damage Bonus % (Enrage + Combo Synergy)</t>
        </is>
      </c>
      <c r="B1534">
        <f>((C1516=TRUE)*F1516*IF(AND(Inputs!$B$38&lt;&gt;"pvp",Inputs!$B$43&gt;0),(((R1516-1)*MIN((Skills!T17*(1+(Inputs!$B$34+(ArtifactsInput!$M$7-ArtifactsInput!$M$7)*CHOOSE(ArtifactsInput!$N$7+1,6,7.2,8.4,9.6,10.8,12))/100)),(1/Q1516))+MIN((Skills!T17*(1+(Inputs!$B$34+(ArtifactsInput!$M$7-ArtifactsInput!$M$7)*CHOOSE(ArtifactsInput!$N$7+1,6,7.2,8.4,9.6,10.8,12))/100)),MAX(0,Inputs!$B$43-((R1516-1)*(1/Q1516)))))/Inputs!$B$43),IF(Inputs!$B$38="pvp",MIN((Skills!T17*(1+(Inputs!$B$34+(ArtifactsInput!$M$7-ArtifactsInput!$M$7)*CHOOSE(ArtifactsInput!$N$7+1,6,7.2,8.4,9.6,10.8,12))/100)),15)/15,MIN(1,(Skills!T17*(1+(Inputs!$B$34+(ArtifactsInput!$M$7-ArtifactsInput!$M$7)*CHOOSE(ArtifactsInput!$N$7+1,6,7.2,8.4,9.6,10.8,12))/100))/(1/Q1516)))))+((C1513=TRUE)*F1513*IF(Inputs!$B$3&gt;=118,8,IF(Inputs!$B$3&gt;=110,7,5)))+IF(Inputs!$B$3&gt;=98,5,0)</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Skills!G2*IF(Skills!H2&gt;0,IF(Inputs!$B$38="pvp",MIN(Skills!I2,15),Skills!I2)/Skills!H2,1)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Skills!G5*IF(Skills!H5&gt;0,IF(Inputs!$B$38="pvp",MIN(Skills!I5,15),Skills!I5)/Skills!H5,1)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IFERROR(1/(IF(Inputs!$B$38="pvp",15,MAX(0.1,Skills!D5-IF(TRUE=TRUE,Inputs!$B$32,0)))*(1-IF(AND(ArtifactsInput!$M$27,Inputs!$B$4="Chapter Hunt"),CHOOSE(ArtifactsInput!$N$27+1,20,24,28,32,36,40),0)/100)),0)</f>
        <v/>
      </c>
      <c r="R1546">
        <f>IF(AND(Inputs!$B$38&lt;&gt;"pvp",Inputs!$B$43&gt;0),IF(MAX(0,Inputs!$B$43-B1577)&lt;=0,0,(INT(MAX(0,Inputs!$B$43-B1577)/(IF(Inputs!$B$38="pvp",15,MAX(0.1,Skills!D5-IF(TRUE=TRUE,Inputs!$B$32,0)))*(1-IF(AND(ArtifactsInput!$M$27,Inputs!$B$4="Chapter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$20+0+Skills!P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TRUE=TRUE,Inputs!$B$32,0)))*(1-IF(AND(ArtifactsInput!$M$27,Inputs!$B$4="Chapter Hunt"),CHOOSE(ArtifactsInput!$N$27+1,20,24,28,32,36,40),0)/100)))))/Skills!H5,1)))/Inputs!$B$43),G1546*Q1546))*IF(Inputs!$B$38="pvp",1,(1+(Inputs!$B$21+Skills!Q5+(((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Skills!G6*IF(Skills!H6&gt;0,IF(Inputs!$B$38="pvp",MIN(Skills!I6,15),Skills!I6)/Skills!H6,1)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IFERROR(1/(IF(Inputs!$B$38="pvp",15,MAX(0.1,Skills!D6-IF(TRUE=TRUE,Inputs!$B$32,0)))*(1-IF(AND(ArtifactsInput!$M$27,Inputs!$B$4="Chapter Hunt"),CHOOSE(ArtifactsInput!$N$27+1,20,24,28,32,36,40),0)/100)),0)</f>
        <v/>
      </c>
      <c r="R1547">
        <f>IF(AND(Inputs!$B$38&lt;&gt;"pvp",Inputs!$B$43&gt;0),IF(MAX(0,Inputs!$B$43-B1577)&lt;=0,0,(INT(MAX(0,Inputs!$B$43-B1577)/(IF(Inputs!$B$38="pvp",15,MAX(0.1,Skills!D6-IF(TRUE=TRUE,Inputs!$B$32,0)))*(1-IF(AND(ArtifactsInput!$M$27,Inputs!$B$4="Chapter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$20+0+Skills!P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TRUE=TRUE,Inputs!$B$32,0)))*(1-IF(AND(ArtifactsInput!$M$27,Inputs!$B$4="Chapter Hunt"),CHOOSE(ArtifactsInput!$N$27+1,20,24,28,32,36,40),0)/100)))))/Skills!H6,1)))/Inputs!$B$43),G1547*Q1547))*IF(Inputs!$B$38="pvp",1,(1+(Inputs!$B$21+Skills!Q6+(((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Skills!G7*IF(Skills!H7&gt;0,IF(Inputs!$B$38="pvp",MIN(Skills!I7,15),Skills!I7)/Skills!H7,1)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IFERROR(1/(IF(Inputs!$B$38="pvp",15,MAX(0.1,Skills!D7-IF(TRUE=TRUE,Inputs!$B$32,0)))*(1-IF(AND(ArtifactsInput!$M$27,Inputs!$B$4="Chapter Hunt"),CHOOSE(ArtifactsInput!$N$27+1,20,24,28,32,36,40),0)/100)),0)</f>
        <v/>
      </c>
      <c r="R1548">
        <f>IF(AND(Inputs!$B$38&lt;&gt;"pvp",Inputs!$B$43&gt;0),IF(MAX(0,Inputs!$B$43-B1577)&lt;=0,0,(INT(MAX(0,Inputs!$B$43-B1577)/(IF(Inputs!$B$38="pvp",15,MAX(0.1,Skills!D7-IF(TRUE=TRUE,Inputs!$B$32,0)))*(1-IF(AND(ArtifactsInput!$M$27,Inputs!$B$4="Chapter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$20+0+Skills!P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TRUE=TRUE,Inputs!$B$32,0)))*(1-IF(AND(ArtifactsInput!$M$27,Inputs!$B$4="Chapter Hunt"),CHOOSE(ArtifactsInput!$N$27+1,20,24,28,32,36,40),0)/100)))))/Skills!H7,1)))/Inputs!$B$43),G1548*Q1548))*IF(Inputs!$B$38="pvp",1,(1+(Inputs!$B$21+Skills!Q7+(((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Skills!G8*IF(Skills!H8&gt;0,IF(Inputs!$B$38="pvp",MIN(Skills!I8,15),Skills!I8)/Skills!H8,1)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IFERROR(1/(IF(Inputs!$B$38="pvp",15,MAX(0.1,Skills!D8-IF(TRUE=TRUE,Inputs!$B$32,0)))*(1-IF(AND(ArtifactsInput!$M$27,Inputs!$B$4="Chapter Hunt"),CHOOSE(ArtifactsInput!$N$27+1,20,24,28,32,36,40),0)/100)),0)</f>
        <v/>
      </c>
      <c r="R1549">
        <f>IF(AND(Inputs!$B$38&lt;&gt;"pvp",Inputs!$B$43&gt;0),IF(MAX(0,Inputs!$B$43-B1577)&lt;=0,0,(INT(MAX(0,Inputs!$B$43-B1577)/(IF(Inputs!$B$38="pvp",15,MAX(0.1,Skills!D8-IF(TRUE=TRUE,Inputs!$B$32,0)))*(1-IF(AND(ArtifactsInput!$M$27,Inputs!$B$4="Chapter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$20+0+Skills!P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TRUE=TRUE,Inputs!$B$32,0)))*(1-IF(AND(ArtifactsInput!$M$27,Inputs!$B$4="Chapter Hunt"),CHOOSE(ArtifactsInput!$N$27+1,20,24,28,32,36,40),0)/100)))))/Skills!H8,1)))/Inputs!$B$43),G1549*Q1549))*IF(Inputs!$B$38="pvp",1,(1+(Inputs!$B$21+Skills!Q8+(((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Skills!G9*IF(Skills!H9&gt;0,IF(Inputs!$B$38="pvp",MIN(Skills!I9,15),Skills!I9)/Skills!H9,1)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138,MAX(0,IF(Inputs!$B$3&gt;=118,8,IF(Inputs!$B$3&gt;=110,7,5))-5)*50,0),0)/100)*(1+(IF(Skills!A9="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IFERROR(1/(IF(Inputs!$B$38="pvp",15,MAX(0.1,Skills!D9-IF(TRUE=TRUE,Inputs!$B$32,0)))*(1-IF(AND(ArtifactsInput!$M$27,Inputs!$B$4="Chapter Hunt"),CHOOSE(ArtifactsInput!$N$27+1,20,24,28,32,36,40),0)/100)),0)</f>
        <v/>
      </c>
      <c r="R1550">
        <f>IF(AND(Inputs!$B$38&lt;&gt;"pvp",Inputs!$B$43&gt;0),IF(MAX(0,Inputs!$B$43-B1577)&lt;=0,0,(INT(MAX(0,Inputs!$B$43-B1577)/(IF(Inputs!$B$38="pvp",15,MAX(0.1,Skills!D9-IF(TRUE=TRUE,Inputs!$B$32,0)))*(1-IF(AND(ArtifactsInput!$M$27,Inputs!$B$4="Chapter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TRUE=TRUE,Inputs!$B$32,0)))*(1-IF(AND(ArtifactsInput!$M$27,Inputs!$B$4="Chapter Hunt"),CHOOSE(ArtifactsInput!$N$27+1,20,24,28,32,36,40),0)/100)))))/Skills!H9,1)))/Inputs!$B$43),G1550*Q1550))*IF(Inputs!$B$38="pvp",1,1+(Inputs!$B$20+0+Skills!P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TRUE=TRUE,Inputs!$B$32,0)))*(1-IF(AND(ArtifactsInput!$M$27,Inputs!$B$4="Chapter Hunt"),CHOOSE(ArtifactsInput!$N$27+1,20,24,28,32,36,40),0)/100)))))/Skills!H9,1)))/Inputs!$B$43),G1550*Q1550))*IF(Inputs!$B$38="pvp",1,(1+(Inputs!$B$21+Skills!Q9+(((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Skills!G10*IF(Skills!H10&gt;0,IF(Inputs!$B$38="pvp",MIN(Skills!I10,15),Skills!I10)/Skills!H10,1)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138,MAX(0,IF(Inputs!$B$3&gt;=118,8,IF(Inputs!$B$3&gt;=110,7,5))-5)*50,0),0)/100)*(1+(IF(Skills!A10="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IFERROR(1/(IF(Inputs!$B$38="pvp",15,MAX(0.1,Skills!D10-IF(TRUE=TRUE,Inputs!$B$32,0)))*(1-IF(AND(ArtifactsInput!$M$27,Inputs!$B$4="Chapter Hunt"),CHOOSE(ArtifactsInput!$N$27+1,20,24,28,32,36,40),0)/100)),0)</f>
        <v/>
      </c>
      <c r="R1551">
        <f>IF(AND(Inputs!$B$38&lt;&gt;"pvp",Inputs!$B$43&gt;0),IF(MAX(0,Inputs!$B$43-B1577)&lt;=0,0,(INT(MAX(0,Inputs!$B$43-B1577)/(IF(Inputs!$B$38="pvp",15,MAX(0.1,Skills!D10-IF(TRUE=TRUE,Inputs!$B$32,0)))*(1-IF(AND(ArtifactsInput!$M$27,Inputs!$B$4="Chapter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$20+0+Skills!P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TRUE=TRUE,Inputs!$B$32,0)))*(1-IF(AND(ArtifactsInput!$M$27,Inputs!$B$4="Chapter Hunt"),CHOOSE(ArtifactsInput!$N$27+1,20,24,28,32,36,40),0)/100)))))/Skills!H10,1)))/Inputs!$B$43),G1551*Q1551))*IF(Inputs!$B$38="pvp",1,(1+(Inputs!$B$21+Skills!Q10+(((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Skills!G11*IF(Skills!H11&gt;0,IF(Inputs!$B$38="pvp",MIN(Skills!I11,15),Skills!I11)/Skills!H11,1)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(100-(100-((Inputs!$B$19+0)))*(1-IF(Inputs!$B$3&gt;=130,IF(Inputs!$B$3&gt;=118,8,IF(Inputs!$B$3&gt;=110,7,5)),0)/100)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138,MAX(0,IF(Inputs!$B$3&gt;=118,8,IF(Inputs!$B$3&gt;=110,7,5))-5)*50,0),0)/100)*(1+(IF(Skills!A11="RAGING_BLOW",Inputs!$B$17+((C1562=TRUE)*(F1562-Calc!F21))+((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IFERROR(1/(IF(Inputs!$B$38="pvp",15,MAX(0.1,Skills!D11-IF(TRUE=TRUE,Inputs!$B$32,0)))*(1-IF(AND(ArtifactsInput!$M$27,Inputs!$B$4="Chapter Hunt"),CHOOSE(ArtifactsInput!$N$27+1,20,24,28,32,36,40),0)/100)),0)</f>
        <v/>
      </c>
      <c r="R1552">
        <f>IF(AND(Inputs!$B$38&lt;&gt;"pvp",Inputs!$B$43&gt;0),IF(MAX(0,Inputs!$B$43-B1577)&lt;=0,0,(INT(MAX(0,Inputs!$B$43-B1577)/(IF(Inputs!$B$38="pvp",15,MAX(0.1,Skills!D11-IF(TRUE=TRUE,Inputs!$B$32,0)))*(1-IF(AND(ArtifactsInput!$M$27,Inputs!$B$4="Chapter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$20+0+Skills!P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Inputs!$B$38&lt;&gt;"pvp",Inputs!$B$43=0),1,IF(IF(Inputs!$B$38="pvp",15,Inputs!$B$43)-(B1577)&lt;=0,1,MAX(0,IF(Inputs!$B$38="pvp",15,Inputs!$B$43)-MAX(5,B1577))/(IF(Inputs!$B$38="pvp",15,Inputs!$B$43)-(B1577)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TRUE=TRUE,Inputs!$B$32,0)))*(1-IF(AND(ArtifactsInput!$M$27,Inputs!$B$4="Chapter Hunt"),CHOOSE(ArtifactsInput!$N$27+1,20,24,28,32,36,40),0)/100)))))/Skills!H11,1)))/Inputs!$B$43),G1552*Q1552))*IF(Inputs!$B$38="pvp",1,(1+(Inputs!$B$21+Skills!Q11+(((C1557=TRUE)*F1557*(Skills!J16/100)*IF(AND(Inputs!$B$38&lt;&gt;"pvp",Inputs!$B$43&gt;0),(((R1557-1)*MIN((Skills!T16*(1+(Inputs!$B$34+(ArtifactsInput!$M$7-ArtifactsInput!$M$7)*CHOOSE(ArtifactsInput!$N$7+1,6,7.2,8.4,9.6,10.8,12))/100)),(1/Q1557))+MIN((Skills!T16*(1+(Inputs!$B$34+(ArtifactsInput!$M$7-ArtifactsInput!$M$7)*CHOOSE(ArtifactsInput!$N$7+1,6,7.2,8.4,9.6,10.8,12))/100)),MAX(0,Inputs!$B$43-((R1557-1)*(1/Q1557)))))/Inputs!$B$43),IF(Inputs!$B$38="pvp",MIN((Skills!T16*(1+(Inputs!$B$34+(ArtifactsInput!$M$7-ArtifactsInput!$M$7)*CHOOSE(ArtifactsInput!$N$7+1,6,7.2,8.4,9.6,10.8,12))/100)),15)/15,MIN(1,(Skills!T16*(1+(Inputs!$B$34+(ArtifactsInput!$M$7-ArtifactsInput!$M$7)*CHOOSE(ArtifactsInput!$N$7+1,6,7.2,8.4,9.6,10.8,12))/100))/(1/Q1557)))))+((C1549=TRUE)*IF(Inputs!$B$3&gt;=126,10*MIN(1,15*Q1549),0))+((C1546=TRUE)*((100/10)*(INDEX(FactorTable!$B$2:$Y$301,MATCH(ROUND(MIN(300,MAX(1,MAX(0,(Inputs!$B$3-100)*3)+Inputs!$B$28+Inputs!$B$29)),0),FactorTable!$A$2:$A$301,0),22)/1000))*(1+IF(Inputs!$B$3&gt;=134,0.5,0))*MIN(1,10*(1+(Inputs!$B$34+(ArtifactsInput!$M$7-ArtifactsInput!$M$7)*CHOOSE(ArtifactsInput!$N$7+1,6,7.2,8.4,9.6,10.8,12))/100)*Q1546)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Skills!G13*IF(Skills!H13&gt;0,IF(Inputs!$B$38="pvp",MIN(Skills!I13,15),Skills!I13)/Skills!H13,1)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Skills!G14*IF(Skills!H14&gt;0,IF(Inputs!$B$38="pvp",MIN(Skills!I14,15),Skills!I14)/Skills!H14,1)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Skills!G15*IF(Skills!H15&gt;0,IF(Inputs!$B$38="pvp",MIN(Skills!I15,15),Skills!I15)/Skills!H15,1)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IFERROR(1/(IF(Inputs!$B$38="pvp",15,MAX(0.1,Skills!D15-IF(TRUE=TRUE,Inputs!$B$32,0)))*(1-IF(AND(ArtifactsInput!$M$27,Inputs!$B$4="Chapter Hunt"),CHOOSE(ArtifactsInput!$N$27+1,20,24,28,32,36,40),0)/100)),0)</f>
        <v/>
      </c>
      <c r="R1556">
        <f>IF(AND(Inputs!$B$38&lt;&gt;"pvp",Inputs!$B$43&gt;0),IF(Inputs!$B$43&lt;=0,0,(INT(Inputs!$B$43/(IF(Inputs!$B$38="pvp",15,MAX(0.1,Skills!D15-IF(TRUE=TRUE,Inputs!$B$32,0)))*(1-IF(AND(ArtifactsInput!$M$27,Inputs!$B$4="Chapter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Skills!G16*IF(Skills!H16&gt;0,IF(Inputs!$B$38="pvp",MIN(Skills!I16,15),Skills!I16)/Skills!H16,1)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IFERROR(1/(IF(Inputs!$B$38="pvp",15,MAX(0.1,Skills!D16-IF(TRUE=TRUE,Inputs!$B$32,0)))*(1-IF(AND(ArtifactsInput!$M$27,Inputs!$B$4="Chapter Hunt"),CHOOSE(ArtifactsInput!$N$27+1,20,24,28,32,36,40),0)/100)),0)</f>
        <v/>
      </c>
      <c r="R1557">
        <f>IF(AND(Inputs!$B$38&lt;&gt;"pvp",Inputs!$B$43&gt;0),IF(Inputs!$B$43&lt;=0,0,(INT(Inputs!$B$43/(IF(Inputs!$B$38="pvp",15,MAX(0.1,Skills!D16-IF(TRUE=TRUE,Inputs!$B$32,0)))*(1-IF(AND(ArtifactsInput!$M$27,Inputs!$B$4="Chapter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Skills!G17*IF(Skills!H17&gt;0,IF(Inputs!$B$38="pvp",MIN(Skills!I17,15),Skills!I17)/Skills!H17,1)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IFERROR(1/(IF(Inputs!$B$38="pvp",15,MAX(0.1,Skills!D17-IF(TRUE=TRUE,Inputs!$B$32,0)))*(1-IF(AND(ArtifactsInput!$M$27,Inputs!$B$4="Chapter Hunt"),CHOOSE(ArtifactsInput!$N$27+1,20,24,28,32,36,40),0)/100)),0)</f>
        <v/>
      </c>
      <c r="R1558">
        <f>IF(AND(Inputs!$B$38&lt;&gt;"pvp",Inputs!$B$43&gt;0),IF(Inputs!$B$43&lt;=0,0,(INT(Inputs!$B$43/(IF(Inputs!$B$38="pvp",15,MAX(0.1,Skills!D17-IF(TRUE=TRUE,Inputs!$B$32,0)))*(1-IF(AND(ArtifactsInput!$M$27,Inputs!$B$4="Chapter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Skills!G18*IF(Skills!H18&gt;0,IF(Inputs!$B$38="pvp",MIN(Skills!I18,15),Skills!I18)/Skills!H18,1)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IFERROR(1/(IF(Inputs!$B$38="pvp",15,MAX(0.1,Skills!D18-IF(TRUE=TRUE,Inputs!$B$32,0)))*(1-IF(AND(ArtifactsInput!$M$27,Inputs!$B$4="Chapter Hunt"),CHOOSE(ArtifactsInput!$N$27+1,20,24,28,32,36,40),0)/100)),0)</f>
        <v/>
      </c>
      <c r="R1559">
        <f>IF(AND(Inputs!$B$38&lt;&gt;"pvp",Inputs!$B$43&gt;0),IF(Inputs!$B$43&lt;=0,0,(INT(Inputs!$B$43/(IF(Inputs!$B$38="pvp",15,MAX(0.1,Skills!D18-IF(TRUE=TRUE,Inputs!$B$32,0)))*(1-IF(AND(ArtifactsInput!$M$27,Inputs!$B$4="Chapter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Skills!G19*IF(Skills!H19&gt;0,IF(Inputs!$B$38="pvp",MIN(Skills!I19,15),Skills!I19)/Skills!H19,1)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IFERROR(1/(IF(Inputs!$B$38="pvp",15,MAX(0.1,Skills!D19-IF(TRUE=TRUE,Inputs!$B$32,0)))*(1-IF(AND(ArtifactsInput!$M$27,Inputs!$B$4="Chapter Hunt"),CHOOSE(ArtifactsInput!$N$27+1,20,24,28,32,36,40),0)/100)),0)</f>
        <v/>
      </c>
      <c r="R1560">
        <f>IF(AND(Inputs!$B$38&lt;&gt;"pvp",Inputs!$B$43&gt;0),IF(Inputs!$B$43&lt;=0,0,(INT(Inputs!$B$43/(IF(Inputs!$B$38="pvp",15,MAX(0.1,Skills!D19-IF(TRUE=TRUE,Inputs!$B$32,0)))*(1-IF(AND(ArtifactsInput!$M$27,Inputs!$B$4="Chapter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Skills!G20*IF(Skills!H20&gt;0,IF(Inputs!$B$38="pvp",MIN(Skills!I20,15),Skills!I20)/Skills!H20,1)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Skills!G21*IF(Skills!H21&gt;0,IF(Inputs!$B$38="pvp",MIN(Skills!I21,15),Skills!I21)/Skills!H21,1)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Skills!G22*IF(Skills!H22&gt;0,IF(Inputs!$B$38="pvp",MIN(Skills!I22,15),Skills!I22)/Skills!H22,1)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Skills!G23*IF(Skills!H23&gt;0,IF(Inputs!$B$38="pvp",MIN(Skills!I23,15),Skills!I23)/Skills!H23,1)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Skills!G24*IF(Skills!H24&gt;0,IF(Inputs!$B$38="pvp",MIN(Skills!I24,15),Skills!I24)/Skills!H24,1)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Skills!G25*IF(Skills!H25&gt;0,IF(Inputs!$B$38="pvp",MIN(Skills!I25,15),Skills!I25)/Skills!H25,1)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Skills!G26*IF(Skills!H26&gt;0,IF(Inputs!$B$38="pvp",MIN(Skills!I26,15),Skills!I26)/Skills!H26,1)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118,8,IF(Inputs!$B$3&gt;=110,7,5)))+((C1556=TRUE)*F1556*IF(AND(Inputs!$B$38&lt;&gt;"pvp",Inputs!$B$43&gt;0),(((R1556-1)*MIN((Skills!T15*(1+(Inputs!$B$34+(ArtifactsInput!$M$7-ArtifactsInput!$M$7)*CHOOSE(ArtifactsInput!$N$7+1,6,7.2,8.4,9.6,10.8,12))/100)),(1/Q1556))+MIN((Skills!T15*(1+(Inputs!$B$34+(ArtifactsInput!$M$7-ArtifactsInput!$M$7)*CHOOSE(ArtifactsInput!$N$7+1,6,7.2,8.4,9.6,10.8,12))/100)),MAX(0,Inputs!$B$43-((R1556-1)*(1/Q1556)))))/Inputs!$B$43),IF(Inputs!$B$38="pvp",MIN((Skills!T15*(1+(Inputs!$B$34+(ArtifactsInput!$M$7-ArtifactsInput!$M$7)*CHOOSE(ArtifactsInput!$N$7+1,6,7.2,8.4,9.6,10.8,12))/100)),15)/15,MIN(1,(Skills!T15*(1+(Inputs!$B$34+(ArtifactsInput!$M$7-ArtifactsInput!$M$7)*CHOOSE(ArtifactsInput!$N$7+1,6,7.2,8.4,9.6,10.8,12))/100))/(1/Q1556)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MIN((Skills!T19*(1+(Inputs!$B$34+(ArtifactsInput!$M$7-ArtifactsInput!$M$7)*CHOOSE(ArtifactsInput!$N$7+1,6,7.2,8.4,9.6,10.8,12))/100)),(1/Q1560))+MIN((Skills!T19*(1+(Inputs!$B$34+(ArtifactsInput!$M$7-ArtifactsInput!$M$7)*CHOOSE(ArtifactsInput!$N$7+1,6,7.2,8.4,9.6,10.8,12))/100)),MAX(0,Inputs!$B$43-((R1560-1)*(1/Q1560)))))/Inputs!$B$43),IF(Inputs!$B$38="pvp",MIN((Skills!T19*(1+(Inputs!$B$34+(ArtifactsInput!$M$7-ArtifactsInput!$M$7)*CHOOSE(ArtifactsInput!$N$7+1,6,7.2,8.4,9.6,10.8,12))/100)),15)/15,MIN(1,(Skills!T19*(1+(Inputs!$B$34+(ArtifactsInput!$M$7-ArtifactsInput!$M$7)*CHOOSE(ArtifactsInput!$N$7+1,6,7.2,8.4,9.6,10.8,12))/100))/(1/Q1560)))))</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MIN((Skills!T18*(1+(Inputs!$B$34+(ArtifactsInput!$M$7-ArtifactsInput!$M$7)*CHOOSE(ArtifactsInput!$N$7+1,6,7.2,8.4,9.6,10.8,12))/100)),(1/Q1559))+MIN((Skills!T18*(1+(Inputs!$B$34+(ArtifactsInput!$M$7-ArtifactsInput!$M$7)*CHOOSE(ArtifactsInput!$N$7+1,6,7.2,8.4,9.6,10.8,12))/100)),MAX(0,Inputs!$B$43-((R1559-1)*(1/Q1559)))))/Inputs!$B$43),IF(Inputs!$B$38="pvp",MIN((Skills!T18*(1+(Inputs!$B$34+(ArtifactsInput!$M$7-ArtifactsInput!$M$7)*CHOOSE(ArtifactsInput!$N$7+1,6,7.2,8.4,9.6,10.8,12))/100)),15)/15,MIN(1,(Skills!T18*(1+(Inputs!$B$34+(ArtifactsInput!$M$7-ArtifactsInput!$M$7)*CHOOSE(ArtifactsInput!$N$7+1,6,7.2,8.4,9.6,10.8,12))/100))/(1/Q1559)))))</f>
        <v/>
      </c>
    </row>
    <row r="1576">
      <c r="A1576" t="inlineStr">
        <is>
          <t>Global Final Damage Bonus % (Enrage + Combo Synergy)</t>
        </is>
      </c>
      <c r="B1576">
        <f>((C1558=TRUE)*F1558*IF(AND(Inputs!$B$38&lt;&gt;"pvp",Inputs!$B$43&gt;0),(((R1558-1)*MIN((Skills!T17*(1+(Inputs!$B$34+(ArtifactsInput!$M$7-ArtifactsInput!$M$7)*CHOOSE(ArtifactsInput!$N$7+1,6,7.2,8.4,9.6,10.8,12))/100)),(1/Q1558))+MIN((Skills!T17*(1+(Inputs!$B$34+(ArtifactsInput!$M$7-ArtifactsInput!$M$7)*CHOOSE(ArtifactsInput!$N$7+1,6,7.2,8.4,9.6,10.8,12))/100)),MAX(0,Inputs!$B$43-((R1558-1)*(1/Q1558)))))/Inputs!$B$43),IF(Inputs!$B$38="pvp",MIN((Skills!T17*(1+(Inputs!$B$34+(ArtifactsInput!$M$7-ArtifactsInput!$M$7)*CHOOSE(ArtifactsInput!$N$7+1,6,7.2,8.4,9.6,10.8,12))/100)),15)/15,MIN(1,(Skills!T17*(1+(Inputs!$B$34+(ArtifactsInput!$M$7-ArtifactsInput!$M$7)*CHOOSE(ArtifactsInput!$N$7+1,6,7.2,8.4,9.6,10.8,12))/100))/(1/Q1558)))))+((C1555=TRUE)*F1555*IF(Inputs!$B$3&gt;=118,8,IF(Inputs!$B$3&gt;=110,7,5)))+IF(Inputs!$B$3&gt;=98,5,0)</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Skills!G2*IF(Skills!H2&gt;0,IF(Inputs!$B$38="pvp",MIN(Skills!I2,15),Skills!I2)/Skills!H2,1)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Skills!G5*IF(Skills!H5&gt;0,IF(Inputs!$B$38="pvp",MIN(Skills!I5,15),Skills!I5)/Skills!H5,1)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IFERROR(1/(IF(Inputs!$B$38="pvp",15,MAX(0.1,Skills!D5-IF(TRUE=TRUE,Inputs!$B$32,0)))*(1-IF(AND(ArtifactsInput!$M$27,Inputs!$B$4="Chapter Hunt"),CHOOSE(ArtifactsInput!$N$27+1,20,24,28,32,36,40),0)/100)),0)</f>
        <v/>
      </c>
      <c r="R1588">
        <f>IF(AND(Inputs!$B$38&lt;&gt;"pvp",Inputs!$B$43&gt;0),IF(MAX(0,Inputs!$B$43-B1619)&lt;=0,0,(INT(MAX(0,Inputs!$B$43-B1619)/(IF(Inputs!$B$38="pvp",15,MAX(0.1,Skills!D5-IF(TRUE=TRUE,Inputs!$B$32,0)))*(1-IF(AND(ArtifactsInput!$M$27,Inputs!$B$4="Chapter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$20+0+Skills!P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TRUE=TRUE,Inputs!$B$32,0)))*(1-IF(AND(ArtifactsInput!$M$27,Inputs!$B$4="Chapter Hunt"),CHOOSE(ArtifactsInput!$N$27+1,20,24,28,32,36,40),0)/100)))))/Skills!H5,1)))/Inputs!$B$43),G1588*Q1588))*IF(Inputs!$B$38="pvp",1,(1+(Inputs!$B$21+Skills!Q5+(((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Skills!G6*IF(Skills!H6&gt;0,IF(Inputs!$B$38="pvp",MIN(Skills!I6,15),Skills!I6)/Skills!H6,1)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IFERROR(1/(IF(Inputs!$B$38="pvp",15,MAX(0.1,Skills!D6-IF(TRUE=TRUE,Inputs!$B$32,0)))*(1-IF(AND(ArtifactsInput!$M$27,Inputs!$B$4="Chapter Hunt"),CHOOSE(ArtifactsInput!$N$27+1,20,24,28,32,36,40),0)/100)),0)</f>
        <v/>
      </c>
      <c r="R1589">
        <f>IF(AND(Inputs!$B$38&lt;&gt;"pvp",Inputs!$B$43&gt;0),IF(MAX(0,Inputs!$B$43-B1619)&lt;=0,0,(INT(MAX(0,Inputs!$B$43-B1619)/(IF(Inputs!$B$38="pvp",15,MAX(0.1,Skills!D6-IF(TRUE=TRUE,Inputs!$B$32,0)))*(1-IF(AND(ArtifactsInput!$M$27,Inputs!$B$4="Chapter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$20+0+Skills!P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TRUE=TRUE,Inputs!$B$32,0)))*(1-IF(AND(ArtifactsInput!$M$27,Inputs!$B$4="Chapter Hunt"),CHOOSE(ArtifactsInput!$N$27+1,20,24,28,32,36,40),0)/100)))))/Skills!H6,1)))/Inputs!$B$43),G1589*Q1589))*IF(Inputs!$B$38="pvp",1,(1+(Inputs!$B$21+Skills!Q6+(((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Skills!G7*IF(Skills!H7&gt;0,IF(Inputs!$B$38="pvp",MIN(Skills!I7,15),Skills!I7)/Skills!H7,1)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IFERROR(1/(IF(Inputs!$B$38="pvp",15,MAX(0.1,Skills!D7-IF(TRUE=TRUE,Inputs!$B$32,0)))*(1-IF(AND(ArtifactsInput!$M$27,Inputs!$B$4="Chapter Hunt"),CHOOSE(ArtifactsInput!$N$27+1,20,24,28,32,36,40),0)/100)),0)</f>
        <v/>
      </c>
      <c r="R1590">
        <f>IF(AND(Inputs!$B$38&lt;&gt;"pvp",Inputs!$B$43&gt;0),IF(MAX(0,Inputs!$B$43-B1619)&lt;=0,0,(INT(MAX(0,Inputs!$B$43-B1619)/(IF(Inputs!$B$38="pvp",15,MAX(0.1,Skills!D7-IF(TRUE=TRUE,Inputs!$B$32,0)))*(1-IF(AND(ArtifactsInput!$M$27,Inputs!$B$4="Chapter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$20+0+Skills!P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TRUE=TRUE,Inputs!$B$32,0)))*(1-IF(AND(ArtifactsInput!$M$27,Inputs!$B$4="Chapter Hunt"),CHOOSE(ArtifactsInput!$N$27+1,20,24,28,32,36,40),0)/100)))))/Skills!H7,1)))/Inputs!$B$43),G1590*Q1590))*IF(Inputs!$B$38="pvp",1,(1+(Inputs!$B$21+Skills!Q7+(((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Skills!G8*IF(Skills!H8&gt;0,IF(Inputs!$B$38="pvp",MIN(Skills!I8,15),Skills!I8)/Skills!H8,1)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IFERROR(1/(IF(Inputs!$B$38="pvp",15,MAX(0.1,Skills!D8-IF(TRUE=TRUE,Inputs!$B$32,0)))*(1-IF(AND(ArtifactsInput!$M$27,Inputs!$B$4="Chapter Hunt"),CHOOSE(ArtifactsInput!$N$27+1,20,24,28,32,36,40),0)/100)),0)</f>
        <v/>
      </c>
      <c r="R1591">
        <f>IF(AND(Inputs!$B$38&lt;&gt;"pvp",Inputs!$B$43&gt;0),IF(MAX(0,Inputs!$B$43-B1619)&lt;=0,0,(INT(MAX(0,Inputs!$B$43-B1619)/(IF(Inputs!$B$38="pvp",15,MAX(0.1,Skills!D8-IF(TRUE=TRUE,Inputs!$B$32,0)))*(1-IF(AND(ArtifactsInput!$M$27,Inputs!$B$4="Chapter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$20+0+Skills!P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TRUE=TRUE,Inputs!$B$32,0)))*(1-IF(AND(ArtifactsInput!$M$27,Inputs!$B$4="Chapter Hunt"),CHOOSE(ArtifactsInput!$N$27+1,20,24,28,32,36,40),0)/100)))))/Skills!H8,1)))/Inputs!$B$43),G1591*Q1591))*IF(Inputs!$B$38="pvp",1,(1+(Inputs!$B$21+Skills!Q8+(((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Skills!G9*IF(Skills!H9&gt;0,IF(Inputs!$B$38="pvp",MIN(Skills!I9,15),Skills!I9)/Skills!H9,1)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138,MAX(0,IF(Inputs!$B$3&gt;=118,8,IF(Inputs!$B$3&gt;=110,7,5))-5)*50,0),0)/100)*(1+(IF(Skills!A9="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IFERROR(1/(IF(Inputs!$B$38="pvp",15,MAX(0.1,Skills!D9-IF(TRUE=TRUE,Inputs!$B$32,0)))*(1-IF(AND(ArtifactsInput!$M$27,Inputs!$B$4="Chapter Hunt"),CHOOSE(ArtifactsInput!$N$27+1,20,24,28,32,36,40),0)/100)),0)</f>
        <v/>
      </c>
      <c r="R1592">
        <f>IF(AND(Inputs!$B$38&lt;&gt;"pvp",Inputs!$B$43&gt;0),IF(MAX(0,Inputs!$B$43-B1619)&lt;=0,0,(INT(MAX(0,Inputs!$B$43-B1619)/(IF(Inputs!$B$38="pvp",15,MAX(0.1,Skills!D9-IF(TRUE=TRUE,Inputs!$B$32,0)))*(1-IF(AND(ArtifactsInput!$M$27,Inputs!$B$4="Chapter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TRUE=TRUE,Inputs!$B$32,0)))*(1-IF(AND(ArtifactsInput!$M$27,Inputs!$B$4="Chapter Hunt"),CHOOSE(ArtifactsInput!$N$27+1,20,24,28,32,36,40),0)/100)))))/Skills!H9,1)))/Inputs!$B$43),G1592*Q1592))*IF(Inputs!$B$38="pvp",1,1+(Inputs!$B$20+0+Skills!P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TRUE=TRUE,Inputs!$B$32,0)))*(1-IF(AND(ArtifactsInput!$M$27,Inputs!$B$4="Chapter Hunt"),CHOOSE(ArtifactsInput!$N$27+1,20,24,28,32,36,40),0)/100)))))/Skills!H9,1)))/Inputs!$B$43),G1592*Q1592))*IF(Inputs!$B$38="pvp",1,(1+(Inputs!$B$21+Skills!Q9+(((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Skills!G10*IF(Skills!H10&gt;0,IF(Inputs!$B$38="pvp",MIN(Skills!I10,15),Skills!I10)/Skills!H10,1)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138,MAX(0,IF(Inputs!$B$3&gt;=118,8,IF(Inputs!$B$3&gt;=110,7,5))-5)*50,0),0)/100)*(1+(IF(Skills!A10="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IFERROR(1/(IF(Inputs!$B$38="pvp",15,MAX(0.1,Skills!D10-IF(TRUE=TRUE,Inputs!$B$32,0)))*(1-IF(AND(ArtifactsInput!$M$27,Inputs!$B$4="Chapter Hunt"),CHOOSE(ArtifactsInput!$N$27+1,20,24,28,32,36,40),0)/100)),0)</f>
        <v/>
      </c>
      <c r="R1593">
        <f>IF(AND(Inputs!$B$38&lt;&gt;"pvp",Inputs!$B$43&gt;0),IF(MAX(0,Inputs!$B$43-B1619)&lt;=0,0,(INT(MAX(0,Inputs!$B$43-B1619)/(IF(Inputs!$B$38="pvp",15,MAX(0.1,Skills!D10-IF(TRUE=TRUE,Inputs!$B$32,0)))*(1-IF(AND(ArtifactsInput!$M$27,Inputs!$B$4="Chapter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$20+0+Skills!P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TRUE=TRUE,Inputs!$B$32,0)))*(1-IF(AND(ArtifactsInput!$M$27,Inputs!$B$4="Chapter Hunt"),CHOOSE(ArtifactsInput!$N$27+1,20,24,28,32,36,40),0)/100)))))/Skills!H10,1)))/Inputs!$B$43),G1593*Q1593))*IF(Inputs!$B$38="pvp",1,(1+(Inputs!$B$21+Skills!Q10+(((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Skills!G11*IF(Skills!H11&gt;0,IF(Inputs!$B$38="pvp",MIN(Skills!I11,15),Skills!I11)/Skills!H11,1)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(100-(100-((Inputs!$B$19+0)))*(1-IF(Inputs!$B$3&gt;=130,IF(Inputs!$B$3&gt;=118,8,IF(Inputs!$B$3&gt;=110,7,5)),0)/100)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138,MAX(0,IF(Inputs!$B$3&gt;=118,8,IF(Inputs!$B$3&gt;=110,7,5))-5)*50,0),0)/100)*(1+(IF(Skills!A11="RAGING_BLOW",Inputs!$B$17+((C1604=TRUE)*(F1604-Calc!F21))+((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IFERROR(1/(IF(Inputs!$B$38="pvp",15,MAX(0.1,Skills!D11-IF(TRUE=TRUE,Inputs!$B$32,0)))*(1-IF(AND(ArtifactsInput!$M$27,Inputs!$B$4="Chapter Hunt"),CHOOSE(ArtifactsInput!$N$27+1,20,24,28,32,36,40),0)/100)),0)</f>
        <v/>
      </c>
      <c r="R1594">
        <f>IF(AND(Inputs!$B$38&lt;&gt;"pvp",Inputs!$B$43&gt;0),IF(MAX(0,Inputs!$B$43-B1619)&lt;=0,0,(INT(MAX(0,Inputs!$B$43-B1619)/(IF(Inputs!$B$38="pvp",15,MAX(0.1,Skills!D11-IF(TRUE=TRUE,Inputs!$B$32,0)))*(1-IF(AND(ArtifactsInput!$M$27,Inputs!$B$4="Chapter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$20+0+Skills!P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Inputs!$B$38&lt;&gt;"pvp",Inputs!$B$43=0),1,IF(IF(Inputs!$B$38="pvp",15,Inputs!$B$43)-(B1619)&lt;=0,1,MAX(0,IF(Inputs!$B$38="pvp",15,Inputs!$B$43)-MAX(5,B1619))/(IF(Inputs!$B$38="pvp",15,Inputs!$B$43)-(B1619)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TRUE=TRUE,Inputs!$B$32,0)))*(1-IF(AND(ArtifactsInput!$M$27,Inputs!$B$4="Chapter Hunt"),CHOOSE(ArtifactsInput!$N$27+1,20,24,28,32,36,40),0)/100)))))/Skills!H11,1)))/Inputs!$B$43),G1594*Q1594))*IF(Inputs!$B$38="pvp",1,(1+(Inputs!$B$21+Skills!Q11+(((C1599=TRUE)*F1599*(Skills!J16/100)*IF(AND(Inputs!$B$38&lt;&gt;"pvp",Inputs!$B$43&gt;0),(((R1599-1)*MIN((Skills!T16*(1+(Inputs!$B$34+(ArtifactsInput!$M$7-ArtifactsInput!$M$7)*CHOOSE(ArtifactsInput!$N$7+1,6,7.2,8.4,9.6,10.8,12))/100)),(1/Q1599))+MIN((Skills!T16*(1+(Inputs!$B$34+(ArtifactsInput!$M$7-ArtifactsInput!$M$7)*CHOOSE(ArtifactsInput!$N$7+1,6,7.2,8.4,9.6,10.8,12))/100)),MAX(0,Inputs!$B$43-((R1599-1)*(1/Q1599)))))/Inputs!$B$43),IF(Inputs!$B$38="pvp",MIN((Skills!T16*(1+(Inputs!$B$34+(ArtifactsInput!$M$7-ArtifactsInput!$M$7)*CHOOSE(ArtifactsInput!$N$7+1,6,7.2,8.4,9.6,10.8,12))/100)),15)/15,MIN(1,(Skills!T16*(1+(Inputs!$B$34+(ArtifactsInput!$M$7-ArtifactsInput!$M$7)*CHOOSE(ArtifactsInput!$N$7+1,6,7.2,8.4,9.6,10.8,12))/100))/(1/Q1599)))))+((C1591=TRUE)*IF(Inputs!$B$3&gt;=126,10*MIN(1,15*Q1591),0))+((C1588=TRUE)*((100/10)*(INDEX(FactorTable!$B$2:$Y$301,MATCH(ROUND(MIN(300,MAX(1,MAX(0,(Inputs!$B$3-100)*3)+Inputs!$B$28+Inputs!$B$29)),0),FactorTable!$A$2:$A$301,0),22)/1000))*(1+IF(Inputs!$B$3&gt;=134,0.5,0))*MIN(1,10*(1+(Inputs!$B$34+(ArtifactsInput!$M$7-ArtifactsInput!$M$7)*CHOOSE(ArtifactsInput!$N$7+1,6,7.2,8.4,9.6,10.8,12))/100)*Q1588)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Skills!G13*IF(Skills!H13&gt;0,IF(Inputs!$B$38="pvp",MIN(Skills!I13,15),Skills!I13)/Skills!H13,1)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Skills!G14*IF(Skills!H14&gt;0,IF(Inputs!$B$38="pvp",MIN(Skills!I14,15),Skills!I14)/Skills!H14,1)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Skills!G15*IF(Skills!H15&gt;0,IF(Inputs!$B$38="pvp",MIN(Skills!I15,15),Skills!I15)/Skills!H15,1)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IFERROR(1/(IF(Inputs!$B$38="pvp",15,MAX(0.1,Skills!D15-IF(TRUE=TRUE,Inputs!$B$32,0)))*(1-IF(AND(ArtifactsInput!$M$27,Inputs!$B$4="Chapter Hunt"),CHOOSE(ArtifactsInput!$N$27+1,20,24,28,32,36,40),0)/100)),0)</f>
        <v/>
      </c>
      <c r="R1598">
        <f>IF(AND(Inputs!$B$38&lt;&gt;"pvp",Inputs!$B$43&gt;0),IF(Inputs!$B$43&lt;=0,0,(INT(Inputs!$B$43/(IF(Inputs!$B$38="pvp",15,MAX(0.1,Skills!D15-IF(TRUE=TRUE,Inputs!$B$32,0)))*(1-IF(AND(ArtifactsInput!$M$27,Inputs!$B$4="Chapter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Skills!G16*IF(Skills!H16&gt;0,IF(Inputs!$B$38="pvp",MIN(Skills!I16,15),Skills!I16)/Skills!H16,1)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IFERROR(1/(IF(Inputs!$B$38="pvp",15,MAX(0.1,Skills!D16-IF(TRUE=TRUE,Inputs!$B$32,0)))*(1-IF(AND(ArtifactsInput!$M$27,Inputs!$B$4="Chapter Hunt"),CHOOSE(ArtifactsInput!$N$27+1,20,24,28,32,36,40),0)/100)),0)</f>
        <v/>
      </c>
      <c r="R1599">
        <f>IF(AND(Inputs!$B$38&lt;&gt;"pvp",Inputs!$B$43&gt;0),IF(Inputs!$B$43&lt;=0,0,(INT(Inputs!$B$43/(IF(Inputs!$B$38="pvp",15,MAX(0.1,Skills!D16-IF(TRUE=TRUE,Inputs!$B$32,0)))*(1-IF(AND(ArtifactsInput!$M$27,Inputs!$B$4="Chapter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Skills!G17*IF(Skills!H17&gt;0,IF(Inputs!$B$38="pvp",MIN(Skills!I17,15),Skills!I17)/Skills!H17,1)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IFERROR(1/(IF(Inputs!$B$38="pvp",15,MAX(0.1,Skills!D17-IF(TRUE=TRUE,Inputs!$B$32,0)))*(1-IF(AND(ArtifactsInput!$M$27,Inputs!$B$4="Chapter Hunt"),CHOOSE(ArtifactsInput!$N$27+1,20,24,28,32,36,40),0)/100)),0)</f>
        <v/>
      </c>
      <c r="R1600">
        <f>IF(AND(Inputs!$B$38&lt;&gt;"pvp",Inputs!$B$43&gt;0),IF(Inputs!$B$43&lt;=0,0,(INT(Inputs!$B$43/(IF(Inputs!$B$38="pvp",15,MAX(0.1,Skills!D17-IF(TRUE=TRUE,Inputs!$B$32,0)))*(1-IF(AND(ArtifactsInput!$M$27,Inputs!$B$4="Chapter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Skills!G18*IF(Skills!H18&gt;0,IF(Inputs!$B$38="pvp",MIN(Skills!I18,15),Skills!I18)/Skills!H18,1)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IFERROR(1/(IF(Inputs!$B$38="pvp",15,MAX(0.1,Skills!D18-IF(TRUE=TRUE,Inputs!$B$32,0)))*(1-IF(AND(ArtifactsInput!$M$27,Inputs!$B$4="Chapter Hunt"),CHOOSE(ArtifactsInput!$N$27+1,20,24,28,32,36,40),0)/100)),0)</f>
        <v/>
      </c>
      <c r="R1601">
        <f>IF(AND(Inputs!$B$38&lt;&gt;"pvp",Inputs!$B$43&gt;0),IF(Inputs!$B$43&lt;=0,0,(INT(Inputs!$B$43/(IF(Inputs!$B$38="pvp",15,MAX(0.1,Skills!D18-IF(TRUE=TRUE,Inputs!$B$32,0)))*(1-IF(AND(ArtifactsInput!$M$27,Inputs!$B$4="Chapter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Skills!G19*IF(Skills!H19&gt;0,IF(Inputs!$B$38="pvp",MIN(Skills!I19,15),Skills!I19)/Skills!H19,1)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IFERROR(1/(IF(Inputs!$B$38="pvp",15,MAX(0.1,Skills!D19-IF(TRUE=TRUE,Inputs!$B$32,0)))*(1-IF(AND(ArtifactsInput!$M$27,Inputs!$B$4="Chapter Hunt"),CHOOSE(ArtifactsInput!$N$27+1,20,24,28,32,36,40),0)/100)),0)</f>
        <v/>
      </c>
      <c r="R1602">
        <f>IF(AND(Inputs!$B$38&lt;&gt;"pvp",Inputs!$B$43&gt;0),IF(Inputs!$B$43&lt;=0,0,(INT(Inputs!$B$43/(IF(Inputs!$B$38="pvp",15,MAX(0.1,Skills!D19-IF(TRUE=TRUE,Inputs!$B$32,0)))*(1-IF(AND(ArtifactsInput!$M$27,Inputs!$B$4="Chapter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Skills!G20*IF(Skills!H20&gt;0,IF(Inputs!$B$38="pvp",MIN(Skills!I20,15),Skills!I20)/Skills!H20,1)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Skills!G21*IF(Skills!H21&gt;0,IF(Inputs!$B$38="pvp",MIN(Skills!I21,15),Skills!I21)/Skills!H21,1)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Skills!G22*IF(Skills!H22&gt;0,IF(Inputs!$B$38="pvp",MIN(Skills!I22,15),Skills!I22)/Skills!H22,1)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Skills!G23*IF(Skills!H23&gt;0,IF(Inputs!$B$38="pvp",MIN(Skills!I23,15),Skills!I23)/Skills!H23,1)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Skills!G24*IF(Skills!H24&gt;0,IF(Inputs!$B$38="pvp",MIN(Skills!I24,15),Skills!I24)/Skills!H24,1)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Skills!G25*IF(Skills!H25&gt;0,IF(Inputs!$B$38="pvp",MIN(Skills!I25,15),Skills!I25)/Skills!H25,1)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Skills!G26*IF(Skills!H26&gt;0,IF(Inputs!$B$38="pvp",MIN(Skills!I26,15),Skills!I26)/Skills!H26,1)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118,8,IF(Inputs!$B$3&gt;=110,7,5)))+((C1598=TRUE)*F1598*IF(AND(Inputs!$B$38&lt;&gt;"pvp",Inputs!$B$43&gt;0),(((R1598-1)*MIN((Skills!T15*(1+(Inputs!$B$34+(ArtifactsInput!$M$7-ArtifactsInput!$M$7)*CHOOSE(ArtifactsInput!$N$7+1,6,7.2,8.4,9.6,10.8,12))/100)),(1/Q1598))+MIN((Skills!T15*(1+(Inputs!$B$34+(ArtifactsInput!$M$7-ArtifactsInput!$M$7)*CHOOSE(ArtifactsInput!$N$7+1,6,7.2,8.4,9.6,10.8,12))/100)),MAX(0,Inputs!$B$43-((R1598-1)*(1/Q1598)))))/Inputs!$B$43),IF(Inputs!$B$38="pvp",MIN((Skills!T15*(1+(Inputs!$B$34+(ArtifactsInput!$M$7-ArtifactsInput!$M$7)*CHOOSE(ArtifactsInput!$N$7+1,6,7.2,8.4,9.6,10.8,12))/100)),15)/15,MIN(1,(Skills!T15*(1+(Inputs!$B$34+(ArtifactsInput!$M$7-ArtifactsInput!$M$7)*CHOOSE(ArtifactsInput!$N$7+1,6,7.2,8.4,9.6,10.8,12))/100))/(1/Q1598)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MIN((Skills!T19*(1+(Inputs!$B$34+(ArtifactsInput!$M$7-ArtifactsInput!$M$7)*CHOOSE(ArtifactsInput!$N$7+1,6,7.2,8.4,9.6,10.8,12))/100)),(1/Q1602))+MIN((Skills!T19*(1+(Inputs!$B$34+(ArtifactsInput!$M$7-ArtifactsInput!$M$7)*CHOOSE(ArtifactsInput!$N$7+1,6,7.2,8.4,9.6,10.8,12))/100)),MAX(0,Inputs!$B$43-((R1602-1)*(1/Q1602)))))/Inputs!$B$43),IF(Inputs!$B$38="pvp",MIN((Skills!T19*(1+(Inputs!$B$34+(ArtifactsInput!$M$7-ArtifactsInput!$M$7)*CHOOSE(ArtifactsInput!$N$7+1,6,7.2,8.4,9.6,10.8,12))/100)),15)/15,MIN(1,(Skills!T19*(1+(Inputs!$B$34+(ArtifactsInput!$M$7-ArtifactsInput!$M$7)*CHOOSE(ArtifactsInput!$N$7+1,6,7.2,8.4,9.6,10.8,12))/100))/(1/Q1602)))))</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MIN((Skills!T18*(1+(Inputs!$B$34+(ArtifactsInput!$M$7-ArtifactsInput!$M$7)*CHOOSE(ArtifactsInput!$N$7+1,6,7.2,8.4,9.6,10.8,12))/100)),(1/Q1601))+MIN((Skills!T18*(1+(Inputs!$B$34+(ArtifactsInput!$M$7-ArtifactsInput!$M$7)*CHOOSE(ArtifactsInput!$N$7+1,6,7.2,8.4,9.6,10.8,12))/100)),MAX(0,Inputs!$B$43-((R1601-1)*(1/Q1601)))))/Inputs!$B$43),IF(Inputs!$B$38="pvp",MIN((Skills!T18*(1+(Inputs!$B$34+(ArtifactsInput!$M$7-ArtifactsInput!$M$7)*CHOOSE(ArtifactsInput!$N$7+1,6,7.2,8.4,9.6,10.8,12))/100)),15)/15,MIN(1,(Skills!T18*(1+(Inputs!$B$34+(ArtifactsInput!$M$7-ArtifactsInput!$M$7)*CHOOSE(ArtifactsInput!$N$7+1,6,7.2,8.4,9.6,10.8,12))/100))/(1/Q1601)))))</f>
        <v/>
      </c>
    </row>
    <row r="1618">
      <c r="A1618" t="inlineStr">
        <is>
          <t>Global Final Damage Bonus % (Enrage + Combo Synergy)</t>
        </is>
      </c>
      <c r="B1618">
        <f>((C1600=TRUE)*F1600*IF(AND(Inputs!$B$38&lt;&gt;"pvp",Inputs!$B$43&gt;0),(((R1600-1)*MIN((Skills!T17*(1+(Inputs!$B$34+(ArtifactsInput!$M$7-ArtifactsInput!$M$7)*CHOOSE(ArtifactsInput!$N$7+1,6,7.2,8.4,9.6,10.8,12))/100)),(1/Q1600))+MIN((Skills!T17*(1+(Inputs!$B$34+(ArtifactsInput!$M$7-ArtifactsInput!$M$7)*CHOOSE(ArtifactsInput!$N$7+1,6,7.2,8.4,9.6,10.8,12))/100)),MAX(0,Inputs!$B$43-((R1600-1)*(1/Q1600)))))/Inputs!$B$43),IF(Inputs!$B$38="pvp",MIN((Skills!T17*(1+(Inputs!$B$34+(ArtifactsInput!$M$7-ArtifactsInput!$M$7)*CHOOSE(ArtifactsInput!$N$7+1,6,7.2,8.4,9.6,10.8,12))/100)),15)/15,MIN(1,(Skills!T17*(1+(Inputs!$B$34+(ArtifactsInput!$M$7-ArtifactsInput!$M$7)*CHOOSE(ArtifactsInput!$N$7+1,6,7.2,8.4,9.6,10.8,12))/100))/(1/Q1600)))))+((C1597=TRUE)*F1597*IF(Inputs!$B$3&gt;=118,8,IF(Inputs!$B$3&gt;=110,7,5)))+IF(Inputs!$B$3&gt;=98,5,0)</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Skills!G2*IF(Skills!H2&gt;0,IF(Inputs!$B$38="pvp",MIN(Skills!I2,15),Skills!I2)/Skills!H2,1)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Skills!G5*IF(Skills!H5&gt;0,IF(Inputs!$B$38="pvp",MIN(Skills!I5,15),Skills!I5)/Skills!H5,1)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IFERROR(1/(IF(Inputs!$B$38="pvp",15,MAX(0.1,Skills!D5-IF(TRUE=TRUE,Inputs!$B$32,0)))*(1-IF(AND(ArtifactsInput!$M$27,Inputs!$B$4="Chapter Hunt"),CHOOSE(ArtifactsInput!$N$27+1,20,24,28,32,36,40),0)/100)),0)</f>
        <v/>
      </c>
      <c r="R1630">
        <f>IF(AND(Inputs!$B$38&lt;&gt;"pvp",Inputs!$B$43&gt;0),IF(MAX(0,Inputs!$B$43-B1661)&lt;=0,0,(INT(MAX(0,Inputs!$B$43-B1661)/(IF(Inputs!$B$38="pvp",15,MAX(0.1,Skills!D5-IF(TRUE=TRUE,Inputs!$B$32,0)))*(1-IF(AND(ArtifactsInput!$M$27,Inputs!$B$4="Chapter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$20+0+Skills!P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TRUE=TRUE,Inputs!$B$32,0)))*(1-IF(AND(ArtifactsInput!$M$27,Inputs!$B$4="Chapter Hunt"),CHOOSE(ArtifactsInput!$N$27+1,20,24,28,32,36,40),0)/100)))))/Skills!H5,1)))/Inputs!$B$43),G1630*Q1630))*IF(Inputs!$B$38="pvp",1,(1+(Inputs!$B$21+Skills!Q5+(((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Skills!G6*IF(Skills!H6&gt;0,IF(Inputs!$B$38="pvp",MIN(Skills!I6,15),Skills!I6)/Skills!H6,1)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IFERROR(1/(IF(Inputs!$B$38="pvp",15,MAX(0.1,Skills!D6-IF(TRUE=TRUE,Inputs!$B$32,0)))*(1-IF(AND(ArtifactsInput!$M$27,Inputs!$B$4="Chapter Hunt"),CHOOSE(ArtifactsInput!$N$27+1,20,24,28,32,36,40),0)/100)),0)</f>
        <v/>
      </c>
      <c r="R1631">
        <f>IF(AND(Inputs!$B$38&lt;&gt;"pvp",Inputs!$B$43&gt;0),IF(MAX(0,Inputs!$B$43-B1661)&lt;=0,0,(INT(MAX(0,Inputs!$B$43-B1661)/(IF(Inputs!$B$38="pvp",15,MAX(0.1,Skills!D6-IF(TRUE=TRUE,Inputs!$B$32,0)))*(1-IF(AND(ArtifactsInput!$M$27,Inputs!$B$4="Chapter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$20+0+Skills!P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TRUE=TRUE,Inputs!$B$32,0)))*(1-IF(AND(ArtifactsInput!$M$27,Inputs!$B$4="Chapter Hunt"),CHOOSE(ArtifactsInput!$N$27+1,20,24,28,32,36,40),0)/100)))))/Skills!H6,1)))/Inputs!$B$43),G1631*Q1631))*IF(Inputs!$B$38="pvp",1,(1+(Inputs!$B$21+Skills!Q6+(((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Skills!G7*IF(Skills!H7&gt;0,IF(Inputs!$B$38="pvp",MIN(Skills!I7,15),Skills!I7)/Skills!H7,1)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IFERROR(1/(IF(Inputs!$B$38="pvp",15,MAX(0.1,Skills!D7-IF(TRUE=TRUE,Inputs!$B$32,0)))*(1-IF(AND(ArtifactsInput!$M$27,Inputs!$B$4="Chapter Hunt"),CHOOSE(ArtifactsInput!$N$27+1,20,24,28,32,36,40),0)/100)),0)</f>
        <v/>
      </c>
      <c r="R1632">
        <f>IF(AND(Inputs!$B$38&lt;&gt;"pvp",Inputs!$B$43&gt;0),IF(MAX(0,Inputs!$B$43-B1661)&lt;=0,0,(INT(MAX(0,Inputs!$B$43-B1661)/(IF(Inputs!$B$38="pvp",15,MAX(0.1,Skills!D7-IF(TRUE=TRUE,Inputs!$B$32,0)))*(1-IF(AND(ArtifactsInput!$M$27,Inputs!$B$4="Chapter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$20+0+Skills!P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TRUE=TRUE,Inputs!$B$32,0)))*(1-IF(AND(ArtifactsInput!$M$27,Inputs!$B$4="Chapter Hunt"),CHOOSE(ArtifactsInput!$N$27+1,20,24,28,32,36,40),0)/100)))))/Skills!H7,1)))/Inputs!$B$43),G1632*Q1632))*IF(Inputs!$B$38="pvp",1,(1+(Inputs!$B$21+Skills!Q7+(((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Skills!G8*IF(Skills!H8&gt;0,IF(Inputs!$B$38="pvp",MIN(Skills!I8,15),Skills!I8)/Skills!H8,1)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IFERROR(1/(IF(Inputs!$B$38="pvp",15,MAX(0.1,Skills!D8-IF(TRUE=TRUE,Inputs!$B$32,0)))*(1-IF(AND(ArtifactsInput!$M$27,Inputs!$B$4="Chapter Hunt"),CHOOSE(ArtifactsInput!$N$27+1,20,24,28,32,36,40),0)/100)),0)</f>
        <v/>
      </c>
      <c r="R1633">
        <f>IF(AND(Inputs!$B$38&lt;&gt;"pvp",Inputs!$B$43&gt;0),IF(MAX(0,Inputs!$B$43-B1661)&lt;=0,0,(INT(MAX(0,Inputs!$B$43-B1661)/(IF(Inputs!$B$38="pvp",15,MAX(0.1,Skills!D8-IF(TRUE=TRUE,Inputs!$B$32,0)))*(1-IF(AND(ArtifactsInput!$M$27,Inputs!$B$4="Chapter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$20+0+Skills!P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TRUE=TRUE,Inputs!$B$32,0)))*(1-IF(AND(ArtifactsInput!$M$27,Inputs!$B$4="Chapter Hunt"),CHOOSE(ArtifactsInput!$N$27+1,20,24,28,32,36,40),0)/100)))))/Skills!H8,1)))/Inputs!$B$43),G1633*Q1633))*IF(Inputs!$B$38="pvp",1,(1+(Inputs!$B$21+Skills!Q8+(((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Skills!G9*IF(Skills!H9&gt;0,IF(Inputs!$B$38="pvp",MIN(Skills!I9,15),Skills!I9)/Skills!H9,1)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138,MAX(0,IF(Inputs!$B$3&gt;=118,8,IF(Inputs!$B$3&gt;=110,7,5))-5)*50,0),0)/100)*(1+(IF(Skills!A9="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IFERROR(1/(IF(Inputs!$B$38="pvp",15,MAX(0.1,Skills!D9-IF(TRUE=TRUE,Inputs!$B$32,0)))*(1-IF(AND(ArtifactsInput!$M$27,Inputs!$B$4="Chapter Hunt"),CHOOSE(ArtifactsInput!$N$27+1,20,24,28,32,36,40),0)/100)),0)</f>
        <v/>
      </c>
      <c r="R1634">
        <f>IF(AND(Inputs!$B$38&lt;&gt;"pvp",Inputs!$B$43&gt;0),IF(MAX(0,Inputs!$B$43-B1661)&lt;=0,0,(INT(MAX(0,Inputs!$B$43-B1661)/(IF(Inputs!$B$38="pvp",15,MAX(0.1,Skills!D9-IF(TRUE=TRUE,Inputs!$B$32,0)))*(1-IF(AND(ArtifactsInput!$M$27,Inputs!$B$4="Chapter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TRUE=TRUE,Inputs!$B$32,0)))*(1-IF(AND(ArtifactsInput!$M$27,Inputs!$B$4="Chapter Hunt"),CHOOSE(ArtifactsInput!$N$27+1,20,24,28,32,36,40),0)/100)))))/Skills!H9,1)))/Inputs!$B$43),G1634*Q1634))*IF(Inputs!$B$38="pvp",1,1+(Inputs!$B$20+0+Skills!P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TRUE=TRUE,Inputs!$B$32,0)))*(1-IF(AND(ArtifactsInput!$M$27,Inputs!$B$4="Chapter Hunt"),CHOOSE(ArtifactsInput!$N$27+1,20,24,28,32,36,40),0)/100)))))/Skills!H9,1)))/Inputs!$B$43),G1634*Q1634))*IF(Inputs!$B$38="pvp",1,(1+(Inputs!$B$21+Skills!Q9+(((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Skills!G10*IF(Skills!H10&gt;0,IF(Inputs!$B$38="pvp",MIN(Skills!I10,15),Skills!I10)/Skills!H10,1)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138,MAX(0,IF(Inputs!$B$3&gt;=118,8,IF(Inputs!$B$3&gt;=110,7,5))-5)*50,0),0)/100)*(1+(IF(Skills!A10="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IFERROR(1/(IF(Inputs!$B$38="pvp",15,MAX(0.1,Skills!D10-IF(TRUE=TRUE,Inputs!$B$32,0)))*(1-IF(AND(ArtifactsInput!$M$27,Inputs!$B$4="Chapter Hunt"),CHOOSE(ArtifactsInput!$N$27+1,20,24,28,32,36,40),0)/100)),0)</f>
        <v/>
      </c>
      <c r="R1635">
        <f>IF(AND(Inputs!$B$38&lt;&gt;"pvp",Inputs!$B$43&gt;0),IF(MAX(0,Inputs!$B$43-B1661)&lt;=0,0,(INT(MAX(0,Inputs!$B$43-B1661)/(IF(Inputs!$B$38="pvp",15,MAX(0.1,Skills!D10-IF(TRUE=TRUE,Inputs!$B$32,0)))*(1-IF(AND(ArtifactsInput!$M$27,Inputs!$B$4="Chapter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$20+0+Skills!P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TRUE=TRUE,Inputs!$B$32,0)))*(1-IF(AND(ArtifactsInput!$M$27,Inputs!$B$4="Chapter Hunt"),CHOOSE(ArtifactsInput!$N$27+1,20,24,28,32,36,40),0)/100)))))/Skills!H10,1)))/Inputs!$B$43),G1635*Q1635))*IF(Inputs!$B$38="pvp",1,(1+(Inputs!$B$21+Skills!Q10+(((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Skills!G11*IF(Skills!H11&gt;0,IF(Inputs!$B$38="pvp",MIN(Skills!I11,15),Skills!I11)/Skills!H11,1)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(100-(100-((Inputs!$B$19+0)))*(1-IF(Inputs!$B$3&gt;=130,IF(Inputs!$B$3&gt;=118,8,IF(Inputs!$B$3&gt;=110,7,5)),0)/100)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138,MAX(0,IF(Inputs!$B$3&gt;=118,8,IF(Inputs!$B$3&gt;=110,7,5))-5)*50,0),0)/100)*(1+(IF(Skills!A11="RAGING_BLOW",Inputs!$B$17+((C1646=TRUE)*(F1646-Calc!F21))+((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IFERROR(1/(IF(Inputs!$B$38="pvp",15,MAX(0.1,Skills!D11-IF(TRUE=TRUE,Inputs!$B$32,0)))*(1-IF(AND(ArtifactsInput!$M$27,Inputs!$B$4="Chapter Hunt"),CHOOSE(ArtifactsInput!$N$27+1,20,24,28,32,36,40),0)/100)),0)</f>
        <v/>
      </c>
      <c r="R1636">
        <f>IF(AND(Inputs!$B$38&lt;&gt;"pvp",Inputs!$B$43&gt;0),IF(MAX(0,Inputs!$B$43-B1661)&lt;=0,0,(INT(MAX(0,Inputs!$B$43-B1661)/(IF(Inputs!$B$38="pvp",15,MAX(0.1,Skills!D11-IF(TRUE=TRUE,Inputs!$B$32,0)))*(1-IF(AND(ArtifactsInput!$M$27,Inputs!$B$4="Chapter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$20+0+Skills!P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Inputs!$B$38&lt;&gt;"pvp",Inputs!$B$43=0),1,IF(IF(Inputs!$B$38="pvp",15,Inputs!$B$43)-(B1661)&lt;=0,1,MAX(0,IF(Inputs!$B$38="pvp",15,Inputs!$B$43)-MAX(5,B1661))/(IF(Inputs!$B$38="pvp",15,Inputs!$B$43)-(B1661)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TRUE=TRUE,Inputs!$B$32,0)))*(1-IF(AND(ArtifactsInput!$M$27,Inputs!$B$4="Chapter Hunt"),CHOOSE(ArtifactsInput!$N$27+1,20,24,28,32,36,40),0)/100)))))/Skills!H11,1)))/Inputs!$B$43),G1636*Q1636))*IF(Inputs!$B$38="pvp",1,(1+(Inputs!$B$21+Skills!Q11+(((C1641=TRUE)*F1641*(Skills!J16/100)*IF(AND(Inputs!$B$38&lt;&gt;"pvp",Inputs!$B$43&gt;0),(((R1641-1)*MIN((Skills!T16*(1+(Inputs!$B$34+(ArtifactsInput!$M$7-ArtifactsInput!$M$7)*CHOOSE(ArtifactsInput!$N$7+1,6,7.2,8.4,9.6,10.8,12))/100)),(1/Q1641))+MIN((Skills!T16*(1+(Inputs!$B$34+(ArtifactsInput!$M$7-ArtifactsInput!$M$7)*CHOOSE(ArtifactsInput!$N$7+1,6,7.2,8.4,9.6,10.8,12))/100)),MAX(0,Inputs!$B$43-((R1641-1)*(1/Q1641)))))/Inputs!$B$43),IF(Inputs!$B$38="pvp",MIN((Skills!T16*(1+(Inputs!$B$34+(ArtifactsInput!$M$7-ArtifactsInput!$M$7)*CHOOSE(ArtifactsInput!$N$7+1,6,7.2,8.4,9.6,10.8,12))/100)),15)/15,MIN(1,(Skills!T16*(1+(Inputs!$B$34+(ArtifactsInput!$M$7-ArtifactsInput!$M$7)*CHOOSE(ArtifactsInput!$N$7+1,6,7.2,8.4,9.6,10.8,12))/100))/(1/Q1641)))))+((C1633=TRUE)*IF(Inputs!$B$3&gt;=126,10*MIN(1,15*Q1633),0))+((C1630=TRUE)*((100/10)*(INDEX(FactorTable!$B$2:$Y$301,MATCH(ROUND(MIN(300,MAX(1,MAX(0,(Inputs!$B$3-100)*3)+Inputs!$B$28+Inputs!$B$29)),0),FactorTable!$A$2:$A$301,0),22)/1000))*(1+IF(Inputs!$B$3&gt;=134,0.5,0))*MIN(1,10*(1+(Inputs!$B$34+(ArtifactsInput!$M$7-ArtifactsInput!$M$7)*CHOOSE(ArtifactsInput!$N$7+1,6,7.2,8.4,9.6,10.8,12))/100)*Q1630)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Skills!G13*IF(Skills!H13&gt;0,IF(Inputs!$B$38="pvp",MIN(Skills!I13,15),Skills!I13)/Skills!H13,1)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Skills!G14*IF(Skills!H14&gt;0,IF(Inputs!$B$38="pvp",MIN(Skills!I14,15),Skills!I14)/Skills!H14,1)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Skills!G15*IF(Skills!H15&gt;0,IF(Inputs!$B$38="pvp",MIN(Skills!I15,15),Skills!I15)/Skills!H15,1)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IFERROR(1/(IF(Inputs!$B$38="pvp",15,MAX(0.1,Skills!D15-IF(TRUE=TRUE,Inputs!$B$32,0)))*(1-IF(AND(ArtifactsInput!$M$27,Inputs!$B$4="Chapter Hunt"),CHOOSE(ArtifactsInput!$N$27+1,20,24,28,32,36,40),0)/100)),0)</f>
        <v/>
      </c>
      <c r="R1640">
        <f>IF(AND(Inputs!$B$38&lt;&gt;"pvp",Inputs!$B$43&gt;0),IF(Inputs!$B$43&lt;=0,0,(INT(Inputs!$B$43/(IF(Inputs!$B$38="pvp",15,MAX(0.1,Skills!D15-IF(TRUE=TRUE,Inputs!$B$32,0)))*(1-IF(AND(ArtifactsInput!$M$27,Inputs!$B$4="Chapter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Skills!G16*IF(Skills!H16&gt;0,IF(Inputs!$B$38="pvp",MIN(Skills!I16,15),Skills!I16)/Skills!H16,1)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IFERROR(1/(IF(Inputs!$B$38="pvp",15,MAX(0.1,Skills!D16-IF(TRUE=TRUE,Inputs!$B$32,0)))*(1-IF(AND(ArtifactsInput!$M$27,Inputs!$B$4="Chapter Hunt"),CHOOSE(ArtifactsInput!$N$27+1,20,24,28,32,36,40),0)/100)),0)</f>
        <v/>
      </c>
      <c r="R1641">
        <f>IF(AND(Inputs!$B$38&lt;&gt;"pvp",Inputs!$B$43&gt;0),IF(Inputs!$B$43&lt;=0,0,(INT(Inputs!$B$43/(IF(Inputs!$B$38="pvp",15,MAX(0.1,Skills!D16-IF(TRUE=TRUE,Inputs!$B$32,0)))*(1-IF(AND(ArtifactsInput!$M$27,Inputs!$B$4="Chapter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Skills!G17*IF(Skills!H17&gt;0,IF(Inputs!$B$38="pvp",MIN(Skills!I17,15),Skills!I17)/Skills!H17,1)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IFERROR(1/(IF(Inputs!$B$38="pvp",15,MAX(0.1,Skills!D17-IF(TRUE=TRUE,Inputs!$B$32,0)))*(1-IF(AND(ArtifactsInput!$M$27,Inputs!$B$4="Chapter Hunt"),CHOOSE(ArtifactsInput!$N$27+1,20,24,28,32,36,40),0)/100)),0)</f>
        <v/>
      </c>
      <c r="R1642">
        <f>IF(AND(Inputs!$B$38&lt;&gt;"pvp",Inputs!$B$43&gt;0),IF(Inputs!$B$43&lt;=0,0,(INT(Inputs!$B$43/(IF(Inputs!$B$38="pvp",15,MAX(0.1,Skills!D17-IF(TRUE=TRUE,Inputs!$B$32,0)))*(1-IF(AND(ArtifactsInput!$M$27,Inputs!$B$4="Chapter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Skills!G18*IF(Skills!H18&gt;0,IF(Inputs!$B$38="pvp",MIN(Skills!I18,15),Skills!I18)/Skills!H18,1)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IFERROR(1/(IF(Inputs!$B$38="pvp",15,MAX(0.1,Skills!D18-IF(TRUE=TRUE,Inputs!$B$32,0)))*(1-IF(AND(ArtifactsInput!$M$27,Inputs!$B$4="Chapter Hunt"),CHOOSE(ArtifactsInput!$N$27+1,20,24,28,32,36,40),0)/100)),0)</f>
        <v/>
      </c>
      <c r="R1643">
        <f>IF(AND(Inputs!$B$38&lt;&gt;"pvp",Inputs!$B$43&gt;0),IF(Inputs!$B$43&lt;=0,0,(INT(Inputs!$B$43/(IF(Inputs!$B$38="pvp",15,MAX(0.1,Skills!D18-IF(TRUE=TRUE,Inputs!$B$32,0)))*(1-IF(AND(ArtifactsInput!$M$27,Inputs!$B$4="Chapter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Skills!G19*IF(Skills!H19&gt;0,IF(Inputs!$B$38="pvp",MIN(Skills!I19,15),Skills!I19)/Skills!H19,1)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IFERROR(1/(IF(Inputs!$B$38="pvp",15,MAX(0.1,Skills!D19-IF(TRUE=TRUE,Inputs!$B$32,0)))*(1-IF(AND(ArtifactsInput!$M$27,Inputs!$B$4="Chapter Hunt"),CHOOSE(ArtifactsInput!$N$27+1,20,24,28,32,36,40),0)/100)),0)</f>
        <v/>
      </c>
      <c r="R1644">
        <f>IF(AND(Inputs!$B$38&lt;&gt;"pvp",Inputs!$B$43&gt;0),IF(Inputs!$B$43&lt;=0,0,(INT(Inputs!$B$43/(IF(Inputs!$B$38="pvp",15,MAX(0.1,Skills!D19-IF(TRUE=TRUE,Inputs!$B$32,0)))*(1-IF(AND(ArtifactsInput!$M$27,Inputs!$B$4="Chapter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Skills!G20*IF(Skills!H20&gt;0,IF(Inputs!$B$38="pvp",MIN(Skills!I20,15),Skills!I20)/Skills!H20,1)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Skills!G21*IF(Skills!H21&gt;0,IF(Inputs!$B$38="pvp",MIN(Skills!I21,15),Skills!I21)/Skills!H21,1)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Skills!G22*IF(Skills!H22&gt;0,IF(Inputs!$B$38="pvp",MIN(Skills!I22,15),Skills!I22)/Skills!H22,1)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Skills!G23*IF(Skills!H23&gt;0,IF(Inputs!$B$38="pvp",MIN(Skills!I23,15),Skills!I23)/Skills!H23,1)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Skills!G24*IF(Skills!H24&gt;0,IF(Inputs!$B$38="pvp",MIN(Skills!I24,15),Skills!I24)/Skills!H24,1)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Skills!G25*IF(Skills!H25&gt;0,IF(Inputs!$B$38="pvp",MIN(Skills!I25,15),Skills!I25)/Skills!H25,1)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Skills!G26*IF(Skills!H26&gt;0,IF(Inputs!$B$38="pvp",MIN(Skills!I26,15),Skills!I26)/Skills!H26,1)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118,8,IF(Inputs!$B$3&gt;=110,7,5)))+((C1640=TRUE)*F1640*IF(AND(Inputs!$B$38&lt;&gt;"pvp",Inputs!$B$43&gt;0),(((R1640-1)*MIN((Skills!T15*(1+(Inputs!$B$34+(ArtifactsInput!$M$7-ArtifactsInput!$M$7)*CHOOSE(ArtifactsInput!$N$7+1,6,7.2,8.4,9.6,10.8,12))/100)),(1/Q1640))+MIN((Skills!T15*(1+(Inputs!$B$34+(ArtifactsInput!$M$7-ArtifactsInput!$M$7)*CHOOSE(ArtifactsInput!$N$7+1,6,7.2,8.4,9.6,10.8,12))/100)),MAX(0,Inputs!$B$43-((R1640-1)*(1/Q1640)))))/Inputs!$B$43),IF(Inputs!$B$38="pvp",MIN((Skills!T15*(1+(Inputs!$B$34+(ArtifactsInput!$M$7-ArtifactsInput!$M$7)*CHOOSE(ArtifactsInput!$N$7+1,6,7.2,8.4,9.6,10.8,12))/100)),15)/15,MIN(1,(Skills!T15*(1+(Inputs!$B$34+(ArtifactsInput!$M$7-ArtifactsInput!$M$7)*CHOOSE(ArtifactsInput!$N$7+1,6,7.2,8.4,9.6,10.8,12))/100))/(1/Q1640)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MIN((Skills!T19*(1+(Inputs!$B$34+(ArtifactsInput!$M$7-ArtifactsInput!$M$7)*CHOOSE(ArtifactsInput!$N$7+1,6,7.2,8.4,9.6,10.8,12))/100)),(1/Q1644))+MIN((Skills!T19*(1+(Inputs!$B$34+(ArtifactsInput!$M$7-ArtifactsInput!$M$7)*CHOOSE(ArtifactsInput!$N$7+1,6,7.2,8.4,9.6,10.8,12))/100)),MAX(0,Inputs!$B$43-((R1644-1)*(1/Q1644)))))/Inputs!$B$43),IF(Inputs!$B$38="pvp",MIN((Skills!T19*(1+(Inputs!$B$34+(ArtifactsInput!$M$7-ArtifactsInput!$M$7)*CHOOSE(ArtifactsInput!$N$7+1,6,7.2,8.4,9.6,10.8,12))/100)),15)/15,MIN(1,(Skills!T19*(1+(Inputs!$B$34+(ArtifactsInput!$M$7-ArtifactsInput!$M$7)*CHOOSE(ArtifactsInput!$N$7+1,6,7.2,8.4,9.6,10.8,12))/100))/(1/Q1644)))))</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MIN((Skills!T18*(1+(Inputs!$B$34+(ArtifactsInput!$M$7-ArtifactsInput!$M$7)*CHOOSE(ArtifactsInput!$N$7+1,6,7.2,8.4,9.6,10.8,12))/100)),(1/Q1643))+MIN((Skills!T18*(1+(Inputs!$B$34+(ArtifactsInput!$M$7-ArtifactsInput!$M$7)*CHOOSE(ArtifactsInput!$N$7+1,6,7.2,8.4,9.6,10.8,12))/100)),MAX(0,Inputs!$B$43-((R1643-1)*(1/Q1643)))))/Inputs!$B$43),IF(Inputs!$B$38="pvp",MIN((Skills!T18*(1+(Inputs!$B$34+(ArtifactsInput!$M$7-ArtifactsInput!$M$7)*CHOOSE(ArtifactsInput!$N$7+1,6,7.2,8.4,9.6,10.8,12))/100)),15)/15,MIN(1,(Skills!T18*(1+(Inputs!$B$34+(ArtifactsInput!$M$7-ArtifactsInput!$M$7)*CHOOSE(ArtifactsInput!$N$7+1,6,7.2,8.4,9.6,10.8,12))/100))/(1/Q1643)))))</f>
        <v/>
      </c>
    </row>
    <row r="1660">
      <c r="A1660" t="inlineStr">
        <is>
          <t>Global Final Damage Bonus % (Enrage + Combo Synergy)</t>
        </is>
      </c>
      <c r="B1660">
        <f>((C1642=TRUE)*F1642*IF(AND(Inputs!$B$38&lt;&gt;"pvp",Inputs!$B$43&gt;0),(((R1642-1)*MIN((Skills!T17*(1+(Inputs!$B$34+(ArtifactsInput!$M$7-ArtifactsInput!$M$7)*CHOOSE(ArtifactsInput!$N$7+1,6,7.2,8.4,9.6,10.8,12))/100)),(1/Q1642))+MIN((Skills!T17*(1+(Inputs!$B$34+(ArtifactsInput!$M$7-ArtifactsInput!$M$7)*CHOOSE(ArtifactsInput!$N$7+1,6,7.2,8.4,9.6,10.8,12))/100)),MAX(0,Inputs!$B$43-((R1642-1)*(1/Q1642)))))/Inputs!$B$43),IF(Inputs!$B$38="pvp",MIN((Skills!T17*(1+(Inputs!$B$34+(ArtifactsInput!$M$7-ArtifactsInput!$M$7)*CHOOSE(ArtifactsInput!$N$7+1,6,7.2,8.4,9.6,10.8,12))/100)),15)/15,MIN(1,(Skills!T17*(1+(Inputs!$B$34+(ArtifactsInput!$M$7-ArtifactsInput!$M$7)*CHOOSE(ArtifactsInput!$N$7+1,6,7.2,8.4,9.6,10.8,12))/100))/(1/Q1642)))))+((C1639=TRUE)*F1639*IF(Inputs!$B$3&gt;=118,8,IF(Inputs!$B$3&gt;=110,7,5)))+IF(Inputs!$B$3&gt;=98,5,0)</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Skills!G2*IF(Skills!H2&gt;0,IF(Inputs!$B$38="pvp",MIN(Skills!I2,15),Skills!I2)/Skills!H2,1)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Skills!G5*IF(Skills!H5&gt;0,IF(Inputs!$B$38="pvp",MIN(Skills!I5,15),Skills!I5)/Skills!H5,1)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IFERROR(1/(IF(Inputs!$B$38="pvp",15,MAX(0.1,Skills!D5-IF(TRUE=TRUE,Inputs!$B$32,0)))*(1-IF(AND(ArtifactsInput!$M$27,Inputs!$B$4="Chapter Hunt"),CHOOSE(ArtifactsInput!$N$27+1,20,24,28,32,36,40),0)/100)),0)</f>
        <v/>
      </c>
      <c r="R1672">
        <f>IF(AND(Inputs!$B$38&lt;&gt;"pvp",Inputs!$B$43&gt;0),IF(MAX(0,Inputs!$B$43-B1703)&lt;=0,0,(INT(MAX(0,Inputs!$B$43-B1703)/(IF(Inputs!$B$38="pvp",15,MAX(0.1,Skills!D5-IF(TRUE=TRUE,Inputs!$B$32,0)))*(1-IF(AND(ArtifactsInput!$M$27,Inputs!$B$4="Chapter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$20+0+Skills!P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TRUE=TRUE,Inputs!$B$32,0)))*(1-IF(AND(ArtifactsInput!$M$27,Inputs!$B$4="Chapter Hunt"),CHOOSE(ArtifactsInput!$N$27+1,20,24,28,32,36,40),0)/100)))))/Skills!H5,1)))/Inputs!$B$43),G1672*Q1672))*IF(Inputs!$B$38="pvp",1,(1+(Inputs!$B$21+Skills!Q5+(((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Skills!G6*IF(Skills!H6&gt;0,IF(Inputs!$B$38="pvp",MIN(Skills!I6,15),Skills!I6)/Skills!H6,1)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IFERROR(1/(IF(Inputs!$B$38="pvp",15,MAX(0.1,Skills!D6-IF(TRUE=TRUE,Inputs!$B$32,0)))*(1-IF(AND(ArtifactsInput!$M$27,Inputs!$B$4="Chapter Hunt"),CHOOSE(ArtifactsInput!$N$27+1,20,24,28,32,36,40),0)/100)),0)</f>
        <v/>
      </c>
      <c r="R1673">
        <f>IF(AND(Inputs!$B$38&lt;&gt;"pvp",Inputs!$B$43&gt;0),IF(MAX(0,Inputs!$B$43-B1703)&lt;=0,0,(INT(MAX(0,Inputs!$B$43-B1703)/(IF(Inputs!$B$38="pvp",15,MAX(0.1,Skills!D6-IF(TRUE=TRUE,Inputs!$B$32,0)))*(1-IF(AND(ArtifactsInput!$M$27,Inputs!$B$4="Chapter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$20+0+Skills!P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TRUE=TRUE,Inputs!$B$32,0)))*(1-IF(AND(ArtifactsInput!$M$27,Inputs!$B$4="Chapter Hunt"),CHOOSE(ArtifactsInput!$N$27+1,20,24,28,32,36,40),0)/100)))))/Skills!H6,1)))/Inputs!$B$43),G1673*Q1673))*IF(Inputs!$B$38="pvp",1,(1+(Inputs!$B$21+Skills!Q6+(((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Skills!G7*IF(Skills!H7&gt;0,IF(Inputs!$B$38="pvp",MIN(Skills!I7,15),Skills!I7)/Skills!H7,1)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IFERROR(1/(IF(Inputs!$B$38="pvp",15,MAX(0.1,Skills!D7-IF(TRUE=TRUE,Inputs!$B$32,0)))*(1-IF(AND(ArtifactsInput!$M$27,Inputs!$B$4="Chapter Hunt"),CHOOSE(ArtifactsInput!$N$27+1,20,24,28,32,36,40),0)/100)),0)</f>
        <v/>
      </c>
      <c r="R1674">
        <f>IF(AND(Inputs!$B$38&lt;&gt;"pvp",Inputs!$B$43&gt;0),IF(MAX(0,Inputs!$B$43-B1703)&lt;=0,0,(INT(MAX(0,Inputs!$B$43-B1703)/(IF(Inputs!$B$38="pvp",15,MAX(0.1,Skills!D7-IF(TRUE=TRUE,Inputs!$B$32,0)))*(1-IF(AND(ArtifactsInput!$M$27,Inputs!$B$4="Chapter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$20+0+Skills!P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TRUE=TRUE,Inputs!$B$32,0)))*(1-IF(AND(ArtifactsInput!$M$27,Inputs!$B$4="Chapter Hunt"),CHOOSE(ArtifactsInput!$N$27+1,20,24,28,32,36,40),0)/100)))))/Skills!H7,1)))/Inputs!$B$43),G1674*Q1674))*IF(Inputs!$B$38="pvp",1,(1+(Inputs!$B$21+Skills!Q7+(((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Skills!G8*IF(Skills!H8&gt;0,IF(Inputs!$B$38="pvp",MIN(Skills!I8,15),Skills!I8)/Skills!H8,1)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IFERROR(1/(IF(Inputs!$B$38="pvp",15,MAX(0.1,Skills!D8-IF(TRUE=TRUE,Inputs!$B$32,0)))*(1-IF(AND(ArtifactsInput!$M$27,Inputs!$B$4="Chapter Hunt"),CHOOSE(ArtifactsInput!$N$27+1,20,24,28,32,36,40),0)/100)),0)</f>
        <v/>
      </c>
      <c r="R1675">
        <f>IF(AND(Inputs!$B$38&lt;&gt;"pvp",Inputs!$B$43&gt;0),IF(MAX(0,Inputs!$B$43-B1703)&lt;=0,0,(INT(MAX(0,Inputs!$B$43-B1703)/(IF(Inputs!$B$38="pvp",15,MAX(0.1,Skills!D8-IF(TRUE=TRUE,Inputs!$B$32,0)))*(1-IF(AND(ArtifactsInput!$M$27,Inputs!$B$4="Chapter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$20+0+Skills!P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TRUE=TRUE,Inputs!$B$32,0)))*(1-IF(AND(ArtifactsInput!$M$27,Inputs!$B$4="Chapter Hunt"),CHOOSE(ArtifactsInput!$N$27+1,20,24,28,32,36,40),0)/100)))))/Skills!H8,1)))/Inputs!$B$43),G1675*Q1675))*IF(Inputs!$B$38="pvp",1,(1+(Inputs!$B$21+Skills!Q8+(((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Skills!G9*IF(Skills!H9&gt;0,IF(Inputs!$B$38="pvp",MIN(Skills!I9,15),Skills!I9)/Skills!H9,1)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138,MAX(0,IF(Inputs!$B$3&gt;=118,8,IF(Inputs!$B$3&gt;=110,7,5))-5)*50,0),0)/100)*(1+(IF(Skills!A9="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IFERROR(1/(IF(Inputs!$B$38="pvp",15,MAX(0.1,Skills!D9-IF(TRUE=TRUE,Inputs!$B$32,0)))*(1-IF(AND(ArtifactsInput!$M$27,Inputs!$B$4="Chapter Hunt"),CHOOSE(ArtifactsInput!$N$27+1,20,24,28,32,36,40),0)/100)),0)</f>
        <v/>
      </c>
      <c r="R1676">
        <f>IF(AND(Inputs!$B$38&lt;&gt;"pvp",Inputs!$B$43&gt;0),IF(MAX(0,Inputs!$B$43-B1703)&lt;=0,0,(INT(MAX(0,Inputs!$B$43-B1703)/(IF(Inputs!$B$38="pvp",15,MAX(0.1,Skills!D9-IF(TRUE=TRUE,Inputs!$B$32,0)))*(1-IF(AND(ArtifactsInput!$M$27,Inputs!$B$4="Chapter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TRUE=TRUE,Inputs!$B$32,0)))*(1-IF(AND(ArtifactsInput!$M$27,Inputs!$B$4="Chapter Hunt"),CHOOSE(ArtifactsInput!$N$27+1,20,24,28,32,36,40),0)/100)))))/Skills!H9,1)))/Inputs!$B$43),G1676*Q1676))*IF(Inputs!$B$38="pvp",1,1+(Inputs!$B$20+0+Skills!P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TRUE=TRUE,Inputs!$B$32,0)))*(1-IF(AND(ArtifactsInput!$M$27,Inputs!$B$4="Chapter Hunt"),CHOOSE(ArtifactsInput!$N$27+1,20,24,28,32,36,40),0)/100)))))/Skills!H9,1)))/Inputs!$B$43),G1676*Q1676))*IF(Inputs!$B$38="pvp",1,(1+(Inputs!$B$21+Skills!Q9+(((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Skills!G10*IF(Skills!H10&gt;0,IF(Inputs!$B$38="pvp",MIN(Skills!I10,15),Skills!I10)/Skills!H10,1)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138,MAX(0,IF(Inputs!$B$3&gt;=118,8,IF(Inputs!$B$3&gt;=110,7,5))-5)*50,0),0)/100)*(1+(IF(Skills!A10="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IFERROR(1/(IF(Inputs!$B$38="pvp",15,MAX(0.1,Skills!D10-IF(TRUE=TRUE,Inputs!$B$32,0)))*(1-IF(AND(ArtifactsInput!$M$27,Inputs!$B$4="Chapter Hunt"),CHOOSE(ArtifactsInput!$N$27+1,20,24,28,32,36,40),0)/100)),0)</f>
        <v/>
      </c>
      <c r="R1677">
        <f>IF(AND(Inputs!$B$38&lt;&gt;"pvp",Inputs!$B$43&gt;0),IF(MAX(0,Inputs!$B$43-B1703)&lt;=0,0,(INT(MAX(0,Inputs!$B$43-B1703)/(IF(Inputs!$B$38="pvp",15,MAX(0.1,Skills!D10-IF(TRUE=TRUE,Inputs!$B$32,0)))*(1-IF(AND(ArtifactsInput!$M$27,Inputs!$B$4="Chapter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$20+0+Skills!P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TRUE=TRUE,Inputs!$B$32,0)))*(1-IF(AND(ArtifactsInput!$M$27,Inputs!$B$4="Chapter Hunt"),CHOOSE(ArtifactsInput!$N$27+1,20,24,28,32,36,40),0)/100)))))/Skills!H10,1)))/Inputs!$B$43),G1677*Q1677))*IF(Inputs!$B$38="pvp",1,(1+(Inputs!$B$21+Skills!Q10+(((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Skills!G11*IF(Skills!H11&gt;0,IF(Inputs!$B$38="pvp",MIN(Skills!I11,15),Skills!I11)/Skills!H11,1)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(100-(100-((Inputs!$B$19+0)))*(1-IF(Inputs!$B$3&gt;=130,IF(Inputs!$B$3&gt;=118,8,IF(Inputs!$B$3&gt;=110,7,5)),0)/100)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138,MAX(0,IF(Inputs!$B$3&gt;=118,8,IF(Inputs!$B$3&gt;=110,7,5))-5)*50,0),0)/100)*(1+(IF(Skills!A11="RAGING_BLOW",Inputs!$B$17+((C1688=TRUE)*(F1688-Calc!F21))+((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IFERROR(1/(IF(Inputs!$B$38="pvp",15,MAX(0.1,Skills!D11-IF(TRUE=TRUE,Inputs!$B$32,0)))*(1-IF(AND(ArtifactsInput!$M$27,Inputs!$B$4="Chapter Hunt"),CHOOSE(ArtifactsInput!$N$27+1,20,24,28,32,36,40),0)/100)),0)</f>
        <v/>
      </c>
      <c r="R1678">
        <f>IF(AND(Inputs!$B$38&lt;&gt;"pvp",Inputs!$B$43&gt;0),IF(MAX(0,Inputs!$B$43-B1703)&lt;=0,0,(INT(MAX(0,Inputs!$B$43-B1703)/(IF(Inputs!$B$38="pvp",15,MAX(0.1,Skills!D11-IF(TRUE=TRUE,Inputs!$B$32,0)))*(1-IF(AND(ArtifactsInput!$M$27,Inputs!$B$4="Chapter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$20+0+Skills!P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TRUE=TRUE,Inputs!$B$32,0)))*(1-IF(AND(ArtifactsInput!$M$27,Inputs!$B$4="Chapter Hunt"),CHOOSE(ArtifactsInput!$N$27+1,20,24,28,32,36,40),0)/100)))))/Skills!H11,1)))/Inputs!$B$43),G1678*Q1678))*IF(Inputs!$B$38="pvp",1,(1+(Inputs!$B$21+Skills!Q11+(((C1683=TRUE)*F1683*(Skills!J16/100)*IF(AND(Inputs!$B$38&lt;&gt;"pvp",Inputs!$B$43&gt;0),(((R1683-1)*MIN((Skills!T16*(1+(Inputs!$B$34+(ArtifactsInput!$M$7-ArtifactsInput!$M$7)*CHOOSE(ArtifactsInput!$N$7+1,6,7.2,8.4,9.6,10.8,12))/100)),(1/Q1683))+MIN((Skills!T16*(1+(Inputs!$B$34+(ArtifactsInput!$M$7-ArtifactsInput!$M$7)*CHOOSE(ArtifactsInput!$N$7+1,6,7.2,8.4,9.6,10.8,12))/100)),MAX(0,Inputs!$B$43-((R1683-1)*(1/Q1683)))))/Inputs!$B$43),IF(Inputs!$B$38="pvp",MIN((Skills!T16*(1+(Inputs!$B$34+(ArtifactsInput!$M$7-ArtifactsInput!$M$7)*CHOOSE(ArtifactsInput!$N$7+1,6,7.2,8.4,9.6,10.8,12))/100)),15)/15,MIN(1,(Skills!T16*(1+(Inputs!$B$34+(ArtifactsInput!$M$7-ArtifactsInput!$M$7)*CHOOSE(ArtifactsInput!$N$7+1,6,7.2,8.4,9.6,10.8,12))/100))/(1/Q1683)))))+((C1675=TRUE)*IF(Inputs!$B$3&gt;=126,10*MIN(1,15*Q1675),0))+((C1672=TRUE)*((100/10)*(INDEX(FactorTable!$B$2:$Y$301,MATCH(ROUND(MIN(300,MAX(1,MAX(0,(Inputs!$B$3-100)*3)+Inputs!$B$28+Inputs!$B$29)),0),FactorTable!$A$2:$A$301,0),22)/1000))*(1+IF(Inputs!$B$3&gt;=134,0.5,0))*MIN(1,10*(1+(Inputs!$B$34+(ArtifactsInput!$M$7-ArtifactsInput!$M$7)*CHOOSE(ArtifactsInput!$N$7+1,6,7.2,8.4,9.6,10.8,12))/100)*Q1672)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Skills!G13*IF(Skills!H13&gt;0,IF(Inputs!$B$38="pvp",MIN(Skills!I13,15),Skills!I13)/Skills!H13,1)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Skills!G14*IF(Skills!H14&gt;0,IF(Inputs!$B$38="pvp",MIN(Skills!I14,15),Skills!I14)/Skills!H14,1)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Skills!G15*IF(Skills!H15&gt;0,IF(Inputs!$B$38="pvp",MIN(Skills!I15,15),Skills!I15)/Skills!H15,1)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IFERROR(1/(IF(Inputs!$B$38="pvp",15,MAX(0.1,Skills!D15-IF(TRUE=TRUE,Inputs!$B$32,0)))*(1-IF(AND(ArtifactsInput!$M$27,Inputs!$B$4="Chapter Hunt"),CHOOSE(ArtifactsInput!$N$27+1,20,24,28,32,36,40),0)/100)),0)</f>
        <v/>
      </c>
      <c r="R1682">
        <f>IF(AND(Inputs!$B$38&lt;&gt;"pvp",Inputs!$B$43&gt;0),IF(Inputs!$B$43&lt;=0,0,(INT(Inputs!$B$43/(IF(Inputs!$B$38="pvp",15,MAX(0.1,Skills!D15-IF(TRUE=TRUE,Inputs!$B$32,0)))*(1-IF(AND(ArtifactsInput!$M$27,Inputs!$B$4="Chapter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Skills!G16*IF(Skills!H16&gt;0,IF(Inputs!$B$38="pvp",MIN(Skills!I16,15),Skills!I16)/Skills!H16,1)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IFERROR(1/(IF(Inputs!$B$38="pvp",15,MAX(0.1,Skills!D16-IF(TRUE=TRUE,Inputs!$B$32,0)))*(1-IF(AND(ArtifactsInput!$M$27,Inputs!$B$4="Chapter Hunt"),CHOOSE(ArtifactsInput!$N$27+1,20,24,28,32,36,40),0)/100)),0)</f>
        <v/>
      </c>
      <c r="R1683">
        <f>IF(AND(Inputs!$B$38&lt;&gt;"pvp",Inputs!$B$43&gt;0),IF(Inputs!$B$43&lt;=0,0,(INT(Inputs!$B$43/(IF(Inputs!$B$38="pvp",15,MAX(0.1,Skills!D16-IF(TRUE=TRUE,Inputs!$B$32,0)))*(1-IF(AND(ArtifactsInput!$M$27,Inputs!$B$4="Chapter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Skills!G17*IF(Skills!H17&gt;0,IF(Inputs!$B$38="pvp",MIN(Skills!I17,15),Skills!I17)/Skills!H17,1)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IFERROR(1/(IF(Inputs!$B$38="pvp",15,MAX(0.1,Skills!D17-IF(TRUE=TRUE,Inputs!$B$32,0)))*(1-IF(AND(ArtifactsInput!$M$27,Inputs!$B$4="Chapter Hunt"),CHOOSE(ArtifactsInput!$N$27+1,20,24,28,32,36,40),0)/100)),0)</f>
        <v/>
      </c>
      <c r="R1684">
        <f>IF(AND(Inputs!$B$38&lt;&gt;"pvp",Inputs!$B$43&gt;0),IF(Inputs!$B$43&lt;=0,0,(INT(Inputs!$B$43/(IF(Inputs!$B$38="pvp",15,MAX(0.1,Skills!D17-IF(TRUE=TRUE,Inputs!$B$32,0)))*(1-IF(AND(ArtifactsInput!$M$27,Inputs!$B$4="Chapter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Skills!G18*IF(Skills!H18&gt;0,IF(Inputs!$B$38="pvp",MIN(Skills!I18,15),Skills!I18)/Skills!H18,1)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IFERROR(1/(IF(Inputs!$B$38="pvp",15,MAX(0.1,Skills!D18-IF(TRUE=TRUE,Inputs!$B$32,0)))*(1-IF(AND(ArtifactsInput!$M$27,Inputs!$B$4="Chapter Hunt"),CHOOSE(ArtifactsInput!$N$27+1,20,24,28,32,36,40),0)/100)),0)</f>
        <v/>
      </c>
      <c r="R1685">
        <f>IF(AND(Inputs!$B$38&lt;&gt;"pvp",Inputs!$B$43&gt;0),IF(Inputs!$B$43&lt;=0,0,(INT(Inputs!$B$43/(IF(Inputs!$B$38="pvp",15,MAX(0.1,Skills!D18-IF(TRUE=TRUE,Inputs!$B$32,0)))*(1-IF(AND(ArtifactsInput!$M$27,Inputs!$B$4="Chapter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Skills!G19*IF(Skills!H19&gt;0,IF(Inputs!$B$38="pvp",MIN(Skills!I19,15),Skills!I19)/Skills!H19,1)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IFERROR(1/(IF(Inputs!$B$38="pvp",15,MAX(0.1,Skills!D19-IF(TRUE=TRUE,Inputs!$B$32,0)))*(1-IF(AND(ArtifactsInput!$M$27,Inputs!$B$4="Chapter Hunt"),CHOOSE(ArtifactsInput!$N$27+1,20,24,28,32,36,40),0)/100)),0)</f>
        <v/>
      </c>
      <c r="R1686">
        <f>IF(AND(Inputs!$B$38&lt;&gt;"pvp",Inputs!$B$43&gt;0),IF(Inputs!$B$43&lt;=0,0,(INT(Inputs!$B$43/(IF(Inputs!$B$38="pvp",15,MAX(0.1,Skills!D19-IF(TRUE=TRUE,Inputs!$B$32,0)))*(1-IF(AND(ArtifactsInput!$M$27,Inputs!$B$4="Chapter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Skills!G20*IF(Skills!H20&gt;0,IF(Inputs!$B$38="pvp",MIN(Skills!I20,15),Skills!I20)/Skills!H20,1)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Skills!G21*IF(Skills!H21&gt;0,IF(Inputs!$B$38="pvp",MIN(Skills!I21,15),Skills!I21)/Skills!H21,1)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Skills!G22*IF(Skills!H22&gt;0,IF(Inputs!$B$38="pvp",MIN(Skills!I22,15),Skills!I22)/Skills!H22,1)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Skills!G23*IF(Skills!H23&gt;0,IF(Inputs!$B$38="pvp",MIN(Skills!I23,15),Skills!I23)/Skills!H23,1)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Skills!G24*IF(Skills!H24&gt;0,IF(Inputs!$B$38="pvp",MIN(Skills!I24,15),Skills!I24)/Skills!H24,1)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Skills!G25*IF(Skills!H25&gt;0,IF(Inputs!$B$38="pvp",MIN(Skills!I25,15),Skills!I25)/Skills!H25,1)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Skills!G26*IF(Skills!H26&gt;0,IF(Inputs!$B$38="pvp",MIN(Skills!I26,15),Skills!I26)/Skills!H26,1)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118,8,IF(Inputs!$B$3&gt;=110,7,5)))+((C1682=TRUE)*F1682*IF(AND(Inputs!$B$38&lt;&gt;"pvp",Inputs!$B$43&gt;0),(((R1682-1)*MIN((Skills!T15*(1+(Inputs!$B$34+(ArtifactsInput!$M$7-ArtifactsInput!$M$7)*CHOOSE(ArtifactsInput!$N$7+1,6,7.2,8.4,9.6,10.8,12))/100)),(1/Q1682))+MIN((Skills!T15*(1+(Inputs!$B$34+(ArtifactsInput!$M$7-ArtifactsInput!$M$7)*CHOOSE(ArtifactsInput!$N$7+1,6,7.2,8.4,9.6,10.8,12))/100)),MAX(0,Inputs!$B$43-((R1682-1)*(1/Q1682)))))/Inputs!$B$43),IF(Inputs!$B$38="pvp",MIN((Skills!T15*(1+(Inputs!$B$34+(ArtifactsInput!$M$7-ArtifactsInput!$M$7)*CHOOSE(ArtifactsInput!$N$7+1,6,7.2,8.4,9.6,10.8,12))/100)),15)/15,MIN(1,(Skills!T15*(1+(Inputs!$B$34+(ArtifactsInput!$M$7-ArtifactsInput!$M$7)*CHOOSE(ArtifactsInput!$N$7+1,6,7.2,8.4,9.6,10.8,12))/100))/(1/Q1682)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MIN((Skills!T19*(1+(Inputs!$B$34+(ArtifactsInput!$M$7-ArtifactsInput!$M$7)*CHOOSE(ArtifactsInput!$N$7+1,6,7.2,8.4,9.6,10.8,12))/100)),(1/Q1686))+MIN((Skills!T19*(1+(Inputs!$B$34+(ArtifactsInput!$M$7-ArtifactsInput!$M$7)*CHOOSE(ArtifactsInput!$N$7+1,6,7.2,8.4,9.6,10.8,12))/100)),MAX(0,Inputs!$B$43-((R1686-1)*(1/Q1686)))))/Inputs!$B$43),IF(Inputs!$B$38="pvp",MIN((Skills!T19*(1+(Inputs!$B$34+(ArtifactsInput!$M$7-ArtifactsInput!$M$7)*CHOOSE(ArtifactsInput!$N$7+1,6,7.2,8.4,9.6,10.8,12))/100)),15)/15,MIN(1,(Skills!T19*(1+(Inputs!$B$34+(ArtifactsInput!$M$7-ArtifactsInput!$M$7)*CHOOSE(ArtifactsInput!$N$7+1,6,7.2,8.4,9.6,10.8,12))/100))/(1/Q1686)))))</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MIN((Skills!T18*(1+(Inputs!$B$34+(ArtifactsInput!$M$7-ArtifactsInput!$M$7)*CHOOSE(ArtifactsInput!$N$7+1,6,7.2,8.4,9.6,10.8,12))/100)),(1/Q1685))+MIN((Skills!T18*(1+(Inputs!$B$34+(ArtifactsInput!$M$7-ArtifactsInput!$M$7)*CHOOSE(ArtifactsInput!$N$7+1,6,7.2,8.4,9.6,10.8,12))/100)),MAX(0,Inputs!$B$43-((R1685-1)*(1/Q1685)))))/Inputs!$B$43),IF(Inputs!$B$38="pvp",MIN((Skills!T18*(1+(Inputs!$B$34+(ArtifactsInput!$M$7-ArtifactsInput!$M$7)*CHOOSE(ArtifactsInput!$N$7+1,6,7.2,8.4,9.6,10.8,12))/100)),15)/15,MIN(1,(Skills!T18*(1+(Inputs!$B$34+(ArtifactsInput!$M$7-ArtifactsInput!$M$7)*CHOOSE(ArtifactsInput!$N$7+1,6,7.2,8.4,9.6,10.8,12))/100))/(1/Q1685)))))</f>
        <v/>
      </c>
    </row>
    <row r="1702">
      <c r="A1702" t="inlineStr">
        <is>
          <t>Global Final Damage Bonus % (Enrage + Combo Synergy)</t>
        </is>
      </c>
      <c r="B1702">
        <f>((C1684=TRUE)*F1684*IF(AND(Inputs!$B$38&lt;&gt;"pvp",Inputs!$B$43&gt;0),(((R1684-1)*MIN((Skills!T17*(1+(Inputs!$B$34+(ArtifactsInput!$M$7-ArtifactsInput!$M$7)*CHOOSE(ArtifactsInput!$N$7+1,6,7.2,8.4,9.6,10.8,12))/100)),(1/Q1684))+MIN((Skills!T17*(1+(Inputs!$B$34+(ArtifactsInput!$M$7-ArtifactsInput!$M$7)*CHOOSE(ArtifactsInput!$N$7+1,6,7.2,8.4,9.6,10.8,12))/100)),MAX(0,Inputs!$B$43-((R1684-1)*(1/Q1684)))))/Inputs!$B$43),IF(Inputs!$B$38="pvp",MIN((Skills!T17*(1+(Inputs!$B$34+(ArtifactsInput!$M$7-ArtifactsInput!$M$7)*CHOOSE(ArtifactsInput!$N$7+1,6,7.2,8.4,9.6,10.8,12))/100)),15)/15,MIN(1,(Skills!T17*(1+(Inputs!$B$34+(ArtifactsInput!$M$7-ArtifactsInput!$M$7)*CHOOSE(ArtifactsInput!$N$7+1,6,7.2,8.4,9.6,10.8,12))/100))/(1/Q1684)))))+((C1681=TRUE)*F1681*IF(Inputs!$B$3&gt;=118,8,IF(Inputs!$B$3&gt;=110,7,5)))+IF(Inputs!$B$3&gt;=98,5,0)</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Skills!G2*IF(Skills!H2&gt;0,IF(Inputs!$B$38="pvp",MIN(Skills!I2,15),Skills!I2)/Skills!H2,1)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Skills!G5*IF(Skills!H5&gt;0,IF(Inputs!$B$38="pvp",MIN(Skills!I5,15),Skills!I5)/Skills!H5,1)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IFERROR(1/(IF(Inputs!$B$38="pvp",15,MAX(0.1,Skills!D5-IF(TRUE=TRUE,Inputs!$B$32,0)))*(1-IF(AND(ArtifactsInput!$M$27,Inputs!$B$4="Chapter Hunt"),CHOOSE(ArtifactsInput!$N$27+1,20,24,28,32,36,40),0)/100)),0)</f>
        <v/>
      </c>
      <c r="R1714">
        <f>IF(AND(Inputs!$B$38&lt;&gt;"pvp",Inputs!$B$43&gt;0),IF(MAX(0,Inputs!$B$43-B1745)&lt;=0,0,(INT(MAX(0,Inputs!$B$43-B1745)/(IF(Inputs!$B$38="pvp",15,MAX(0.1,Skills!D5-IF(TRUE=TRUE,Inputs!$B$32,0)))*(1-IF(AND(ArtifactsInput!$M$27,Inputs!$B$4="Chapter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$20+0+Skills!P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TRUE=TRUE,Inputs!$B$32,0)))*(1-IF(AND(ArtifactsInput!$M$27,Inputs!$B$4="Chapter Hunt"),CHOOSE(ArtifactsInput!$N$27+1,20,24,28,32,36,40),0)/100)))))/Skills!H5,1)))/Inputs!$B$43),G1714*Q1714))*IF(Inputs!$B$38="pvp",1,(1+(Inputs!$B$21+Skills!Q5+(((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Skills!G6*IF(Skills!H6&gt;0,IF(Inputs!$B$38="pvp",MIN(Skills!I6,15),Skills!I6)/Skills!H6,1)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IFERROR(1/(IF(Inputs!$B$38="pvp",15,MAX(0.1,Skills!D6-IF(TRUE=TRUE,Inputs!$B$32,0)))*(1-IF(AND(ArtifactsInput!$M$27,Inputs!$B$4="Chapter Hunt"),CHOOSE(ArtifactsInput!$N$27+1,20,24,28,32,36,40),0)/100)),0)</f>
        <v/>
      </c>
      <c r="R1715">
        <f>IF(AND(Inputs!$B$38&lt;&gt;"pvp",Inputs!$B$43&gt;0),IF(MAX(0,Inputs!$B$43-B1745)&lt;=0,0,(INT(MAX(0,Inputs!$B$43-B1745)/(IF(Inputs!$B$38="pvp",15,MAX(0.1,Skills!D6-IF(TRUE=TRUE,Inputs!$B$32,0)))*(1-IF(AND(ArtifactsInput!$M$27,Inputs!$B$4="Chapter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$20+0+Skills!P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TRUE=TRUE,Inputs!$B$32,0)))*(1-IF(AND(ArtifactsInput!$M$27,Inputs!$B$4="Chapter Hunt"),CHOOSE(ArtifactsInput!$N$27+1,20,24,28,32,36,40),0)/100)))))/Skills!H6,1)))/Inputs!$B$43),G1715*Q1715))*IF(Inputs!$B$38="pvp",1,(1+(Inputs!$B$21+Skills!Q6+(((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Skills!G7*IF(Skills!H7&gt;0,IF(Inputs!$B$38="pvp",MIN(Skills!I7,15),Skills!I7)/Skills!H7,1)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IFERROR(1/(IF(Inputs!$B$38="pvp",15,MAX(0.1,Skills!D7-IF(TRUE=TRUE,Inputs!$B$32,0)))*(1-IF(AND(ArtifactsInput!$M$27,Inputs!$B$4="Chapter Hunt"),CHOOSE(ArtifactsInput!$N$27+1,20,24,28,32,36,40),0)/100)),0)</f>
        <v/>
      </c>
      <c r="R1716">
        <f>IF(AND(Inputs!$B$38&lt;&gt;"pvp",Inputs!$B$43&gt;0),IF(MAX(0,Inputs!$B$43-B1745)&lt;=0,0,(INT(MAX(0,Inputs!$B$43-B1745)/(IF(Inputs!$B$38="pvp",15,MAX(0.1,Skills!D7-IF(TRUE=TRUE,Inputs!$B$32,0)))*(1-IF(AND(ArtifactsInput!$M$27,Inputs!$B$4="Chapter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$20+0+Skills!P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TRUE=TRUE,Inputs!$B$32,0)))*(1-IF(AND(ArtifactsInput!$M$27,Inputs!$B$4="Chapter Hunt"),CHOOSE(ArtifactsInput!$N$27+1,20,24,28,32,36,40),0)/100)))))/Skills!H7,1)))/Inputs!$B$43),G1716*Q1716))*IF(Inputs!$B$38="pvp",1,(1+(Inputs!$B$21+Skills!Q7+(((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Skills!G8*IF(Skills!H8&gt;0,IF(Inputs!$B$38="pvp",MIN(Skills!I8,15),Skills!I8)/Skills!H8,1)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IFERROR(1/(IF(Inputs!$B$38="pvp",15,MAX(0.1,Skills!D8-IF(TRUE=TRUE,Inputs!$B$32,0)))*(1-IF(AND(ArtifactsInput!$M$27,Inputs!$B$4="Chapter Hunt"),CHOOSE(ArtifactsInput!$N$27+1,20,24,28,32,36,40),0)/100)),0)</f>
        <v/>
      </c>
      <c r="R1717">
        <f>IF(AND(Inputs!$B$38&lt;&gt;"pvp",Inputs!$B$43&gt;0),IF(MAX(0,Inputs!$B$43-B1745)&lt;=0,0,(INT(MAX(0,Inputs!$B$43-B1745)/(IF(Inputs!$B$38="pvp",15,MAX(0.1,Skills!D8-IF(TRUE=TRUE,Inputs!$B$32,0)))*(1-IF(AND(ArtifactsInput!$M$27,Inputs!$B$4="Chapter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$20+0+Skills!P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TRUE=TRUE,Inputs!$B$32,0)))*(1-IF(AND(ArtifactsInput!$M$27,Inputs!$B$4="Chapter Hunt"),CHOOSE(ArtifactsInput!$N$27+1,20,24,28,32,36,40),0)/100)))))/Skills!H8,1)))/Inputs!$B$43),G1717*Q1717))*IF(Inputs!$B$38="pvp",1,(1+(Inputs!$B$21+Skills!Q8+(((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Skills!G9*IF(Skills!H9&gt;0,IF(Inputs!$B$38="pvp",MIN(Skills!I9,15),Skills!I9)/Skills!H9,1)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138,MAX(0,IF(Inputs!$B$3&gt;=118,8,IF(Inputs!$B$3&gt;=110,7,5))-5)*50,0),0)/100)*(1+(IF(Skills!A9="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IFERROR(1/(IF(Inputs!$B$38="pvp",15,MAX(0.1,Skills!D9-IF(TRUE=TRUE,Inputs!$B$32,0)))*(1-IF(AND(ArtifactsInput!$M$27,Inputs!$B$4="Chapter Hunt"),CHOOSE(ArtifactsInput!$N$27+1,20,24,28,32,36,40),0)/100)),0)</f>
        <v/>
      </c>
      <c r="R1718">
        <f>IF(AND(Inputs!$B$38&lt;&gt;"pvp",Inputs!$B$43&gt;0),IF(MAX(0,Inputs!$B$43-B1745)&lt;=0,0,(INT(MAX(0,Inputs!$B$43-B1745)/(IF(Inputs!$B$38="pvp",15,MAX(0.1,Skills!D9-IF(TRUE=TRUE,Inputs!$B$32,0)))*(1-IF(AND(ArtifactsInput!$M$27,Inputs!$B$4="Chapter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TRUE=TRUE,Inputs!$B$32,0)))*(1-IF(AND(ArtifactsInput!$M$27,Inputs!$B$4="Chapter Hunt"),CHOOSE(ArtifactsInput!$N$27+1,20,24,28,32,36,40),0)/100)))))/Skills!H9,1)))/Inputs!$B$43),G1718*Q1718))*IF(Inputs!$B$38="pvp",1,1+(Inputs!$B$20+0+Skills!P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TRUE=TRUE,Inputs!$B$32,0)))*(1-IF(AND(ArtifactsInput!$M$27,Inputs!$B$4="Chapter Hunt"),CHOOSE(ArtifactsInput!$N$27+1,20,24,28,32,36,40),0)/100)))))/Skills!H9,1)))/Inputs!$B$43),G1718*Q1718))*IF(Inputs!$B$38="pvp",1,(1+(Inputs!$B$21+Skills!Q9+(((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Skills!G10*IF(Skills!H10&gt;0,IF(Inputs!$B$38="pvp",MIN(Skills!I10,15),Skills!I10)/Skills!H10,1)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138,MAX(0,IF(Inputs!$B$3&gt;=118,8,IF(Inputs!$B$3&gt;=110,7,5))-5)*50,0),0)/100)*(1+(IF(Skills!A10="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IFERROR(1/(IF(Inputs!$B$38="pvp",15,MAX(0.1,Skills!D10-IF(TRUE=TRUE,Inputs!$B$32,0)))*(1-IF(AND(ArtifactsInput!$M$27,Inputs!$B$4="Chapter Hunt"),CHOOSE(ArtifactsInput!$N$27+1,20,24,28,32,36,40),0)/100)),0)</f>
        <v/>
      </c>
      <c r="R1719">
        <f>IF(AND(Inputs!$B$38&lt;&gt;"pvp",Inputs!$B$43&gt;0),IF(MAX(0,Inputs!$B$43-B1745)&lt;=0,0,(INT(MAX(0,Inputs!$B$43-B1745)/(IF(Inputs!$B$38="pvp",15,MAX(0.1,Skills!D10-IF(TRUE=TRUE,Inputs!$B$32,0)))*(1-IF(AND(ArtifactsInput!$M$27,Inputs!$B$4="Chapter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$20+0+Skills!P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TRUE=TRUE,Inputs!$B$32,0)))*(1-IF(AND(ArtifactsInput!$M$27,Inputs!$B$4="Chapter Hunt"),CHOOSE(ArtifactsInput!$N$27+1,20,24,28,32,36,40),0)/100)))))/Skills!H10,1)))/Inputs!$B$43),G1719*Q1719))*IF(Inputs!$B$38="pvp",1,(1+(Inputs!$B$21+Skills!Q10+(((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Skills!G11*IF(Skills!H11&gt;0,IF(Inputs!$B$38="pvp",MIN(Skills!I11,15),Skills!I11)/Skills!H11,1)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(100-(100-((Inputs!$B$19+0)))*(1-IF(Inputs!$B$3&gt;=130,IF(Inputs!$B$3&gt;=118,8,IF(Inputs!$B$3&gt;=110,7,5)),0)/100)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138,MAX(0,IF(Inputs!$B$3&gt;=118,8,IF(Inputs!$B$3&gt;=110,7,5))-5)*50,0),0)/100)*(1+(IF(Skills!A11="RAGING_BLOW",Inputs!$B$17+((C1730=TRUE)*(F1730-Calc!F21))+((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IFERROR(1/(IF(Inputs!$B$38="pvp",15,MAX(0.1,Skills!D11-IF(TRUE=TRUE,Inputs!$B$32,0)))*(1-IF(AND(ArtifactsInput!$M$27,Inputs!$B$4="Chapter Hunt"),CHOOSE(ArtifactsInput!$N$27+1,20,24,28,32,36,40),0)/100)),0)</f>
        <v/>
      </c>
      <c r="R1720">
        <f>IF(AND(Inputs!$B$38&lt;&gt;"pvp",Inputs!$B$43&gt;0),IF(MAX(0,Inputs!$B$43-B1745)&lt;=0,0,(INT(MAX(0,Inputs!$B$43-B1745)/(IF(Inputs!$B$38="pvp",15,MAX(0.1,Skills!D11-IF(TRUE=TRUE,Inputs!$B$32,0)))*(1-IF(AND(ArtifactsInput!$M$27,Inputs!$B$4="Chapter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$20+0+Skills!P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Inputs!$B$38&lt;&gt;"pvp",Inputs!$B$43=0),1,IF(IF(Inputs!$B$38="pvp",15,Inputs!$B$43)-(B1745)&lt;=0,1,MAX(0,IF(Inputs!$B$38="pvp",15,Inputs!$B$43)-MAX(5,B1745))/(IF(Inputs!$B$38="pvp",15,Inputs!$B$43)-(B1745)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TRUE=TRUE,Inputs!$B$32,0)))*(1-IF(AND(ArtifactsInput!$M$27,Inputs!$B$4="Chapter Hunt"),CHOOSE(ArtifactsInput!$N$27+1,20,24,28,32,36,40),0)/100)))))/Skills!H11,1)))/Inputs!$B$43),G1720*Q1720))*IF(Inputs!$B$38="pvp",1,(1+(Inputs!$B$21+Skills!Q11+(((C1725=TRUE)*F1725*(Skills!J16/100)*IF(AND(Inputs!$B$38&lt;&gt;"pvp",Inputs!$B$43&gt;0),(((R1725-1)*MIN((Skills!T16*(1+(Inputs!$B$34+(ArtifactsInput!$M$7-ArtifactsInput!$M$7)*CHOOSE(ArtifactsInput!$N$7+1,6,7.2,8.4,9.6,10.8,12))/100)),(1/Q1725))+MIN((Skills!T16*(1+(Inputs!$B$34+(ArtifactsInput!$M$7-ArtifactsInput!$M$7)*CHOOSE(ArtifactsInput!$N$7+1,6,7.2,8.4,9.6,10.8,12))/100)),MAX(0,Inputs!$B$43-((R1725-1)*(1/Q1725)))))/Inputs!$B$43),IF(Inputs!$B$38="pvp",MIN((Skills!T16*(1+(Inputs!$B$34+(ArtifactsInput!$M$7-ArtifactsInput!$M$7)*CHOOSE(ArtifactsInput!$N$7+1,6,7.2,8.4,9.6,10.8,12))/100)),15)/15,MIN(1,(Skills!T16*(1+(Inputs!$B$34+(ArtifactsInput!$M$7-ArtifactsInput!$M$7)*CHOOSE(ArtifactsInput!$N$7+1,6,7.2,8.4,9.6,10.8,12))/100))/(1/Q1725)))))+((C1717=TRUE)*IF(Inputs!$B$3&gt;=126,10*MIN(1,15*Q1717),0))+((C1714=TRUE)*((100/10)*(INDEX(FactorTable!$B$2:$Y$301,MATCH(ROUND(MIN(300,MAX(1,MAX(0,(Inputs!$B$3-100)*3)+Inputs!$B$28+Inputs!$B$29)),0),FactorTable!$A$2:$A$301,0),22)/1000))*(1+IF(Inputs!$B$3&gt;=134,0.5,0))*MIN(1,10*(1+(Inputs!$B$34+(ArtifactsInput!$M$7-ArtifactsInput!$M$7)*CHOOSE(ArtifactsInput!$N$7+1,6,7.2,8.4,9.6,10.8,12))/100)*Q1714)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Skills!G13*IF(Skills!H13&gt;0,IF(Inputs!$B$38="pvp",MIN(Skills!I13,15),Skills!I13)/Skills!H13,1)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Skills!G14*IF(Skills!H14&gt;0,IF(Inputs!$B$38="pvp",MIN(Skills!I14,15),Skills!I14)/Skills!H14,1)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Skills!G15*IF(Skills!H15&gt;0,IF(Inputs!$B$38="pvp",MIN(Skills!I15,15),Skills!I15)/Skills!H15,1)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IFERROR(1/(IF(Inputs!$B$38="pvp",15,MAX(0.1,Skills!D15-IF(TRUE=TRUE,Inputs!$B$32,0)))*(1-IF(AND(ArtifactsInput!$M$27,Inputs!$B$4="Chapter Hunt"),CHOOSE(ArtifactsInput!$N$27+1,20,24,28,32,36,40),0)/100)),0)</f>
        <v/>
      </c>
      <c r="R1724">
        <f>IF(AND(Inputs!$B$38&lt;&gt;"pvp",Inputs!$B$43&gt;0),IF(Inputs!$B$43&lt;=0,0,(INT(Inputs!$B$43/(IF(Inputs!$B$38="pvp",15,MAX(0.1,Skills!D15-IF(TRUE=TRUE,Inputs!$B$32,0)))*(1-IF(AND(ArtifactsInput!$M$27,Inputs!$B$4="Chapter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Skills!G16*IF(Skills!H16&gt;0,IF(Inputs!$B$38="pvp",MIN(Skills!I16,15),Skills!I16)/Skills!H16,1)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IFERROR(1/(IF(Inputs!$B$38="pvp",15,MAX(0.1,Skills!D16-IF(TRUE=TRUE,Inputs!$B$32,0)))*(1-IF(AND(ArtifactsInput!$M$27,Inputs!$B$4="Chapter Hunt"),CHOOSE(ArtifactsInput!$N$27+1,20,24,28,32,36,40),0)/100)),0)</f>
        <v/>
      </c>
      <c r="R1725">
        <f>IF(AND(Inputs!$B$38&lt;&gt;"pvp",Inputs!$B$43&gt;0),IF(Inputs!$B$43&lt;=0,0,(INT(Inputs!$B$43/(IF(Inputs!$B$38="pvp",15,MAX(0.1,Skills!D16-IF(TRUE=TRUE,Inputs!$B$32,0)))*(1-IF(AND(ArtifactsInput!$M$27,Inputs!$B$4="Chapter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Skills!G17*IF(Skills!H17&gt;0,IF(Inputs!$B$38="pvp",MIN(Skills!I17,15),Skills!I17)/Skills!H17,1)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IFERROR(1/(IF(Inputs!$B$38="pvp",15,MAX(0.1,Skills!D17-IF(TRUE=TRUE,Inputs!$B$32,0)))*(1-IF(AND(ArtifactsInput!$M$27,Inputs!$B$4="Chapter Hunt"),CHOOSE(ArtifactsInput!$N$27+1,20,24,28,32,36,40),0)/100)),0)</f>
        <v/>
      </c>
      <c r="R1726">
        <f>IF(AND(Inputs!$B$38&lt;&gt;"pvp",Inputs!$B$43&gt;0),IF(Inputs!$B$43&lt;=0,0,(INT(Inputs!$B$43/(IF(Inputs!$B$38="pvp",15,MAX(0.1,Skills!D17-IF(TRUE=TRUE,Inputs!$B$32,0)))*(1-IF(AND(ArtifactsInput!$M$27,Inputs!$B$4="Chapter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Skills!G18*IF(Skills!H18&gt;0,IF(Inputs!$B$38="pvp",MIN(Skills!I18,15),Skills!I18)/Skills!H18,1)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IFERROR(1/(IF(Inputs!$B$38="pvp",15,MAX(0.1,Skills!D18-IF(TRUE=TRUE,Inputs!$B$32,0)))*(1-IF(AND(ArtifactsInput!$M$27,Inputs!$B$4="Chapter Hunt"),CHOOSE(ArtifactsInput!$N$27+1,20,24,28,32,36,40),0)/100)),0)</f>
        <v/>
      </c>
      <c r="R1727">
        <f>IF(AND(Inputs!$B$38&lt;&gt;"pvp",Inputs!$B$43&gt;0),IF(Inputs!$B$43&lt;=0,0,(INT(Inputs!$B$43/(IF(Inputs!$B$38="pvp",15,MAX(0.1,Skills!D18-IF(TRUE=TRUE,Inputs!$B$32,0)))*(1-IF(AND(ArtifactsInput!$M$27,Inputs!$B$4="Chapter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Skills!G19*IF(Skills!H19&gt;0,IF(Inputs!$B$38="pvp",MIN(Skills!I19,15),Skills!I19)/Skills!H19,1)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IFERROR(1/(IF(Inputs!$B$38="pvp",15,MAX(0.1,Skills!D19-IF(TRUE=TRUE,Inputs!$B$32,0)))*(1-IF(AND(ArtifactsInput!$M$27,Inputs!$B$4="Chapter Hunt"),CHOOSE(ArtifactsInput!$N$27+1,20,24,28,32,36,40),0)/100)),0)</f>
        <v/>
      </c>
      <c r="R1728">
        <f>IF(AND(Inputs!$B$38&lt;&gt;"pvp",Inputs!$B$43&gt;0),IF(Inputs!$B$43&lt;=0,0,(INT(Inputs!$B$43/(IF(Inputs!$B$38="pvp",15,MAX(0.1,Skills!D19-IF(TRUE=TRUE,Inputs!$B$32,0)))*(1-IF(AND(ArtifactsInput!$M$27,Inputs!$B$4="Chapter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Skills!G20*IF(Skills!H20&gt;0,IF(Inputs!$B$38="pvp",MIN(Skills!I20,15),Skills!I20)/Skills!H20,1)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Skills!G21*IF(Skills!H21&gt;0,IF(Inputs!$B$38="pvp",MIN(Skills!I21,15),Skills!I21)/Skills!H21,1)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Skills!G22*IF(Skills!H22&gt;0,IF(Inputs!$B$38="pvp",MIN(Skills!I22,15),Skills!I22)/Skills!H22,1)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Skills!G23*IF(Skills!H23&gt;0,IF(Inputs!$B$38="pvp",MIN(Skills!I23,15),Skills!I23)/Skills!H23,1)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Skills!G24*IF(Skills!H24&gt;0,IF(Inputs!$B$38="pvp",MIN(Skills!I24,15),Skills!I24)/Skills!H24,1)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Skills!G25*IF(Skills!H25&gt;0,IF(Inputs!$B$38="pvp",MIN(Skills!I25,15),Skills!I25)/Skills!H25,1)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Skills!G26*IF(Skills!H26&gt;0,IF(Inputs!$B$38="pvp",MIN(Skills!I26,15),Skills!I26)/Skills!H26,1)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118,8,IF(Inputs!$B$3&gt;=110,7,5)))+((C1724=TRUE)*F1724*IF(AND(Inputs!$B$38&lt;&gt;"pvp",Inputs!$B$43&gt;0),(((R1724-1)*MIN((Skills!T15*(1+(Inputs!$B$34+(ArtifactsInput!$M$7-ArtifactsInput!$M$7)*CHOOSE(ArtifactsInput!$N$7+1,6,7.2,8.4,9.6,10.8,12))/100)),(1/Q1724))+MIN((Skills!T15*(1+(Inputs!$B$34+(ArtifactsInput!$M$7-ArtifactsInput!$M$7)*CHOOSE(ArtifactsInput!$N$7+1,6,7.2,8.4,9.6,10.8,12))/100)),MAX(0,Inputs!$B$43-((R1724-1)*(1/Q1724)))))/Inputs!$B$43),IF(Inputs!$B$38="pvp",MIN((Skills!T15*(1+(Inputs!$B$34+(ArtifactsInput!$M$7-ArtifactsInput!$M$7)*CHOOSE(ArtifactsInput!$N$7+1,6,7.2,8.4,9.6,10.8,12))/100)),15)/15,MIN(1,(Skills!T15*(1+(Inputs!$B$34+(ArtifactsInput!$M$7-ArtifactsInput!$M$7)*CHOOSE(ArtifactsInput!$N$7+1,6,7.2,8.4,9.6,10.8,12))/100))/(1/Q1724)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MIN((Skills!T19*(1+(Inputs!$B$34+(ArtifactsInput!$M$7-ArtifactsInput!$M$7)*CHOOSE(ArtifactsInput!$N$7+1,6,7.2,8.4,9.6,10.8,12))/100)),(1/Q1728))+MIN((Skills!T19*(1+(Inputs!$B$34+(ArtifactsInput!$M$7-ArtifactsInput!$M$7)*CHOOSE(ArtifactsInput!$N$7+1,6,7.2,8.4,9.6,10.8,12))/100)),MAX(0,Inputs!$B$43-((R1728-1)*(1/Q1728)))))/Inputs!$B$43),IF(Inputs!$B$38="pvp",MIN((Skills!T19*(1+(Inputs!$B$34+(ArtifactsInput!$M$7-ArtifactsInput!$M$7)*CHOOSE(ArtifactsInput!$N$7+1,6,7.2,8.4,9.6,10.8,12))/100)),15)/15,MIN(1,(Skills!T19*(1+(Inputs!$B$34+(ArtifactsInput!$M$7-ArtifactsInput!$M$7)*CHOOSE(ArtifactsInput!$N$7+1,6,7.2,8.4,9.6,10.8,12))/100))/(1/Q1728)))))</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MIN((Skills!T18*(1+(Inputs!$B$34+(ArtifactsInput!$M$7-ArtifactsInput!$M$7)*CHOOSE(ArtifactsInput!$N$7+1,6,7.2,8.4,9.6,10.8,12))/100)),(1/Q1727))+MIN((Skills!T18*(1+(Inputs!$B$34+(ArtifactsInput!$M$7-ArtifactsInput!$M$7)*CHOOSE(ArtifactsInput!$N$7+1,6,7.2,8.4,9.6,10.8,12))/100)),MAX(0,Inputs!$B$43-((R1727-1)*(1/Q1727)))))/Inputs!$B$43),IF(Inputs!$B$38="pvp",MIN((Skills!T18*(1+(Inputs!$B$34+(ArtifactsInput!$M$7-ArtifactsInput!$M$7)*CHOOSE(ArtifactsInput!$N$7+1,6,7.2,8.4,9.6,10.8,12))/100)),15)/15,MIN(1,(Skills!T18*(1+(Inputs!$B$34+(ArtifactsInput!$M$7-ArtifactsInput!$M$7)*CHOOSE(ArtifactsInput!$N$7+1,6,7.2,8.4,9.6,10.8,12))/100))/(1/Q1727)))))</f>
        <v/>
      </c>
    </row>
    <row r="1744">
      <c r="A1744" t="inlineStr">
        <is>
          <t>Global Final Damage Bonus % (Enrage + Combo Synergy)</t>
        </is>
      </c>
      <c r="B1744">
        <f>((C1726=TRUE)*F1726*IF(AND(Inputs!$B$38&lt;&gt;"pvp",Inputs!$B$43&gt;0),(((R1726-1)*MIN((Skills!T17*(1+(Inputs!$B$34+(ArtifactsInput!$M$7-ArtifactsInput!$M$7)*CHOOSE(ArtifactsInput!$N$7+1,6,7.2,8.4,9.6,10.8,12))/100)),(1/Q1726))+MIN((Skills!T17*(1+(Inputs!$B$34+(ArtifactsInput!$M$7-ArtifactsInput!$M$7)*CHOOSE(ArtifactsInput!$N$7+1,6,7.2,8.4,9.6,10.8,12))/100)),MAX(0,Inputs!$B$43-((R1726-1)*(1/Q1726)))))/Inputs!$B$43),IF(Inputs!$B$38="pvp",MIN((Skills!T17*(1+(Inputs!$B$34+(ArtifactsInput!$M$7-ArtifactsInput!$M$7)*CHOOSE(ArtifactsInput!$N$7+1,6,7.2,8.4,9.6,10.8,12))/100)),15)/15,MIN(1,(Skills!T17*(1+(Inputs!$B$34+(ArtifactsInput!$M$7-ArtifactsInput!$M$7)*CHOOSE(ArtifactsInput!$N$7+1,6,7.2,8.4,9.6,10.8,12))/100))/(1/Q1726)))))+((C1723=TRUE)*F1723*IF(Inputs!$B$3&gt;=118,8,IF(Inputs!$B$3&gt;=110,7,5)))+IF(Inputs!$B$3&gt;=98,5,0)</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Skills!G2*IF(Skills!H2&gt;0,IF(Inputs!$B$38="pvp",MIN(Skills!I2,15),Skills!I2)/Skills!H2,1)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Skills!G5*IF(Skills!H5&gt;0,IF(Inputs!$B$38="pvp",MIN(Skills!I5,15),Skills!I5)/Skills!H5,1)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IFERROR(1/(IF(Inputs!$B$38="pvp",15,MAX(0.1,Skills!D5-IF(TRUE=TRUE,Inputs!$B$32,0)))*(1-IF(AND(ArtifactsInput!$M$27,Inputs!$B$4="Chapter Hunt"),CHOOSE(ArtifactsInput!$N$27+1,20,24,28,32,36,40),0)/100)),0)</f>
        <v/>
      </c>
      <c r="R1756">
        <f>IF(AND(Inputs!$B$38&lt;&gt;"pvp",Inputs!$B$43&gt;0),IF(MAX(0,Inputs!$B$43-B1787)&lt;=0,0,(INT(MAX(0,Inputs!$B$43-B1787)/(IF(Inputs!$B$38="pvp",15,MAX(0.1,Skills!D5-IF(TRUE=TRUE,Inputs!$B$32,0)))*(1-IF(AND(ArtifactsInput!$M$27,Inputs!$B$4="Chapter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$20+0+Skills!P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TRUE=TRUE,Inputs!$B$32,0)))*(1-IF(AND(ArtifactsInput!$M$27,Inputs!$B$4="Chapter Hunt"),CHOOSE(ArtifactsInput!$N$27+1,20,24,28,32,36,40),0)/100)))))/Skills!H5,1)))/Inputs!$B$43),G1756*Q1756))*IF(Inputs!$B$38="pvp",1,(1+(Inputs!$B$21+Skills!Q5+(((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Skills!G6*IF(Skills!H6&gt;0,IF(Inputs!$B$38="pvp",MIN(Skills!I6,15),Skills!I6)/Skills!H6,1)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IFERROR(1/(IF(Inputs!$B$38="pvp",15,MAX(0.1,Skills!D6-IF(TRUE=TRUE,Inputs!$B$32,0)))*(1-IF(AND(ArtifactsInput!$M$27,Inputs!$B$4="Chapter Hunt"),CHOOSE(ArtifactsInput!$N$27+1,20,24,28,32,36,40),0)/100)),0)</f>
        <v/>
      </c>
      <c r="R1757">
        <f>IF(AND(Inputs!$B$38&lt;&gt;"pvp",Inputs!$B$43&gt;0),IF(MAX(0,Inputs!$B$43-B1787)&lt;=0,0,(INT(MAX(0,Inputs!$B$43-B1787)/(IF(Inputs!$B$38="pvp",15,MAX(0.1,Skills!D6-IF(TRUE=TRUE,Inputs!$B$32,0)))*(1-IF(AND(ArtifactsInput!$M$27,Inputs!$B$4="Chapter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$20+0+Skills!P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TRUE=TRUE,Inputs!$B$32,0)))*(1-IF(AND(ArtifactsInput!$M$27,Inputs!$B$4="Chapter Hunt"),CHOOSE(ArtifactsInput!$N$27+1,20,24,28,32,36,40),0)/100)))))/Skills!H6,1)))/Inputs!$B$43),G1757*Q1757))*IF(Inputs!$B$38="pvp",1,(1+(Inputs!$B$21+Skills!Q6+(((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Skills!G7*IF(Skills!H7&gt;0,IF(Inputs!$B$38="pvp",MIN(Skills!I7,15),Skills!I7)/Skills!H7,1)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IFERROR(1/(IF(Inputs!$B$38="pvp",15,MAX(0.1,Skills!D7-IF(TRUE=TRUE,Inputs!$B$32,0)))*(1-IF(AND(ArtifactsInput!$M$27,Inputs!$B$4="Chapter Hunt"),CHOOSE(ArtifactsInput!$N$27+1,20,24,28,32,36,40),0)/100)),0)</f>
        <v/>
      </c>
      <c r="R1758">
        <f>IF(AND(Inputs!$B$38&lt;&gt;"pvp",Inputs!$B$43&gt;0),IF(MAX(0,Inputs!$B$43-B1787)&lt;=0,0,(INT(MAX(0,Inputs!$B$43-B1787)/(IF(Inputs!$B$38="pvp",15,MAX(0.1,Skills!D7-IF(TRUE=TRUE,Inputs!$B$32,0)))*(1-IF(AND(ArtifactsInput!$M$27,Inputs!$B$4="Chapter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$20+0+Skills!P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TRUE=TRUE,Inputs!$B$32,0)))*(1-IF(AND(ArtifactsInput!$M$27,Inputs!$B$4="Chapter Hunt"),CHOOSE(ArtifactsInput!$N$27+1,20,24,28,32,36,40),0)/100)))))/Skills!H7,1)))/Inputs!$B$43),G1758*Q1758))*IF(Inputs!$B$38="pvp",1,(1+(Inputs!$B$21+Skills!Q7+(((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Skills!G8*IF(Skills!H8&gt;0,IF(Inputs!$B$38="pvp",MIN(Skills!I8,15),Skills!I8)/Skills!H8,1)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IFERROR(1/(IF(Inputs!$B$38="pvp",15,MAX(0.1,Skills!D8-IF(TRUE=TRUE,Inputs!$B$32,0)))*(1-IF(AND(ArtifactsInput!$M$27,Inputs!$B$4="Chapter Hunt"),CHOOSE(ArtifactsInput!$N$27+1,20,24,28,32,36,40),0)/100)),0)</f>
        <v/>
      </c>
      <c r="R1759">
        <f>IF(AND(Inputs!$B$38&lt;&gt;"pvp",Inputs!$B$43&gt;0),IF(MAX(0,Inputs!$B$43-B1787)&lt;=0,0,(INT(MAX(0,Inputs!$B$43-B1787)/(IF(Inputs!$B$38="pvp",15,MAX(0.1,Skills!D8-IF(TRUE=TRUE,Inputs!$B$32,0)))*(1-IF(AND(ArtifactsInput!$M$27,Inputs!$B$4="Chapter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$20+0+Skills!P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TRUE=TRUE,Inputs!$B$32,0)))*(1-IF(AND(ArtifactsInput!$M$27,Inputs!$B$4="Chapter Hunt"),CHOOSE(ArtifactsInput!$N$27+1,20,24,28,32,36,40),0)/100)))))/Skills!H8,1)))/Inputs!$B$43),G1759*Q1759))*IF(Inputs!$B$38="pvp",1,(1+(Inputs!$B$21+Skills!Q8+(((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Skills!G9*IF(Skills!H9&gt;0,IF(Inputs!$B$38="pvp",MIN(Skills!I9,15),Skills!I9)/Skills!H9,1)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138,MAX(0,IF(Inputs!$B$3&gt;=118,8,IF(Inputs!$B$3&gt;=110,7,5))-5)*50,0),0)/100)*(1+(IF(Skills!A9="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IFERROR(1/(IF(Inputs!$B$38="pvp",15,MAX(0.1,Skills!D9-IF(TRUE=TRUE,Inputs!$B$32,0)))*(1-IF(AND(ArtifactsInput!$M$27,Inputs!$B$4="Chapter Hunt"),CHOOSE(ArtifactsInput!$N$27+1,20,24,28,32,36,40),0)/100)),0)</f>
        <v/>
      </c>
      <c r="R1760">
        <f>IF(AND(Inputs!$B$38&lt;&gt;"pvp",Inputs!$B$43&gt;0),IF(MAX(0,Inputs!$B$43-B1787)&lt;=0,0,(INT(MAX(0,Inputs!$B$43-B1787)/(IF(Inputs!$B$38="pvp",15,MAX(0.1,Skills!D9-IF(TRUE=TRUE,Inputs!$B$32,0)))*(1-IF(AND(ArtifactsInput!$M$27,Inputs!$B$4="Chapter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TRUE=TRUE,Inputs!$B$32,0)))*(1-IF(AND(ArtifactsInput!$M$27,Inputs!$B$4="Chapter Hunt"),CHOOSE(ArtifactsInput!$N$27+1,20,24,28,32,36,40),0)/100)))))/Skills!H9,1)))/Inputs!$B$43),G1760*Q1760))*IF(Inputs!$B$38="pvp",1,1+(Inputs!$B$20+0+Skills!P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TRUE=TRUE,Inputs!$B$32,0)))*(1-IF(AND(ArtifactsInput!$M$27,Inputs!$B$4="Chapter Hunt"),CHOOSE(ArtifactsInput!$N$27+1,20,24,28,32,36,40),0)/100)))))/Skills!H9,1)))/Inputs!$B$43),G1760*Q1760))*IF(Inputs!$B$38="pvp",1,(1+(Inputs!$B$21+Skills!Q9+(((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Skills!G10*IF(Skills!H10&gt;0,IF(Inputs!$B$38="pvp",MIN(Skills!I10,15),Skills!I10)/Skills!H10,1)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138,MAX(0,IF(Inputs!$B$3&gt;=118,8,IF(Inputs!$B$3&gt;=110,7,5))-5)*50,0),0)/100)*(1+(IF(Skills!A10="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IFERROR(1/(IF(Inputs!$B$38="pvp",15,MAX(0.1,Skills!D10-IF(TRUE=TRUE,Inputs!$B$32,0)))*(1-IF(AND(ArtifactsInput!$M$27,Inputs!$B$4="Chapter Hunt"),CHOOSE(ArtifactsInput!$N$27+1,20,24,28,32,36,40),0)/100)),0)</f>
        <v/>
      </c>
      <c r="R1761">
        <f>IF(AND(Inputs!$B$38&lt;&gt;"pvp",Inputs!$B$43&gt;0),IF(MAX(0,Inputs!$B$43-B1787)&lt;=0,0,(INT(MAX(0,Inputs!$B$43-B1787)/(IF(Inputs!$B$38="pvp",15,MAX(0.1,Skills!D10-IF(TRUE=TRUE,Inputs!$B$32,0)))*(1-IF(AND(ArtifactsInput!$M$27,Inputs!$B$4="Chapter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$20+0+Skills!P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TRUE=TRUE,Inputs!$B$32,0)))*(1-IF(AND(ArtifactsInput!$M$27,Inputs!$B$4="Chapter Hunt"),CHOOSE(ArtifactsInput!$N$27+1,20,24,28,32,36,40),0)/100)))))/Skills!H10,1)))/Inputs!$B$43),G1761*Q1761))*IF(Inputs!$B$38="pvp",1,(1+(Inputs!$B$21+Skills!Q10+(((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Skills!G11*IF(Skills!H11&gt;0,IF(Inputs!$B$38="pvp",MIN(Skills!I11,15),Skills!I11)/Skills!H11,1)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(100-(100-((Inputs!$B$19+0)))*(1-IF(Inputs!$B$3&gt;=130,IF(Inputs!$B$3&gt;=118,8,IF(Inputs!$B$3&gt;=110,7,5)),0)/100)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138,MAX(0,IF(Inputs!$B$3&gt;=118,8,IF(Inputs!$B$3&gt;=110,7,5))-5)*50,0),0)/100)*(1+(IF(Skills!A11="RAGING_BLOW",Inputs!$B$17+((C1772=TRUE)*(F1772-Calc!F21))+((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IFERROR(1/(IF(Inputs!$B$38="pvp",15,MAX(0.1,Skills!D11-IF(TRUE=TRUE,Inputs!$B$32,0)))*(1-IF(AND(ArtifactsInput!$M$27,Inputs!$B$4="Chapter Hunt"),CHOOSE(ArtifactsInput!$N$27+1,20,24,28,32,36,40),0)/100)),0)</f>
        <v/>
      </c>
      <c r="R1762">
        <f>IF(AND(Inputs!$B$38&lt;&gt;"pvp",Inputs!$B$43&gt;0),IF(MAX(0,Inputs!$B$43-B1787)&lt;=0,0,(INT(MAX(0,Inputs!$B$43-B1787)/(IF(Inputs!$B$38="pvp",15,MAX(0.1,Skills!D11-IF(TRUE=TRUE,Inputs!$B$32,0)))*(1-IF(AND(ArtifactsInput!$M$27,Inputs!$B$4="Chapter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$20+0+Skills!P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Inputs!$B$38&lt;&gt;"pvp",Inputs!$B$43=0),1,IF(IF(Inputs!$B$38="pvp",15,Inputs!$B$43)-(B1787)&lt;=0,1,MAX(0,IF(Inputs!$B$38="pvp",15,Inputs!$B$43)-MAX(5,B1787))/(IF(Inputs!$B$38="pvp",15,Inputs!$B$43)-(B1787)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TRUE=TRUE,Inputs!$B$32,0)))*(1-IF(AND(ArtifactsInput!$M$27,Inputs!$B$4="Chapter Hunt"),CHOOSE(ArtifactsInput!$N$27+1,20,24,28,32,36,40),0)/100)))))/Skills!H11,1)))/Inputs!$B$43),G1762*Q1762))*IF(Inputs!$B$38="pvp",1,(1+(Inputs!$B$21+Skills!Q11+(((C1767=TRUE)*F1767*(Skills!J16/100)*IF(AND(Inputs!$B$38&lt;&gt;"pvp",Inputs!$B$43&gt;0),(((R1767-1)*MIN((Skills!T16*(1+(Inputs!$B$34+(ArtifactsInput!$M$7-ArtifactsInput!$M$7)*CHOOSE(ArtifactsInput!$N$7+1,6,7.2,8.4,9.6,10.8,12))/100)),(1/Q1767))+MIN((Skills!T16*(1+(Inputs!$B$34+(ArtifactsInput!$M$7-ArtifactsInput!$M$7)*CHOOSE(ArtifactsInput!$N$7+1,6,7.2,8.4,9.6,10.8,12))/100)),MAX(0,Inputs!$B$43-((R1767-1)*(1/Q1767)))))/Inputs!$B$43),IF(Inputs!$B$38="pvp",MIN((Skills!T16*(1+(Inputs!$B$34+(ArtifactsInput!$M$7-ArtifactsInput!$M$7)*CHOOSE(ArtifactsInput!$N$7+1,6,7.2,8.4,9.6,10.8,12))/100)),15)/15,MIN(1,(Skills!T16*(1+(Inputs!$B$34+(ArtifactsInput!$M$7-ArtifactsInput!$M$7)*CHOOSE(ArtifactsInput!$N$7+1,6,7.2,8.4,9.6,10.8,12))/100))/(1/Q1767)))))+((C1759=TRUE)*IF(Inputs!$B$3&gt;=126,10*MIN(1,15*Q1759),0))+((C1756=TRUE)*((100/10)*(INDEX(FactorTable!$B$2:$Y$301,MATCH(ROUND(MIN(300,MAX(1,MAX(0,(Inputs!$B$3-100)*3)+Inputs!$B$28+Inputs!$B$29)),0),FactorTable!$A$2:$A$301,0),22)/1000))*(1+IF(Inputs!$B$3&gt;=134,0.5,0))*MIN(1,10*(1+(Inputs!$B$34+(ArtifactsInput!$M$7-ArtifactsInput!$M$7)*CHOOSE(ArtifactsInput!$N$7+1,6,7.2,8.4,9.6,10.8,12))/100)*Q1756)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Skills!G13*IF(Skills!H13&gt;0,IF(Inputs!$B$38="pvp",MIN(Skills!I13,15),Skills!I13)/Skills!H13,1)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Skills!G14*IF(Skills!H14&gt;0,IF(Inputs!$B$38="pvp",MIN(Skills!I14,15),Skills!I14)/Skills!H14,1)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Skills!G15*IF(Skills!H15&gt;0,IF(Inputs!$B$38="pvp",MIN(Skills!I15,15),Skills!I15)/Skills!H15,1)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IFERROR(1/(IF(Inputs!$B$38="pvp",15,MAX(0.1,Skills!D15-IF(TRUE=TRUE,Inputs!$B$32,0)))*(1-IF(AND(ArtifactsInput!$M$27,Inputs!$B$4="Chapter Hunt"),CHOOSE(ArtifactsInput!$N$27+1,20,24,28,32,36,40),0)/100)),0)</f>
        <v/>
      </c>
      <c r="R1766">
        <f>IF(AND(Inputs!$B$38&lt;&gt;"pvp",Inputs!$B$43&gt;0),IF(Inputs!$B$43&lt;=0,0,(INT(Inputs!$B$43/(IF(Inputs!$B$38="pvp",15,MAX(0.1,Skills!D15-IF(TRUE=TRUE,Inputs!$B$32,0)))*(1-IF(AND(ArtifactsInput!$M$27,Inputs!$B$4="Chapter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Skills!G16*IF(Skills!H16&gt;0,IF(Inputs!$B$38="pvp",MIN(Skills!I16,15),Skills!I16)/Skills!H16,1)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Skills!G17*IF(Skills!H17&gt;0,IF(Inputs!$B$38="pvp",MIN(Skills!I17,15),Skills!I17)/Skills!H17,1)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IFERROR(1/(IF(Inputs!$B$38="pvp",15,MAX(0.1,Skills!D17-IF(TRUE=TRUE,Inputs!$B$32,0)))*(1-IF(AND(ArtifactsInput!$M$27,Inputs!$B$4="Chapter Hunt"),CHOOSE(ArtifactsInput!$N$27+1,20,24,28,32,36,40),0)/100)),0)</f>
        <v/>
      </c>
      <c r="R1768">
        <f>IF(AND(Inputs!$B$38&lt;&gt;"pvp",Inputs!$B$43&gt;0),IF(Inputs!$B$43&lt;=0,0,(INT(Inputs!$B$43/(IF(Inputs!$B$38="pvp",15,MAX(0.1,Skills!D17-IF(TRUE=TRUE,Inputs!$B$32,0)))*(1-IF(AND(ArtifactsInput!$M$27,Inputs!$B$4="Chapter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Skills!G18*IF(Skills!H18&gt;0,IF(Inputs!$B$38="pvp",MIN(Skills!I18,15),Skills!I18)/Skills!H18,1)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IFERROR(1/(IF(Inputs!$B$38="pvp",15,MAX(0.1,Skills!D18-IF(TRUE=TRUE,Inputs!$B$32,0)))*(1-IF(AND(ArtifactsInput!$M$27,Inputs!$B$4="Chapter Hunt"),CHOOSE(ArtifactsInput!$N$27+1,20,24,28,32,36,40),0)/100)),0)</f>
        <v/>
      </c>
      <c r="R1769">
        <f>IF(AND(Inputs!$B$38&lt;&gt;"pvp",Inputs!$B$43&gt;0),IF(Inputs!$B$43&lt;=0,0,(INT(Inputs!$B$43/(IF(Inputs!$B$38="pvp",15,MAX(0.1,Skills!D18-IF(TRUE=TRUE,Inputs!$B$32,0)))*(1-IF(AND(ArtifactsInput!$M$27,Inputs!$B$4="Chapter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Skills!G19*IF(Skills!H19&gt;0,IF(Inputs!$B$38="pvp",MIN(Skills!I19,15),Skills!I19)/Skills!H19,1)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IFERROR(1/(IF(Inputs!$B$38="pvp",15,MAX(0.1,Skills!D19-IF(TRUE=TRUE,Inputs!$B$32,0)))*(1-IF(AND(ArtifactsInput!$M$27,Inputs!$B$4="Chapter Hunt"),CHOOSE(ArtifactsInput!$N$27+1,20,24,28,32,36,40),0)/100)),0)</f>
        <v/>
      </c>
      <c r="R1770">
        <f>IF(AND(Inputs!$B$38&lt;&gt;"pvp",Inputs!$B$43&gt;0),IF(Inputs!$B$43&lt;=0,0,(INT(Inputs!$B$43/(IF(Inputs!$B$38="pvp",15,MAX(0.1,Skills!D19-IF(TRUE=TRUE,Inputs!$B$32,0)))*(1-IF(AND(ArtifactsInput!$M$27,Inputs!$B$4="Chapter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Skills!G20*IF(Skills!H20&gt;0,IF(Inputs!$B$38="pvp",MIN(Skills!I20,15),Skills!I20)/Skills!H20,1)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Skills!G21*IF(Skills!H21&gt;0,IF(Inputs!$B$38="pvp",MIN(Skills!I21,15),Skills!I21)/Skills!H21,1)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Skills!G22*IF(Skills!H22&gt;0,IF(Inputs!$B$38="pvp",MIN(Skills!I22,15),Skills!I22)/Skills!H22,1)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Skills!G23*IF(Skills!H23&gt;0,IF(Inputs!$B$38="pvp",MIN(Skills!I23,15),Skills!I23)/Skills!H23,1)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Skills!G24*IF(Skills!H24&gt;0,IF(Inputs!$B$38="pvp",MIN(Skills!I24,15),Skills!I24)/Skills!H24,1)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Skills!G25*IF(Skills!H25&gt;0,IF(Inputs!$B$38="pvp",MIN(Skills!I25,15),Skills!I25)/Skills!H25,1)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Skills!G26*IF(Skills!H26&gt;0,IF(Inputs!$B$38="pvp",MIN(Skills!I26,15),Skills!I26)/Skills!H26,1)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118,8,IF(Inputs!$B$3&gt;=110,7,5)))+((C1766=TRUE)*F1766*IF(AND(Inputs!$B$38&lt;&gt;"pvp",Inputs!$B$43&gt;0),(((R1766-1)*MIN((Skills!T15*(1+(Inputs!$B$34+(ArtifactsInput!$M$7-ArtifactsInput!$M$7)*CHOOSE(ArtifactsInput!$N$7+1,6,7.2,8.4,9.6,10.8,12))/100)),(1/Q1766))+MIN((Skills!T15*(1+(Inputs!$B$34+(ArtifactsInput!$M$7-ArtifactsInput!$M$7)*CHOOSE(ArtifactsInput!$N$7+1,6,7.2,8.4,9.6,10.8,12))/100)),MAX(0,Inputs!$B$43-((R1766-1)*(1/Q1766)))))/Inputs!$B$43),IF(Inputs!$B$38="pvp",MIN((Skills!T15*(1+(Inputs!$B$34+(ArtifactsInput!$M$7-ArtifactsInput!$M$7)*CHOOSE(ArtifactsInput!$N$7+1,6,7.2,8.4,9.6,10.8,12))/100)),15)/15,MIN(1,(Skills!T15*(1+(Inputs!$B$34+(ArtifactsInput!$M$7-ArtifactsInput!$M$7)*CHOOSE(ArtifactsInput!$N$7+1,6,7.2,8.4,9.6,10.8,12))/100))/(1/Q1766)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MIN((Skills!T19*(1+(Inputs!$B$34+(ArtifactsInput!$M$7-ArtifactsInput!$M$7)*CHOOSE(ArtifactsInput!$N$7+1,6,7.2,8.4,9.6,10.8,12))/100)),(1/Q1770))+MIN((Skills!T19*(1+(Inputs!$B$34+(ArtifactsInput!$M$7-ArtifactsInput!$M$7)*CHOOSE(ArtifactsInput!$N$7+1,6,7.2,8.4,9.6,10.8,12))/100)),MAX(0,Inputs!$B$43-((R1770-1)*(1/Q1770)))))/Inputs!$B$43),IF(Inputs!$B$38="pvp",MIN((Skills!T19*(1+(Inputs!$B$34+(ArtifactsInput!$M$7-ArtifactsInput!$M$7)*CHOOSE(ArtifactsInput!$N$7+1,6,7.2,8.4,9.6,10.8,12))/100)),15)/15,MIN(1,(Skills!T19*(1+(Inputs!$B$34+(ArtifactsInput!$M$7-ArtifactsInput!$M$7)*CHOOSE(ArtifactsInput!$N$7+1,6,7.2,8.4,9.6,10.8,12))/100))/(1/Q1770)))))</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MIN((Skills!T18*(1+(Inputs!$B$34+(ArtifactsInput!$M$7-ArtifactsInput!$M$7)*CHOOSE(ArtifactsInput!$N$7+1,6,7.2,8.4,9.6,10.8,12))/100)),(1/Q1769))+MIN((Skills!T18*(1+(Inputs!$B$34+(ArtifactsInput!$M$7-ArtifactsInput!$M$7)*CHOOSE(ArtifactsInput!$N$7+1,6,7.2,8.4,9.6,10.8,12))/100)),MAX(0,Inputs!$B$43-((R1769-1)*(1/Q1769)))))/Inputs!$B$43),IF(Inputs!$B$38="pvp",MIN((Skills!T18*(1+(Inputs!$B$34+(ArtifactsInput!$M$7-ArtifactsInput!$M$7)*CHOOSE(ArtifactsInput!$N$7+1,6,7.2,8.4,9.6,10.8,12))/100)),15)/15,MIN(1,(Skills!T18*(1+(Inputs!$B$34+(ArtifactsInput!$M$7-ArtifactsInput!$M$7)*CHOOSE(ArtifactsInput!$N$7+1,6,7.2,8.4,9.6,10.8,12))/100))/(1/Q1769)))))</f>
        <v/>
      </c>
    </row>
    <row r="1786">
      <c r="A1786" t="inlineStr">
        <is>
          <t>Global Final Damage Bonus % (Enrage + Combo Synergy)</t>
        </is>
      </c>
      <c r="B1786">
        <f>((C1768=TRUE)*F1768*IF(AND(Inputs!$B$38&lt;&gt;"pvp",Inputs!$B$43&gt;0),(((R1768-1)*MIN((Skills!T17*(1+(Inputs!$B$34+(ArtifactsInput!$M$7-ArtifactsInput!$M$7)*CHOOSE(ArtifactsInput!$N$7+1,6,7.2,8.4,9.6,10.8,12))/100)),(1/Q1768))+MIN((Skills!T17*(1+(Inputs!$B$34+(ArtifactsInput!$M$7-ArtifactsInput!$M$7)*CHOOSE(ArtifactsInput!$N$7+1,6,7.2,8.4,9.6,10.8,12))/100)),MAX(0,Inputs!$B$43-((R1768-1)*(1/Q1768)))))/Inputs!$B$43),IF(Inputs!$B$38="pvp",MIN((Skills!T17*(1+(Inputs!$B$34+(ArtifactsInput!$M$7-ArtifactsInput!$M$7)*CHOOSE(ArtifactsInput!$N$7+1,6,7.2,8.4,9.6,10.8,12))/100)),15)/15,MIN(1,(Skills!T17*(1+(Inputs!$B$34+(ArtifactsInput!$M$7-ArtifactsInput!$M$7)*CHOOSE(ArtifactsInput!$N$7+1,6,7.2,8.4,9.6,10.8,12))/100))/(1/Q1768)))))+((C1765=TRUE)*F1765*IF(Inputs!$B$3&gt;=118,8,IF(Inputs!$B$3&gt;=110,7,5)))+IF(Inputs!$B$3&gt;=98,5,0)</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Skills!G2*IF(Skills!H2&gt;0,IF(Inputs!$B$38="pvp",MIN(Skills!I2,15),Skills!I2)/Skills!H2,1)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Skills!G5*IF(Skills!H5&gt;0,IF(Inputs!$B$38="pvp",MIN(Skills!I5,15),Skills!I5)/Skills!H5,1)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IFERROR(1/(IF(Inputs!$B$38="pvp",15,MAX(0.1,Skills!D5-IF(TRUE=TRUE,Inputs!$B$32,0)))*(1-IF(AND(ArtifactsInput!$M$27,Inputs!$B$4="Chapter Hunt"),CHOOSE(ArtifactsInput!$N$27+1,20,24,28,32,36,40),0)/100)),0)</f>
        <v/>
      </c>
      <c r="R1798">
        <f>IF(AND(Inputs!$B$38&lt;&gt;"pvp",Inputs!$B$43&gt;0),IF(MAX(0,Inputs!$B$43-B1829)&lt;=0,0,(INT(MAX(0,Inputs!$B$43-B1829)/(IF(Inputs!$B$38="pvp",15,MAX(0.1,Skills!D5-IF(TRUE=TRUE,Inputs!$B$32,0)))*(1-IF(AND(ArtifactsInput!$M$27,Inputs!$B$4="Chapter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$20+0+Skills!P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TRUE=TRUE,Inputs!$B$32,0)))*(1-IF(AND(ArtifactsInput!$M$27,Inputs!$B$4="Chapter Hunt"),CHOOSE(ArtifactsInput!$N$27+1,20,24,28,32,36,40),0)/100)))))/Skills!H5,1)))/Inputs!$B$43),G1798*Q1798))*IF(Inputs!$B$38="pvp",1,(1+(Inputs!$B$21+Skills!Q5+(((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Skills!G6*IF(Skills!H6&gt;0,IF(Inputs!$B$38="pvp",MIN(Skills!I6,15),Skills!I6)/Skills!H6,1)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IFERROR(1/(IF(Inputs!$B$38="pvp",15,MAX(0.1,Skills!D6-IF(TRUE=TRUE,Inputs!$B$32,0)))*(1-IF(AND(ArtifactsInput!$M$27,Inputs!$B$4="Chapter Hunt"),CHOOSE(ArtifactsInput!$N$27+1,20,24,28,32,36,40),0)/100)),0)</f>
        <v/>
      </c>
      <c r="R1799">
        <f>IF(AND(Inputs!$B$38&lt;&gt;"pvp",Inputs!$B$43&gt;0),IF(MAX(0,Inputs!$B$43-B1829)&lt;=0,0,(INT(MAX(0,Inputs!$B$43-B1829)/(IF(Inputs!$B$38="pvp",15,MAX(0.1,Skills!D6-IF(TRUE=TRUE,Inputs!$B$32,0)))*(1-IF(AND(ArtifactsInput!$M$27,Inputs!$B$4="Chapter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$20+0+Skills!P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TRUE=TRUE,Inputs!$B$32,0)))*(1-IF(AND(ArtifactsInput!$M$27,Inputs!$B$4="Chapter Hunt"),CHOOSE(ArtifactsInput!$N$27+1,20,24,28,32,36,40),0)/100)))))/Skills!H6,1)))/Inputs!$B$43),G1799*Q1799))*IF(Inputs!$B$38="pvp",1,(1+(Inputs!$B$21+Skills!Q6+(((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Skills!G7*IF(Skills!H7&gt;0,IF(Inputs!$B$38="pvp",MIN(Skills!I7,15),Skills!I7)/Skills!H7,1)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IFERROR(1/(IF(Inputs!$B$38="pvp",15,MAX(0.1,Skills!D7-IF(TRUE=TRUE,Inputs!$B$32,0)))*(1-IF(AND(ArtifactsInput!$M$27,Inputs!$B$4="Chapter Hunt"),CHOOSE(ArtifactsInput!$N$27+1,20,24,28,32,36,40),0)/100)),0)</f>
        <v/>
      </c>
      <c r="R1800">
        <f>IF(AND(Inputs!$B$38&lt;&gt;"pvp",Inputs!$B$43&gt;0),IF(MAX(0,Inputs!$B$43-B1829)&lt;=0,0,(INT(MAX(0,Inputs!$B$43-B1829)/(IF(Inputs!$B$38="pvp",15,MAX(0.1,Skills!D7-IF(TRUE=TRUE,Inputs!$B$32,0)))*(1-IF(AND(ArtifactsInput!$M$27,Inputs!$B$4="Chapter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$20+0+Skills!P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TRUE=TRUE,Inputs!$B$32,0)))*(1-IF(AND(ArtifactsInput!$M$27,Inputs!$B$4="Chapter Hunt"),CHOOSE(ArtifactsInput!$N$27+1,20,24,28,32,36,40),0)/100)))))/Skills!H7,1)))/Inputs!$B$43),G1800*Q1800))*IF(Inputs!$B$38="pvp",1,(1+(Inputs!$B$21+Skills!Q7+(((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Skills!G8*IF(Skills!H8&gt;0,IF(Inputs!$B$38="pvp",MIN(Skills!I8,15),Skills!I8)/Skills!H8,1)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IFERROR(1/(IF(Inputs!$B$38="pvp",15,MAX(0.1,Skills!D8-IF(TRUE=TRUE,Inputs!$B$32,0)))*(1-IF(AND(ArtifactsInput!$M$27,Inputs!$B$4="Chapter Hunt"),CHOOSE(ArtifactsInput!$N$27+1,20,24,28,32,36,40),0)/100)),0)</f>
        <v/>
      </c>
      <c r="R1801">
        <f>IF(AND(Inputs!$B$38&lt;&gt;"pvp",Inputs!$B$43&gt;0),IF(MAX(0,Inputs!$B$43-B1829)&lt;=0,0,(INT(MAX(0,Inputs!$B$43-B1829)/(IF(Inputs!$B$38="pvp",15,MAX(0.1,Skills!D8-IF(TRUE=TRUE,Inputs!$B$32,0)))*(1-IF(AND(ArtifactsInput!$M$27,Inputs!$B$4="Chapter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$20+0+Skills!P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TRUE=TRUE,Inputs!$B$32,0)))*(1-IF(AND(ArtifactsInput!$M$27,Inputs!$B$4="Chapter Hunt"),CHOOSE(ArtifactsInput!$N$27+1,20,24,28,32,36,40),0)/100)))))/Skills!H8,1)))/Inputs!$B$43),G1801*Q1801))*IF(Inputs!$B$38="pvp",1,(1+(Inputs!$B$21+Skills!Q8+(((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Skills!G9*IF(Skills!H9&gt;0,IF(Inputs!$B$38="pvp",MIN(Skills!I9,15),Skills!I9)/Skills!H9,1)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138,MAX(0,IF(Inputs!$B$3&gt;=118,8,IF(Inputs!$B$3&gt;=110,7,5))-5)*50,0),0)/100)*(1+(IF(Skills!A9="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IFERROR(1/(IF(Inputs!$B$38="pvp",15,MAX(0.1,Skills!D9-IF(TRUE=TRUE,Inputs!$B$32,0)))*(1-IF(AND(ArtifactsInput!$M$27,Inputs!$B$4="Chapter Hunt"),CHOOSE(ArtifactsInput!$N$27+1,20,24,28,32,36,40),0)/100)),0)</f>
        <v/>
      </c>
      <c r="R1802">
        <f>IF(AND(Inputs!$B$38&lt;&gt;"pvp",Inputs!$B$43&gt;0),IF(MAX(0,Inputs!$B$43-B1829)&lt;=0,0,(INT(MAX(0,Inputs!$B$43-B1829)/(IF(Inputs!$B$38="pvp",15,MAX(0.1,Skills!D9-IF(TRUE=TRUE,Inputs!$B$32,0)))*(1-IF(AND(ArtifactsInput!$M$27,Inputs!$B$4="Chapter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TRUE=TRUE,Inputs!$B$32,0)))*(1-IF(AND(ArtifactsInput!$M$27,Inputs!$B$4="Chapter Hunt"),CHOOSE(ArtifactsInput!$N$27+1,20,24,28,32,36,40),0)/100)))))/Skills!H9,1)))/Inputs!$B$43),G1802*Q1802))*IF(Inputs!$B$38="pvp",1,1+(Inputs!$B$20+0+Skills!P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TRUE=TRUE,Inputs!$B$32,0)))*(1-IF(AND(ArtifactsInput!$M$27,Inputs!$B$4="Chapter Hunt"),CHOOSE(ArtifactsInput!$N$27+1,20,24,28,32,36,40),0)/100)))))/Skills!H9,1)))/Inputs!$B$43),G1802*Q1802))*IF(Inputs!$B$38="pvp",1,(1+(Inputs!$B$21+Skills!Q9+(((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Skills!G10*IF(Skills!H10&gt;0,IF(Inputs!$B$38="pvp",MIN(Skills!I10,15),Skills!I10)/Skills!H10,1)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138,MAX(0,IF(Inputs!$B$3&gt;=118,8,IF(Inputs!$B$3&gt;=110,7,5))-5)*50,0),0)/100)*(1+(IF(Skills!A10="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IFERROR(1/(IF(Inputs!$B$38="pvp",15,MAX(0.1,Skills!D10-IF(TRUE=TRUE,Inputs!$B$32,0)))*(1-IF(AND(ArtifactsInput!$M$27,Inputs!$B$4="Chapter Hunt"),CHOOSE(ArtifactsInput!$N$27+1,20,24,28,32,36,40),0)/100)),0)</f>
        <v/>
      </c>
      <c r="R1803">
        <f>IF(AND(Inputs!$B$38&lt;&gt;"pvp",Inputs!$B$43&gt;0),IF(MAX(0,Inputs!$B$43-B1829)&lt;=0,0,(INT(MAX(0,Inputs!$B$43-B1829)/(IF(Inputs!$B$38="pvp",15,MAX(0.1,Skills!D10-IF(TRUE=TRUE,Inputs!$B$32,0)))*(1-IF(AND(ArtifactsInput!$M$27,Inputs!$B$4="Chapter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$20+0+Skills!P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TRUE=TRUE,Inputs!$B$32,0)))*(1-IF(AND(ArtifactsInput!$M$27,Inputs!$B$4="Chapter Hunt"),CHOOSE(ArtifactsInput!$N$27+1,20,24,28,32,36,40),0)/100)))))/Skills!H10,1)))/Inputs!$B$43),G1803*Q1803))*IF(Inputs!$B$38="pvp",1,(1+(Inputs!$B$21+Skills!Q10+(((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Skills!G11*IF(Skills!H11&gt;0,IF(Inputs!$B$38="pvp",MIN(Skills!I11,15),Skills!I11)/Skills!H11,1)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(100-(100-((Inputs!$B$19+0)))*(1-IF(Inputs!$B$3&gt;=130,IF(Inputs!$B$3&gt;=118,8,IF(Inputs!$B$3&gt;=110,7,5)),0)/100)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138,MAX(0,IF(Inputs!$B$3&gt;=118,8,IF(Inputs!$B$3&gt;=110,7,5))-5)*50,0),0)/100)*(1+(IF(Skills!A11="RAGING_BLOW",Inputs!$B$17+((C1814=TRUE)*(F1814-Calc!F21))+((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IFERROR(1/(IF(Inputs!$B$38="pvp",15,MAX(0.1,Skills!D11-IF(TRUE=TRUE,Inputs!$B$32,0)))*(1-IF(AND(ArtifactsInput!$M$27,Inputs!$B$4="Chapter Hunt"),CHOOSE(ArtifactsInput!$N$27+1,20,24,28,32,36,40),0)/100)),0)</f>
        <v/>
      </c>
      <c r="R1804">
        <f>IF(AND(Inputs!$B$38&lt;&gt;"pvp",Inputs!$B$43&gt;0),IF(MAX(0,Inputs!$B$43-B1829)&lt;=0,0,(INT(MAX(0,Inputs!$B$43-B1829)/(IF(Inputs!$B$38="pvp",15,MAX(0.1,Skills!D11-IF(TRUE=TRUE,Inputs!$B$32,0)))*(1-IF(AND(ArtifactsInput!$M$27,Inputs!$B$4="Chapter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$20+0+Skills!P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Inputs!$B$38&lt;&gt;"pvp",Inputs!$B$43=0),1,IF(IF(Inputs!$B$38="pvp",15,Inputs!$B$43)-(B1829)&lt;=0,1,MAX(0,IF(Inputs!$B$38="pvp",15,Inputs!$B$43)-MAX(5,B1829))/(IF(Inputs!$B$38="pvp",15,Inputs!$B$43)-(B1829)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TRUE=TRUE,Inputs!$B$32,0)))*(1-IF(AND(ArtifactsInput!$M$27,Inputs!$B$4="Chapter Hunt"),CHOOSE(ArtifactsInput!$N$27+1,20,24,28,32,36,40),0)/100)))))/Skills!H11,1)))/Inputs!$B$43),G1804*Q1804))*IF(Inputs!$B$38="pvp",1,(1+(Inputs!$B$21+Skills!Q11+(((C1809=TRUE)*F1809*(Skills!J16/100)*IF(AND(Inputs!$B$38&lt;&gt;"pvp",Inputs!$B$43&gt;0),(((R1809-1)*MIN((Skills!T16*(1+(Inputs!$B$34+(ArtifactsInput!$M$7-ArtifactsInput!$M$7)*CHOOSE(ArtifactsInput!$N$7+1,6,7.2,8.4,9.6,10.8,12))/100)),(1/Q1809))+MIN((Skills!T16*(1+(Inputs!$B$34+(ArtifactsInput!$M$7-ArtifactsInput!$M$7)*CHOOSE(ArtifactsInput!$N$7+1,6,7.2,8.4,9.6,10.8,12))/100)),MAX(0,Inputs!$B$43-((R1809-1)*(1/Q1809)))))/Inputs!$B$43),IF(Inputs!$B$38="pvp",MIN((Skills!T16*(1+(Inputs!$B$34+(ArtifactsInput!$M$7-ArtifactsInput!$M$7)*CHOOSE(ArtifactsInput!$N$7+1,6,7.2,8.4,9.6,10.8,12))/100)),15)/15,MIN(1,(Skills!T16*(1+(Inputs!$B$34+(ArtifactsInput!$M$7-ArtifactsInput!$M$7)*CHOOSE(ArtifactsInput!$N$7+1,6,7.2,8.4,9.6,10.8,12))/100))/(1/Q1809)))))+((C1801=TRUE)*IF(Inputs!$B$3&gt;=126,10*MIN(1,15*Q1801),0))+((C1798=TRUE)*((100/10)*(INDEX(FactorTable!$B$2:$Y$301,MATCH(ROUND(MIN(300,MAX(1,MAX(0,(Inputs!$B$3-100)*3)+Inputs!$B$28+Inputs!$B$29)),0),FactorTable!$A$2:$A$301,0),22)/1000))*(1+IF(Inputs!$B$3&gt;=134,0.5,0))*MIN(1,10*(1+(Inputs!$B$34+(ArtifactsInput!$M$7-ArtifactsInput!$M$7)*CHOOSE(ArtifactsInput!$N$7+1,6,7.2,8.4,9.6,10.8,12))/100)*Q1798)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Skills!G13*IF(Skills!H13&gt;0,IF(Inputs!$B$38="pvp",MIN(Skills!I13,15),Skills!I13)/Skills!H13,1)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Skills!G14*IF(Skills!H14&gt;0,IF(Inputs!$B$38="pvp",MIN(Skills!I14,15),Skills!I14)/Skills!H14,1)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Skills!G15*IF(Skills!H15&gt;0,IF(Inputs!$B$38="pvp",MIN(Skills!I15,15),Skills!I15)/Skills!H15,1)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IFERROR(1/(IF(Inputs!$B$38="pvp",15,MAX(0.1,Skills!D15-IF(TRUE=TRUE,Inputs!$B$32,0)))*(1-IF(AND(ArtifactsInput!$M$27,Inputs!$B$4="Chapter Hunt"),CHOOSE(ArtifactsInput!$N$27+1,20,24,28,32,36,40),0)/100)),0)</f>
        <v/>
      </c>
      <c r="R1808">
        <f>IF(AND(Inputs!$B$38&lt;&gt;"pvp",Inputs!$B$43&gt;0),IF(Inputs!$B$43&lt;=0,0,(INT(Inputs!$B$43/(IF(Inputs!$B$38="pvp",15,MAX(0.1,Skills!D15-IF(TRUE=TRUE,Inputs!$B$32,0)))*(1-IF(AND(ArtifactsInput!$M$27,Inputs!$B$4="Chapter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Skills!G16*IF(Skills!H16&gt;0,IF(Inputs!$B$38="pvp",MIN(Skills!I16,15),Skills!I16)/Skills!H16,1)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IFERROR(1/(IF(Inputs!$B$38="pvp",15,MAX(0.1,Skills!D16-IF(TRUE=TRUE,Inputs!$B$32,0)))*(1-IF(AND(ArtifactsInput!$M$27,Inputs!$B$4="Chapter Hunt"),CHOOSE(ArtifactsInput!$N$27+1,20,24,28,32,36,40),0)/100)),0)</f>
        <v/>
      </c>
      <c r="R1809">
        <f>IF(AND(Inputs!$B$38&lt;&gt;"pvp",Inputs!$B$43&gt;0),IF(Inputs!$B$43&lt;=0,0,(INT(Inputs!$B$43/(IF(Inputs!$B$38="pvp",15,MAX(0.1,Skills!D16-IF(TRUE=TRUE,Inputs!$B$32,0)))*(1-IF(AND(ArtifactsInput!$M$27,Inputs!$B$4="Chapter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Skills!G17*IF(Skills!H17&gt;0,IF(Inputs!$B$38="pvp",MIN(Skills!I17,15),Skills!I17)/Skills!H17,1)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IFERROR(1/(IF(Inputs!$B$38="pvp",15,MAX(0.1,Skills!D17-IF(TRUE=TRUE,Inputs!$B$32,0)))*(1-IF(AND(ArtifactsInput!$M$27,Inputs!$B$4="Chapter Hunt"),CHOOSE(ArtifactsInput!$N$27+1,20,24,28,32,36,40),0)/100)),0)</f>
        <v/>
      </c>
      <c r="R1810">
        <f>IF(AND(Inputs!$B$38&lt;&gt;"pvp",Inputs!$B$43&gt;0),IF(Inputs!$B$43&lt;=0,0,(INT(Inputs!$B$43/(IF(Inputs!$B$38="pvp",15,MAX(0.1,Skills!D17-IF(TRUE=TRUE,Inputs!$B$32,0)))*(1-IF(AND(ArtifactsInput!$M$27,Inputs!$B$4="Chapter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Skills!G18*IF(Skills!H18&gt;0,IF(Inputs!$B$38="pvp",MIN(Skills!I18,15),Skills!I18)/Skills!H18,1)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IFERROR(1/(IF(Inputs!$B$38="pvp",15,MAX(0.1,Skills!D18-IF(TRUE=TRUE,Inputs!$B$32,0)))*(1-IF(AND(ArtifactsInput!$M$27,Inputs!$B$4="Chapter Hunt"),CHOOSE(ArtifactsInput!$N$27+1,20,24,28,32,36,40),0)/100)),0)</f>
        <v/>
      </c>
      <c r="R1811">
        <f>IF(AND(Inputs!$B$38&lt;&gt;"pvp",Inputs!$B$43&gt;0),IF(Inputs!$B$43&lt;=0,0,(INT(Inputs!$B$43/(IF(Inputs!$B$38="pvp",15,MAX(0.1,Skills!D18-IF(TRUE=TRUE,Inputs!$B$32,0)))*(1-IF(AND(ArtifactsInput!$M$27,Inputs!$B$4="Chapter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Skills!G19*IF(Skills!H19&gt;0,IF(Inputs!$B$38="pvp",MIN(Skills!I19,15),Skills!I19)/Skills!H19,1)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IFERROR(1/(IF(Inputs!$B$38="pvp",15,MAX(0.1,Skills!D19-IF(TRUE=TRUE,Inputs!$B$32,0)))*(1-IF(AND(ArtifactsInput!$M$27,Inputs!$B$4="Chapter Hunt"),CHOOSE(ArtifactsInput!$N$27+1,20,24,28,32,36,40),0)/100)),0)</f>
        <v/>
      </c>
      <c r="R1812">
        <f>IF(AND(Inputs!$B$38&lt;&gt;"pvp",Inputs!$B$43&gt;0),IF(Inputs!$B$43&lt;=0,0,(INT(Inputs!$B$43/(IF(Inputs!$B$38="pvp",15,MAX(0.1,Skills!D19-IF(TRUE=TRUE,Inputs!$B$32,0)))*(1-IF(AND(ArtifactsInput!$M$27,Inputs!$B$4="Chapter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Skills!G20*IF(Skills!H20&gt;0,IF(Inputs!$B$38="pvp",MIN(Skills!I20,15),Skills!I20)/Skills!H20,1)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Skills!G21*IF(Skills!H21&gt;0,IF(Inputs!$B$38="pvp",MIN(Skills!I21,15),Skills!I21)/Skills!H21,1)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Skills!G22*IF(Skills!H22&gt;0,IF(Inputs!$B$38="pvp",MIN(Skills!I22,15),Skills!I22)/Skills!H22,1)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Skills!G23*IF(Skills!H23&gt;0,IF(Inputs!$B$38="pvp",MIN(Skills!I23,15),Skills!I23)/Skills!H23,1)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Skills!G24*IF(Skills!H24&gt;0,IF(Inputs!$B$38="pvp",MIN(Skills!I24,15),Skills!I24)/Skills!H24,1)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Skills!G25*IF(Skills!H25&gt;0,IF(Inputs!$B$38="pvp",MIN(Skills!I25,15),Skills!I25)/Skills!H25,1)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Skills!G26*IF(Skills!H26&gt;0,IF(Inputs!$B$38="pvp",MIN(Skills!I26,15),Skills!I26)/Skills!H26,1)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118,8,IF(Inputs!$B$3&gt;=110,7,5)))+((C1808=TRUE)*F1808*IF(AND(Inputs!$B$38&lt;&gt;"pvp",Inputs!$B$43&gt;0),(((R1808-1)*MIN((Skills!T15*(1+(Inputs!$B$34+(ArtifactsInput!$M$7-ArtifactsInput!$M$7)*CHOOSE(ArtifactsInput!$N$7+1,6,7.2,8.4,9.6,10.8,12))/100)),(1/Q1808))+MIN((Skills!T15*(1+(Inputs!$B$34+(ArtifactsInput!$M$7-ArtifactsInput!$M$7)*CHOOSE(ArtifactsInput!$N$7+1,6,7.2,8.4,9.6,10.8,12))/100)),MAX(0,Inputs!$B$43-((R1808-1)*(1/Q1808)))))/Inputs!$B$43),IF(Inputs!$B$38="pvp",MIN((Skills!T15*(1+(Inputs!$B$34+(ArtifactsInput!$M$7-ArtifactsInput!$M$7)*CHOOSE(ArtifactsInput!$N$7+1,6,7.2,8.4,9.6,10.8,12))/100)),15)/15,MIN(1,(Skills!T15*(1+(Inputs!$B$34+(ArtifactsInput!$M$7-ArtifactsInput!$M$7)*CHOOSE(ArtifactsInput!$N$7+1,6,7.2,8.4,9.6,10.8,12))/100))/(1/Q1808)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MIN((Skills!T19*(1+(Inputs!$B$34+(ArtifactsInput!$M$7-ArtifactsInput!$M$7)*CHOOSE(ArtifactsInput!$N$7+1,6,7.2,8.4,9.6,10.8,12))/100)),(1/Q1812))+MIN((Skills!T19*(1+(Inputs!$B$34+(ArtifactsInput!$M$7-ArtifactsInput!$M$7)*CHOOSE(ArtifactsInput!$N$7+1,6,7.2,8.4,9.6,10.8,12))/100)),MAX(0,Inputs!$B$43-((R1812-1)*(1/Q1812)))))/Inputs!$B$43),IF(Inputs!$B$38="pvp",MIN((Skills!T19*(1+(Inputs!$B$34+(ArtifactsInput!$M$7-ArtifactsInput!$M$7)*CHOOSE(ArtifactsInput!$N$7+1,6,7.2,8.4,9.6,10.8,12))/100)),15)/15,MIN(1,(Skills!T19*(1+(Inputs!$B$34+(ArtifactsInput!$M$7-ArtifactsInput!$M$7)*CHOOSE(ArtifactsInput!$N$7+1,6,7.2,8.4,9.6,10.8,12))/100))/(1/Q1812)))))</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MIN((Skills!T18*(1+(Inputs!$B$34+(ArtifactsInput!$M$7-ArtifactsInput!$M$7)*CHOOSE(ArtifactsInput!$N$7+1,6,7.2,8.4,9.6,10.8,12))/100)),(1/Q1811))+MIN((Skills!T18*(1+(Inputs!$B$34+(ArtifactsInput!$M$7-ArtifactsInput!$M$7)*CHOOSE(ArtifactsInput!$N$7+1,6,7.2,8.4,9.6,10.8,12))/100)),MAX(0,Inputs!$B$43-((R1811-1)*(1/Q1811)))))/Inputs!$B$43),IF(Inputs!$B$38="pvp",MIN((Skills!T18*(1+(Inputs!$B$34+(ArtifactsInput!$M$7-ArtifactsInput!$M$7)*CHOOSE(ArtifactsInput!$N$7+1,6,7.2,8.4,9.6,10.8,12))/100)),15)/15,MIN(1,(Skills!T18*(1+(Inputs!$B$34+(ArtifactsInput!$M$7-ArtifactsInput!$M$7)*CHOOSE(ArtifactsInput!$N$7+1,6,7.2,8.4,9.6,10.8,12))/100))/(1/Q1811)))))</f>
        <v/>
      </c>
    </row>
    <row r="1828">
      <c r="A1828" t="inlineStr">
        <is>
          <t>Global Final Damage Bonus % (Enrage + Combo Synergy)</t>
        </is>
      </c>
      <c r="B1828">
        <f>((C1810=TRUE)*F1810*IF(AND(Inputs!$B$38&lt;&gt;"pvp",Inputs!$B$43&gt;0),(((R1810-1)*MIN((Skills!T17*(1+(Inputs!$B$34+(ArtifactsInput!$M$7-ArtifactsInput!$M$7)*CHOOSE(ArtifactsInput!$N$7+1,6,7.2,8.4,9.6,10.8,12))/100)),(1/Q1810))+MIN((Skills!T17*(1+(Inputs!$B$34+(ArtifactsInput!$M$7-ArtifactsInput!$M$7)*CHOOSE(ArtifactsInput!$N$7+1,6,7.2,8.4,9.6,10.8,12))/100)),MAX(0,Inputs!$B$43-((R1810-1)*(1/Q1810)))))/Inputs!$B$43),IF(Inputs!$B$38="pvp",MIN((Skills!T17*(1+(Inputs!$B$34+(ArtifactsInput!$M$7-ArtifactsInput!$M$7)*CHOOSE(ArtifactsInput!$N$7+1,6,7.2,8.4,9.6,10.8,12))/100)),15)/15,MIN(1,(Skills!T17*(1+(Inputs!$B$34+(ArtifactsInput!$M$7-ArtifactsInput!$M$7)*CHOOSE(ArtifactsInput!$N$7+1,6,7.2,8.4,9.6,10.8,12))/100))/(1/Q1810)))))+((C1807=TRUE)*F1807*IF(Inputs!$B$3&gt;=118,8,IF(Inputs!$B$3&gt;=110,7,5)))+IF(Inputs!$B$3&gt;=98,5,0)</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Skills!G2*IF(Skills!H2&gt;0,IF(Inputs!$B$38="pvp",MIN(Skills!I2,15),Skills!I2)/Skills!H2,1)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Skills!G5*IF(Skills!H5&gt;0,IF(Inputs!$B$38="pvp",MIN(Skills!I5,15),Skills!I5)/Skills!H5,1)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IFERROR(1/(IF(Inputs!$B$38="pvp",15,MAX(0.1,Skills!D5-IF(TRUE=TRUE,Inputs!$B$32,0)))*(1-IF(AND(ArtifactsInput!$M$27,Inputs!$B$4="Chapter Hunt"),CHOOSE(ArtifactsInput!$N$27+1,20,24,28,32,36,40),0)/100)),0)</f>
        <v/>
      </c>
      <c r="R1840">
        <f>IF(AND(Inputs!$B$38&lt;&gt;"pvp",Inputs!$B$43&gt;0),IF(MAX(0,Inputs!$B$43-B1871)&lt;=0,0,(INT(MAX(0,Inputs!$B$43-B1871)/(IF(Inputs!$B$38="pvp",15,MAX(0.1,Skills!D5-IF(TRUE=TRUE,Inputs!$B$32,0)))*(1-IF(AND(ArtifactsInput!$M$27,Inputs!$B$4="Chapter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$20+0+Skills!P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TRUE=TRUE,Inputs!$B$32,0)))*(1-IF(AND(ArtifactsInput!$M$27,Inputs!$B$4="Chapter Hunt"),CHOOSE(ArtifactsInput!$N$27+1,20,24,28,32,36,40),0)/100)))))/Skills!H5,1)))/Inputs!$B$43),G1840*Q1840))*IF(Inputs!$B$38="pvp",1,(1+(Inputs!$B$21+Skills!Q5+(((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Skills!G6*IF(Skills!H6&gt;0,IF(Inputs!$B$38="pvp",MIN(Skills!I6,15),Skills!I6)/Skills!H6,1)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IFERROR(1/(IF(Inputs!$B$38="pvp",15,MAX(0.1,Skills!D6-IF(TRUE=TRUE,Inputs!$B$32,0)))*(1-IF(AND(ArtifactsInput!$M$27,Inputs!$B$4="Chapter Hunt"),CHOOSE(ArtifactsInput!$N$27+1,20,24,28,32,36,40),0)/100)),0)</f>
        <v/>
      </c>
      <c r="R1841">
        <f>IF(AND(Inputs!$B$38&lt;&gt;"pvp",Inputs!$B$43&gt;0),IF(MAX(0,Inputs!$B$43-B1871)&lt;=0,0,(INT(MAX(0,Inputs!$B$43-B1871)/(IF(Inputs!$B$38="pvp",15,MAX(0.1,Skills!D6-IF(TRUE=TRUE,Inputs!$B$32,0)))*(1-IF(AND(ArtifactsInput!$M$27,Inputs!$B$4="Chapter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$20+0+Skills!P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TRUE=TRUE,Inputs!$B$32,0)))*(1-IF(AND(ArtifactsInput!$M$27,Inputs!$B$4="Chapter Hunt"),CHOOSE(ArtifactsInput!$N$27+1,20,24,28,32,36,40),0)/100)))))/Skills!H6,1)))/Inputs!$B$43),G1841*Q1841))*IF(Inputs!$B$38="pvp",1,(1+(Inputs!$B$21+Skills!Q6+(((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Skills!G7*IF(Skills!H7&gt;0,IF(Inputs!$B$38="pvp",MIN(Skills!I7,15),Skills!I7)/Skills!H7,1)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IFERROR(1/(IF(Inputs!$B$38="pvp",15,MAX(0.1,Skills!D7-IF(TRUE=TRUE,Inputs!$B$32,0)))*(1-IF(AND(ArtifactsInput!$M$27,Inputs!$B$4="Chapter Hunt"),CHOOSE(ArtifactsInput!$N$27+1,20,24,28,32,36,40),0)/100)),0)</f>
        <v/>
      </c>
      <c r="R1842">
        <f>IF(AND(Inputs!$B$38&lt;&gt;"pvp",Inputs!$B$43&gt;0),IF(MAX(0,Inputs!$B$43-B1871)&lt;=0,0,(INT(MAX(0,Inputs!$B$43-B1871)/(IF(Inputs!$B$38="pvp",15,MAX(0.1,Skills!D7-IF(TRUE=TRUE,Inputs!$B$32,0)))*(1-IF(AND(ArtifactsInput!$M$27,Inputs!$B$4="Chapter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$20+0+Skills!P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TRUE=TRUE,Inputs!$B$32,0)))*(1-IF(AND(ArtifactsInput!$M$27,Inputs!$B$4="Chapter Hunt"),CHOOSE(ArtifactsInput!$N$27+1,20,24,28,32,36,40),0)/100)))))/Skills!H7,1)))/Inputs!$B$43),G1842*Q1842))*IF(Inputs!$B$38="pvp",1,(1+(Inputs!$B$21+Skills!Q7+(((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Skills!G8*IF(Skills!H8&gt;0,IF(Inputs!$B$38="pvp",MIN(Skills!I8,15),Skills!I8)/Skills!H8,1)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IFERROR(1/(IF(Inputs!$B$38="pvp",15,MAX(0.1,Skills!D8-IF(TRUE=TRUE,Inputs!$B$32,0)))*(1-IF(AND(ArtifactsInput!$M$27,Inputs!$B$4="Chapter Hunt"),CHOOSE(ArtifactsInput!$N$27+1,20,24,28,32,36,40),0)/100)),0)</f>
        <v/>
      </c>
      <c r="R1843">
        <f>IF(AND(Inputs!$B$38&lt;&gt;"pvp",Inputs!$B$43&gt;0),IF(MAX(0,Inputs!$B$43-B1871)&lt;=0,0,(INT(MAX(0,Inputs!$B$43-B1871)/(IF(Inputs!$B$38="pvp",15,MAX(0.1,Skills!D8-IF(TRUE=TRUE,Inputs!$B$32,0)))*(1-IF(AND(ArtifactsInput!$M$27,Inputs!$B$4="Chapter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$20+0+Skills!P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TRUE=TRUE,Inputs!$B$32,0)))*(1-IF(AND(ArtifactsInput!$M$27,Inputs!$B$4="Chapter Hunt"),CHOOSE(ArtifactsInput!$N$27+1,20,24,28,32,36,40),0)/100)))))/Skills!H8,1)))/Inputs!$B$43),G1843*Q1843))*IF(Inputs!$B$38="pvp",1,(1+(Inputs!$B$21+Skills!Q8+(((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Skills!G9*IF(Skills!H9&gt;0,IF(Inputs!$B$38="pvp",MIN(Skills!I9,15),Skills!I9)/Skills!H9,1)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138,MAX(0,IF(Inputs!$B$3&gt;=118,8,IF(Inputs!$B$3&gt;=110,7,5))-5)*50,0),0)/100)*(1+(IF(Skills!A9="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IFERROR(1/(IF(Inputs!$B$38="pvp",15,MAX(0.1,Skills!D9-IF(TRUE=TRUE,Inputs!$B$32,0)))*(1-IF(AND(ArtifactsInput!$M$27,Inputs!$B$4="Chapter Hunt"),CHOOSE(ArtifactsInput!$N$27+1,20,24,28,32,36,40),0)/100)),0)</f>
        <v/>
      </c>
      <c r="R1844">
        <f>IF(AND(Inputs!$B$38&lt;&gt;"pvp",Inputs!$B$43&gt;0),IF(MAX(0,Inputs!$B$43-B1871)&lt;=0,0,(INT(MAX(0,Inputs!$B$43-B1871)/(IF(Inputs!$B$38="pvp",15,MAX(0.1,Skills!D9-IF(TRUE=TRUE,Inputs!$B$32,0)))*(1-IF(AND(ArtifactsInput!$M$27,Inputs!$B$4="Chapter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TRUE=TRUE,Inputs!$B$32,0)))*(1-IF(AND(ArtifactsInput!$M$27,Inputs!$B$4="Chapter Hunt"),CHOOSE(ArtifactsInput!$N$27+1,20,24,28,32,36,40),0)/100)))))/Skills!H9,1)))/Inputs!$B$43),G1844*Q1844))*IF(Inputs!$B$38="pvp",1,1+(Inputs!$B$20+0+Skills!P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TRUE=TRUE,Inputs!$B$32,0)))*(1-IF(AND(ArtifactsInput!$M$27,Inputs!$B$4="Chapter Hunt"),CHOOSE(ArtifactsInput!$N$27+1,20,24,28,32,36,40),0)/100)))))/Skills!H9,1)))/Inputs!$B$43),G1844*Q1844))*IF(Inputs!$B$38="pvp",1,(1+(Inputs!$B$21+Skills!Q9+(((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Skills!G10*IF(Skills!H10&gt;0,IF(Inputs!$B$38="pvp",MIN(Skills!I10,15),Skills!I10)/Skills!H10,1)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138,MAX(0,IF(Inputs!$B$3&gt;=118,8,IF(Inputs!$B$3&gt;=110,7,5))-5)*50,0),0)/100)*(1+(IF(Skills!A10="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IFERROR(1/(IF(Inputs!$B$38="pvp",15,MAX(0.1,Skills!D10-IF(TRUE=TRUE,Inputs!$B$32,0)))*(1-IF(AND(ArtifactsInput!$M$27,Inputs!$B$4="Chapter Hunt"),CHOOSE(ArtifactsInput!$N$27+1,20,24,28,32,36,40),0)/100)),0)</f>
        <v/>
      </c>
      <c r="R1845">
        <f>IF(AND(Inputs!$B$38&lt;&gt;"pvp",Inputs!$B$43&gt;0),IF(MAX(0,Inputs!$B$43-B1871)&lt;=0,0,(INT(MAX(0,Inputs!$B$43-B1871)/(IF(Inputs!$B$38="pvp",15,MAX(0.1,Skills!D10-IF(TRUE=TRUE,Inputs!$B$32,0)))*(1-IF(AND(ArtifactsInput!$M$27,Inputs!$B$4="Chapter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$20+0+Skills!P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TRUE=TRUE,Inputs!$B$32,0)))*(1-IF(AND(ArtifactsInput!$M$27,Inputs!$B$4="Chapter Hunt"),CHOOSE(ArtifactsInput!$N$27+1,20,24,28,32,36,40),0)/100)))))/Skills!H10,1)))/Inputs!$B$43),G1845*Q1845))*IF(Inputs!$B$38="pvp",1,(1+(Inputs!$B$21+Skills!Q10+(((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Skills!G11*IF(Skills!H11&gt;0,IF(Inputs!$B$38="pvp",MIN(Skills!I11,15),Skills!I11)/Skills!H11,1)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(100-(100-((Inputs!$B$19+0)))*(1-IF(Inputs!$B$3&gt;=130,IF(Inputs!$B$3&gt;=118,8,IF(Inputs!$B$3&gt;=110,7,5)),0)/100)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138,MAX(0,IF(Inputs!$B$3&gt;=118,8,IF(Inputs!$B$3&gt;=110,7,5))-5)*50,0),0)/100)*(1+(IF(Skills!A11="RAGING_BLOW",Inputs!$B$17+((C1856=TRUE)*(F1856-Calc!F21))+((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IFERROR(1/(IF(Inputs!$B$38="pvp",15,MAX(0.1,Skills!D11-IF(TRUE=TRUE,Inputs!$B$32,0)))*(1-IF(AND(ArtifactsInput!$M$27,Inputs!$B$4="Chapter Hunt"),CHOOSE(ArtifactsInput!$N$27+1,20,24,28,32,36,40),0)/100)),0)</f>
        <v/>
      </c>
      <c r="R1846">
        <f>IF(AND(Inputs!$B$38&lt;&gt;"pvp",Inputs!$B$43&gt;0),IF(MAX(0,Inputs!$B$43-B1871)&lt;=0,0,(INT(MAX(0,Inputs!$B$43-B1871)/(IF(Inputs!$B$38="pvp",15,MAX(0.1,Skills!D11-IF(TRUE=TRUE,Inputs!$B$32,0)))*(1-IF(AND(ArtifactsInput!$M$27,Inputs!$B$4="Chapter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$20+0+Skills!P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Inputs!$B$38&lt;&gt;"pvp",Inputs!$B$43=0),1,IF(IF(Inputs!$B$38="pvp",15,Inputs!$B$43)-(B1871)&lt;=0,1,MAX(0,IF(Inputs!$B$38="pvp",15,Inputs!$B$43)-MAX(5,B1871))/(IF(Inputs!$B$38="pvp",15,Inputs!$B$43)-(B1871)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TRUE=TRUE,Inputs!$B$32,0)))*(1-IF(AND(ArtifactsInput!$M$27,Inputs!$B$4="Chapter Hunt"),CHOOSE(ArtifactsInput!$N$27+1,20,24,28,32,36,40),0)/100)))))/Skills!H11,1)))/Inputs!$B$43),G1846*Q1846))*IF(Inputs!$B$38="pvp",1,(1+(Inputs!$B$21+Skills!Q11+(((C1851=TRUE)*F1851*(Skills!J16/100)*IF(AND(Inputs!$B$38&lt;&gt;"pvp",Inputs!$B$43&gt;0),(((R1851-1)*MIN((Skills!T16*(1+(Inputs!$B$34+(ArtifactsInput!$M$7-ArtifactsInput!$M$7)*CHOOSE(ArtifactsInput!$N$7+1,6,7.2,8.4,9.6,10.8,12))/100)),(1/Q1851))+MIN((Skills!T16*(1+(Inputs!$B$34+(ArtifactsInput!$M$7-ArtifactsInput!$M$7)*CHOOSE(ArtifactsInput!$N$7+1,6,7.2,8.4,9.6,10.8,12))/100)),MAX(0,Inputs!$B$43-((R1851-1)*(1/Q1851)))))/Inputs!$B$43),IF(Inputs!$B$38="pvp",MIN((Skills!T16*(1+(Inputs!$B$34+(ArtifactsInput!$M$7-ArtifactsInput!$M$7)*CHOOSE(ArtifactsInput!$N$7+1,6,7.2,8.4,9.6,10.8,12))/100)),15)/15,MIN(1,(Skills!T16*(1+(Inputs!$B$34+(ArtifactsInput!$M$7-ArtifactsInput!$M$7)*CHOOSE(ArtifactsInput!$N$7+1,6,7.2,8.4,9.6,10.8,12))/100))/(1/Q1851)))))+((C1843=TRUE)*IF(Inputs!$B$3&gt;=126,10*MIN(1,15*Q1843),0))+((C1840=TRUE)*((100/10)*(INDEX(FactorTable!$B$2:$Y$301,MATCH(ROUND(MIN(300,MAX(1,MAX(0,(Inputs!$B$3-100)*3)+Inputs!$B$28+Inputs!$B$29)),0),FactorTable!$A$2:$A$301,0),22)/1000))*(1+IF(Inputs!$B$3&gt;=134,0.5,0))*MIN(1,10*(1+(Inputs!$B$34+(ArtifactsInput!$M$7-ArtifactsInput!$M$7)*CHOOSE(ArtifactsInput!$N$7+1,6,7.2,8.4,9.6,10.8,12))/100)*Q1840)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Skills!G13*IF(Skills!H13&gt;0,IF(Inputs!$B$38="pvp",MIN(Skills!I13,15),Skills!I13)/Skills!H13,1)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Skills!G14*IF(Skills!H14&gt;0,IF(Inputs!$B$38="pvp",MIN(Skills!I14,15),Skills!I14)/Skills!H14,1)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Skills!G15*IF(Skills!H15&gt;0,IF(Inputs!$B$38="pvp",MIN(Skills!I15,15),Skills!I15)/Skills!H15,1)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IFERROR(1/(IF(Inputs!$B$38="pvp",15,MAX(0.1,Skills!D15-IF(TRUE=TRUE,Inputs!$B$32,0)))*(1-IF(AND(ArtifactsInput!$M$27,Inputs!$B$4="Chapter Hunt"),CHOOSE(ArtifactsInput!$N$27+1,20,24,28,32,36,40),0)/100)),0)</f>
        <v/>
      </c>
      <c r="R1850">
        <f>IF(AND(Inputs!$B$38&lt;&gt;"pvp",Inputs!$B$43&gt;0),IF(Inputs!$B$43&lt;=0,0,(INT(Inputs!$B$43/(IF(Inputs!$B$38="pvp",15,MAX(0.1,Skills!D15-IF(TRUE=TRUE,Inputs!$B$32,0)))*(1-IF(AND(ArtifactsInput!$M$27,Inputs!$B$4="Chapter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Skills!G16*IF(Skills!H16&gt;0,IF(Inputs!$B$38="pvp",MIN(Skills!I16,15),Skills!I16)/Skills!H16,1)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IFERROR(1/(IF(Inputs!$B$38="pvp",15,MAX(0.1,Skills!D16-IF(TRUE=TRUE,Inputs!$B$32,0)))*(1-IF(AND(ArtifactsInput!$M$27,Inputs!$B$4="Chapter Hunt"),CHOOSE(ArtifactsInput!$N$27+1,20,24,28,32,36,40),0)/100)),0)</f>
        <v/>
      </c>
      <c r="R1851">
        <f>IF(AND(Inputs!$B$38&lt;&gt;"pvp",Inputs!$B$43&gt;0),IF(Inputs!$B$43&lt;=0,0,(INT(Inputs!$B$43/(IF(Inputs!$B$38="pvp",15,MAX(0.1,Skills!D16-IF(TRUE=TRUE,Inputs!$B$32,0)))*(1-IF(AND(ArtifactsInput!$M$27,Inputs!$B$4="Chapter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Skills!G17*IF(Skills!H17&gt;0,IF(Inputs!$B$38="pvp",MIN(Skills!I17,15),Skills!I17)/Skills!H17,1)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IFERROR(1/(IF(Inputs!$B$38="pvp",15,MAX(0.1,Skills!D17-IF(TRUE=TRUE,Inputs!$B$32,0)))*(1-IF(AND(ArtifactsInput!$M$27,Inputs!$B$4="Chapter Hunt"),CHOOSE(ArtifactsInput!$N$27+1,20,24,28,32,36,40),0)/100)),0)</f>
        <v/>
      </c>
      <c r="R1852">
        <f>IF(AND(Inputs!$B$38&lt;&gt;"pvp",Inputs!$B$43&gt;0),IF(Inputs!$B$43&lt;=0,0,(INT(Inputs!$B$43/(IF(Inputs!$B$38="pvp",15,MAX(0.1,Skills!D17-IF(TRUE=TRUE,Inputs!$B$32,0)))*(1-IF(AND(ArtifactsInput!$M$27,Inputs!$B$4="Chapter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Skills!G18*IF(Skills!H18&gt;0,IF(Inputs!$B$38="pvp",MIN(Skills!I18,15),Skills!I18)/Skills!H18,1)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IFERROR(1/(IF(Inputs!$B$38="pvp",15,MAX(0.1,Skills!D18-IF(TRUE=TRUE,Inputs!$B$32,0)))*(1-IF(AND(ArtifactsInput!$M$27,Inputs!$B$4="Chapter Hunt"),CHOOSE(ArtifactsInput!$N$27+1,20,24,28,32,36,40),0)/100)),0)</f>
        <v/>
      </c>
      <c r="R1853">
        <f>IF(AND(Inputs!$B$38&lt;&gt;"pvp",Inputs!$B$43&gt;0),IF(Inputs!$B$43&lt;=0,0,(INT(Inputs!$B$43/(IF(Inputs!$B$38="pvp",15,MAX(0.1,Skills!D18-IF(TRUE=TRUE,Inputs!$B$32,0)))*(1-IF(AND(ArtifactsInput!$M$27,Inputs!$B$4="Chapter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Skills!G19*IF(Skills!H19&gt;0,IF(Inputs!$B$38="pvp",MIN(Skills!I19,15),Skills!I19)/Skills!H19,1)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IFERROR(1/(IF(Inputs!$B$38="pvp",15,MAX(0.1,Skills!D19-IF(TRUE=TRUE,Inputs!$B$32,0)))*(1-IF(AND(ArtifactsInput!$M$27,Inputs!$B$4="Chapter Hunt"),CHOOSE(ArtifactsInput!$N$27+1,20,24,28,32,36,40),0)/100)),0)</f>
        <v/>
      </c>
      <c r="R1854">
        <f>IF(AND(Inputs!$B$38&lt;&gt;"pvp",Inputs!$B$43&gt;0),IF(Inputs!$B$43&lt;=0,0,(INT(Inputs!$B$43/(IF(Inputs!$B$38="pvp",15,MAX(0.1,Skills!D19-IF(TRUE=TRUE,Inputs!$B$32,0)))*(1-IF(AND(ArtifactsInput!$M$27,Inputs!$B$4="Chapter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Skills!G20*IF(Skills!H20&gt;0,IF(Inputs!$B$38="pvp",MIN(Skills!I20,15),Skills!I20)/Skills!H20,1)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Skills!G21*IF(Skills!H21&gt;0,IF(Inputs!$B$38="pvp",MIN(Skills!I21,15),Skills!I21)/Skills!H21,1)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Skills!G22*IF(Skills!H22&gt;0,IF(Inputs!$B$38="pvp",MIN(Skills!I22,15),Skills!I22)/Skills!H22,1)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Skills!G23*IF(Skills!H23&gt;0,IF(Inputs!$B$38="pvp",MIN(Skills!I23,15),Skills!I23)/Skills!H23,1)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Skills!G24*IF(Skills!H24&gt;0,IF(Inputs!$B$38="pvp",MIN(Skills!I24,15),Skills!I24)/Skills!H24,1)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Skills!G25*IF(Skills!H25&gt;0,IF(Inputs!$B$38="pvp",MIN(Skills!I25,15),Skills!I25)/Skills!H25,1)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Skills!G26*IF(Skills!H26&gt;0,IF(Inputs!$B$38="pvp",MIN(Skills!I26,15),Skills!I26)/Skills!H26,1)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118,8,IF(Inputs!$B$3&gt;=110,7,5)))+((C1850=TRUE)*F1850*IF(AND(Inputs!$B$38&lt;&gt;"pvp",Inputs!$B$43&gt;0),(((R1850-1)*MIN((Skills!T15*(1+(Inputs!$B$34+(ArtifactsInput!$M$7-ArtifactsInput!$M$7)*CHOOSE(ArtifactsInput!$N$7+1,6,7.2,8.4,9.6,10.8,12))/100)),(1/Q1850))+MIN((Skills!T15*(1+(Inputs!$B$34+(ArtifactsInput!$M$7-ArtifactsInput!$M$7)*CHOOSE(ArtifactsInput!$N$7+1,6,7.2,8.4,9.6,10.8,12))/100)),MAX(0,Inputs!$B$43-((R1850-1)*(1/Q1850)))))/Inputs!$B$43),IF(Inputs!$B$38="pvp",MIN((Skills!T15*(1+(Inputs!$B$34+(ArtifactsInput!$M$7-ArtifactsInput!$M$7)*CHOOSE(ArtifactsInput!$N$7+1,6,7.2,8.4,9.6,10.8,12))/100)),15)/15,MIN(1,(Skills!T15*(1+(Inputs!$B$34+(ArtifactsInput!$M$7-ArtifactsInput!$M$7)*CHOOSE(ArtifactsInput!$N$7+1,6,7.2,8.4,9.6,10.8,12))/100))/(1/Q1850)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MIN((Skills!T19*(1+(Inputs!$B$34+(ArtifactsInput!$M$7-ArtifactsInput!$M$7)*CHOOSE(ArtifactsInput!$N$7+1,6,7.2,8.4,9.6,10.8,12))/100)),(1/Q1854))+MIN((Skills!T19*(1+(Inputs!$B$34+(ArtifactsInput!$M$7-ArtifactsInput!$M$7)*CHOOSE(ArtifactsInput!$N$7+1,6,7.2,8.4,9.6,10.8,12))/100)),MAX(0,Inputs!$B$43-((R1854-1)*(1/Q1854)))))/Inputs!$B$43),IF(Inputs!$B$38="pvp",MIN((Skills!T19*(1+(Inputs!$B$34+(ArtifactsInput!$M$7-ArtifactsInput!$M$7)*CHOOSE(ArtifactsInput!$N$7+1,6,7.2,8.4,9.6,10.8,12))/100)),15)/15,MIN(1,(Skills!T19*(1+(Inputs!$B$34+(ArtifactsInput!$M$7-ArtifactsInput!$M$7)*CHOOSE(ArtifactsInput!$N$7+1,6,7.2,8.4,9.6,10.8,12))/100))/(1/Q1854)))))</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MIN((Skills!T18*(1+(Inputs!$B$34+(ArtifactsInput!$M$7-ArtifactsInput!$M$7)*CHOOSE(ArtifactsInput!$N$7+1,6,7.2,8.4,9.6,10.8,12))/100)),(1/Q1853))+MIN((Skills!T18*(1+(Inputs!$B$34+(ArtifactsInput!$M$7-ArtifactsInput!$M$7)*CHOOSE(ArtifactsInput!$N$7+1,6,7.2,8.4,9.6,10.8,12))/100)),MAX(0,Inputs!$B$43-((R1853-1)*(1/Q1853)))))/Inputs!$B$43),IF(Inputs!$B$38="pvp",MIN((Skills!T18*(1+(Inputs!$B$34+(ArtifactsInput!$M$7-ArtifactsInput!$M$7)*CHOOSE(ArtifactsInput!$N$7+1,6,7.2,8.4,9.6,10.8,12))/100)),15)/15,MIN(1,(Skills!T18*(1+(Inputs!$B$34+(ArtifactsInput!$M$7-ArtifactsInput!$M$7)*CHOOSE(ArtifactsInput!$N$7+1,6,7.2,8.4,9.6,10.8,12))/100))/(1/Q1853)))))</f>
        <v/>
      </c>
    </row>
    <row r="1870">
      <c r="A1870" t="inlineStr">
        <is>
          <t>Global Final Damage Bonus % (Enrage + Combo Synergy)</t>
        </is>
      </c>
      <c r="B1870">
        <f>((C1852=TRUE)*F1852*IF(AND(Inputs!$B$38&lt;&gt;"pvp",Inputs!$B$43&gt;0),(((R1852-1)*MIN((Skills!T17*(1+(Inputs!$B$34+(ArtifactsInput!$M$7-ArtifactsInput!$M$7)*CHOOSE(ArtifactsInput!$N$7+1,6,7.2,8.4,9.6,10.8,12))/100)),(1/Q1852))+MIN((Skills!T17*(1+(Inputs!$B$34+(ArtifactsInput!$M$7-ArtifactsInput!$M$7)*CHOOSE(ArtifactsInput!$N$7+1,6,7.2,8.4,9.6,10.8,12))/100)),MAX(0,Inputs!$B$43-((R1852-1)*(1/Q1852)))))/Inputs!$B$43),IF(Inputs!$B$38="pvp",MIN((Skills!T17*(1+(Inputs!$B$34+(ArtifactsInput!$M$7-ArtifactsInput!$M$7)*CHOOSE(ArtifactsInput!$N$7+1,6,7.2,8.4,9.6,10.8,12))/100)),15)/15,MIN(1,(Skills!T17*(1+(Inputs!$B$34+(ArtifactsInput!$M$7-ArtifactsInput!$M$7)*CHOOSE(ArtifactsInput!$N$7+1,6,7.2,8.4,9.6,10.8,12))/100))/(1/Q1852)))))+((C1849=TRUE)*F1849*IF(Inputs!$B$3&gt;=118,8,IF(Inputs!$B$3&gt;=110,7,5)))+IF(Inputs!$B$3&gt;=98,5,0)</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Skills!G2*IF(Skills!H2&gt;0,IF(Inputs!$B$38="pvp",MIN(Skills!I2,15),Skills!I2)/Skills!H2,1)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Skills!G5*IF(Skills!H5&gt;0,IF(Inputs!$B$38="pvp",MIN(Skills!I5,15),Skills!I5)/Skills!H5,1)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IFERROR(1/(IF(Inputs!$B$38="pvp",15,MAX(0.1,Skills!D5-IF(TRUE=TRUE,Inputs!$B$32,0)))*(1-IF(AND(ArtifactsInput!$M$27,Inputs!$B$4="Chapter Hunt"),CHOOSE(ArtifactsInput!$N$27+1,20,24,28,32,36,40),0)/100)),0)</f>
        <v/>
      </c>
      <c r="R1882">
        <f>IF(AND(Inputs!$B$38&lt;&gt;"pvp",Inputs!$B$43&gt;0),IF(MAX(0,Inputs!$B$43-B1913)&lt;=0,0,(INT(MAX(0,Inputs!$B$43-B1913)/(IF(Inputs!$B$38="pvp",15,MAX(0.1,Skills!D5-IF(TRUE=TRUE,Inputs!$B$32,0)))*(1-IF(AND(ArtifactsInput!$M$27,Inputs!$B$4="Chapter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$20+0+Skills!P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TRUE=TRUE,Inputs!$B$32,0)))*(1-IF(AND(ArtifactsInput!$M$27,Inputs!$B$4="Chapter Hunt"),CHOOSE(ArtifactsInput!$N$27+1,20,24,28,32,36,40),0)/100)))))/Skills!H5,1)))/Inputs!$B$43),G1882*Q1882))*IF(Inputs!$B$38="pvp",1,(1+(Inputs!$B$21+Skills!Q5+(((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Skills!G6*IF(Skills!H6&gt;0,IF(Inputs!$B$38="pvp",MIN(Skills!I6,15),Skills!I6)/Skills!H6,1)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IFERROR(1/(IF(Inputs!$B$38="pvp",15,MAX(0.1,Skills!D6-IF(TRUE=TRUE,Inputs!$B$32,0)))*(1-IF(AND(ArtifactsInput!$M$27,Inputs!$B$4="Chapter Hunt"),CHOOSE(ArtifactsInput!$N$27+1,20,24,28,32,36,40),0)/100)),0)</f>
        <v/>
      </c>
      <c r="R1883">
        <f>IF(AND(Inputs!$B$38&lt;&gt;"pvp",Inputs!$B$43&gt;0),IF(MAX(0,Inputs!$B$43-B1913)&lt;=0,0,(INT(MAX(0,Inputs!$B$43-B1913)/(IF(Inputs!$B$38="pvp",15,MAX(0.1,Skills!D6-IF(TRUE=TRUE,Inputs!$B$32,0)))*(1-IF(AND(ArtifactsInput!$M$27,Inputs!$B$4="Chapter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$20+0+Skills!P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TRUE=TRUE,Inputs!$B$32,0)))*(1-IF(AND(ArtifactsInput!$M$27,Inputs!$B$4="Chapter Hunt"),CHOOSE(ArtifactsInput!$N$27+1,20,24,28,32,36,40),0)/100)))))/Skills!H6,1)))/Inputs!$B$43),G1883*Q1883))*IF(Inputs!$B$38="pvp",1,(1+(Inputs!$B$21+Skills!Q6+(((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Skills!G7*IF(Skills!H7&gt;0,IF(Inputs!$B$38="pvp",MIN(Skills!I7,15),Skills!I7)/Skills!H7,1)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IFERROR(1/(IF(Inputs!$B$38="pvp",15,MAX(0.1,Skills!D7-IF(TRUE=TRUE,Inputs!$B$32,0)))*(1-IF(AND(ArtifactsInput!$M$27,Inputs!$B$4="Chapter Hunt"),CHOOSE(ArtifactsInput!$N$27+1,20,24,28,32,36,40),0)/100)),0)</f>
        <v/>
      </c>
      <c r="R1884">
        <f>IF(AND(Inputs!$B$38&lt;&gt;"pvp",Inputs!$B$43&gt;0),IF(MAX(0,Inputs!$B$43-B1913)&lt;=0,0,(INT(MAX(0,Inputs!$B$43-B1913)/(IF(Inputs!$B$38="pvp",15,MAX(0.1,Skills!D7-IF(TRUE=TRUE,Inputs!$B$32,0)))*(1-IF(AND(ArtifactsInput!$M$27,Inputs!$B$4="Chapter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$20+0+Skills!P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TRUE=TRUE,Inputs!$B$32,0)))*(1-IF(AND(ArtifactsInput!$M$27,Inputs!$B$4="Chapter Hunt"),CHOOSE(ArtifactsInput!$N$27+1,20,24,28,32,36,40),0)/100)))))/Skills!H7,1)))/Inputs!$B$43),G1884*Q1884))*IF(Inputs!$B$38="pvp",1,(1+(Inputs!$B$21+Skills!Q7+(((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Skills!G8*IF(Skills!H8&gt;0,IF(Inputs!$B$38="pvp",MIN(Skills!I8,15),Skills!I8)/Skills!H8,1)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IFERROR(1/(IF(Inputs!$B$38="pvp",15,MAX(0.1,Skills!D8-IF(TRUE=TRUE,Inputs!$B$32,0)))*(1-IF(AND(ArtifactsInput!$M$27,Inputs!$B$4="Chapter Hunt"),CHOOSE(ArtifactsInput!$N$27+1,20,24,28,32,36,40),0)/100)),0)</f>
        <v/>
      </c>
      <c r="R1885">
        <f>IF(AND(Inputs!$B$38&lt;&gt;"pvp",Inputs!$B$43&gt;0),IF(MAX(0,Inputs!$B$43-B1913)&lt;=0,0,(INT(MAX(0,Inputs!$B$43-B1913)/(IF(Inputs!$B$38="pvp",15,MAX(0.1,Skills!D8-IF(TRUE=TRUE,Inputs!$B$32,0)))*(1-IF(AND(ArtifactsInput!$M$27,Inputs!$B$4="Chapter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$20+0+Skills!P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TRUE=TRUE,Inputs!$B$32,0)))*(1-IF(AND(ArtifactsInput!$M$27,Inputs!$B$4="Chapter Hunt"),CHOOSE(ArtifactsInput!$N$27+1,20,24,28,32,36,40),0)/100)))))/Skills!H8,1)))/Inputs!$B$43),G1885*Q1885))*IF(Inputs!$B$38="pvp",1,(1+(Inputs!$B$21+Skills!Q8+(((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Skills!G9*IF(Skills!H9&gt;0,IF(Inputs!$B$38="pvp",MIN(Skills!I9,15),Skills!I9)/Skills!H9,1)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138,MAX(0,IF(Inputs!$B$3&gt;=118,8,IF(Inputs!$B$3&gt;=110,7,5))-5)*50,0),0)/100)*(1+(IF(Skills!A9="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IFERROR(1/(IF(Inputs!$B$38="pvp",15,MAX(0.1,Skills!D9-IF(TRUE=TRUE,Inputs!$B$32,0)))*(1-IF(AND(ArtifactsInput!$M$27,Inputs!$B$4="Chapter Hunt"),CHOOSE(ArtifactsInput!$N$27+1,20,24,28,32,36,40),0)/100)),0)</f>
        <v/>
      </c>
      <c r="R1886">
        <f>IF(AND(Inputs!$B$38&lt;&gt;"pvp",Inputs!$B$43&gt;0),IF(MAX(0,Inputs!$B$43-B1913)&lt;=0,0,(INT(MAX(0,Inputs!$B$43-B1913)/(IF(Inputs!$B$38="pvp",15,MAX(0.1,Skills!D9-IF(TRUE=TRUE,Inputs!$B$32,0)))*(1-IF(AND(ArtifactsInput!$M$27,Inputs!$B$4="Chapter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TRUE=TRUE,Inputs!$B$32,0)))*(1-IF(AND(ArtifactsInput!$M$27,Inputs!$B$4="Chapter Hunt"),CHOOSE(ArtifactsInput!$N$27+1,20,24,28,32,36,40),0)/100)))))/Skills!H9,1)))/Inputs!$B$43),G1886*Q1886))*IF(Inputs!$B$38="pvp",1,1+(Inputs!$B$20+0+Skills!P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TRUE=TRUE,Inputs!$B$32,0)))*(1-IF(AND(ArtifactsInput!$M$27,Inputs!$B$4="Chapter Hunt"),CHOOSE(ArtifactsInput!$N$27+1,20,24,28,32,36,40),0)/100)))))/Skills!H9,1)))/Inputs!$B$43),G1886*Q1886))*IF(Inputs!$B$38="pvp",1,(1+(Inputs!$B$21+Skills!Q9+(((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Skills!G10*IF(Skills!H10&gt;0,IF(Inputs!$B$38="pvp",MIN(Skills!I10,15),Skills!I10)/Skills!H10,1)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138,MAX(0,IF(Inputs!$B$3&gt;=118,8,IF(Inputs!$B$3&gt;=110,7,5))-5)*50,0),0)/100)*(1+(IF(Skills!A10="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IFERROR(1/(IF(Inputs!$B$38="pvp",15,MAX(0.1,Skills!D10-IF(TRUE=TRUE,Inputs!$B$32,0)))*(1-IF(AND(ArtifactsInput!$M$27,Inputs!$B$4="Chapter Hunt"),CHOOSE(ArtifactsInput!$N$27+1,20,24,28,32,36,40),0)/100)),0)</f>
        <v/>
      </c>
      <c r="R1887">
        <f>IF(AND(Inputs!$B$38&lt;&gt;"pvp",Inputs!$B$43&gt;0),IF(MAX(0,Inputs!$B$43-B1913)&lt;=0,0,(INT(MAX(0,Inputs!$B$43-B1913)/(IF(Inputs!$B$38="pvp",15,MAX(0.1,Skills!D10-IF(TRUE=TRUE,Inputs!$B$32,0)))*(1-IF(AND(ArtifactsInput!$M$27,Inputs!$B$4="Chapter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$20+0+Skills!P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TRUE=TRUE,Inputs!$B$32,0)))*(1-IF(AND(ArtifactsInput!$M$27,Inputs!$B$4="Chapter Hunt"),CHOOSE(ArtifactsInput!$N$27+1,20,24,28,32,36,40),0)/100)))))/Skills!H10,1)))/Inputs!$B$43),G1887*Q1887))*IF(Inputs!$B$38="pvp",1,(1+(Inputs!$B$21+Skills!Q10+(((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Skills!G11*IF(Skills!H11&gt;0,IF(Inputs!$B$38="pvp",MIN(Skills!I11,15),Skills!I11)/Skills!H11,1)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(100-(100-((Inputs!$B$19+0)))*(1-IF(Inputs!$B$3&gt;=130,IF(Inputs!$B$3&gt;=118,8,IF(Inputs!$B$3&gt;=110,7,5)),0)/100)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138,MAX(0,IF(Inputs!$B$3&gt;=118,8,IF(Inputs!$B$3&gt;=110,7,5))-5)*50,0),0)/100)*(1+(IF(Skills!A11="RAGING_BLOW",Inputs!$B$17+((C1898=TRUE)*(F1898-Calc!F21))+((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IFERROR(1/(IF(Inputs!$B$38="pvp",15,MAX(0.1,Skills!D11-IF(TRUE=TRUE,Inputs!$B$32,0)))*(1-IF(AND(ArtifactsInput!$M$27,Inputs!$B$4="Chapter Hunt"),CHOOSE(ArtifactsInput!$N$27+1,20,24,28,32,36,40),0)/100)),0)</f>
        <v/>
      </c>
      <c r="R1888">
        <f>IF(AND(Inputs!$B$38&lt;&gt;"pvp",Inputs!$B$43&gt;0),IF(MAX(0,Inputs!$B$43-B1913)&lt;=0,0,(INT(MAX(0,Inputs!$B$43-B1913)/(IF(Inputs!$B$38="pvp",15,MAX(0.1,Skills!D11-IF(TRUE=TRUE,Inputs!$B$32,0)))*(1-IF(AND(ArtifactsInput!$M$27,Inputs!$B$4="Chapter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$20+0+Skills!P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Inputs!$B$38&lt;&gt;"pvp",Inputs!$B$43=0),1,IF(IF(Inputs!$B$38="pvp",15,Inputs!$B$43)-(B1913)&lt;=0,1,MAX(0,IF(Inputs!$B$38="pvp",15,Inputs!$B$43)-MAX(5,B1913))/(IF(Inputs!$B$38="pvp",15,Inputs!$B$43)-(B1913))))*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TRUE=TRUE,Inputs!$B$32,0)))*(1-IF(AND(ArtifactsInput!$M$27,Inputs!$B$4="Chapter Hunt"),CHOOSE(ArtifactsInput!$N$27+1,20,24,28,32,36,40),0)/100)))))/Skills!H11,1)))/Inputs!$B$43),G1888*Q1888))*IF(Inputs!$B$38="pvp",1,(1+(Inputs!$B$21+Skills!Q11+(((C1893=TRUE)*F1893*(Skills!J16/100)*IF(AND(Inputs!$B$38&lt;&gt;"pvp",Inputs!$B$43&gt;0),(((R1893-1)*MIN((Skills!T16*(1+(Inputs!$B$34+(ArtifactsInput!$M$7-ArtifactsInput!$M$7)*CHOOSE(ArtifactsInput!$N$7+1,6,7.2,8.4,9.6,10.8,12))/100)),(1/Q1893))+MIN((Skills!T16*(1+(Inputs!$B$34+(ArtifactsInput!$M$7-ArtifactsInput!$M$7)*CHOOSE(ArtifactsInput!$N$7+1,6,7.2,8.4,9.6,10.8,12))/100)),MAX(0,Inputs!$B$43-((R1893-1)*(1/Q1893)))))/Inputs!$B$43),IF(Inputs!$B$38="pvp",MIN((Skills!T16*(1+(Inputs!$B$34+(ArtifactsInput!$M$7-ArtifactsInput!$M$7)*CHOOSE(ArtifactsInput!$N$7+1,6,7.2,8.4,9.6,10.8,12))/100)),15)/15,MIN(1,(Skills!T16*(1+(Inputs!$B$34+(ArtifactsInput!$M$7-ArtifactsInput!$M$7)*CHOOSE(ArtifactsInput!$N$7+1,6,7.2,8.4,9.6,10.8,12))/100))/(1/Q1893)))))+((C1885=TRUE)*IF(Inputs!$B$3&gt;=126,10*MIN(1,15*Q1885),0))+((C1882=TRUE)*((100/10)*(INDEX(FactorTable!$B$2:$Y$301,MATCH(ROUND(MIN(300,MAX(1,MAX(0,(Inputs!$B$3-100)*3)+Inputs!$B$28+Inputs!$B$29)),0),FactorTable!$A$2:$A$301,0),22)/1000))*(1+IF(Inputs!$B$3&gt;=134,0.5,0))*MIN(1,10*(1+(Inputs!$B$34+(ArtifactsInput!$M$7-ArtifactsInput!$M$7)*CHOOSE(ArtifactsInput!$N$7+1,6,7.2,8.4,9.6,10.8,12))/100)*Q1882)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Skills!G13*IF(Skills!H13&gt;0,IF(Inputs!$B$38="pvp",MIN(Skills!I13,15),Skills!I13)/Skills!H13,1)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Skills!G14*IF(Skills!H14&gt;0,IF(Inputs!$B$38="pvp",MIN(Skills!I14,15),Skills!I14)/Skills!H14,1)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Skills!G15*IF(Skills!H15&gt;0,IF(Inputs!$B$38="pvp",MIN(Skills!I15,15),Skills!I15)/Skills!H15,1)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IFERROR(1/(IF(Inputs!$B$38="pvp",15,MAX(0.1,Skills!D15-IF(TRUE=TRUE,Inputs!$B$32,0)))*(1-IF(AND(ArtifactsInput!$M$27,Inputs!$B$4="Chapter Hunt"),CHOOSE(ArtifactsInput!$N$27+1,20,24,28,32,36,40),0)/100)),0)</f>
        <v/>
      </c>
      <c r="R1892">
        <f>IF(AND(Inputs!$B$38&lt;&gt;"pvp",Inputs!$B$43&gt;0),IF(Inputs!$B$43&lt;=0,0,(INT(Inputs!$B$43/(IF(Inputs!$B$38="pvp",15,MAX(0.1,Skills!D15-IF(TRUE=TRUE,Inputs!$B$32,0)))*(1-IF(AND(ArtifactsInput!$M$27,Inputs!$B$4="Chapter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Skills!G16*IF(Skills!H16&gt;0,IF(Inputs!$B$38="pvp",MIN(Skills!I16,15),Skills!I16)/Skills!H16,1)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IFERROR(1/(IF(Inputs!$B$38="pvp",15,MAX(0.1,Skills!D16-IF(TRUE=TRUE,Inputs!$B$32,0)))*(1-IF(AND(ArtifactsInput!$M$27,Inputs!$B$4="Chapter Hunt"),CHOOSE(ArtifactsInput!$N$27+1,20,24,28,32,36,40),0)/100)),0)</f>
        <v/>
      </c>
      <c r="R1893">
        <f>IF(AND(Inputs!$B$38&lt;&gt;"pvp",Inputs!$B$43&gt;0),IF(Inputs!$B$43&lt;=0,0,(INT(Inputs!$B$43/(IF(Inputs!$B$38="pvp",15,MAX(0.1,Skills!D16-IF(TRUE=TRUE,Inputs!$B$32,0)))*(1-IF(AND(ArtifactsInput!$M$27,Inputs!$B$4="Chapter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Skills!G17*IF(Skills!H17&gt;0,IF(Inputs!$B$38="pvp",MIN(Skills!I17,15),Skills!I17)/Skills!H17,1)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IFERROR(1/(IF(Inputs!$B$38="pvp",15,MAX(0.1,Skills!D17-IF(TRUE=TRUE,Inputs!$B$32,0)))*(1-IF(AND(ArtifactsInput!$M$27,Inputs!$B$4="Chapter Hunt"),CHOOSE(ArtifactsInput!$N$27+1,20,24,28,32,36,40),0)/100)),0)</f>
        <v/>
      </c>
      <c r="R1894">
        <f>IF(AND(Inputs!$B$38&lt;&gt;"pvp",Inputs!$B$43&gt;0),IF(Inputs!$B$43&lt;=0,0,(INT(Inputs!$B$43/(IF(Inputs!$B$38="pvp",15,MAX(0.1,Skills!D17-IF(TRUE=TRUE,Inputs!$B$32,0)))*(1-IF(AND(ArtifactsInput!$M$27,Inputs!$B$4="Chapter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Skills!G18*IF(Skills!H18&gt;0,IF(Inputs!$B$38="pvp",MIN(Skills!I18,15),Skills!I18)/Skills!H18,1)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IFERROR(1/(IF(Inputs!$B$38="pvp",15,MAX(0.1,Skills!D18-IF(TRUE=TRUE,Inputs!$B$32,0)))*(1-IF(AND(ArtifactsInput!$M$27,Inputs!$B$4="Chapter Hunt"),CHOOSE(ArtifactsInput!$N$27+1,20,24,28,32,36,40),0)/100)),0)</f>
        <v/>
      </c>
      <c r="R1895">
        <f>IF(AND(Inputs!$B$38&lt;&gt;"pvp",Inputs!$B$43&gt;0),IF(Inputs!$B$43&lt;=0,0,(INT(Inputs!$B$43/(IF(Inputs!$B$38="pvp",15,MAX(0.1,Skills!D18-IF(TRUE=TRUE,Inputs!$B$32,0)))*(1-IF(AND(ArtifactsInput!$M$27,Inputs!$B$4="Chapter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Skills!G19*IF(Skills!H19&gt;0,IF(Inputs!$B$38="pvp",MIN(Skills!I19,15),Skills!I19)/Skills!H19,1)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IFERROR(1/(IF(Inputs!$B$38="pvp",15,MAX(0.1,Skills!D19-IF(TRUE=TRUE,Inputs!$B$32,0)))*(1-IF(AND(ArtifactsInput!$M$27,Inputs!$B$4="Chapter Hunt"),CHOOSE(ArtifactsInput!$N$27+1,20,24,28,32,36,40),0)/100)),0)</f>
        <v/>
      </c>
      <c r="R1896">
        <f>IF(AND(Inputs!$B$38&lt;&gt;"pvp",Inputs!$B$43&gt;0),IF(Inputs!$B$43&lt;=0,0,(INT(Inputs!$B$43/(IF(Inputs!$B$38="pvp",15,MAX(0.1,Skills!D19-IF(TRUE=TRUE,Inputs!$B$32,0)))*(1-IF(AND(ArtifactsInput!$M$27,Inputs!$B$4="Chapter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Skills!G20*IF(Skills!H20&gt;0,IF(Inputs!$B$38="pvp",MIN(Skills!I20,15),Skills!I20)/Skills!H20,1)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Skills!G21*IF(Skills!H21&gt;0,IF(Inputs!$B$38="pvp",MIN(Skills!I21,15),Skills!I21)/Skills!H21,1)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Skills!G22*IF(Skills!H22&gt;0,IF(Inputs!$B$38="pvp",MIN(Skills!I22,15),Skills!I22)/Skills!H22,1)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Skills!G23*IF(Skills!H23&gt;0,IF(Inputs!$B$38="pvp",MIN(Skills!I23,15),Skills!I23)/Skills!H23,1)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Skills!G24*IF(Skills!H24&gt;0,IF(Inputs!$B$38="pvp",MIN(Skills!I24,15),Skills!I24)/Skills!H24,1)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Skills!G25*IF(Skills!H25&gt;0,IF(Inputs!$B$38="pvp",MIN(Skills!I25,15),Skills!I25)/Skills!H25,1)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Skills!G26*IF(Skills!H26&gt;0,IF(Inputs!$B$38="pvp",MIN(Skills!I26,15),Skills!I26)/Skills!H26,1)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118,8,IF(Inputs!$B$3&gt;=110,7,5)))+((C1892=TRUE)*F1892*IF(AND(Inputs!$B$38&lt;&gt;"pvp",Inputs!$B$43&gt;0),(((R1892-1)*MIN((Skills!T15*(1+(Inputs!$B$34+(ArtifactsInput!$M$7-ArtifactsInput!$M$7)*CHOOSE(ArtifactsInput!$N$7+1,6,7.2,8.4,9.6,10.8,12))/100)),(1/Q1892))+MIN((Skills!T15*(1+(Inputs!$B$34+(ArtifactsInput!$M$7-ArtifactsInput!$M$7)*CHOOSE(ArtifactsInput!$N$7+1,6,7.2,8.4,9.6,10.8,12))/100)),MAX(0,Inputs!$B$43-((R1892-1)*(1/Q1892)))))/Inputs!$B$43),IF(Inputs!$B$38="pvp",MIN((Skills!T15*(1+(Inputs!$B$34+(ArtifactsInput!$M$7-ArtifactsInput!$M$7)*CHOOSE(ArtifactsInput!$N$7+1,6,7.2,8.4,9.6,10.8,12))/100)),15)/15,MIN(1,(Skills!T15*(1+(Inputs!$B$34+(ArtifactsInput!$M$7-ArtifactsInput!$M$7)*CHOOSE(ArtifactsInput!$N$7+1,6,7.2,8.4,9.6,10.8,12))/100))/(1/Q1892)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MIN((Skills!T19*(1+(Inputs!$B$34+(ArtifactsInput!$M$7-ArtifactsInput!$M$7)*CHOOSE(ArtifactsInput!$N$7+1,6,7.2,8.4,9.6,10.8,12))/100)),(1/Q1896))+MIN((Skills!T19*(1+(Inputs!$B$34+(ArtifactsInput!$M$7-ArtifactsInput!$M$7)*CHOOSE(ArtifactsInput!$N$7+1,6,7.2,8.4,9.6,10.8,12))/100)),MAX(0,Inputs!$B$43-((R1896-1)*(1/Q1896)))))/Inputs!$B$43),IF(Inputs!$B$38="pvp",MIN((Skills!T19*(1+(Inputs!$B$34+(ArtifactsInput!$M$7-ArtifactsInput!$M$7)*CHOOSE(ArtifactsInput!$N$7+1,6,7.2,8.4,9.6,10.8,12))/100)),15)/15,MIN(1,(Skills!T19*(1+(Inputs!$B$34+(ArtifactsInput!$M$7-ArtifactsInput!$M$7)*CHOOSE(ArtifactsInput!$N$7+1,6,7.2,8.4,9.6,10.8,12))/100))/(1/Q1896)))))</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MIN((Skills!T18*(1+(Inputs!$B$34+(ArtifactsInput!$M$7-ArtifactsInput!$M$7)*CHOOSE(ArtifactsInput!$N$7+1,6,7.2,8.4,9.6,10.8,12))/100)),(1/Q1895))+MIN((Skills!T18*(1+(Inputs!$B$34+(ArtifactsInput!$M$7-ArtifactsInput!$M$7)*CHOOSE(ArtifactsInput!$N$7+1,6,7.2,8.4,9.6,10.8,12))/100)),MAX(0,Inputs!$B$43-((R1895-1)*(1/Q1895)))))/Inputs!$B$43),IF(Inputs!$B$38="pvp",MIN((Skills!T18*(1+(Inputs!$B$34+(ArtifactsInput!$M$7-ArtifactsInput!$M$7)*CHOOSE(ArtifactsInput!$N$7+1,6,7.2,8.4,9.6,10.8,12))/100)),15)/15,MIN(1,(Skills!T18*(1+(Inputs!$B$34+(ArtifactsInput!$M$7-ArtifactsInput!$M$7)*CHOOSE(ArtifactsInput!$N$7+1,6,7.2,8.4,9.6,10.8,12))/100))/(1/Q1895)))))</f>
        <v/>
      </c>
    </row>
    <row r="1912">
      <c r="A1912" t="inlineStr">
        <is>
          <t>Global Final Damage Bonus % (Enrage + Combo Synergy)</t>
        </is>
      </c>
      <c r="B1912">
        <f>((C1894=TRUE)*F1894*IF(AND(Inputs!$B$38&lt;&gt;"pvp",Inputs!$B$43&gt;0),(((R1894-1)*MIN((Skills!T17*(1+(Inputs!$B$34+(ArtifactsInput!$M$7-ArtifactsInput!$M$7)*CHOOSE(ArtifactsInput!$N$7+1,6,7.2,8.4,9.6,10.8,12))/100)),(1/Q1894))+MIN((Skills!T17*(1+(Inputs!$B$34+(ArtifactsInput!$M$7-ArtifactsInput!$M$7)*CHOOSE(ArtifactsInput!$N$7+1,6,7.2,8.4,9.6,10.8,12))/100)),MAX(0,Inputs!$B$43-((R1894-1)*(1/Q1894)))))/Inputs!$B$43),IF(Inputs!$B$38="pvp",MIN((Skills!T17*(1+(Inputs!$B$34+(ArtifactsInput!$M$7-ArtifactsInput!$M$7)*CHOOSE(ArtifactsInput!$N$7+1,6,7.2,8.4,9.6,10.8,12))/100)),15)/15,MIN(1,(Skills!T17*(1+(Inputs!$B$34+(ArtifactsInput!$M$7-ArtifactsInput!$M$7)*CHOOSE(ArtifactsInput!$N$7+1,6,7.2,8.4,9.6,10.8,12))/100))/(1/Q1894)))))+((C1891=TRUE)*F1891*IF(Inputs!$B$3&gt;=118,8,IF(Inputs!$B$3&gt;=110,7,5)))+IF(Inputs!$B$3&gt;=98,5,0)</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Skills!G2*IF(Skills!H2&gt;0,IF(Inputs!$B$38="pvp",MIN(Skills!I2,15),Skills!I2)/Skills!H2,1)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Skills!G5*IF(Skills!H5&gt;0,IF(Inputs!$B$38="pvp",MIN(Skills!I5,15),Skills!I5)/Skills!H5,1)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IFERROR(1/(IF(Inputs!$B$38="pvp",15,MAX(0.1,Skills!D5-IF(TRUE=TRUE,Inputs!$B$32,0)))*(1-IF(AND(ArtifactsInput!$M$27,Inputs!$B$4="Chapter Hunt"),CHOOSE(ArtifactsInput!$N$27+1,20,24,28,32,36,40),0)/100)),0)</f>
        <v/>
      </c>
      <c r="R1924">
        <f>IF(AND(Inputs!$B$38&lt;&gt;"pvp",Inputs!$B$43&gt;0),IF(MAX(0,Inputs!$B$43-B1955)&lt;=0,0,(INT(MAX(0,Inputs!$B$43-B1955)/(IF(Inputs!$B$38="pvp",15,MAX(0.1,Skills!D5-IF(TRUE=TRUE,Inputs!$B$32,0)))*(1-IF(AND(ArtifactsInput!$M$27,Inputs!$B$4="Chapter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$20+0+Skills!P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TRUE=TRUE,Inputs!$B$32,0)))*(1-IF(AND(ArtifactsInput!$M$27,Inputs!$B$4="Chapter Hunt"),CHOOSE(ArtifactsInput!$N$27+1,20,24,28,32,36,40),0)/100)))))/Skills!H5,1)))/Inputs!$B$43),G1924*Q1924))*IF(Inputs!$B$38="pvp",1,(1+(Inputs!$B$21+Skills!Q5+(((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Skills!G6*IF(Skills!H6&gt;0,IF(Inputs!$B$38="pvp",MIN(Skills!I6,15),Skills!I6)/Skills!H6,1)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IFERROR(1/(IF(Inputs!$B$38="pvp",15,MAX(0.1,Skills!D6-IF(TRUE=TRUE,Inputs!$B$32,0)))*(1-IF(AND(ArtifactsInput!$M$27,Inputs!$B$4="Chapter Hunt"),CHOOSE(ArtifactsInput!$N$27+1,20,24,28,32,36,40),0)/100)),0)</f>
        <v/>
      </c>
      <c r="R1925">
        <f>IF(AND(Inputs!$B$38&lt;&gt;"pvp",Inputs!$B$43&gt;0),IF(MAX(0,Inputs!$B$43-B1955)&lt;=0,0,(INT(MAX(0,Inputs!$B$43-B1955)/(IF(Inputs!$B$38="pvp",15,MAX(0.1,Skills!D6-IF(TRUE=TRUE,Inputs!$B$32,0)))*(1-IF(AND(ArtifactsInput!$M$27,Inputs!$B$4="Chapter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$20+0+Skills!P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TRUE=TRUE,Inputs!$B$32,0)))*(1-IF(AND(ArtifactsInput!$M$27,Inputs!$B$4="Chapter Hunt"),CHOOSE(ArtifactsInput!$N$27+1,20,24,28,32,36,40),0)/100)))))/Skills!H6,1)))/Inputs!$B$43),G1925*Q1925))*IF(Inputs!$B$38="pvp",1,(1+(Inputs!$B$21+Skills!Q6+(((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Skills!G7*IF(Skills!H7&gt;0,IF(Inputs!$B$38="pvp",MIN(Skills!I7,15),Skills!I7)/Skills!H7,1)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IFERROR(1/(IF(Inputs!$B$38="pvp",15,MAX(0.1,Skills!D7-IF(TRUE=TRUE,Inputs!$B$32,0)))*(1-IF(AND(ArtifactsInput!$M$27,Inputs!$B$4="Chapter Hunt"),CHOOSE(ArtifactsInput!$N$27+1,20,24,28,32,36,40),0)/100)),0)</f>
        <v/>
      </c>
      <c r="R1926">
        <f>IF(AND(Inputs!$B$38&lt;&gt;"pvp",Inputs!$B$43&gt;0),IF(MAX(0,Inputs!$B$43-B1955)&lt;=0,0,(INT(MAX(0,Inputs!$B$43-B1955)/(IF(Inputs!$B$38="pvp",15,MAX(0.1,Skills!D7-IF(TRUE=TRUE,Inputs!$B$32,0)))*(1-IF(AND(ArtifactsInput!$M$27,Inputs!$B$4="Chapter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$20+0+Skills!P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TRUE=TRUE,Inputs!$B$32,0)))*(1-IF(AND(ArtifactsInput!$M$27,Inputs!$B$4="Chapter Hunt"),CHOOSE(ArtifactsInput!$N$27+1,20,24,28,32,36,40),0)/100)))))/Skills!H7,1)))/Inputs!$B$43),G1926*Q1926))*IF(Inputs!$B$38="pvp",1,(1+(Inputs!$B$21+Skills!Q7+(((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Skills!G8*IF(Skills!H8&gt;0,IF(Inputs!$B$38="pvp",MIN(Skills!I8,15),Skills!I8)/Skills!H8,1)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IFERROR(1/(IF(Inputs!$B$38="pvp",15,MAX(0.1,Skills!D8-IF(TRUE=TRUE,Inputs!$B$32,0)))*(1-IF(AND(ArtifactsInput!$M$27,Inputs!$B$4="Chapter Hunt"),CHOOSE(ArtifactsInput!$N$27+1,20,24,28,32,36,40),0)/100)),0)</f>
        <v/>
      </c>
      <c r="R1927">
        <f>IF(AND(Inputs!$B$38&lt;&gt;"pvp",Inputs!$B$43&gt;0),IF(MAX(0,Inputs!$B$43-B1955)&lt;=0,0,(INT(MAX(0,Inputs!$B$43-B1955)/(IF(Inputs!$B$38="pvp",15,MAX(0.1,Skills!D8-IF(TRUE=TRUE,Inputs!$B$32,0)))*(1-IF(AND(ArtifactsInput!$M$27,Inputs!$B$4="Chapter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$20+0+Skills!P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TRUE=TRUE,Inputs!$B$32,0)))*(1-IF(AND(ArtifactsInput!$M$27,Inputs!$B$4="Chapter Hunt"),CHOOSE(ArtifactsInput!$N$27+1,20,24,28,32,36,40),0)/100)))))/Skills!H8,1)))/Inputs!$B$43),G1927*Q1927))*IF(Inputs!$B$38="pvp",1,(1+(Inputs!$B$21+Skills!Q8+(((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Skills!G9*IF(Skills!H9&gt;0,IF(Inputs!$B$38="pvp",MIN(Skills!I9,15),Skills!I9)/Skills!H9,1)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138,MAX(0,IF(Inputs!$B$3&gt;=118,8,IF(Inputs!$B$3&gt;=110,7,5))-5)*50,0),0)/100)*(1+(IF(Skills!A9="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IFERROR(1/(IF(Inputs!$B$38="pvp",15,MAX(0.1,Skills!D9-IF(TRUE=TRUE,Inputs!$B$32,0)))*(1-IF(AND(ArtifactsInput!$M$27,Inputs!$B$4="Chapter Hunt"),CHOOSE(ArtifactsInput!$N$27+1,20,24,28,32,36,40),0)/100)),0)</f>
        <v/>
      </c>
      <c r="R1928">
        <f>IF(AND(Inputs!$B$38&lt;&gt;"pvp",Inputs!$B$43&gt;0),IF(MAX(0,Inputs!$B$43-B1955)&lt;=0,0,(INT(MAX(0,Inputs!$B$43-B1955)/(IF(Inputs!$B$38="pvp",15,MAX(0.1,Skills!D9-IF(TRUE=TRUE,Inputs!$B$32,0)))*(1-IF(AND(ArtifactsInput!$M$27,Inputs!$B$4="Chapter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TRUE=TRUE,Inputs!$B$32,0)))*(1-IF(AND(ArtifactsInput!$M$27,Inputs!$B$4="Chapter Hunt"),CHOOSE(ArtifactsInput!$N$27+1,20,24,28,32,36,40),0)/100)))))/Skills!H9,1)))/Inputs!$B$43),G1928*Q1928))*IF(Inputs!$B$38="pvp",1,1+(Inputs!$B$20+0+Skills!P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TRUE=TRUE,Inputs!$B$32,0)))*(1-IF(AND(ArtifactsInput!$M$27,Inputs!$B$4="Chapter Hunt"),CHOOSE(ArtifactsInput!$N$27+1,20,24,28,32,36,40),0)/100)))))/Skills!H9,1)))/Inputs!$B$43),G1928*Q1928))*IF(Inputs!$B$38="pvp",1,(1+(Inputs!$B$21+Skills!Q9+(((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Skills!G10*IF(Skills!H10&gt;0,IF(Inputs!$B$38="pvp",MIN(Skills!I10,15),Skills!I10)/Skills!H10,1)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138,MAX(0,IF(Inputs!$B$3&gt;=118,8,IF(Inputs!$B$3&gt;=110,7,5))-5)*50,0),0)/100)*(1+(IF(Skills!A10="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IFERROR(1/(IF(Inputs!$B$38="pvp",15,MAX(0.1,Skills!D10-IF(TRUE=TRUE,Inputs!$B$32,0)))*(1-IF(AND(ArtifactsInput!$M$27,Inputs!$B$4="Chapter Hunt"),CHOOSE(ArtifactsInput!$N$27+1,20,24,28,32,36,40),0)/100)),0)</f>
        <v/>
      </c>
      <c r="R1929">
        <f>IF(AND(Inputs!$B$38&lt;&gt;"pvp",Inputs!$B$43&gt;0),IF(MAX(0,Inputs!$B$43-B1955)&lt;=0,0,(INT(MAX(0,Inputs!$B$43-B1955)/(IF(Inputs!$B$38="pvp",15,MAX(0.1,Skills!D10-IF(TRUE=TRUE,Inputs!$B$32,0)))*(1-IF(AND(ArtifactsInput!$M$27,Inputs!$B$4="Chapter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$20+0+Skills!P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TRUE=TRUE,Inputs!$B$32,0)))*(1-IF(AND(ArtifactsInput!$M$27,Inputs!$B$4="Chapter Hunt"),CHOOSE(ArtifactsInput!$N$27+1,20,24,28,32,36,40),0)/100)))))/Skills!H10,1)))/Inputs!$B$43),G1929*Q1929))*IF(Inputs!$B$38="pvp",1,(1+(Inputs!$B$21+Skills!Q10+(((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Skills!G11*IF(Skills!H11&gt;0,IF(Inputs!$B$38="pvp",MIN(Skills!I11,15),Skills!I11)/Skills!H11,1)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(100-(100-((Inputs!$B$19+0)))*(1-IF(Inputs!$B$3&gt;=130,IF(Inputs!$B$3&gt;=118,8,IF(Inputs!$B$3&gt;=110,7,5)),0)/100)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138,MAX(0,IF(Inputs!$B$3&gt;=118,8,IF(Inputs!$B$3&gt;=110,7,5))-5)*50,0),0)/100)*(1+(IF(Skills!A11="RAGING_BLOW",Inputs!$B$17+((C1940=TRUE)*(F1940-Calc!F21))+((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IFERROR(1/(IF(Inputs!$B$38="pvp",15,MAX(0.1,Skills!D11-IF(TRUE=TRUE,Inputs!$B$32,0)))*(1-IF(AND(ArtifactsInput!$M$27,Inputs!$B$4="Chapter Hunt"),CHOOSE(ArtifactsInput!$N$27+1,20,24,28,32,36,40),0)/100)),0)</f>
        <v/>
      </c>
      <c r="R1930">
        <f>IF(AND(Inputs!$B$38&lt;&gt;"pvp",Inputs!$B$43&gt;0),IF(MAX(0,Inputs!$B$43-B1955)&lt;=0,0,(INT(MAX(0,Inputs!$B$43-B1955)/(IF(Inputs!$B$38="pvp",15,MAX(0.1,Skills!D11-IF(TRUE=TRUE,Inputs!$B$32,0)))*(1-IF(AND(ArtifactsInput!$M$27,Inputs!$B$4="Chapter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$20+0+Skills!P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Inputs!$B$38&lt;&gt;"pvp",Inputs!$B$43=0),1,IF(IF(Inputs!$B$38="pvp",15,Inputs!$B$43)-(B1955)&lt;=0,1,MAX(0,IF(Inputs!$B$38="pvp",15,Inputs!$B$43)-MAX(5,B1955))/(IF(Inputs!$B$38="pvp",15,Inputs!$B$43)-(B1955)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TRUE=TRUE,Inputs!$B$32,0)))*(1-IF(AND(ArtifactsInput!$M$27,Inputs!$B$4="Chapter Hunt"),CHOOSE(ArtifactsInput!$N$27+1,20,24,28,32,36,40),0)/100)))))/Skills!H11,1)))/Inputs!$B$43),G1930*Q1930))*IF(Inputs!$B$38="pvp",1,(1+(Inputs!$B$21+Skills!Q11+(((C1935=TRUE)*F1935*(Skills!J16/100)*IF(AND(Inputs!$B$38&lt;&gt;"pvp",Inputs!$B$43&gt;0),(((R1935-1)*MIN((Skills!T16*(1+(Inputs!$B$34+(ArtifactsInput!$M$7-ArtifactsInput!$M$7)*CHOOSE(ArtifactsInput!$N$7+1,6,7.2,8.4,9.6,10.8,12))/100)),(1/Q1935))+MIN((Skills!T16*(1+(Inputs!$B$34+(ArtifactsInput!$M$7-ArtifactsInput!$M$7)*CHOOSE(ArtifactsInput!$N$7+1,6,7.2,8.4,9.6,10.8,12))/100)),MAX(0,Inputs!$B$43-((R1935-1)*(1/Q1935)))))/Inputs!$B$43),IF(Inputs!$B$38="pvp",MIN((Skills!T16*(1+(Inputs!$B$34+(ArtifactsInput!$M$7-ArtifactsInput!$M$7)*CHOOSE(ArtifactsInput!$N$7+1,6,7.2,8.4,9.6,10.8,12))/100)),15)/15,MIN(1,(Skills!T16*(1+(Inputs!$B$34+(ArtifactsInput!$M$7-ArtifactsInput!$M$7)*CHOOSE(ArtifactsInput!$N$7+1,6,7.2,8.4,9.6,10.8,12))/100))/(1/Q1935)))))+((C1927=TRUE)*IF(Inputs!$B$3&gt;=126,10*MIN(1,15*Q1927),0))+((C1924=TRUE)*((100/10)*(INDEX(FactorTable!$B$2:$Y$301,MATCH(ROUND(MIN(300,MAX(1,MAX(0,(Inputs!$B$3-100)*3)+Inputs!$B$28+Inputs!$B$29)),0),FactorTable!$A$2:$A$301,0),22)/1000))*(1+IF(Inputs!$B$3&gt;=134,0.5,0))*MIN(1,10*(1+(Inputs!$B$34+(ArtifactsInput!$M$7-ArtifactsInput!$M$7)*CHOOSE(ArtifactsInput!$N$7+1,6,7.2,8.4,9.6,10.8,12))/100)*Q1924)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Skills!G13*IF(Skills!H13&gt;0,IF(Inputs!$B$38="pvp",MIN(Skills!I13,15),Skills!I13)/Skills!H13,1)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Skills!G14*IF(Skills!H14&gt;0,IF(Inputs!$B$38="pvp",MIN(Skills!I14,15),Skills!I14)/Skills!H14,1)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Skills!G15*IF(Skills!H15&gt;0,IF(Inputs!$B$38="pvp",MIN(Skills!I15,15),Skills!I15)/Skills!H15,1)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IFERROR(1/(IF(Inputs!$B$38="pvp",15,MAX(0.1,Skills!D15-IF(TRUE=TRUE,Inputs!$B$32,0)))*(1-IF(AND(ArtifactsInput!$M$27,Inputs!$B$4="Chapter Hunt"),CHOOSE(ArtifactsInput!$N$27+1,20,24,28,32,36,40),0)/100)),0)</f>
        <v/>
      </c>
      <c r="R1934">
        <f>IF(AND(Inputs!$B$38&lt;&gt;"pvp",Inputs!$B$43&gt;0),IF(Inputs!$B$43&lt;=0,0,(INT(Inputs!$B$43/(IF(Inputs!$B$38="pvp",15,MAX(0.1,Skills!D15-IF(TRUE=TRUE,Inputs!$B$32,0)))*(1-IF(AND(ArtifactsInput!$M$27,Inputs!$B$4="Chapter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Skills!G16*IF(Skills!H16&gt;0,IF(Inputs!$B$38="pvp",MIN(Skills!I16,15),Skills!I16)/Skills!H16,1)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IFERROR(1/(IF(Inputs!$B$38="pvp",15,MAX(0.1,Skills!D16-IF(TRUE=TRUE,Inputs!$B$32,0)))*(1-IF(AND(ArtifactsInput!$M$27,Inputs!$B$4="Chapter Hunt"),CHOOSE(ArtifactsInput!$N$27+1,20,24,28,32,36,40),0)/100)),0)</f>
        <v/>
      </c>
      <c r="R1935">
        <f>IF(AND(Inputs!$B$38&lt;&gt;"pvp",Inputs!$B$43&gt;0),IF(Inputs!$B$43&lt;=0,0,(INT(Inputs!$B$43/(IF(Inputs!$B$38="pvp",15,MAX(0.1,Skills!D16-IF(TRUE=TRUE,Inputs!$B$32,0)))*(1-IF(AND(ArtifactsInput!$M$27,Inputs!$B$4="Chapter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Skills!G17*IF(Skills!H17&gt;0,IF(Inputs!$B$38="pvp",MIN(Skills!I17,15),Skills!I17)/Skills!H17,1)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IFERROR(1/(IF(Inputs!$B$38="pvp",15,MAX(0.1,Skills!D17-IF(TRUE=TRUE,Inputs!$B$32,0)))*(1-IF(AND(ArtifactsInput!$M$27,Inputs!$B$4="Chapter Hunt"),CHOOSE(ArtifactsInput!$N$27+1,20,24,28,32,36,40),0)/100)),0)</f>
        <v/>
      </c>
      <c r="R1936">
        <f>IF(AND(Inputs!$B$38&lt;&gt;"pvp",Inputs!$B$43&gt;0),IF(Inputs!$B$43&lt;=0,0,(INT(Inputs!$B$43/(IF(Inputs!$B$38="pvp",15,MAX(0.1,Skills!D17-IF(TRUE=TRUE,Inputs!$B$32,0)))*(1-IF(AND(ArtifactsInput!$M$27,Inputs!$B$4="Chapter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Skills!G18*IF(Skills!H18&gt;0,IF(Inputs!$B$38="pvp",MIN(Skills!I18,15),Skills!I18)/Skills!H18,1)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IFERROR(1/(IF(Inputs!$B$38="pvp",15,MAX(0.1,Skills!D18-IF(TRUE=TRUE,Inputs!$B$32,0)))*(1-IF(AND(ArtifactsInput!$M$27,Inputs!$B$4="Chapter Hunt"),CHOOSE(ArtifactsInput!$N$27+1,20,24,28,32,36,40),0)/100)),0)</f>
        <v/>
      </c>
      <c r="R1937">
        <f>IF(AND(Inputs!$B$38&lt;&gt;"pvp",Inputs!$B$43&gt;0),IF(Inputs!$B$43&lt;=0,0,(INT(Inputs!$B$43/(IF(Inputs!$B$38="pvp",15,MAX(0.1,Skills!D18-IF(TRUE=TRUE,Inputs!$B$32,0)))*(1-IF(AND(ArtifactsInput!$M$27,Inputs!$B$4="Chapter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Skills!G19*IF(Skills!H19&gt;0,IF(Inputs!$B$38="pvp",MIN(Skills!I19,15),Skills!I19)/Skills!H19,1)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IFERROR(1/(IF(Inputs!$B$38="pvp",15,MAX(0.1,Skills!D19-IF(TRUE=TRUE,Inputs!$B$32,0)))*(1-IF(AND(ArtifactsInput!$M$27,Inputs!$B$4="Chapter Hunt"),CHOOSE(ArtifactsInput!$N$27+1,20,24,28,32,36,40),0)/100)),0)</f>
        <v/>
      </c>
      <c r="R1938">
        <f>IF(AND(Inputs!$B$38&lt;&gt;"pvp",Inputs!$B$43&gt;0),IF(Inputs!$B$43&lt;=0,0,(INT(Inputs!$B$43/(IF(Inputs!$B$38="pvp",15,MAX(0.1,Skills!D19-IF(TRUE=TRUE,Inputs!$B$32,0)))*(1-IF(AND(ArtifactsInput!$M$27,Inputs!$B$4="Chapter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Skills!G20*IF(Skills!H20&gt;0,IF(Inputs!$B$38="pvp",MIN(Skills!I20,15),Skills!I20)/Skills!H20,1)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Skills!G21*IF(Skills!H21&gt;0,IF(Inputs!$B$38="pvp",MIN(Skills!I21,15),Skills!I21)/Skills!H21,1)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Skills!G22*IF(Skills!H22&gt;0,IF(Inputs!$B$38="pvp",MIN(Skills!I22,15),Skills!I22)/Skills!H22,1)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Skills!G23*IF(Skills!H23&gt;0,IF(Inputs!$B$38="pvp",MIN(Skills!I23,15),Skills!I23)/Skills!H23,1)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Skills!G24*IF(Skills!H24&gt;0,IF(Inputs!$B$38="pvp",MIN(Skills!I24,15),Skills!I24)/Skills!H24,1)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Skills!G25*IF(Skills!H25&gt;0,IF(Inputs!$B$38="pvp",MIN(Skills!I25,15),Skills!I25)/Skills!H25,1)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Skills!G26*IF(Skills!H26&gt;0,IF(Inputs!$B$38="pvp",MIN(Skills!I26,15),Skills!I26)/Skills!H26,1)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118,8,IF(Inputs!$B$3&gt;=110,7,5)))+((C1934=TRUE)*F1934*IF(AND(Inputs!$B$38&lt;&gt;"pvp",Inputs!$B$43&gt;0),(((R1934-1)*MIN((Skills!T15*(1+(Inputs!$B$34+(ArtifactsInput!$M$7-ArtifactsInput!$M$7)*CHOOSE(ArtifactsInput!$N$7+1,6,7.2,8.4,9.6,10.8,12))/100)),(1/Q1934))+MIN((Skills!T15*(1+(Inputs!$B$34+(ArtifactsInput!$M$7-ArtifactsInput!$M$7)*CHOOSE(ArtifactsInput!$N$7+1,6,7.2,8.4,9.6,10.8,12))/100)),MAX(0,Inputs!$B$43-((R1934-1)*(1/Q1934)))))/Inputs!$B$43),IF(Inputs!$B$38="pvp",MIN((Skills!T15*(1+(Inputs!$B$34+(ArtifactsInput!$M$7-ArtifactsInput!$M$7)*CHOOSE(ArtifactsInput!$N$7+1,6,7.2,8.4,9.6,10.8,12))/100)),15)/15,MIN(1,(Skills!T15*(1+(Inputs!$B$34+(ArtifactsInput!$M$7-ArtifactsInput!$M$7)*CHOOSE(ArtifactsInput!$N$7+1,6,7.2,8.4,9.6,10.8,12))/100))/(1/Q1934)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MIN((Skills!T19*(1+(Inputs!$B$34+(ArtifactsInput!$M$7-ArtifactsInput!$M$7)*CHOOSE(ArtifactsInput!$N$7+1,6,7.2,8.4,9.6,10.8,12))/100)),(1/Q1938))+MIN((Skills!T19*(1+(Inputs!$B$34+(ArtifactsInput!$M$7-ArtifactsInput!$M$7)*CHOOSE(ArtifactsInput!$N$7+1,6,7.2,8.4,9.6,10.8,12))/100)),MAX(0,Inputs!$B$43-((R1938-1)*(1/Q1938)))))/Inputs!$B$43),IF(Inputs!$B$38="pvp",MIN((Skills!T19*(1+(Inputs!$B$34+(ArtifactsInput!$M$7-ArtifactsInput!$M$7)*CHOOSE(ArtifactsInput!$N$7+1,6,7.2,8.4,9.6,10.8,12))/100)),15)/15,MIN(1,(Skills!T19*(1+(Inputs!$B$34+(ArtifactsInput!$M$7-ArtifactsInput!$M$7)*CHOOSE(ArtifactsInput!$N$7+1,6,7.2,8.4,9.6,10.8,12))/100))/(1/Q1938)))))</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MIN((Skills!T18*(1+(Inputs!$B$34+(ArtifactsInput!$M$7-ArtifactsInput!$M$7)*CHOOSE(ArtifactsInput!$N$7+1,6,7.2,8.4,9.6,10.8,12))/100)),(1/Q1937))+MIN((Skills!T18*(1+(Inputs!$B$34+(ArtifactsInput!$M$7-ArtifactsInput!$M$7)*CHOOSE(ArtifactsInput!$N$7+1,6,7.2,8.4,9.6,10.8,12))/100)),MAX(0,Inputs!$B$43-((R1937-1)*(1/Q1937)))))/Inputs!$B$43),IF(Inputs!$B$38="pvp",MIN((Skills!T18*(1+(Inputs!$B$34+(ArtifactsInput!$M$7-ArtifactsInput!$M$7)*CHOOSE(ArtifactsInput!$N$7+1,6,7.2,8.4,9.6,10.8,12))/100)),15)/15,MIN(1,(Skills!T18*(1+(Inputs!$B$34+(ArtifactsInput!$M$7-ArtifactsInput!$M$7)*CHOOSE(ArtifactsInput!$N$7+1,6,7.2,8.4,9.6,10.8,12))/100))/(1/Q1937)))))</f>
        <v/>
      </c>
    </row>
    <row r="1954">
      <c r="A1954" t="inlineStr">
        <is>
          <t>Global Final Damage Bonus % (Enrage + Combo Synergy)</t>
        </is>
      </c>
      <c r="B1954">
        <f>((C1936=TRUE)*F1936*IF(AND(Inputs!$B$38&lt;&gt;"pvp",Inputs!$B$43&gt;0),(((R1936-1)*MIN((Skills!T17*(1+(Inputs!$B$34+(ArtifactsInput!$M$7-ArtifactsInput!$M$7)*CHOOSE(ArtifactsInput!$N$7+1,6,7.2,8.4,9.6,10.8,12))/100)),(1/Q1936))+MIN((Skills!T17*(1+(Inputs!$B$34+(ArtifactsInput!$M$7-ArtifactsInput!$M$7)*CHOOSE(ArtifactsInput!$N$7+1,6,7.2,8.4,9.6,10.8,12))/100)),MAX(0,Inputs!$B$43-((R1936-1)*(1/Q1936)))))/Inputs!$B$43),IF(Inputs!$B$38="pvp",MIN((Skills!T17*(1+(Inputs!$B$34+(ArtifactsInput!$M$7-ArtifactsInput!$M$7)*CHOOSE(ArtifactsInput!$N$7+1,6,7.2,8.4,9.6,10.8,12))/100)),15)/15,MIN(1,(Skills!T17*(1+(Inputs!$B$34+(ArtifactsInput!$M$7-ArtifactsInput!$M$7)*CHOOSE(ArtifactsInput!$N$7+1,6,7.2,8.4,9.6,10.8,12))/100))/(1/Q1936)))))+((C1933=TRUE)*F1933*IF(Inputs!$B$3&gt;=118,8,IF(Inputs!$B$3&gt;=110,7,5)))+IF(Inputs!$B$3&gt;=98,5,0)</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Skills!G2*IF(Skills!H2&gt;0,IF(Inputs!$B$38="pvp",MIN(Skills!I2,15),Skills!I2)/Skills!H2,1)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Skills!G5*IF(Skills!H5&gt;0,IF(Inputs!$B$38="pvp",MIN(Skills!I5,15),Skills!I5)/Skills!H5,1)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IFERROR(1/(IF(Inputs!$B$38="pvp",15,MAX(0.1,Skills!D5-IF(TRUE=TRUE,Inputs!$B$32,0)))*(1-IF(AND(ArtifactsInput!$M$27,Inputs!$B$4="Chapter Hunt"),CHOOSE(ArtifactsInput!$N$27+1,20,24,28,32,36,40),0)/100)),0)</f>
        <v/>
      </c>
      <c r="R1966">
        <f>IF(AND(Inputs!$B$38&lt;&gt;"pvp",Inputs!$B$43&gt;0),IF(MAX(0,Inputs!$B$43-B1997)&lt;=0,0,(INT(MAX(0,Inputs!$B$43-B1997)/(IF(Inputs!$B$38="pvp",15,MAX(0.1,Skills!D5-IF(TRUE=TRUE,Inputs!$B$32,0)))*(1-IF(AND(ArtifactsInput!$M$27,Inputs!$B$4="Chapter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$20+0+Skills!P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TRUE=TRUE,Inputs!$B$32,0)))*(1-IF(AND(ArtifactsInput!$M$27,Inputs!$B$4="Chapter Hunt"),CHOOSE(ArtifactsInput!$N$27+1,20,24,28,32,36,40),0)/100)))))/Skills!H5,1)))/Inputs!$B$43),G1966*Q1966))*IF(Inputs!$B$38="pvp",1,(1+(Inputs!$B$21+Skills!Q5+(((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Skills!G6*IF(Skills!H6&gt;0,IF(Inputs!$B$38="pvp",MIN(Skills!I6,15),Skills!I6)/Skills!H6,1)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$20+0+Skills!P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TRUE=TRUE,Inputs!$B$32,0)))*(1-IF(AND(ArtifactsInput!$M$27,Inputs!$B$4="Chapter Hunt"),CHOOSE(ArtifactsInput!$N$27+1,20,24,28,32,36,40),0)/100)))))/Skills!H6,1)))/Inputs!$B$43),G1967*Q1967))*IF(Inputs!$B$38="pvp",1,(1+(Inputs!$B$21+Skills!Q6+(((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Skills!G7*IF(Skills!H7&gt;0,IF(Inputs!$B$38="pvp",MIN(Skills!I7,15),Skills!I7)/Skills!H7,1)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$20+0+Skills!P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TRUE=TRUE,Inputs!$B$32,0)))*(1-IF(AND(ArtifactsInput!$M$27,Inputs!$B$4="Chapter Hunt"),CHOOSE(ArtifactsInput!$N$27+1,20,24,28,32,36,40),0)/100)))))/Skills!H7,1)))/Inputs!$B$43),G1968*Q1968))*IF(Inputs!$B$38="pvp",1,(1+(Inputs!$B$21+Skills!Q7+(((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Skills!G8*IF(Skills!H8&gt;0,IF(Inputs!$B$38="pvp",MIN(Skills!I8,15),Skills!I8)/Skills!H8,1)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$20+0+Skills!P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TRUE=TRUE,Inputs!$B$32,0)))*(1-IF(AND(ArtifactsInput!$M$27,Inputs!$B$4="Chapter Hunt"),CHOOSE(ArtifactsInput!$N$27+1,20,24,28,32,36,40),0)/100)))))/Skills!H8,1)))/Inputs!$B$43),G1969*Q1969))*IF(Inputs!$B$38="pvp",1,(1+(Inputs!$B$21+Skills!Q8+(((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Skills!G9*IF(Skills!H9&gt;0,IF(Inputs!$B$38="pvp",MIN(Skills!I9,15),Skills!I9)/Skills!H9,1)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138,MAX(0,IF(Inputs!$B$3&gt;=118,8,IF(Inputs!$B$3&gt;=110,7,5))-5)*50,0),0)/100)*(1+(IF(Skills!A9="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IFERROR(1/(IF(Inputs!$B$38="pvp",15,MAX(0.1,Skills!D9-IF(TRUE=TRUE,Inputs!$B$32,0)))*(1-IF(AND(ArtifactsInput!$M$27,Inputs!$B$4="Chapter Hunt"),CHOOSE(ArtifactsInput!$N$27+1,20,24,28,32,36,40),0)/100)),0)</f>
        <v/>
      </c>
      <c r="R1970">
        <f>IF(AND(Inputs!$B$38&lt;&gt;"pvp",Inputs!$B$43&gt;0),IF(MAX(0,Inputs!$B$43-B1997)&lt;=0,0,(INT(MAX(0,Inputs!$B$43-B1997)/(IF(Inputs!$B$38="pvp",15,MAX(0.1,Skills!D9-IF(TRUE=TRUE,Inputs!$B$32,0)))*(1-IF(AND(ArtifactsInput!$M$27,Inputs!$B$4="Chapter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$20+0+Skills!P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TRUE=TRUE,Inputs!$B$32,0)))*(1-IF(AND(ArtifactsInput!$M$27,Inputs!$B$4="Chapter Hunt"),CHOOSE(ArtifactsInput!$N$27+1,20,24,28,32,36,40),0)/100)))))/Skills!H9,1)))/Inputs!$B$43),G1970*Q1970))*IF(Inputs!$B$38="pvp",1,(1+(Inputs!$B$21+Skills!Q9+(((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Skills!G10*IF(Skills!H10&gt;0,IF(Inputs!$B$38="pvp",MIN(Skills!I10,15),Skills!I10)/Skills!H10,1)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138,MAX(0,IF(Inputs!$B$3&gt;=118,8,IF(Inputs!$B$3&gt;=110,7,5))-5)*50,0),0)/100)*(1+(IF(Skills!A10="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$20+0+Skills!P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TRUE=TRUE,Inputs!$B$32,0)))*(1-IF(AND(ArtifactsInput!$M$27,Inputs!$B$4="Chapter Hunt"),CHOOSE(ArtifactsInput!$N$27+1,20,24,28,32,36,40),0)/100)))))/Skills!H10,1)))/Inputs!$B$43),G1971*Q1971))*IF(Inputs!$B$38="pvp",1,(1+(Inputs!$B$21+Skills!Q10+(((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Skills!G11*IF(Skills!H11&gt;0,IF(Inputs!$B$38="pvp",MIN(Skills!I11,15),Skills!I11)/Skills!H11,1)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(100-(100-((Inputs!$B$19+0)))*(1-IF(Inputs!$B$3&gt;=130,IF(Inputs!$B$3&gt;=118,8,IF(Inputs!$B$3&gt;=110,7,5)),0)/100)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138,MAX(0,IF(Inputs!$B$3&gt;=118,8,IF(Inputs!$B$3&gt;=110,7,5))-5)*50,0),0)/100)*(1+(IF(Skills!A11="RAGING_BLOW",Inputs!$B$17+((C1982=TRUE)*(F1982-Calc!F21))+((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IFERROR(1/(IF(Inputs!$B$38="pvp",15,MAX(0.1,Skills!D11-IF(TRUE=TRUE,Inputs!$B$32,0)))*(1-IF(AND(ArtifactsInput!$M$27,Inputs!$B$4="Chapter Hunt"),CHOOSE(ArtifactsInput!$N$27+1,20,24,28,32,36,40),0)/100)),0)</f>
        <v/>
      </c>
      <c r="R1972">
        <f>IF(AND(Inputs!$B$38&lt;&gt;"pvp",Inputs!$B$43&gt;0),IF(MAX(0,Inputs!$B$43-B1997)&lt;=0,0,(INT(MAX(0,Inputs!$B$43-B1997)/(IF(Inputs!$B$38="pvp",15,MAX(0.1,Skills!D11-IF(TRUE=TRUE,Inputs!$B$32,0)))*(1-IF(AND(ArtifactsInput!$M$27,Inputs!$B$4="Chapter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$20+0+Skills!P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Inputs!$B$38&lt;&gt;"pvp",Inputs!$B$43=0),1,IF(IF(Inputs!$B$38="pvp",15,Inputs!$B$43)-(B1997)&lt;=0,1,MAX(0,IF(Inputs!$B$38="pvp",15,Inputs!$B$43)-MAX(5,B1997))/(IF(Inputs!$B$38="pvp",15,Inputs!$B$43)-(B1997)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TRUE=TRUE,Inputs!$B$32,0)))*(1-IF(AND(ArtifactsInput!$M$27,Inputs!$B$4="Chapter Hunt"),CHOOSE(ArtifactsInput!$N$27+1,20,24,28,32,36,40),0)/100)))))/Skills!H11,1)))/Inputs!$B$43),G1972*Q1972))*IF(Inputs!$B$38="pvp",1,(1+(Inputs!$B$21+Skills!Q11+(((C1977=TRUE)*F1977*(Skills!J16/100)*IF(AND(Inputs!$B$38&lt;&gt;"pvp",Inputs!$B$43&gt;0),(((R1977-1)*MIN((Skills!T16*(1+(Inputs!$B$34+(ArtifactsInput!$M$7-ArtifactsInput!$M$7)*CHOOSE(ArtifactsInput!$N$7+1,6,7.2,8.4,9.6,10.8,12))/100)),(1/Q1977))+MIN((Skills!T16*(1+(Inputs!$B$34+(ArtifactsInput!$M$7-ArtifactsInput!$M$7)*CHOOSE(ArtifactsInput!$N$7+1,6,7.2,8.4,9.6,10.8,12))/100)),MAX(0,Inputs!$B$43-((R1977-1)*(1/Q1977)))))/Inputs!$B$43),IF(Inputs!$B$38="pvp",MIN((Skills!T16*(1+(Inputs!$B$34+(ArtifactsInput!$M$7-ArtifactsInput!$M$7)*CHOOSE(ArtifactsInput!$N$7+1,6,7.2,8.4,9.6,10.8,12))/100)),15)/15,MIN(1,(Skills!T16*(1+(Inputs!$B$34+(ArtifactsInput!$M$7-ArtifactsInput!$M$7)*CHOOSE(ArtifactsInput!$N$7+1,6,7.2,8.4,9.6,10.8,12))/100))/(1/Q1977)))))+((C1969=TRUE)*IF(Inputs!$B$3&gt;=126,10*MIN(1,15*Q1969),0))+((C1966=TRUE)*((100/10)*(INDEX(FactorTable!$B$2:$Y$301,MATCH(ROUND(MIN(300,MAX(1,MAX(0,(Inputs!$B$3-100)*3)+Inputs!$B$28+Inputs!$B$29)),0),FactorTable!$A$2:$A$301,0),22)/1000))*(1+IF(Inputs!$B$3&gt;=134,0.5,0))*MIN(1,10*(1+(Inputs!$B$34+(ArtifactsInput!$M$7-ArtifactsInput!$M$7)*CHOOSE(ArtifactsInput!$N$7+1,6,7.2,8.4,9.6,10.8,12))/100)*Q1966)))+(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Skills!G13*IF(Skills!H13&gt;0,IF(Inputs!$B$38="pvp",MIN(Skills!I13,15),Skills!I13)/Skills!H13,1)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Skills!G14*IF(Skills!H14&gt;0,IF(Inputs!$B$38="pvp",MIN(Skills!I14,15),Skills!I14)/Skills!H14,1)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Skills!G15*IF(Skills!H15&gt;0,IF(Inputs!$B$38="pvp",MIN(Skills!I15,15),Skills!I15)/Skills!H15,1)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Skills!G16*IF(Skills!H16&gt;0,IF(Inputs!$B$38="pvp",MIN(Skills!I16,15),Skills!I16)/Skills!H16,1)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IFERROR(1/(IF(Inputs!$B$38="pvp",15,MAX(0.1,Skills!D16-IF(TRUE=TRUE,Inputs!$B$32,0)))*(1-IF(AND(ArtifactsInput!$M$27,Inputs!$B$4="Chapter Hunt"),CHOOSE(ArtifactsInput!$N$27+1,20,24,28,32,36,40),0)/100)),0)</f>
        <v/>
      </c>
      <c r="R1977">
        <f>IF(AND(Inputs!$B$38&lt;&gt;"pvp",Inputs!$B$43&gt;0),IF(Inputs!$B$43&lt;=0,0,(INT(Inputs!$B$43/(IF(Inputs!$B$38="pvp",15,MAX(0.1,Skills!D16-IF(TRUE=TRUE,Inputs!$B$32,0)))*(1-IF(AND(ArtifactsInput!$M$27,Inputs!$B$4="Chapter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Skills!G17*IF(Skills!H17&gt;0,IF(Inputs!$B$38="pvp",MIN(Skills!I17,15),Skills!I17)/Skills!H17,1)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IFERROR(1/(IF(Inputs!$B$38="pvp",15,MAX(0.1,Skills!D17-IF(TRUE=TRUE,Inputs!$B$32,0)))*(1-IF(AND(ArtifactsInput!$M$27,Inputs!$B$4="Chapter Hunt"),CHOOSE(ArtifactsInput!$N$27+1,20,24,28,32,36,40),0)/100)),0)</f>
        <v/>
      </c>
      <c r="R1978">
        <f>IF(AND(Inputs!$B$38&lt;&gt;"pvp",Inputs!$B$43&gt;0),IF(Inputs!$B$43&lt;=0,0,(INT(Inputs!$B$43/(IF(Inputs!$B$38="pvp",15,MAX(0.1,Skills!D17-IF(TRUE=TRUE,Inputs!$B$32,0)))*(1-IF(AND(ArtifactsInput!$M$27,Inputs!$B$4="Chapter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Skills!G18*IF(Skills!H18&gt;0,IF(Inputs!$B$38="pvp",MIN(Skills!I18,15),Skills!I18)/Skills!H18,1)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IFERROR(1/(IF(Inputs!$B$38="pvp",15,MAX(0.1,Skills!D18-IF(TRUE=TRUE,Inputs!$B$32,0)))*(1-IF(AND(ArtifactsInput!$M$27,Inputs!$B$4="Chapter Hunt"),CHOOSE(ArtifactsInput!$N$27+1,20,24,28,32,36,40),0)/100)),0)</f>
        <v/>
      </c>
      <c r="R1979">
        <f>IF(AND(Inputs!$B$38&lt;&gt;"pvp",Inputs!$B$43&gt;0),IF(Inputs!$B$43&lt;=0,0,(INT(Inputs!$B$43/(IF(Inputs!$B$38="pvp",15,MAX(0.1,Skills!D18-IF(TRUE=TRUE,Inputs!$B$32,0)))*(1-IF(AND(ArtifactsInput!$M$27,Inputs!$B$4="Chapter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Skills!G19*IF(Skills!H19&gt;0,IF(Inputs!$B$38="pvp",MIN(Skills!I19,15),Skills!I19)/Skills!H19,1)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IFERROR(1/(IF(Inputs!$B$38="pvp",15,MAX(0.1,Skills!D19-IF(TRUE=TRUE,Inputs!$B$32,0)))*(1-IF(AND(ArtifactsInput!$M$27,Inputs!$B$4="Chapter Hunt"),CHOOSE(ArtifactsInput!$N$27+1,20,24,28,32,36,40),0)/100)),0)</f>
        <v/>
      </c>
      <c r="R1980">
        <f>IF(AND(Inputs!$B$38&lt;&gt;"pvp",Inputs!$B$43&gt;0),IF(Inputs!$B$43&lt;=0,0,(INT(Inputs!$B$43/(IF(Inputs!$B$38="pvp",15,MAX(0.1,Skills!D19-IF(TRUE=TRUE,Inputs!$B$32,0)))*(1-IF(AND(ArtifactsInput!$M$27,Inputs!$B$4="Chapter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Skills!G20*IF(Skills!H20&gt;0,IF(Inputs!$B$38="pvp",MIN(Skills!I20,15),Skills!I20)/Skills!H20,1)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Skills!G21*IF(Skills!H21&gt;0,IF(Inputs!$B$38="pvp",MIN(Skills!I21,15),Skills!I21)/Skills!H21,1)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Skills!G22*IF(Skills!H22&gt;0,IF(Inputs!$B$38="pvp",MIN(Skills!I22,15),Skills!I22)/Skills!H22,1)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Skills!G23*IF(Skills!H23&gt;0,IF(Inputs!$B$38="pvp",MIN(Skills!I23,15),Skills!I23)/Skills!H23,1)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Skills!G24*IF(Skills!H24&gt;0,IF(Inputs!$B$38="pvp",MIN(Skills!I24,15),Skills!I24)/Skills!H24,1)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Skills!G25*IF(Skills!H25&gt;0,IF(Inputs!$B$38="pvp",MIN(Skills!I25,15),Skills!I25)/Skills!H25,1)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Skills!G26*IF(Skills!H26&gt;0,IF(Inputs!$B$38="pvp",MIN(Skills!I26,15),Skills!I26)/Skills!H26,1)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118,8,IF(Inputs!$B$3&gt;=110,7,5)))+((C1976=TRUE)*F1976*IF(AND(Inputs!$B$38&lt;&gt;"pvp",Inputs!$B$43&gt;0),(((R1976-1)*MIN((Skills!T15*(1+(Inputs!$B$34+(ArtifactsInput!$M$7-ArtifactsInput!$M$7)*CHOOSE(ArtifactsInput!$N$7+1,6,7.2,8.4,9.6,10.8,12))/100)),(1/Q1976))+MIN((Skills!T15*(1+(Inputs!$B$34+(ArtifactsInput!$M$7-ArtifactsInput!$M$7)*CHOOSE(ArtifactsInput!$N$7+1,6,7.2,8.4,9.6,10.8,12))/100)),MAX(0,Inputs!$B$43-((R1976-1)*(1/Q1976)))))/Inputs!$B$43),IF(Inputs!$B$38="pvp",MIN((Skills!T15*(1+(Inputs!$B$34+(ArtifactsInput!$M$7-ArtifactsInput!$M$7)*CHOOSE(ArtifactsInput!$N$7+1,6,7.2,8.4,9.6,10.8,12))/100)),15)/15,MIN(1,(Skills!T15*(1+(Inputs!$B$34+(ArtifactsInput!$M$7-ArtifactsInput!$M$7)*CHOOSE(ArtifactsInput!$N$7+1,6,7.2,8.4,9.6,10.8,12))/100))/(1/Q1976)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MIN((Skills!T19*(1+(Inputs!$B$34+(ArtifactsInput!$M$7-ArtifactsInput!$M$7)*CHOOSE(ArtifactsInput!$N$7+1,6,7.2,8.4,9.6,10.8,12))/100)),(1/Q1980))+MIN((Skills!T19*(1+(Inputs!$B$34+(ArtifactsInput!$M$7-ArtifactsInput!$M$7)*CHOOSE(ArtifactsInput!$N$7+1,6,7.2,8.4,9.6,10.8,12))/100)),MAX(0,Inputs!$B$43-((R1980-1)*(1/Q1980)))))/Inputs!$B$43),IF(Inputs!$B$38="pvp",MIN((Skills!T19*(1+(Inputs!$B$34+(ArtifactsInput!$M$7-ArtifactsInput!$M$7)*CHOOSE(ArtifactsInput!$N$7+1,6,7.2,8.4,9.6,10.8,12))/100)),15)/15,MIN(1,(Skills!T19*(1+(Inputs!$B$34+(ArtifactsInput!$M$7-ArtifactsInput!$M$7)*CHOOSE(ArtifactsInput!$N$7+1,6,7.2,8.4,9.6,10.8,12))/100))/(1/Q1980)))))</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MIN((Skills!T18*(1+(Inputs!$B$34+(ArtifactsInput!$M$7-ArtifactsInput!$M$7)*CHOOSE(ArtifactsInput!$N$7+1,6,7.2,8.4,9.6,10.8,12))/100)),(1/Q1979))+MIN((Skills!T18*(1+(Inputs!$B$34+(ArtifactsInput!$M$7-ArtifactsInput!$M$7)*CHOOSE(ArtifactsInput!$N$7+1,6,7.2,8.4,9.6,10.8,12))/100)),MAX(0,Inputs!$B$43-((R1979-1)*(1/Q1979)))))/Inputs!$B$43),IF(Inputs!$B$38="pvp",MIN((Skills!T18*(1+(Inputs!$B$34+(ArtifactsInput!$M$7-ArtifactsInput!$M$7)*CHOOSE(ArtifactsInput!$N$7+1,6,7.2,8.4,9.6,10.8,12))/100)),15)/15,MIN(1,(Skills!T18*(1+(Inputs!$B$34+(ArtifactsInput!$M$7-ArtifactsInput!$M$7)*CHOOSE(ArtifactsInput!$N$7+1,6,7.2,8.4,9.6,10.8,12))/100))/(1/Q1979)))))</f>
        <v/>
      </c>
    </row>
    <row r="1996">
      <c r="A1996" t="inlineStr">
        <is>
          <t>Global Final Damage Bonus % (Enrage + Combo Synergy)</t>
        </is>
      </c>
      <c r="B1996">
        <f>((C1978=TRUE)*F1978*IF(AND(Inputs!$B$38&lt;&gt;"pvp",Inputs!$B$43&gt;0),(((R1978-1)*MIN((Skills!T17*(1+(Inputs!$B$34+(ArtifactsInput!$M$7-ArtifactsInput!$M$7)*CHOOSE(ArtifactsInput!$N$7+1,6,7.2,8.4,9.6,10.8,12))/100)),(1/Q1978))+MIN((Skills!T17*(1+(Inputs!$B$34+(ArtifactsInput!$M$7-ArtifactsInput!$M$7)*CHOOSE(ArtifactsInput!$N$7+1,6,7.2,8.4,9.6,10.8,12))/100)),MAX(0,Inputs!$B$43-((R1978-1)*(1/Q1978)))))/Inputs!$B$43),IF(Inputs!$B$38="pvp",MIN((Skills!T17*(1+(Inputs!$B$34+(ArtifactsInput!$M$7-ArtifactsInput!$M$7)*CHOOSE(ArtifactsInput!$N$7+1,6,7.2,8.4,9.6,10.8,12))/100)),15)/15,MIN(1,(Skills!T17*(1+(Inputs!$B$34+(ArtifactsInput!$M$7-ArtifactsInput!$M$7)*CHOOSE(ArtifactsInput!$N$7+1,6,7.2,8.4,9.6,10.8,12))/100))/(1/Q1978)))))+((C1975=TRUE)*F1975*IF(Inputs!$B$3&gt;=118,8,IF(Inputs!$B$3&gt;=110,7,5)))+IF(Inputs!$B$3&gt;=98,5,0)</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Skills!G2*IF(Skills!H2&gt;0,IF(Inputs!$B$38="pvp",MIN(Skills!I2,15),Skills!I2)/Skills!H2,1)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Skills!G5*IF(Skills!H5&gt;0,IF(Inputs!$B$38="pvp",MIN(Skills!I5,15),Skills!I5)/Skills!H5,1)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IFERROR(1/(IF(Inputs!$B$38="pvp",15,MAX(0.1,Skills!D5-IF(TRUE=TRUE,Inputs!$B$32,0)))*(1-IF(AND(IF(ArtifactsInput!$M$27,FALSE,TRUE),Inputs!$B$4="Chapter Hunt"),CHOOSE(ArtifactsInput!$N$27+1,20,24,28,32,36,40),0)/100)),0)</f>
        <v/>
      </c>
      <c r="R2008">
        <f>IF(AND(Inputs!$B$38&lt;&gt;"pvp",Inputs!$B$43&gt;0),IF(MAX(0,Inputs!$B$43-B2039)&lt;=0,0,(INT(MAX(0,Inputs!$B$43-B2039)/(IF(Inputs!$B$38="pvp",15,MAX(0.1,Skills!D5-IF(TRUE=TRUE,Inputs!$B$32,0)))*(1-IF(AND(IF(ArtifactsInput!$M$27,FALSE,TRUE),Inputs!$B$4="Chapter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$20+0+Skills!P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TRUE=TRUE,Inputs!$B$32,0)))*(1-IF(AND(IF(ArtifactsInput!$M$27,FALSE,TRUE),Inputs!$B$4="Chapter Hunt"),CHOOSE(ArtifactsInput!$N$27+1,20,24,28,32,36,40),0)/100)))))/Skills!H5,1)))/Inputs!$B$43),G2008*Q2008))*IF(Inputs!$B$38="pvp",1,(1+(Inputs!$B$21+Skills!Q5+(((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Skills!G6*IF(Skills!H6&gt;0,IF(Inputs!$B$38="pvp",MIN(Skills!I6,15),Skills!I6)/Skills!H6,1)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IFERROR(1/(IF(Inputs!$B$38="pvp",15,MAX(0.1,Skills!D6-IF(TRUE=TRUE,Inputs!$B$32,0)))*(1-IF(AND(IF(ArtifactsInput!$M$27,FALSE,TRUE),Inputs!$B$4="Chapter Hunt"),CHOOSE(ArtifactsInput!$N$27+1,20,24,28,32,36,40),0)/100)),0)</f>
        <v/>
      </c>
      <c r="R2009">
        <f>IF(AND(Inputs!$B$38&lt;&gt;"pvp",Inputs!$B$43&gt;0),IF(MAX(0,Inputs!$B$43-B2039)&lt;=0,0,(INT(MAX(0,Inputs!$B$43-B2039)/(IF(Inputs!$B$38="pvp",15,MAX(0.1,Skills!D6-IF(TRUE=TRUE,Inputs!$B$32,0)))*(1-IF(AND(IF(ArtifactsInput!$M$27,FALSE,TRUE),Inputs!$B$4="Chapter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$20+0+Skills!P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TRUE=TRUE,Inputs!$B$32,0)))*(1-IF(AND(IF(ArtifactsInput!$M$27,FALSE,TRUE),Inputs!$B$4="Chapter Hunt"),CHOOSE(ArtifactsInput!$N$27+1,20,24,28,32,36,40),0)/100)))))/Skills!H6,1)))/Inputs!$B$43),G2009*Q2009))*IF(Inputs!$B$38="pvp",1,(1+(Inputs!$B$21+Skills!Q6+(((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Skills!G7*IF(Skills!H7&gt;0,IF(Inputs!$B$38="pvp",MIN(Skills!I7,15),Skills!I7)/Skills!H7,1)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IFERROR(1/(IF(Inputs!$B$38="pvp",15,MAX(0.1,Skills!D7-IF(TRUE=TRUE,Inputs!$B$32,0)))*(1-IF(AND(IF(ArtifactsInput!$M$27,FALSE,TRUE),Inputs!$B$4="Chapter Hunt"),CHOOSE(ArtifactsInput!$N$27+1,20,24,28,32,36,40),0)/100)),0)</f>
        <v/>
      </c>
      <c r="R2010">
        <f>IF(AND(Inputs!$B$38&lt;&gt;"pvp",Inputs!$B$43&gt;0),IF(MAX(0,Inputs!$B$43-B2039)&lt;=0,0,(INT(MAX(0,Inputs!$B$43-B2039)/(IF(Inputs!$B$38="pvp",15,MAX(0.1,Skills!D7-IF(TRUE=TRUE,Inputs!$B$32,0)))*(1-IF(AND(IF(ArtifactsInput!$M$27,FALSE,TRUE),Inputs!$B$4="Chapter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$20+0+Skills!P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TRUE=TRUE,Inputs!$B$32,0)))*(1-IF(AND(IF(ArtifactsInput!$M$27,FALSE,TRUE),Inputs!$B$4="Chapter Hunt"),CHOOSE(ArtifactsInput!$N$27+1,20,24,28,32,36,40),0)/100)))))/Skills!H7,1)))/Inputs!$B$43),G2010*Q2010))*IF(Inputs!$B$38="pvp",1,(1+(Inputs!$B$21+Skills!Q7+(((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Skills!G8*IF(Skills!H8&gt;0,IF(Inputs!$B$38="pvp",MIN(Skills!I8,15),Skills!I8)/Skills!H8,1)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IFERROR(1/(IF(Inputs!$B$38="pvp",15,MAX(0.1,Skills!D8-IF(TRUE=TRUE,Inputs!$B$32,0)))*(1-IF(AND(IF(ArtifactsInput!$M$27,FALSE,TRUE),Inputs!$B$4="Chapter Hunt"),CHOOSE(ArtifactsInput!$N$27+1,20,24,28,32,36,40),0)/100)),0)</f>
        <v/>
      </c>
      <c r="R2011">
        <f>IF(AND(Inputs!$B$38&lt;&gt;"pvp",Inputs!$B$43&gt;0),IF(MAX(0,Inputs!$B$43-B2039)&lt;=0,0,(INT(MAX(0,Inputs!$B$43-B2039)/(IF(Inputs!$B$38="pvp",15,MAX(0.1,Skills!D8-IF(TRUE=TRUE,Inputs!$B$32,0)))*(1-IF(AND(IF(ArtifactsInput!$M$27,FALSE,TRUE),Inputs!$B$4="Chapter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$20+0+Skills!P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TRUE=TRUE,Inputs!$B$32,0)))*(1-IF(AND(IF(ArtifactsInput!$M$27,FALSE,TRUE),Inputs!$B$4="Chapter Hunt"),CHOOSE(ArtifactsInput!$N$27+1,20,24,28,32,36,40),0)/100)))))/Skills!H8,1)))/Inputs!$B$43),G2011*Q2011))*IF(Inputs!$B$38="pvp",1,(1+(Inputs!$B$21+Skills!Q8+(((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Skills!G9*IF(Skills!H9&gt;0,IF(Inputs!$B$38="pvp",MIN(Skills!I9,15),Skills!I9)/Skills!H9,1)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138,MAX(0,IF(Inputs!$B$3&gt;=118,8,IF(Inputs!$B$3&gt;=110,7,5))-5)*50,0),0)/100)*(1+(IF(Skills!A9="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IFERROR(1/(IF(Inputs!$B$38="pvp",15,MAX(0.1,Skills!D9-IF(TRUE=TRUE,Inputs!$B$32,0)))*(1-IF(AND(IF(ArtifactsInput!$M$27,FALSE,TRUE),Inputs!$B$4="Chapter Hunt"),CHOOSE(ArtifactsInput!$N$27+1,20,24,28,32,36,40),0)/100)),0)</f>
        <v/>
      </c>
      <c r="R2012">
        <f>IF(AND(Inputs!$B$38&lt;&gt;"pvp",Inputs!$B$43&gt;0),IF(MAX(0,Inputs!$B$43-B2039)&lt;=0,0,(INT(MAX(0,Inputs!$B$43-B2039)/(IF(Inputs!$B$38="pvp",15,MAX(0.1,Skills!D9-IF(TRUE=TRUE,Inputs!$B$32,0)))*(1-IF(AND(IF(ArtifactsInput!$M$27,FALSE,TRUE),Inputs!$B$4="Chapter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TRUE=TRUE,Inputs!$B$32,0)))*(1-IF(AND(IF(ArtifactsInput!$M$27,FALSE,TRUE),Inputs!$B$4="Chapter Hunt"),CHOOSE(ArtifactsInput!$N$27+1,20,24,28,32,36,40),0)/100)))))/Skills!H9,1)))/Inputs!$B$43),G2012*Q2012))*IF(Inputs!$B$38="pvp",1,1+(Inputs!$B$20+0+Skills!P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TRUE=TRUE,Inputs!$B$32,0)))*(1-IF(AND(IF(ArtifactsInput!$M$27,FALSE,TRUE),Inputs!$B$4="Chapter Hunt"),CHOOSE(ArtifactsInput!$N$27+1,20,24,28,32,36,40),0)/100)))))/Skills!H9,1)))/Inputs!$B$43),G2012*Q2012))*IF(Inputs!$B$38="pvp",1,(1+(Inputs!$B$21+Skills!Q9+(((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Skills!G10*IF(Skills!H10&gt;0,IF(Inputs!$B$38="pvp",MIN(Skills!I10,15),Skills!I10)/Skills!H10,1)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138,MAX(0,IF(Inputs!$B$3&gt;=118,8,IF(Inputs!$B$3&gt;=110,7,5))-5)*50,0),0)/100)*(1+(IF(Skills!A10="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IFERROR(1/(IF(Inputs!$B$38="pvp",15,MAX(0.1,Skills!D10-IF(TRUE=TRUE,Inputs!$B$32,0)))*(1-IF(AND(IF(ArtifactsInput!$M$27,FALSE,TRUE),Inputs!$B$4="Chapter Hunt"),CHOOSE(ArtifactsInput!$N$27+1,20,24,28,32,36,40),0)/100)),0)</f>
        <v/>
      </c>
      <c r="R2013">
        <f>IF(AND(Inputs!$B$38&lt;&gt;"pvp",Inputs!$B$43&gt;0),IF(MAX(0,Inputs!$B$43-B2039)&lt;=0,0,(INT(MAX(0,Inputs!$B$43-B2039)/(IF(Inputs!$B$38="pvp",15,MAX(0.1,Skills!D10-IF(TRUE=TRUE,Inputs!$B$32,0)))*(1-IF(AND(IF(ArtifactsInput!$M$27,FALSE,TRUE),Inputs!$B$4="Chapter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$20+0+Skills!P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TRUE=TRUE,Inputs!$B$32,0)))*(1-IF(AND(IF(ArtifactsInput!$M$27,FALSE,TRUE),Inputs!$B$4="Chapter Hunt"),CHOOSE(ArtifactsInput!$N$27+1,20,24,28,32,36,40),0)/100)))))/Skills!H10,1)))/Inputs!$B$43),G2013*Q2013))*IF(Inputs!$B$38="pvp",1,(1+(Inputs!$B$21+Skills!Q10+(((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Skills!G11*IF(Skills!H11&gt;0,IF(Inputs!$B$38="pvp",MIN(Skills!I11,15),Skills!I11)/Skills!H11,1)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(100-(100-((Inputs!$B$19+0)))*(1-IF(Inputs!$B$3&gt;=130,IF(Inputs!$B$3&gt;=118,8,IF(Inputs!$B$3&gt;=110,7,5)),0)/100)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138,MAX(0,IF(Inputs!$B$3&gt;=118,8,IF(Inputs!$B$3&gt;=110,7,5))-5)*50,0),0)/100)*(1+(IF(Skills!A11="RAGING_BLOW",Inputs!$B$17+((C2024=TRUE)*(F2024-Calc!F21))+((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IFERROR(1/(IF(Inputs!$B$38="pvp",15,MAX(0.1,Skills!D11-IF(TRUE=TRUE,Inputs!$B$32,0)))*(1-IF(AND(IF(ArtifactsInput!$M$27,FALSE,TRUE),Inputs!$B$4="Chapter Hunt"),CHOOSE(ArtifactsInput!$N$27+1,20,24,28,32,36,40),0)/100)),0)</f>
        <v/>
      </c>
      <c r="R2014">
        <f>IF(AND(Inputs!$B$38&lt;&gt;"pvp",Inputs!$B$43&gt;0),IF(MAX(0,Inputs!$B$43-B2039)&lt;=0,0,(INT(MAX(0,Inputs!$B$43-B2039)/(IF(Inputs!$B$38="pvp",15,MAX(0.1,Skills!D11-IF(TRUE=TRUE,Inputs!$B$32,0)))*(1-IF(AND(IF(ArtifactsInput!$M$27,FALSE,TRUE),Inputs!$B$4="Chapter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$20+0+Skills!P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Inputs!$B$38&lt;&gt;"pvp",Inputs!$B$43=0),1,IF(IF(Inputs!$B$38="pvp",15,Inputs!$B$43)-(B2039)&lt;=0,1,MAX(0,IF(Inputs!$B$38="pvp",15,Inputs!$B$43)-MAX(5,B2039))/(IF(Inputs!$B$38="pvp",15,Inputs!$B$43)-(B2039)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TRUE=TRUE,Inputs!$B$32,0)))*(1-IF(AND(IF(ArtifactsInput!$M$27,FALSE,TRUE),Inputs!$B$4="Chapter Hunt"),CHOOSE(ArtifactsInput!$N$27+1,20,24,28,32,36,40),0)/100)))))/Skills!H11,1)))/Inputs!$B$43),G2014*Q2014))*IF(Inputs!$B$38="pvp",1,(1+(Inputs!$B$21+Skills!Q11+(((C2019=TRUE)*F2019*(Skills!J16/100)*IF(AND(Inputs!$B$38&lt;&gt;"pvp",Inputs!$B$43&gt;0),(((R2019-1)*MIN((Skills!T16*(1+(Inputs!$B$34+(ArtifactsInput!$M$7-ArtifactsInput!$M$7)*CHOOSE(ArtifactsInput!$N$7+1,6,7.2,8.4,9.6,10.8,12))/100)),(1/Q2019))+MIN((Skills!T16*(1+(Inputs!$B$34+(ArtifactsInput!$M$7-ArtifactsInput!$M$7)*CHOOSE(ArtifactsInput!$N$7+1,6,7.2,8.4,9.6,10.8,12))/100)),MAX(0,Inputs!$B$43-((R2019-1)*(1/Q2019)))))/Inputs!$B$43),IF(Inputs!$B$38="pvp",MIN((Skills!T16*(1+(Inputs!$B$34+(ArtifactsInput!$M$7-ArtifactsInput!$M$7)*CHOOSE(ArtifactsInput!$N$7+1,6,7.2,8.4,9.6,10.8,12))/100)),15)/15,MIN(1,(Skills!T16*(1+(Inputs!$B$34+(ArtifactsInput!$M$7-ArtifactsInput!$M$7)*CHOOSE(ArtifactsInput!$N$7+1,6,7.2,8.4,9.6,10.8,12))/100))/(1/Q2019)))))+((C2011=TRUE)*IF(Inputs!$B$3&gt;=126,10*MIN(1,15*Q2011),0))+((C2008=TRUE)*((100/10)*(INDEX(FactorTable!$B$2:$Y$301,MATCH(ROUND(MIN(300,MAX(1,MAX(0,(Inputs!$B$3-100)*3)+Inputs!$B$28+Inputs!$B$29)),0),FactorTable!$A$2:$A$301,0),22)/1000))*(1+IF(Inputs!$B$3&gt;=134,0.5,0))*MIN(1,10*(1+(Inputs!$B$34+(ArtifactsInput!$M$7-ArtifactsInput!$M$7)*CHOOSE(ArtifactsInput!$N$7+1,6,7.2,8.4,9.6,10.8,12))/100)*Q2008)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Skills!G13*IF(Skills!H13&gt;0,IF(Inputs!$B$38="pvp",MIN(Skills!I13,15),Skills!I13)/Skills!H13,1)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Skills!G14*IF(Skills!H14&gt;0,IF(Inputs!$B$38="pvp",MIN(Skills!I14,15),Skills!I14)/Skills!H14,1)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Skills!G15*IF(Skills!H15&gt;0,IF(Inputs!$B$38="pvp",MIN(Skills!I15,15),Skills!I15)/Skills!H15,1)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IFERROR(1/(IF(Inputs!$B$38="pvp",15,MAX(0.1,Skills!D15-IF(TRUE=TRUE,Inputs!$B$32,0)))*(1-IF(AND(IF(ArtifactsInput!$M$27,FALSE,TRUE),Inputs!$B$4="Chapter Hunt"),CHOOSE(ArtifactsInput!$N$27+1,20,24,28,32,36,40),0)/100)),0)</f>
        <v/>
      </c>
      <c r="R2018">
        <f>IF(AND(Inputs!$B$38&lt;&gt;"pvp",Inputs!$B$43&gt;0),IF(Inputs!$B$43&lt;=0,0,(INT(Inputs!$B$43/(IF(Inputs!$B$38="pvp",15,MAX(0.1,Skills!D15-IF(TRUE=TRUE,Inputs!$B$32,0)))*(1-IF(AND(IF(ArtifactsInput!$M$27,FALSE,TRUE),Inputs!$B$4="Chapter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Skills!G16*IF(Skills!H16&gt;0,IF(Inputs!$B$38="pvp",MIN(Skills!I16,15),Skills!I16)/Skills!H16,1)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IFERROR(1/(IF(Inputs!$B$38="pvp",15,MAX(0.1,Skills!D16-IF(TRUE=TRUE,Inputs!$B$32,0)))*(1-IF(AND(IF(ArtifactsInput!$M$27,FALSE,TRUE),Inputs!$B$4="Chapter Hunt"),CHOOSE(ArtifactsInput!$N$27+1,20,24,28,32,36,40),0)/100)),0)</f>
        <v/>
      </c>
      <c r="R2019">
        <f>IF(AND(Inputs!$B$38&lt;&gt;"pvp",Inputs!$B$43&gt;0),IF(Inputs!$B$43&lt;=0,0,(INT(Inputs!$B$43/(IF(Inputs!$B$38="pvp",15,MAX(0.1,Skills!D16-IF(TRUE=TRUE,Inputs!$B$32,0)))*(1-IF(AND(IF(ArtifactsInput!$M$27,FALSE,TRUE),Inputs!$B$4="Chapter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Skills!G17*IF(Skills!H17&gt;0,IF(Inputs!$B$38="pvp",MIN(Skills!I17,15),Skills!I17)/Skills!H17,1)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IFERROR(1/(IF(Inputs!$B$38="pvp",15,MAX(0.1,Skills!D17-IF(TRUE=TRUE,Inputs!$B$32,0)))*(1-IF(AND(IF(ArtifactsInput!$M$27,FALSE,TRUE),Inputs!$B$4="Chapter Hunt"),CHOOSE(ArtifactsInput!$N$27+1,20,24,28,32,36,40),0)/100)),0)</f>
        <v/>
      </c>
      <c r="R2020">
        <f>IF(AND(Inputs!$B$38&lt;&gt;"pvp",Inputs!$B$43&gt;0),IF(Inputs!$B$43&lt;=0,0,(INT(Inputs!$B$43/(IF(Inputs!$B$38="pvp",15,MAX(0.1,Skills!D17-IF(TRUE=TRUE,Inputs!$B$32,0)))*(1-IF(AND(IF(ArtifactsInput!$M$27,FALSE,TRUE),Inputs!$B$4="Chapter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Skills!G18*IF(Skills!H18&gt;0,IF(Inputs!$B$38="pvp",MIN(Skills!I18,15),Skills!I18)/Skills!H18,1)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IFERROR(1/(IF(Inputs!$B$38="pvp",15,MAX(0.1,Skills!D18-IF(TRUE=TRUE,Inputs!$B$32,0)))*(1-IF(AND(IF(ArtifactsInput!$M$27,FALSE,TRUE),Inputs!$B$4="Chapter Hunt"),CHOOSE(ArtifactsInput!$N$27+1,20,24,28,32,36,40),0)/100)),0)</f>
        <v/>
      </c>
      <c r="R2021">
        <f>IF(AND(Inputs!$B$38&lt;&gt;"pvp",Inputs!$B$43&gt;0),IF(Inputs!$B$43&lt;=0,0,(INT(Inputs!$B$43/(IF(Inputs!$B$38="pvp",15,MAX(0.1,Skills!D18-IF(TRUE=TRUE,Inputs!$B$32,0)))*(1-IF(AND(IF(ArtifactsInput!$M$27,FALSE,TRUE),Inputs!$B$4="Chapter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Skills!G19*IF(Skills!H19&gt;0,IF(Inputs!$B$38="pvp",MIN(Skills!I19,15),Skills!I19)/Skills!H19,1)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IFERROR(1/(IF(Inputs!$B$38="pvp",15,MAX(0.1,Skills!D19-IF(TRUE=TRUE,Inputs!$B$32,0)))*(1-IF(AND(IF(ArtifactsInput!$M$27,FALSE,TRUE),Inputs!$B$4="Chapter Hunt"),CHOOSE(ArtifactsInput!$N$27+1,20,24,28,32,36,40),0)/100)),0)</f>
        <v/>
      </c>
      <c r="R2022">
        <f>IF(AND(Inputs!$B$38&lt;&gt;"pvp",Inputs!$B$43&gt;0),IF(Inputs!$B$43&lt;=0,0,(INT(Inputs!$B$43/(IF(Inputs!$B$38="pvp",15,MAX(0.1,Skills!D19-IF(TRUE=TRUE,Inputs!$B$32,0)))*(1-IF(AND(IF(ArtifactsInput!$M$27,FALSE,TRUE),Inputs!$B$4="Chapter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Skills!G20*IF(Skills!H20&gt;0,IF(Inputs!$B$38="pvp",MIN(Skills!I20,15),Skills!I20)/Skills!H20,1)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Skills!G21*IF(Skills!H21&gt;0,IF(Inputs!$B$38="pvp",MIN(Skills!I21,15),Skills!I21)/Skills!H21,1)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Skills!G22*IF(Skills!H22&gt;0,IF(Inputs!$B$38="pvp",MIN(Skills!I22,15),Skills!I22)/Skills!H22,1)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Skills!G23*IF(Skills!H23&gt;0,IF(Inputs!$B$38="pvp",MIN(Skills!I23,15),Skills!I23)/Skills!H23,1)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Skills!G24*IF(Skills!H24&gt;0,IF(Inputs!$B$38="pvp",MIN(Skills!I24,15),Skills!I24)/Skills!H24,1)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Skills!G25*IF(Skills!H25&gt;0,IF(Inputs!$B$38="pvp",MIN(Skills!I25,15),Skills!I25)/Skills!H25,1)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Skills!G26*IF(Skills!H26&gt;0,IF(Inputs!$B$38="pvp",MIN(Skills!I26,15),Skills!I26)/Skills!H26,1)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118,8,IF(Inputs!$B$3&gt;=110,7,5)))+((C2018=TRUE)*F2018*IF(AND(Inputs!$B$38&lt;&gt;"pvp",Inputs!$B$43&gt;0),(((R2018-1)*MIN((Skills!T15*(1+(Inputs!$B$34+(ArtifactsInput!$M$7-ArtifactsInput!$M$7)*CHOOSE(ArtifactsInput!$N$7+1,6,7.2,8.4,9.6,10.8,12))/100)),(1/Q2018))+MIN((Skills!T15*(1+(Inputs!$B$34+(ArtifactsInput!$M$7-ArtifactsInput!$M$7)*CHOOSE(ArtifactsInput!$N$7+1,6,7.2,8.4,9.6,10.8,12))/100)),MAX(0,Inputs!$B$43-((R2018-1)*(1/Q2018)))))/Inputs!$B$43),IF(Inputs!$B$38="pvp",MIN((Skills!T15*(1+(Inputs!$B$34+(ArtifactsInput!$M$7-ArtifactsInput!$M$7)*CHOOSE(ArtifactsInput!$N$7+1,6,7.2,8.4,9.6,10.8,12))/100)),15)/15,MIN(1,(Skills!T15*(1+(Inputs!$B$34+(ArtifactsInput!$M$7-ArtifactsInput!$M$7)*CHOOSE(ArtifactsInput!$N$7+1,6,7.2,8.4,9.6,10.8,12))/100))/(1/Q2018)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MIN((Skills!T19*(1+(Inputs!$B$34+(ArtifactsInput!$M$7-ArtifactsInput!$M$7)*CHOOSE(ArtifactsInput!$N$7+1,6,7.2,8.4,9.6,10.8,12))/100)),(1/Q2022))+MIN((Skills!T19*(1+(Inputs!$B$34+(ArtifactsInput!$M$7-ArtifactsInput!$M$7)*CHOOSE(ArtifactsInput!$N$7+1,6,7.2,8.4,9.6,10.8,12))/100)),MAX(0,Inputs!$B$43-((R2022-1)*(1/Q2022)))))/Inputs!$B$43),IF(Inputs!$B$38="pvp",MIN((Skills!T19*(1+(Inputs!$B$34+(ArtifactsInput!$M$7-ArtifactsInput!$M$7)*CHOOSE(ArtifactsInput!$N$7+1,6,7.2,8.4,9.6,10.8,12))/100)),15)/15,MIN(1,(Skills!T19*(1+(Inputs!$B$34+(ArtifactsInput!$M$7-ArtifactsInput!$M$7)*CHOOSE(ArtifactsInput!$N$7+1,6,7.2,8.4,9.6,10.8,12))/100))/(1/Q2022)))))</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MIN((Skills!T18*(1+(Inputs!$B$34+(ArtifactsInput!$M$7-ArtifactsInput!$M$7)*CHOOSE(ArtifactsInput!$N$7+1,6,7.2,8.4,9.6,10.8,12))/100)),(1/Q2021))+MIN((Skills!T18*(1+(Inputs!$B$34+(ArtifactsInput!$M$7-ArtifactsInput!$M$7)*CHOOSE(ArtifactsInput!$N$7+1,6,7.2,8.4,9.6,10.8,12))/100)),MAX(0,Inputs!$B$43-((R2021-1)*(1/Q2021)))))/Inputs!$B$43),IF(Inputs!$B$38="pvp",MIN((Skills!T18*(1+(Inputs!$B$34+(ArtifactsInput!$M$7-ArtifactsInput!$M$7)*CHOOSE(ArtifactsInput!$N$7+1,6,7.2,8.4,9.6,10.8,12))/100)),15)/15,MIN(1,(Skills!T18*(1+(Inputs!$B$34+(ArtifactsInput!$M$7-ArtifactsInput!$M$7)*CHOOSE(ArtifactsInput!$N$7+1,6,7.2,8.4,9.6,10.8,12))/100))/(1/Q2021)))))</f>
        <v/>
      </c>
    </row>
    <row r="2038">
      <c r="A2038" t="inlineStr">
        <is>
          <t>Global Final Damage Bonus % (Enrage + Combo Synergy)</t>
        </is>
      </c>
      <c r="B2038">
        <f>((C2020=TRUE)*F2020*IF(AND(Inputs!$B$38&lt;&gt;"pvp",Inputs!$B$43&gt;0),(((R2020-1)*MIN((Skills!T17*(1+(Inputs!$B$34+(ArtifactsInput!$M$7-ArtifactsInput!$M$7)*CHOOSE(ArtifactsInput!$N$7+1,6,7.2,8.4,9.6,10.8,12))/100)),(1/Q2020))+MIN((Skills!T17*(1+(Inputs!$B$34+(ArtifactsInput!$M$7-ArtifactsInput!$M$7)*CHOOSE(ArtifactsInput!$N$7+1,6,7.2,8.4,9.6,10.8,12))/100)),MAX(0,Inputs!$B$43-((R2020-1)*(1/Q2020)))))/Inputs!$B$43),IF(Inputs!$B$38="pvp",MIN((Skills!T17*(1+(Inputs!$B$34+(ArtifactsInput!$M$7-ArtifactsInput!$M$7)*CHOOSE(ArtifactsInput!$N$7+1,6,7.2,8.4,9.6,10.8,12))/100)),15)/15,MIN(1,(Skills!T17*(1+(Inputs!$B$34+(ArtifactsInput!$M$7-ArtifactsInput!$M$7)*CHOOSE(ArtifactsInput!$N$7+1,6,7.2,8.4,9.6,10.8,12))/100))/(1/Q2020)))))+((C2017=TRUE)*F2017*IF(Inputs!$B$3&gt;=118,8,IF(Inputs!$B$3&gt;=110,7,5)))+IF(Inputs!$B$3&gt;=98,5,0)</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Skills!G2*IF(Skills!H2&gt;0,IF(Inputs!$B$38="pvp",MIN(Skills!I2,15),Skills!I2)/Skills!H2,1)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Skills!G5*IF(Skills!H5&gt;0,IF(Inputs!$B$38="pvp",MIN(Skills!I5,15),Skills!I5)/Skills!H5,1)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IFERROR(1/(IF(Inputs!$B$38="pvp",15,MAX(0.1,Skills!D5-IF(TRUE=TRUE,Inputs!$B$32,0)))*(1-IF(AND(ArtifactsInput!$M$27,Inputs!$B$4="Chapter Hunt"),CHOOSE(ArtifactsInput!$N$27+1,20,24,28,32,36,40),0)/100)),0)</f>
        <v/>
      </c>
      <c r="R2050">
        <f>IF(AND(Inputs!$B$38&lt;&gt;"pvp",Inputs!$B$43&gt;0),IF(MAX(0,Inputs!$B$43-B2081)&lt;=0,0,(INT(MAX(0,Inputs!$B$43-B2081)/(IF(Inputs!$B$38="pvp",15,MAX(0.1,Skills!D5-IF(TRUE=TRUE,Inputs!$B$32,0)))*(1-IF(AND(ArtifactsInput!$M$27,Inputs!$B$4="Chapter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$20+0+Skills!P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TRUE=TRUE,Inputs!$B$32,0)))*(1-IF(AND(ArtifactsInput!$M$27,Inputs!$B$4="Chapter Hunt"),CHOOSE(ArtifactsInput!$N$27+1,20,24,28,32,36,40),0)/100)))))/Skills!H5,1)))/Inputs!$B$43),G2050*Q2050))*IF(Inputs!$B$38="pvp",1,(1+(Inputs!$B$21+Skills!Q5+(((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Skills!G6*IF(Skills!H6&gt;0,IF(Inputs!$B$38="pvp",MIN(Skills!I6,15),Skills!I6)/Skills!H6,1)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IFERROR(1/(IF(Inputs!$B$38="pvp",15,MAX(0.1,Skills!D6-IF(TRUE=TRUE,Inputs!$B$32,0)))*(1-IF(AND(ArtifactsInput!$M$27,Inputs!$B$4="Chapter Hunt"),CHOOSE(ArtifactsInput!$N$27+1,20,24,28,32,36,40),0)/100)),0)</f>
        <v/>
      </c>
      <c r="R2051">
        <f>IF(AND(Inputs!$B$38&lt;&gt;"pvp",Inputs!$B$43&gt;0),IF(MAX(0,Inputs!$B$43-B2081)&lt;=0,0,(INT(MAX(0,Inputs!$B$43-B2081)/(IF(Inputs!$B$38="pvp",15,MAX(0.1,Skills!D6-IF(TRUE=TRUE,Inputs!$B$32,0)))*(1-IF(AND(ArtifactsInput!$M$27,Inputs!$B$4="Chapter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$20+0+Skills!P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TRUE=TRUE,Inputs!$B$32,0)))*(1-IF(AND(ArtifactsInput!$M$27,Inputs!$B$4="Chapter Hunt"),CHOOSE(ArtifactsInput!$N$27+1,20,24,28,32,36,40),0)/100)))))/Skills!H6,1)))/Inputs!$B$43),G2051*Q2051))*IF(Inputs!$B$38="pvp",1,(1+(Inputs!$B$21+Skills!Q6+(((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Skills!G7*IF(Skills!H7&gt;0,IF(Inputs!$B$38="pvp",MIN(Skills!I7,15),Skills!I7)/Skills!H7,1)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IFERROR(1/(IF(Inputs!$B$38="pvp",15,MAX(0.1,Skills!D7-IF(TRUE=TRUE,Inputs!$B$32,0)))*(1-IF(AND(ArtifactsInput!$M$27,Inputs!$B$4="Chapter Hunt"),CHOOSE(ArtifactsInput!$N$27+1,20,24,28,32,36,40),0)/100)),0)</f>
        <v/>
      </c>
      <c r="R2052">
        <f>IF(AND(Inputs!$B$38&lt;&gt;"pvp",Inputs!$B$43&gt;0),IF(MAX(0,Inputs!$B$43-B2081)&lt;=0,0,(INT(MAX(0,Inputs!$B$43-B2081)/(IF(Inputs!$B$38="pvp",15,MAX(0.1,Skills!D7-IF(TRUE=TRUE,Inputs!$B$32,0)))*(1-IF(AND(ArtifactsInput!$M$27,Inputs!$B$4="Chapter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$20+0+Skills!P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TRUE=TRUE,Inputs!$B$32,0)))*(1-IF(AND(ArtifactsInput!$M$27,Inputs!$B$4="Chapter Hunt"),CHOOSE(ArtifactsInput!$N$27+1,20,24,28,32,36,40),0)/100)))))/Skills!H7,1)))/Inputs!$B$43),G2052*Q2052))*IF(Inputs!$B$38="pvp",1,(1+(Inputs!$B$21+Skills!Q7+(((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Skills!G8*IF(Skills!H8&gt;0,IF(Inputs!$B$38="pvp",MIN(Skills!I8,15),Skills!I8)/Skills!H8,1)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IFERROR(1/(IF(Inputs!$B$38="pvp",15,MAX(0.1,Skills!D8-IF(TRUE=TRUE,Inputs!$B$32,0)))*(1-IF(AND(ArtifactsInput!$M$27,Inputs!$B$4="Chapter Hunt"),CHOOSE(ArtifactsInput!$N$27+1,20,24,28,32,36,40),0)/100)),0)</f>
        <v/>
      </c>
      <c r="R2053">
        <f>IF(AND(Inputs!$B$38&lt;&gt;"pvp",Inputs!$B$43&gt;0),IF(MAX(0,Inputs!$B$43-B2081)&lt;=0,0,(INT(MAX(0,Inputs!$B$43-B2081)/(IF(Inputs!$B$38="pvp",15,MAX(0.1,Skills!D8-IF(TRUE=TRUE,Inputs!$B$32,0)))*(1-IF(AND(ArtifactsInput!$M$27,Inputs!$B$4="Chapter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$20+0+Skills!P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TRUE=TRUE,Inputs!$B$32,0)))*(1-IF(AND(ArtifactsInput!$M$27,Inputs!$B$4="Chapter Hunt"),CHOOSE(ArtifactsInput!$N$27+1,20,24,28,32,36,40),0)/100)))))/Skills!H8,1)))/Inputs!$B$43),G2053*Q2053))*IF(Inputs!$B$38="pvp",1,(1+(Inputs!$B$21+Skills!Q8+(((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Skills!G9*IF(Skills!H9&gt;0,IF(Inputs!$B$38="pvp",MIN(Skills!I9,15),Skills!I9)/Skills!H9,1)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138,MAX(0,IF(Inputs!$B$3&gt;=118,8,IF(Inputs!$B$3&gt;=110,7,5))-5)*50,0),0)/100)*(1+(IF(Skills!A9="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IFERROR(1/(IF(Inputs!$B$38="pvp",15,MAX(0.1,Skills!D9-IF(TRUE=TRUE,Inputs!$B$32,0)))*(1-IF(AND(ArtifactsInput!$M$27,Inputs!$B$4="Chapter Hunt"),CHOOSE(ArtifactsInput!$N$27+1,20,24,28,32,36,40),0)/100)),0)</f>
        <v/>
      </c>
      <c r="R2054">
        <f>IF(AND(Inputs!$B$38&lt;&gt;"pvp",Inputs!$B$43&gt;0),IF(MAX(0,Inputs!$B$43-B2081)&lt;=0,0,(INT(MAX(0,Inputs!$B$43-B2081)/(IF(Inputs!$B$38="pvp",15,MAX(0.1,Skills!D9-IF(TRUE=TRUE,Inputs!$B$32,0)))*(1-IF(AND(ArtifactsInput!$M$27,Inputs!$B$4="Chapter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TRUE=TRUE,Inputs!$B$32,0)))*(1-IF(AND(ArtifactsInput!$M$27,Inputs!$B$4="Chapter Hunt"),CHOOSE(ArtifactsInput!$N$27+1,20,24,28,32,36,40),0)/100)))))/Skills!H9,1)))/Inputs!$B$43),G2054*Q2054))*IF(Inputs!$B$38="pvp",1,1+(Inputs!$B$20+0+Skills!P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TRUE=TRUE,Inputs!$B$32,0)))*(1-IF(AND(ArtifactsInput!$M$27,Inputs!$B$4="Chapter Hunt"),CHOOSE(ArtifactsInput!$N$27+1,20,24,28,32,36,40),0)/100)))))/Skills!H9,1)))/Inputs!$B$43),G2054*Q2054))*IF(Inputs!$B$38="pvp",1,(1+(Inputs!$B$21+Skills!Q9+(((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Skills!G10*IF(Skills!H10&gt;0,IF(Inputs!$B$38="pvp",MIN(Skills!I10,15),Skills!I10)/Skills!H10,1)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138,MAX(0,IF(Inputs!$B$3&gt;=118,8,IF(Inputs!$B$3&gt;=110,7,5))-5)*50,0),0)/100)*(1+(IF(Skills!A10="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IFERROR(1/(IF(Inputs!$B$38="pvp",15,MAX(0.1,Skills!D10-IF(TRUE=TRUE,Inputs!$B$32,0)))*(1-IF(AND(ArtifactsInput!$M$27,Inputs!$B$4="Chapter Hunt"),CHOOSE(ArtifactsInput!$N$27+1,20,24,28,32,36,40),0)/100)),0)</f>
        <v/>
      </c>
      <c r="R2055">
        <f>IF(AND(Inputs!$B$38&lt;&gt;"pvp",Inputs!$B$43&gt;0),IF(MAX(0,Inputs!$B$43-B2081)&lt;=0,0,(INT(MAX(0,Inputs!$B$43-B2081)/(IF(Inputs!$B$38="pvp",15,MAX(0.1,Skills!D10-IF(TRUE=TRUE,Inputs!$B$32,0)))*(1-IF(AND(ArtifactsInput!$M$27,Inputs!$B$4="Chapter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$20+0+Skills!P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TRUE=TRUE,Inputs!$B$32,0)))*(1-IF(AND(ArtifactsInput!$M$27,Inputs!$B$4="Chapter Hunt"),CHOOSE(ArtifactsInput!$N$27+1,20,24,28,32,36,40),0)/100)))))/Skills!H10,1)))/Inputs!$B$43),G2055*Q2055))*IF(Inputs!$B$38="pvp",1,(1+(Inputs!$B$21+Skills!Q10+(((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Skills!G11*IF(Skills!H11&gt;0,IF(Inputs!$B$38="pvp",MIN(Skills!I11,15),Skills!I11)/Skills!H11,1)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(100-(100-((Inputs!$B$19+0)))*(1-IF(Inputs!$B$3&gt;=130,IF(Inputs!$B$3&gt;=118,8,IF(Inputs!$B$3&gt;=110,7,5)),0)/100)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138,MAX(0,IF(Inputs!$B$3&gt;=118,8,IF(Inputs!$B$3&gt;=110,7,5))-5)*50,0),0)/100)*(1+(IF(Skills!A11="RAGING_BLOW",Inputs!$B$17+((C2066=TRUE)*(F2066-Calc!F21))+((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IFERROR(1/(IF(Inputs!$B$38="pvp",15,MAX(0.1,Skills!D11-IF(TRUE=TRUE,Inputs!$B$32,0)))*(1-IF(AND(ArtifactsInput!$M$27,Inputs!$B$4="Chapter Hunt"),CHOOSE(ArtifactsInput!$N$27+1,20,24,28,32,36,40),0)/100)),0)</f>
        <v/>
      </c>
      <c r="R2056">
        <f>IF(AND(Inputs!$B$38&lt;&gt;"pvp",Inputs!$B$43&gt;0),IF(MAX(0,Inputs!$B$43-B2081)&lt;=0,0,(INT(MAX(0,Inputs!$B$43-B2081)/(IF(Inputs!$B$38="pvp",15,MAX(0.1,Skills!D11-IF(TRUE=TRUE,Inputs!$B$32,0)))*(1-IF(AND(ArtifactsInput!$M$27,Inputs!$B$4="Chapter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$20+0+Skills!P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Inputs!$B$38&lt;&gt;"pvp",Inputs!$B$43=0),1,IF(IF(Inputs!$B$38="pvp",15,Inputs!$B$43)-(B2081)&lt;=0,1,MAX(0,IF(Inputs!$B$38="pvp",15,Inputs!$B$43)-MAX(5,B2081))/(IF(Inputs!$B$38="pvp",15,Inputs!$B$43)-(B2081)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TRUE=TRUE,Inputs!$B$32,0)))*(1-IF(AND(ArtifactsInput!$M$27,Inputs!$B$4="Chapter Hunt"),CHOOSE(ArtifactsInput!$N$27+1,20,24,28,32,36,40),0)/100)))))/Skills!H11,1)))/Inputs!$B$43),G2056*Q2056))*IF(Inputs!$B$38="pvp",1,(1+(Inputs!$B$21+Skills!Q11+(((C2061=TRUE)*F2061*(Skills!J16/100)*IF(AND(Inputs!$B$38&lt;&gt;"pvp",Inputs!$B$43&gt;0),(((R2061-1)*MIN((Skills!T16*(1+(Inputs!$B$34+(ArtifactsInput!$M$7-ArtifactsInput!$M$7)*CHOOSE(ArtifactsInput!$N$7+1,6,7.2,8.4,9.6,10.8,12))/100)),(1/Q2061))+MIN((Skills!T16*(1+(Inputs!$B$34+(ArtifactsInput!$M$7-ArtifactsInput!$M$7)*CHOOSE(ArtifactsInput!$N$7+1,6,7.2,8.4,9.6,10.8,12))/100)),MAX(0,Inputs!$B$43-((R2061-1)*(1/Q2061)))))/Inputs!$B$43),IF(Inputs!$B$38="pvp",MIN((Skills!T16*(1+(Inputs!$B$34+(ArtifactsInput!$M$7-ArtifactsInput!$M$7)*CHOOSE(ArtifactsInput!$N$7+1,6,7.2,8.4,9.6,10.8,12))/100)),15)/15,MIN(1,(Skills!T16*(1+(Inputs!$B$34+(ArtifactsInput!$M$7-ArtifactsInput!$M$7)*CHOOSE(ArtifactsInput!$N$7+1,6,7.2,8.4,9.6,10.8,12))/100))/(1/Q2061)))))+((C2053=TRUE)*IF(Inputs!$B$3&gt;=126,10*MIN(1,15*Q2053),0))+((C2050=TRUE)*((100/10)*(INDEX(FactorTable!$B$2:$Y$301,MATCH(ROUND(MIN(300,MAX(1,MAX(0,(Inputs!$B$3-100)*3)+Inputs!$B$28+Inputs!$B$29)),0),FactorTable!$A$2:$A$301,0),22)/1000))*(1+IF(Inputs!$B$3&gt;=134,0.5,0))*MIN(1,10*(1+(Inputs!$B$34+(ArtifactsInput!$M$7-ArtifactsInput!$M$7)*CHOOSE(ArtifactsInput!$N$7+1,6,7.2,8.4,9.6,10.8,12))/100)*Q2050)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Skills!G13*IF(Skills!H13&gt;0,IF(Inputs!$B$38="pvp",MIN(Skills!I13,15),Skills!I13)/Skills!H13,1)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Skills!G14*IF(Skills!H14&gt;0,IF(Inputs!$B$38="pvp",MIN(Skills!I14,15),Skills!I14)/Skills!H14,1)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Skills!G15*IF(Skills!H15&gt;0,IF(Inputs!$B$38="pvp",MIN(Skills!I15,15),Skills!I15)/Skills!H15,1)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IFERROR(1/(IF(Inputs!$B$38="pvp",15,MAX(0.1,Skills!D15-IF(TRUE=TRUE,Inputs!$B$32,0)))*(1-IF(AND(ArtifactsInput!$M$27,Inputs!$B$4="Chapter Hunt"),CHOOSE(ArtifactsInput!$N$27+1,20,24,28,32,36,40),0)/100)),0)</f>
        <v/>
      </c>
      <c r="R2060">
        <f>IF(AND(Inputs!$B$38&lt;&gt;"pvp",Inputs!$B$43&gt;0),IF(Inputs!$B$43&lt;=0,0,(INT(Inputs!$B$43/(IF(Inputs!$B$38="pvp",15,MAX(0.1,Skills!D15-IF(TRUE=TRUE,Inputs!$B$32,0)))*(1-IF(AND(ArtifactsInput!$M$27,Inputs!$B$4="Chapter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Skills!G16*IF(Skills!H16&gt;0,IF(Inputs!$B$38="pvp",MIN(Skills!I16,15),Skills!I16)/Skills!H16,1)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IFERROR(1/(IF(Inputs!$B$38="pvp",15,MAX(0.1,Skills!D16-IF(TRUE=TRUE,Inputs!$B$32,0)))*(1-IF(AND(ArtifactsInput!$M$27,Inputs!$B$4="Chapter Hunt"),CHOOSE(ArtifactsInput!$N$27+1,20,24,28,32,36,40),0)/100)),0)</f>
        <v/>
      </c>
      <c r="R2061">
        <f>IF(AND(Inputs!$B$38&lt;&gt;"pvp",Inputs!$B$43&gt;0),IF(Inputs!$B$43&lt;=0,0,(INT(Inputs!$B$43/(IF(Inputs!$B$38="pvp",15,MAX(0.1,Skills!D16-IF(TRUE=TRUE,Inputs!$B$32,0)))*(1-IF(AND(ArtifactsInput!$M$27,Inputs!$B$4="Chapter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Skills!G17*IF(Skills!H17&gt;0,IF(Inputs!$B$38="pvp",MIN(Skills!I17,15),Skills!I17)/Skills!H17,1)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IFERROR(1/(IF(Inputs!$B$38="pvp",15,MAX(0.1,Skills!D17-IF(TRUE=TRUE,Inputs!$B$32,0)))*(1-IF(AND(ArtifactsInput!$M$27,Inputs!$B$4="Chapter Hunt"),CHOOSE(ArtifactsInput!$N$27+1,20,24,28,32,36,40),0)/100)),0)</f>
        <v/>
      </c>
      <c r="R2062">
        <f>IF(AND(Inputs!$B$38&lt;&gt;"pvp",Inputs!$B$43&gt;0),IF(Inputs!$B$43&lt;=0,0,(INT(Inputs!$B$43/(IF(Inputs!$B$38="pvp",15,MAX(0.1,Skills!D17-IF(TRUE=TRUE,Inputs!$B$32,0)))*(1-IF(AND(ArtifactsInput!$M$27,Inputs!$B$4="Chapter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Skills!G18*IF(Skills!H18&gt;0,IF(Inputs!$B$38="pvp",MIN(Skills!I18,15),Skills!I18)/Skills!H18,1)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IFERROR(1/(IF(Inputs!$B$38="pvp",15,MAX(0.1,Skills!D18-IF(TRUE=TRUE,Inputs!$B$32,0)))*(1-IF(AND(ArtifactsInput!$M$27,Inputs!$B$4="Chapter Hunt"),CHOOSE(ArtifactsInput!$N$27+1,20,24,28,32,36,40),0)/100)),0)</f>
        <v/>
      </c>
      <c r="R2063">
        <f>IF(AND(Inputs!$B$38&lt;&gt;"pvp",Inputs!$B$43&gt;0),IF(Inputs!$B$43&lt;=0,0,(INT(Inputs!$B$43/(IF(Inputs!$B$38="pvp",15,MAX(0.1,Skills!D18-IF(TRUE=TRUE,Inputs!$B$32,0)))*(1-IF(AND(ArtifactsInput!$M$27,Inputs!$B$4="Chapter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Skills!G19*IF(Skills!H19&gt;0,IF(Inputs!$B$38="pvp",MIN(Skills!I19,15),Skills!I19)/Skills!H19,1)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IFERROR(1/(IF(Inputs!$B$38="pvp",15,MAX(0.1,Skills!D19-IF(TRUE=TRUE,Inputs!$B$32,0)))*(1-IF(AND(ArtifactsInput!$M$27,Inputs!$B$4="Chapter Hunt"),CHOOSE(ArtifactsInput!$N$27+1,20,24,28,32,36,40),0)/100)),0)</f>
        <v/>
      </c>
      <c r="R2064">
        <f>IF(AND(Inputs!$B$38&lt;&gt;"pvp",Inputs!$B$43&gt;0),IF(Inputs!$B$43&lt;=0,0,(INT(Inputs!$B$43/(IF(Inputs!$B$38="pvp",15,MAX(0.1,Skills!D19-IF(TRUE=TRUE,Inputs!$B$32,0)))*(1-IF(AND(ArtifactsInput!$M$27,Inputs!$B$4="Chapter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Skills!G20*IF(Skills!H20&gt;0,IF(Inputs!$B$38="pvp",MIN(Skills!I20,15),Skills!I20)/Skills!H20,1)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Skills!G21*IF(Skills!H21&gt;0,IF(Inputs!$B$38="pvp",MIN(Skills!I21,15),Skills!I21)/Skills!H21,1)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Skills!G22*IF(Skills!H22&gt;0,IF(Inputs!$B$38="pvp",MIN(Skills!I22,15),Skills!I22)/Skills!H22,1)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Skills!G23*IF(Skills!H23&gt;0,IF(Inputs!$B$38="pvp",MIN(Skills!I23,15),Skills!I23)/Skills!H23,1)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Skills!G24*IF(Skills!H24&gt;0,IF(Inputs!$B$38="pvp",MIN(Skills!I24,15),Skills!I24)/Skills!H24,1)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Skills!G25*IF(Skills!H25&gt;0,IF(Inputs!$B$38="pvp",MIN(Skills!I25,15),Skills!I25)/Skills!H25,1)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Skills!G26*IF(Skills!H26&gt;0,IF(Inputs!$B$38="pvp",MIN(Skills!I26,15),Skills!I26)/Skills!H26,1)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118,8,IF(Inputs!$B$3&gt;=110,7,5)))+((C2060=TRUE)*F2060*IF(AND(Inputs!$B$38&lt;&gt;"pvp",Inputs!$B$43&gt;0),(((R2060-1)*MIN((Skills!T15*(1+(Inputs!$B$34+(ArtifactsInput!$M$7-ArtifactsInput!$M$7)*CHOOSE(ArtifactsInput!$N$7+1,6,7.2,8.4,9.6,10.8,12))/100)),(1/Q2060))+MIN((Skills!T15*(1+(Inputs!$B$34+(ArtifactsInput!$M$7-ArtifactsInput!$M$7)*CHOOSE(ArtifactsInput!$N$7+1,6,7.2,8.4,9.6,10.8,12))/100)),MAX(0,Inputs!$B$43-((R2060-1)*(1/Q2060)))))/Inputs!$B$43),IF(Inputs!$B$38="pvp",MIN((Skills!T15*(1+(Inputs!$B$34+(ArtifactsInput!$M$7-ArtifactsInput!$M$7)*CHOOSE(ArtifactsInput!$N$7+1,6,7.2,8.4,9.6,10.8,12))/100)),15)/15,MIN(1,(Skills!T15*(1+(Inputs!$B$34+(ArtifactsInput!$M$7-ArtifactsInput!$M$7)*CHOOSE(ArtifactsInput!$N$7+1,6,7.2,8.4,9.6,10.8,12))/100))/(1/Q2060)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MIN((Skills!T19*(1+(Inputs!$B$34+(ArtifactsInput!$M$7-ArtifactsInput!$M$7)*CHOOSE(ArtifactsInput!$N$7+1,6,7.2,8.4,9.6,10.8,12))/100)),(1/Q2064))+MIN((Skills!T19*(1+(Inputs!$B$34+(ArtifactsInput!$M$7-ArtifactsInput!$M$7)*CHOOSE(ArtifactsInput!$N$7+1,6,7.2,8.4,9.6,10.8,12))/100)),MAX(0,Inputs!$B$43-((R2064-1)*(1/Q2064)))))/Inputs!$B$43),IF(Inputs!$B$38="pvp",MIN((Skills!T19*(1+(Inputs!$B$34+(ArtifactsInput!$M$7-ArtifactsInput!$M$7)*CHOOSE(ArtifactsInput!$N$7+1,6,7.2,8.4,9.6,10.8,12))/100)),15)/15,MIN(1,(Skills!T19*(1+(Inputs!$B$34+(ArtifactsInput!$M$7-ArtifactsInput!$M$7)*CHOOSE(ArtifactsInput!$N$7+1,6,7.2,8.4,9.6,10.8,12))/100))/(1/Q2064)))))</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MIN((Skills!T18*(1+(Inputs!$B$34+(ArtifactsInput!$M$7-ArtifactsInput!$M$7)*CHOOSE(ArtifactsInput!$N$7+1,6,7.2,8.4,9.6,10.8,12))/100)),(1/Q2063))+MIN((Skills!T18*(1+(Inputs!$B$34+(ArtifactsInput!$M$7-ArtifactsInput!$M$7)*CHOOSE(ArtifactsInput!$N$7+1,6,7.2,8.4,9.6,10.8,12))/100)),MAX(0,Inputs!$B$43-((R2063-1)*(1/Q2063)))))/Inputs!$B$43),IF(Inputs!$B$38="pvp",MIN((Skills!T18*(1+(Inputs!$B$34+(ArtifactsInput!$M$7-ArtifactsInput!$M$7)*CHOOSE(ArtifactsInput!$N$7+1,6,7.2,8.4,9.6,10.8,12))/100)),15)/15,MIN(1,(Skills!T18*(1+(Inputs!$B$34+(ArtifactsInput!$M$7-ArtifactsInput!$M$7)*CHOOSE(ArtifactsInput!$N$7+1,6,7.2,8.4,9.6,10.8,12))/100))/(1/Q2063)))))</f>
        <v/>
      </c>
    </row>
    <row r="2080">
      <c r="A2080" t="inlineStr">
        <is>
          <t>Global Final Damage Bonus % (Enrage + Combo Synergy)</t>
        </is>
      </c>
      <c r="B2080">
        <f>((C2062=TRUE)*F2062*IF(AND(Inputs!$B$38&lt;&gt;"pvp",Inputs!$B$43&gt;0),(((R2062-1)*MIN((Skills!T17*(1+(Inputs!$B$34+(ArtifactsInput!$M$7-ArtifactsInput!$M$7)*CHOOSE(ArtifactsInput!$N$7+1,6,7.2,8.4,9.6,10.8,12))/100)),(1/Q2062))+MIN((Skills!T17*(1+(Inputs!$B$34+(ArtifactsInput!$M$7-ArtifactsInput!$M$7)*CHOOSE(ArtifactsInput!$N$7+1,6,7.2,8.4,9.6,10.8,12))/100)),MAX(0,Inputs!$B$43-((R2062-1)*(1/Q2062)))))/Inputs!$B$43),IF(Inputs!$B$38="pvp",MIN((Skills!T17*(1+(Inputs!$B$34+(ArtifactsInput!$M$7-ArtifactsInput!$M$7)*CHOOSE(ArtifactsInput!$N$7+1,6,7.2,8.4,9.6,10.8,12))/100)),15)/15,MIN(1,(Skills!T17*(1+(Inputs!$B$34+(ArtifactsInput!$M$7-ArtifactsInput!$M$7)*CHOOSE(ArtifactsInput!$N$7+1,6,7.2,8.4,9.6,10.8,12))/100))/(1/Q2062)))))+((C2059=TRUE)*F2059*IF(Inputs!$B$3&gt;=118,8,IF(Inputs!$B$3&gt;=110,7,5)))+IF(Inputs!$B$3&gt;=98,5,0)</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Skills!G2*IF(Skills!H2&gt;0,IF(Inputs!$B$38="pvp",MIN(Skills!I2,15),Skills!I2)/Skills!H2,1)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Skills!G5*IF(Skills!H5&gt;0,IF(Inputs!$B$38="pvp",MIN(Skills!I5,15),Skills!I5)/Skills!H5,1)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IFERROR(1/(IF(Inputs!$B$38="pvp",15,MAX(0.1,Skills!D5-IF(TRUE=TRUE,Inputs!$B$32,0)))*(1-IF(AND(ArtifactsInput!$M$27,Inputs!$B$4="Chapter Hunt"),CHOOSE(ArtifactsInput!$N$27+1,20,24,28,32,36,40),0)/100)),0)</f>
        <v/>
      </c>
      <c r="R2092">
        <f>IF(AND(Inputs!$B$38&lt;&gt;"pvp",Inputs!$B$43&gt;0),IF(MAX(0,Inputs!$B$43-B2123)&lt;=0,0,(INT(MAX(0,Inputs!$B$43-B2123)/(IF(Inputs!$B$38="pvp",15,MAX(0.1,Skills!D5-IF(TRUE=TRUE,Inputs!$B$32,0)))*(1-IF(AND(ArtifactsInput!$M$27,Inputs!$B$4="Chapter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$20+0+Skills!P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TRUE=TRUE,Inputs!$B$32,0)))*(1-IF(AND(ArtifactsInput!$M$27,Inputs!$B$4="Chapter Hunt"),CHOOSE(ArtifactsInput!$N$27+1,20,24,28,32,36,40),0)/100)))))/Skills!H5,1)))/Inputs!$B$43),G2092*Q2092))*IF(Inputs!$B$38="pvp",1,(1+(Inputs!$B$21+Skills!Q5+(((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Skills!G6*IF(Skills!H6&gt;0,IF(Inputs!$B$38="pvp",MIN(Skills!I6,15),Skills!I6)/Skills!H6,1)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IFERROR(1/(IF(Inputs!$B$38="pvp",15,MAX(0.1,Skills!D6-IF(TRUE=TRUE,Inputs!$B$32,0)))*(1-IF(AND(ArtifactsInput!$M$27,Inputs!$B$4="Chapter Hunt"),CHOOSE(ArtifactsInput!$N$27+1,20,24,28,32,36,40),0)/100)),0)</f>
        <v/>
      </c>
      <c r="R2093">
        <f>IF(AND(Inputs!$B$38&lt;&gt;"pvp",Inputs!$B$43&gt;0),IF(MAX(0,Inputs!$B$43-B2123)&lt;=0,0,(INT(MAX(0,Inputs!$B$43-B2123)/(IF(Inputs!$B$38="pvp",15,MAX(0.1,Skills!D6-IF(TRUE=TRUE,Inputs!$B$32,0)))*(1-IF(AND(ArtifactsInput!$M$27,Inputs!$B$4="Chapter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$20+0+Skills!P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TRUE=TRUE,Inputs!$B$32,0)))*(1-IF(AND(ArtifactsInput!$M$27,Inputs!$B$4="Chapter Hunt"),CHOOSE(ArtifactsInput!$N$27+1,20,24,28,32,36,40),0)/100)))))/Skills!H6,1)))/Inputs!$B$43),G2093*Q2093))*IF(Inputs!$B$38="pvp",1,(1+(Inputs!$B$21+Skills!Q6+(((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Skills!G7*IF(Skills!H7&gt;0,IF(Inputs!$B$38="pvp",MIN(Skills!I7,15),Skills!I7)/Skills!H7,1)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IFERROR(1/(IF(Inputs!$B$38="pvp",15,MAX(0.1,Skills!D7-IF(TRUE=TRUE,Inputs!$B$32,0)))*(1-IF(AND(ArtifactsInput!$M$27,Inputs!$B$4="Chapter Hunt"),CHOOSE(ArtifactsInput!$N$27+1,20,24,28,32,36,40),0)/100)),0)</f>
        <v/>
      </c>
      <c r="R2094">
        <f>IF(AND(Inputs!$B$38&lt;&gt;"pvp",Inputs!$B$43&gt;0),IF(MAX(0,Inputs!$B$43-B2123)&lt;=0,0,(INT(MAX(0,Inputs!$B$43-B2123)/(IF(Inputs!$B$38="pvp",15,MAX(0.1,Skills!D7-IF(TRUE=TRUE,Inputs!$B$32,0)))*(1-IF(AND(ArtifactsInput!$M$27,Inputs!$B$4="Chapter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$20+0+Skills!P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TRUE=TRUE,Inputs!$B$32,0)))*(1-IF(AND(ArtifactsInput!$M$27,Inputs!$B$4="Chapter Hunt"),CHOOSE(ArtifactsInput!$N$27+1,20,24,28,32,36,40),0)/100)))))/Skills!H7,1)))/Inputs!$B$43),G2094*Q2094))*IF(Inputs!$B$38="pvp",1,(1+(Inputs!$B$21+Skills!Q7+(((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Skills!G8*IF(Skills!H8&gt;0,IF(Inputs!$B$38="pvp",MIN(Skills!I8,15),Skills!I8)/Skills!H8,1)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IFERROR(1/(IF(Inputs!$B$38="pvp",15,MAX(0.1,Skills!D8-IF(TRUE=TRUE,Inputs!$B$32,0)))*(1-IF(AND(ArtifactsInput!$M$27,Inputs!$B$4="Chapter Hunt"),CHOOSE(ArtifactsInput!$N$27+1,20,24,28,32,36,40),0)/100)),0)</f>
        <v/>
      </c>
      <c r="R2095">
        <f>IF(AND(Inputs!$B$38&lt;&gt;"pvp",Inputs!$B$43&gt;0),IF(MAX(0,Inputs!$B$43-B2123)&lt;=0,0,(INT(MAX(0,Inputs!$B$43-B2123)/(IF(Inputs!$B$38="pvp",15,MAX(0.1,Skills!D8-IF(TRUE=TRUE,Inputs!$B$32,0)))*(1-IF(AND(ArtifactsInput!$M$27,Inputs!$B$4="Chapter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$20+0+Skills!P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TRUE=TRUE,Inputs!$B$32,0)))*(1-IF(AND(ArtifactsInput!$M$27,Inputs!$B$4="Chapter Hunt"),CHOOSE(ArtifactsInput!$N$27+1,20,24,28,32,36,40),0)/100)))))/Skills!H8,1)))/Inputs!$B$43),G2095*Q2095))*IF(Inputs!$B$38="pvp",1,(1+(Inputs!$B$21+Skills!Q8+(((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Skills!G9*IF(Skills!H9&gt;0,IF(Inputs!$B$38="pvp",MIN(Skills!I9,15),Skills!I9)/Skills!H9,1)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138,MAX(0,IF(Inputs!$B$3&gt;=118,8,IF(Inputs!$B$3&gt;=110,7,5))-5)*50,0),0)/100)*(1+(IF(Skills!A9="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IFERROR(1/(IF(Inputs!$B$38="pvp",15,MAX(0.1,Skills!D9-IF(TRUE=TRUE,Inputs!$B$32,0)))*(1-IF(AND(ArtifactsInput!$M$27,Inputs!$B$4="Chapter Hunt"),CHOOSE(ArtifactsInput!$N$27+1,20,24,28,32,36,40),0)/100)),0)</f>
        <v/>
      </c>
      <c r="R2096">
        <f>IF(AND(Inputs!$B$38&lt;&gt;"pvp",Inputs!$B$43&gt;0),IF(MAX(0,Inputs!$B$43-B2123)&lt;=0,0,(INT(MAX(0,Inputs!$B$43-B2123)/(IF(Inputs!$B$38="pvp",15,MAX(0.1,Skills!D9-IF(TRUE=TRUE,Inputs!$B$32,0)))*(1-IF(AND(ArtifactsInput!$M$27,Inputs!$B$4="Chapter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TRUE=TRUE,Inputs!$B$32,0)))*(1-IF(AND(ArtifactsInput!$M$27,Inputs!$B$4="Chapter Hunt"),CHOOSE(ArtifactsInput!$N$27+1,20,24,28,32,36,40),0)/100)))))/Skills!H9,1)))/Inputs!$B$43),G2096*Q2096))*IF(Inputs!$B$38="pvp",1,1+(Inputs!$B$20+0+Skills!P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TRUE=TRUE,Inputs!$B$32,0)))*(1-IF(AND(ArtifactsInput!$M$27,Inputs!$B$4="Chapter Hunt"),CHOOSE(ArtifactsInput!$N$27+1,20,24,28,32,36,40),0)/100)))))/Skills!H9,1)))/Inputs!$B$43),G2096*Q2096))*IF(Inputs!$B$38="pvp",1,(1+(Inputs!$B$21+Skills!Q9+(((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Skills!G10*IF(Skills!H10&gt;0,IF(Inputs!$B$38="pvp",MIN(Skills!I10,15),Skills!I10)/Skills!H10,1)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138,MAX(0,IF(Inputs!$B$3&gt;=118,8,IF(Inputs!$B$3&gt;=110,7,5))-5)*50,0),0)/100)*(1+(IF(Skills!A10="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IFERROR(1/(IF(Inputs!$B$38="pvp",15,MAX(0.1,Skills!D10-IF(TRUE=TRUE,Inputs!$B$32,0)))*(1-IF(AND(ArtifactsInput!$M$27,Inputs!$B$4="Chapter Hunt"),CHOOSE(ArtifactsInput!$N$27+1,20,24,28,32,36,40),0)/100)),0)</f>
        <v/>
      </c>
      <c r="R2097">
        <f>IF(AND(Inputs!$B$38&lt;&gt;"pvp",Inputs!$B$43&gt;0),IF(MAX(0,Inputs!$B$43-B2123)&lt;=0,0,(INT(MAX(0,Inputs!$B$43-B2123)/(IF(Inputs!$B$38="pvp",15,MAX(0.1,Skills!D10-IF(TRUE=TRUE,Inputs!$B$32,0)))*(1-IF(AND(ArtifactsInput!$M$27,Inputs!$B$4="Chapter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$20+0+Skills!P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TRUE=TRUE,Inputs!$B$32,0)))*(1-IF(AND(ArtifactsInput!$M$27,Inputs!$B$4="Chapter Hunt"),CHOOSE(ArtifactsInput!$N$27+1,20,24,28,32,36,40),0)/100)))))/Skills!H10,1)))/Inputs!$B$43),G2097*Q2097))*IF(Inputs!$B$38="pvp",1,(1+(Inputs!$B$21+Skills!Q10+(((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Skills!G11*IF(Skills!H11&gt;0,IF(Inputs!$B$38="pvp",MIN(Skills!I11,15),Skills!I11)/Skills!H11,1)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(100-(100-((Inputs!$B$19+0)))*(1-IF(Inputs!$B$3&gt;=130,IF(Inputs!$B$3&gt;=118,8,IF(Inputs!$B$3&gt;=110,7,5)),0)/100)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138,MAX(0,IF(Inputs!$B$3&gt;=118,8,IF(Inputs!$B$3&gt;=110,7,5))-5)*50,0),0)/100)*(1+(IF(Skills!A11="RAGING_BLOW",Inputs!$B$17+((C2108=TRUE)*(F2108-Calc!F21))+((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IFERROR(1/(IF(Inputs!$B$38="pvp",15,MAX(0.1,Skills!D11-IF(TRUE=TRUE,Inputs!$B$32,0)))*(1-IF(AND(ArtifactsInput!$M$27,Inputs!$B$4="Chapter Hunt"),CHOOSE(ArtifactsInput!$N$27+1,20,24,28,32,36,40),0)/100)),0)</f>
        <v/>
      </c>
      <c r="R2098">
        <f>IF(AND(Inputs!$B$38&lt;&gt;"pvp",Inputs!$B$43&gt;0),IF(MAX(0,Inputs!$B$43-B2123)&lt;=0,0,(INT(MAX(0,Inputs!$B$43-B2123)/(IF(Inputs!$B$38="pvp",15,MAX(0.1,Skills!D11-IF(TRUE=TRUE,Inputs!$B$32,0)))*(1-IF(AND(ArtifactsInput!$M$27,Inputs!$B$4="Chapter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$20+0+Skills!P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Inputs!$B$38&lt;&gt;"pvp",Inputs!$B$43=0),1,IF(IF(Inputs!$B$38="pvp",15,Inputs!$B$43)-(B2123)&lt;=0,1,MAX(0,IF(Inputs!$B$38="pvp",15,Inputs!$B$43)-MAX(5,B2123))/(IF(Inputs!$B$38="pvp",15,Inputs!$B$43)-(B2123)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TRUE=TRUE,Inputs!$B$32,0)))*(1-IF(AND(ArtifactsInput!$M$27,Inputs!$B$4="Chapter Hunt"),CHOOSE(ArtifactsInput!$N$27+1,20,24,28,32,36,40),0)/100)))))/Skills!H11,1)))/Inputs!$B$43),G2098*Q2098))*IF(Inputs!$B$38="pvp",1,(1+(Inputs!$B$21+Skills!Q11+(((C2103=TRUE)*F2103*(Skills!J16/100)*IF(AND(Inputs!$B$38&lt;&gt;"pvp",Inputs!$B$43&gt;0),(((R2103-1)*MIN((Skills!T16*(1+(Inputs!$B$34+(ArtifactsInput!$M$7-ArtifactsInput!$M$7)*CHOOSE(ArtifactsInput!$N$7+1,6,7.2,8.4,9.6,10.8,12))/100)),(1/Q2103))+MIN((Skills!T16*(1+(Inputs!$B$34+(ArtifactsInput!$M$7-ArtifactsInput!$M$7)*CHOOSE(ArtifactsInput!$N$7+1,6,7.2,8.4,9.6,10.8,12))/100)),MAX(0,Inputs!$B$43-((R2103-1)*(1/Q2103)))))/Inputs!$B$43),IF(Inputs!$B$38="pvp",MIN((Skills!T16*(1+(Inputs!$B$34+(ArtifactsInput!$M$7-ArtifactsInput!$M$7)*CHOOSE(ArtifactsInput!$N$7+1,6,7.2,8.4,9.6,10.8,12))/100)),15)/15,MIN(1,(Skills!T16*(1+(Inputs!$B$34+(ArtifactsInput!$M$7-ArtifactsInput!$M$7)*CHOOSE(ArtifactsInput!$N$7+1,6,7.2,8.4,9.6,10.8,12))/100))/(1/Q2103)))))+((C2095=TRUE)*IF(Inputs!$B$3&gt;=126,10*MIN(1,15*Q2095),0))+((C2092=TRUE)*((100/10)*(INDEX(FactorTable!$B$2:$Y$301,MATCH(ROUND(MIN(300,MAX(1,MAX(0,(Inputs!$B$3-100)*3)+Inputs!$B$28+Inputs!$B$29)),0),FactorTable!$A$2:$A$301,0),22)/1000))*(1+IF(Inputs!$B$3&gt;=134,0.5,0))*MIN(1,10*(1+(Inputs!$B$34+(ArtifactsInput!$M$7-ArtifactsInput!$M$7)*CHOOSE(ArtifactsInput!$N$7+1,6,7.2,8.4,9.6,10.8,12))/100)*Q2092)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Skills!G13*IF(Skills!H13&gt;0,IF(Inputs!$B$38="pvp",MIN(Skills!I13,15),Skills!I13)/Skills!H13,1)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Skills!G14*IF(Skills!H14&gt;0,IF(Inputs!$B$38="pvp",MIN(Skills!I14,15),Skills!I14)/Skills!H14,1)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Skills!G15*IF(Skills!H15&gt;0,IF(Inputs!$B$38="pvp",MIN(Skills!I15,15),Skills!I15)/Skills!H15,1)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IFERROR(1/(IF(Inputs!$B$38="pvp",15,MAX(0.1,Skills!D15-IF(TRUE=TRUE,Inputs!$B$32,0)))*(1-IF(AND(ArtifactsInput!$M$27,Inputs!$B$4="Chapter Hunt"),CHOOSE(ArtifactsInput!$N$27+1,20,24,28,32,36,40),0)/100)),0)</f>
        <v/>
      </c>
      <c r="R2102">
        <f>IF(AND(Inputs!$B$38&lt;&gt;"pvp",Inputs!$B$43&gt;0),IF(Inputs!$B$43&lt;=0,0,(INT(Inputs!$B$43/(IF(Inputs!$B$38="pvp",15,MAX(0.1,Skills!D15-IF(TRUE=TRUE,Inputs!$B$32,0)))*(1-IF(AND(ArtifactsInput!$M$27,Inputs!$B$4="Chapter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Skills!G16*IF(Skills!H16&gt;0,IF(Inputs!$B$38="pvp",MIN(Skills!I16,15),Skills!I16)/Skills!H16,1)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IFERROR(1/(IF(Inputs!$B$38="pvp",15,MAX(0.1,Skills!D16-IF(TRUE=TRUE,Inputs!$B$32,0)))*(1-IF(AND(ArtifactsInput!$M$27,Inputs!$B$4="Chapter Hunt"),CHOOSE(ArtifactsInput!$N$27+1,20,24,28,32,36,40),0)/100)),0)</f>
        <v/>
      </c>
      <c r="R2103">
        <f>IF(AND(Inputs!$B$38&lt;&gt;"pvp",Inputs!$B$43&gt;0),IF(Inputs!$B$43&lt;=0,0,(INT(Inputs!$B$43/(IF(Inputs!$B$38="pvp",15,MAX(0.1,Skills!D16-IF(TRUE=TRUE,Inputs!$B$32,0)))*(1-IF(AND(ArtifactsInput!$M$27,Inputs!$B$4="Chapter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Skills!G17*IF(Skills!H17&gt;0,IF(Inputs!$B$38="pvp",MIN(Skills!I17,15),Skills!I17)/Skills!H17,1)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IFERROR(1/(IF(Inputs!$B$38="pvp",15,MAX(0.1,Skills!D17-IF(TRUE=TRUE,Inputs!$B$32,0)))*(1-IF(AND(ArtifactsInput!$M$27,Inputs!$B$4="Chapter Hunt"),CHOOSE(ArtifactsInput!$N$27+1,20,24,28,32,36,40),0)/100)),0)</f>
        <v/>
      </c>
      <c r="R2104">
        <f>IF(AND(Inputs!$B$38&lt;&gt;"pvp",Inputs!$B$43&gt;0),IF(Inputs!$B$43&lt;=0,0,(INT(Inputs!$B$43/(IF(Inputs!$B$38="pvp",15,MAX(0.1,Skills!D17-IF(TRUE=TRUE,Inputs!$B$32,0)))*(1-IF(AND(ArtifactsInput!$M$27,Inputs!$B$4="Chapter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Skills!G18*IF(Skills!H18&gt;0,IF(Inputs!$B$38="pvp",MIN(Skills!I18,15),Skills!I18)/Skills!H18,1)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IFERROR(1/(IF(Inputs!$B$38="pvp",15,MAX(0.1,Skills!D18-IF(TRUE=TRUE,Inputs!$B$32,0)))*(1-IF(AND(ArtifactsInput!$M$27,Inputs!$B$4="Chapter Hunt"),CHOOSE(ArtifactsInput!$N$27+1,20,24,28,32,36,40),0)/100)),0)</f>
        <v/>
      </c>
      <c r="R2105">
        <f>IF(AND(Inputs!$B$38&lt;&gt;"pvp",Inputs!$B$43&gt;0),IF(Inputs!$B$43&lt;=0,0,(INT(Inputs!$B$43/(IF(Inputs!$B$38="pvp",15,MAX(0.1,Skills!D18-IF(TRUE=TRUE,Inputs!$B$32,0)))*(1-IF(AND(ArtifactsInput!$M$27,Inputs!$B$4="Chapter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Skills!G19*IF(Skills!H19&gt;0,IF(Inputs!$B$38="pvp",MIN(Skills!I19,15),Skills!I19)/Skills!H19,1)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IFERROR(1/(IF(Inputs!$B$38="pvp",15,MAX(0.1,Skills!D19-IF(TRUE=TRUE,Inputs!$B$32,0)))*(1-IF(AND(ArtifactsInput!$M$27,Inputs!$B$4="Chapter Hunt"),CHOOSE(ArtifactsInput!$N$27+1,20,24,28,32,36,40),0)/100)),0)</f>
        <v/>
      </c>
      <c r="R2106">
        <f>IF(AND(Inputs!$B$38&lt;&gt;"pvp",Inputs!$B$43&gt;0),IF(Inputs!$B$43&lt;=0,0,(INT(Inputs!$B$43/(IF(Inputs!$B$38="pvp",15,MAX(0.1,Skills!D19-IF(TRUE=TRUE,Inputs!$B$32,0)))*(1-IF(AND(ArtifactsInput!$M$27,Inputs!$B$4="Chapter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Skills!G20*IF(Skills!H20&gt;0,IF(Inputs!$B$38="pvp",MIN(Skills!I20,15),Skills!I20)/Skills!H20,1)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Skills!G21*IF(Skills!H21&gt;0,IF(Inputs!$B$38="pvp",MIN(Skills!I21,15),Skills!I21)/Skills!H21,1)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Skills!G22*IF(Skills!H22&gt;0,IF(Inputs!$B$38="pvp",MIN(Skills!I22,15),Skills!I22)/Skills!H22,1)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Skills!G23*IF(Skills!H23&gt;0,IF(Inputs!$B$38="pvp",MIN(Skills!I23,15),Skills!I23)/Skills!H23,1)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Skills!G24*IF(Skills!H24&gt;0,IF(Inputs!$B$38="pvp",MIN(Skills!I24,15),Skills!I24)/Skills!H24,1)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Skills!G25*IF(Skills!H25&gt;0,IF(Inputs!$B$38="pvp",MIN(Skills!I25,15),Skills!I25)/Skills!H25,1)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Skills!G26*IF(Skills!H26&gt;0,IF(Inputs!$B$38="pvp",MIN(Skills!I26,15),Skills!I26)/Skills!H26,1)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118,8,IF(Inputs!$B$3&gt;=110,7,5)))+((C2102=TRUE)*F2102*IF(AND(Inputs!$B$38&lt;&gt;"pvp",Inputs!$B$43&gt;0),(((R2102-1)*MIN((Skills!T15*(1+(Inputs!$B$34+(ArtifactsInput!$M$7-ArtifactsInput!$M$7)*CHOOSE(ArtifactsInput!$N$7+1,6,7.2,8.4,9.6,10.8,12))/100)),(1/Q2102))+MIN((Skills!T15*(1+(Inputs!$B$34+(ArtifactsInput!$M$7-ArtifactsInput!$M$7)*CHOOSE(ArtifactsInput!$N$7+1,6,7.2,8.4,9.6,10.8,12))/100)),MAX(0,Inputs!$B$43-((R2102-1)*(1/Q2102)))))/Inputs!$B$43),IF(Inputs!$B$38="pvp",MIN((Skills!T15*(1+(Inputs!$B$34+(ArtifactsInput!$M$7-ArtifactsInput!$M$7)*CHOOSE(ArtifactsInput!$N$7+1,6,7.2,8.4,9.6,10.8,12))/100)),15)/15,MIN(1,(Skills!T15*(1+(Inputs!$B$34+(ArtifactsInput!$M$7-ArtifactsInput!$M$7)*CHOOSE(ArtifactsInput!$N$7+1,6,7.2,8.4,9.6,10.8,12))/100))/(1/Q2102)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MIN((Skills!T19*(1+(Inputs!$B$34+(ArtifactsInput!$M$7-ArtifactsInput!$M$7)*CHOOSE(ArtifactsInput!$N$7+1,6,7.2,8.4,9.6,10.8,12))/100)),(1/Q2106))+MIN((Skills!T19*(1+(Inputs!$B$34+(ArtifactsInput!$M$7-ArtifactsInput!$M$7)*CHOOSE(ArtifactsInput!$N$7+1,6,7.2,8.4,9.6,10.8,12))/100)),MAX(0,Inputs!$B$43-((R2106-1)*(1/Q2106)))))/Inputs!$B$43),IF(Inputs!$B$38="pvp",MIN((Skills!T19*(1+(Inputs!$B$34+(ArtifactsInput!$M$7-ArtifactsInput!$M$7)*CHOOSE(ArtifactsInput!$N$7+1,6,7.2,8.4,9.6,10.8,12))/100)),15)/15,MIN(1,(Skills!T19*(1+(Inputs!$B$34+(ArtifactsInput!$M$7-ArtifactsInput!$M$7)*CHOOSE(ArtifactsInput!$N$7+1,6,7.2,8.4,9.6,10.8,12))/100))/(1/Q2106)))))</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MIN((Skills!T18*(1+(Inputs!$B$34+(ArtifactsInput!$M$7-ArtifactsInput!$M$7)*CHOOSE(ArtifactsInput!$N$7+1,6,7.2,8.4,9.6,10.8,12))/100)),(1/Q2105))+MIN((Skills!T18*(1+(Inputs!$B$34+(ArtifactsInput!$M$7-ArtifactsInput!$M$7)*CHOOSE(ArtifactsInput!$N$7+1,6,7.2,8.4,9.6,10.8,12))/100)),MAX(0,Inputs!$B$43-((R2105-1)*(1/Q2105)))))/Inputs!$B$43),IF(Inputs!$B$38="pvp",MIN((Skills!T18*(1+(Inputs!$B$34+(ArtifactsInput!$M$7-ArtifactsInput!$M$7)*CHOOSE(ArtifactsInput!$N$7+1,6,7.2,8.4,9.6,10.8,12))/100)),15)/15,MIN(1,(Skills!T18*(1+(Inputs!$B$34+(ArtifactsInput!$M$7-ArtifactsInput!$M$7)*CHOOSE(ArtifactsInput!$N$7+1,6,7.2,8.4,9.6,10.8,12))/100))/(1/Q2105)))))</f>
        <v/>
      </c>
    </row>
    <row r="2122">
      <c r="A2122" t="inlineStr">
        <is>
          <t>Global Final Damage Bonus % (Enrage + Combo Synergy)</t>
        </is>
      </c>
      <c r="B2122">
        <f>((C2104=TRUE)*F2104*IF(AND(Inputs!$B$38&lt;&gt;"pvp",Inputs!$B$43&gt;0),(((R2104-1)*MIN((Skills!T17*(1+(Inputs!$B$34+(ArtifactsInput!$M$7-ArtifactsInput!$M$7)*CHOOSE(ArtifactsInput!$N$7+1,6,7.2,8.4,9.6,10.8,12))/100)),(1/Q2104))+MIN((Skills!T17*(1+(Inputs!$B$34+(ArtifactsInput!$M$7-ArtifactsInput!$M$7)*CHOOSE(ArtifactsInput!$N$7+1,6,7.2,8.4,9.6,10.8,12))/100)),MAX(0,Inputs!$B$43-((R2104-1)*(1/Q2104)))))/Inputs!$B$43),IF(Inputs!$B$38="pvp",MIN((Skills!T17*(1+(Inputs!$B$34+(ArtifactsInput!$M$7-ArtifactsInput!$M$7)*CHOOSE(ArtifactsInput!$N$7+1,6,7.2,8.4,9.6,10.8,12))/100)),15)/15,MIN(1,(Skills!T17*(1+(Inputs!$B$34+(ArtifactsInput!$M$7-ArtifactsInput!$M$7)*CHOOSE(ArtifactsInput!$N$7+1,6,7.2,8.4,9.6,10.8,12))/100))/(1/Q2104)))))+((C2101=TRUE)*F2101*IF(Inputs!$B$3&gt;=118,8,IF(Inputs!$B$3&gt;=110,7,5)))+IF(Inputs!$B$3&gt;=98,5,0)</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Skills!G2*IF(Skills!H2&gt;0,IF(Inputs!$B$38="pvp",MIN(Skills!I2,15),Skills!I2)/Skills!H2,1)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Skills!G5*IF(Skills!H5&gt;0,IF(Inputs!$B$38="pvp",MIN(Skills!I5,15),Skills!I5)/Skills!H5,1)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IFERROR(1/(IF(Inputs!$B$38="pvp",15,MAX(0.1,Skills!D5-IF(TRUE=TRUE,Inputs!$B$32,0)))*(1-IF(AND(ArtifactsInput!$M$27,Inputs!$B$4="Chapter Hunt"),CHOOSE(ArtifactsInput!$N$27+1,20,24,28,32,36,40),0)/100)),0)</f>
        <v/>
      </c>
      <c r="R2134">
        <f>IF(AND(Inputs!$B$38&lt;&gt;"pvp",Inputs!$B$43&gt;0),IF(MAX(0,Inputs!$B$43-B2165)&lt;=0,0,(INT(MAX(0,Inputs!$B$43-B2165)/(IF(Inputs!$B$38="pvp",15,MAX(0.1,Skills!D5-IF(TRUE=TRUE,Inputs!$B$32,0)))*(1-IF(AND(ArtifactsInput!$M$27,Inputs!$B$4="Chapter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$20+0+Skills!P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TRUE=TRUE,Inputs!$B$32,0)))*(1-IF(AND(ArtifactsInput!$M$27,Inputs!$B$4="Chapter Hunt"),CHOOSE(ArtifactsInput!$N$27+1,20,24,28,32,36,40),0)/100)))))/Skills!H5,1)))/Inputs!$B$43),G2134*Q2134))*IF(Inputs!$B$38="pvp",1,(1+(Inputs!$B$21+Skills!Q5+(((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Skills!G6*IF(Skills!H6&gt;0,IF(Inputs!$B$38="pvp",MIN(Skills!I6,15),Skills!I6)/Skills!H6,1)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IFERROR(1/(IF(Inputs!$B$38="pvp",15,MAX(0.1,Skills!D6-IF(TRUE=TRUE,Inputs!$B$32,0)))*(1-IF(AND(ArtifactsInput!$M$27,Inputs!$B$4="Chapter Hunt"),CHOOSE(ArtifactsInput!$N$27+1,20,24,28,32,36,40),0)/100)),0)</f>
        <v/>
      </c>
      <c r="R2135">
        <f>IF(AND(Inputs!$B$38&lt;&gt;"pvp",Inputs!$B$43&gt;0),IF(MAX(0,Inputs!$B$43-B2165)&lt;=0,0,(INT(MAX(0,Inputs!$B$43-B2165)/(IF(Inputs!$B$38="pvp",15,MAX(0.1,Skills!D6-IF(TRUE=TRUE,Inputs!$B$32,0)))*(1-IF(AND(ArtifactsInput!$M$27,Inputs!$B$4="Chapter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$20+0+Skills!P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TRUE=TRUE,Inputs!$B$32,0)))*(1-IF(AND(ArtifactsInput!$M$27,Inputs!$B$4="Chapter Hunt"),CHOOSE(ArtifactsInput!$N$27+1,20,24,28,32,36,40),0)/100)))))/Skills!H6,1)))/Inputs!$B$43),G2135*Q2135))*IF(Inputs!$B$38="pvp",1,(1+(Inputs!$B$21+Skills!Q6+(((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Skills!G7*IF(Skills!H7&gt;0,IF(Inputs!$B$38="pvp",MIN(Skills!I7,15),Skills!I7)/Skills!H7,1)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IFERROR(1/(IF(Inputs!$B$38="pvp",15,MAX(0.1,Skills!D7-IF(TRUE=TRUE,Inputs!$B$32,0)))*(1-IF(AND(ArtifactsInput!$M$27,Inputs!$B$4="Chapter Hunt"),CHOOSE(ArtifactsInput!$N$27+1,20,24,28,32,36,40),0)/100)),0)</f>
        <v/>
      </c>
      <c r="R2136">
        <f>IF(AND(Inputs!$B$38&lt;&gt;"pvp",Inputs!$B$43&gt;0),IF(MAX(0,Inputs!$B$43-B2165)&lt;=0,0,(INT(MAX(0,Inputs!$B$43-B2165)/(IF(Inputs!$B$38="pvp",15,MAX(0.1,Skills!D7-IF(TRUE=TRUE,Inputs!$B$32,0)))*(1-IF(AND(ArtifactsInput!$M$27,Inputs!$B$4="Chapter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$20+0+Skills!P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TRUE=TRUE,Inputs!$B$32,0)))*(1-IF(AND(ArtifactsInput!$M$27,Inputs!$B$4="Chapter Hunt"),CHOOSE(ArtifactsInput!$N$27+1,20,24,28,32,36,40),0)/100)))))/Skills!H7,1)))/Inputs!$B$43),G2136*Q2136))*IF(Inputs!$B$38="pvp",1,(1+(Inputs!$B$21+Skills!Q7+(((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Skills!G8*IF(Skills!H8&gt;0,IF(Inputs!$B$38="pvp",MIN(Skills!I8,15),Skills!I8)/Skills!H8,1)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IFERROR(1/(IF(Inputs!$B$38="pvp",15,MAX(0.1,Skills!D8-IF(TRUE=TRUE,Inputs!$B$32,0)))*(1-IF(AND(ArtifactsInput!$M$27,Inputs!$B$4="Chapter Hunt"),CHOOSE(ArtifactsInput!$N$27+1,20,24,28,32,36,40),0)/100)),0)</f>
        <v/>
      </c>
      <c r="R2137">
        <f>IF(AND(Inputs!$B$38&lt;&gt;"pvp",Inputs!$B$43&gt;0),IF(MAX(0,Inputs!$B$43-B2165)&lt;=0,0,(INT(MAX(0,Inputs!$B$43-B2165)/(IF(Inputs!$B$38="pvp",15,MAX(0.1,Skills!D8-IF(TRUE=TRUE,Inputs!$B$32,0)))*(1-IF(AND(ArtifactsInput!$M$27,Inputs!$B$4="Chapter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$20+0+Skills!P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TRUE=TRUE,Inputs!$B$32,0)))*(1-IF(AND(ArtifactsInput!$M$27,Inputs!$B$4="Chapter Hunt"),CHOOSE(ArtifactsInput!$N$27+1,20,24,28,32,36,40),0)/100)))))/Skills!H8,1)))/Inputs!$B$43),G2137*Q2137))*IF(Inputs!$B$38="pvp",1,(1+(Inputs!$B$21+Skills!Q8+(((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Skills!G9*IF(Skills!H9&gt;0,IF(Inputs!$B$38="pvp",MIN(Skills!I9,15),Skills!I9)/Skills!H9,1)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138,MAX(0,IF(Inputs!$B$3&gt;=118,8,IF(Inputs!$B$3&gt;=110,7,5))-5)*50,0),0)/100)*(1+(IF(Skills!A9="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IFERROR(1/(IF(Inputs!$B$38="pvp",15,MAX(0.1,Skills!D9-IF(TRUE=TRUE,Inputs!$B$32,0)))*(1-IF(AND(ArtifactsInput!$M$27,Inputs!$B$4="Chapter Hunt"),CHOOSE(ArtifactsInput!$N$27+1,20,24,28,32,36,40),0)/100)),0)</f>
        <v/>
      </c>
      <c r="R2138">
        <f>IF(AND(Inputs!$B$38&lt;&gt;"pvp",Inputs!$B$43&gt;0),IF(MAX(0,Inputs!$B$43-B2165)&lt;=0,0,(INT(MAX(0,Inputs!$B$43-B2165)/(IF(Inputs!$B$38="pvp",15,MAX(0.1,Skills!D9-IF(TRUE=TRUE,Inputs!$B$32,0)))*(1-IF(AND(ArtifactsInput!$M$27,Inputs!$B$4="Chapter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TRUE=TRUE,Inputs!$B$32,0)))*(1-IF(AND(ArtifactsInput!$M$27,Inputs!$B$4="Chapter Hunt"),CHOOSE(ArtifactsInput!$N$27+1,20,24,28,32,36,40),0)/100)))))/Skills!H9,1)))/Inputs!$B$43),G2138*Q2138))*IF(Inputs!$B$38="pvp",1,1+(Inputs!$B$20+0+Skills!P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TRUE=TRUE,Inputs!$B$32,0)))*(1-IF(AND(ArtifactsInput!$M$27,Inputs!$B$4="Chapter Hunt"),CHOOSE(ArtifactsInput!$N$27+1,20,24,28,32,36,40),0)/100)))))/Skills!H9,1)))/Inputs!$B$43),G2138*Q2138))*IF(Inputs!$B$38="pvp",1,(1+(Inputs!$B$21+Skills!Q9+(((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Skills!G10*IF(Skills!H10&gt;0,IF(Inputs!$B$38="pvp",MIN(Skills!I10,15),Skills!I10)/Skills!H10,1)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138,MAX(0,IF(Inputs!$B$3&gt;=118,8,IF(Inputs!$B$3&gt;=110,7,5))-5)*50,0),0)/100)*(1+(IF(Skills!A10="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IFERROR(1/(IF(Inputs!$B$38="pvp",15,MAX(0.1,Skills!D10-IF(TRUE=TRUE,Inputs!$B$32,0)))*(1-IF(AND(ArtifactsInput!$M$27,Inputs!$B$4="Chapter Hunt"),CHOOSE(ArtifactsInput!$N$27+1,20,24,28,32,36,40),0)/100)),0)</f>
        <v/>
      </c>
      <c r="R2139">
        <f>IF(AND(Inputs!$B$38&lt;&gt;"pvp",Inputs!$B$43&gt;0),IF(MAX(0,Inputs!$B$43-B2165)&lt;=0,0,(INT(MAX(0,Inputs!$B$43-B2165)/(IF(Inputs!$B$38="pvp",15,MAX(0.1,Skills!D10-IF(TRUE=TRUE,Inputs!$B$32,0)))*(1-IF(AND(ArtifactsInput!$M$27,Inputs!$B$4="Chapter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$20+0+Skills!P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TRUE=TRUE,Inputs!$B$32,0)))*(1-IF(AND(ArtifactsInput!$M$27,Inputs!$B$4="Chapter Hunt"),CHOOSE(ArtifactsInput!$N$27+1,20,24,28,32,36,40),0)/100)))))/Skills!H10,1)))/Inputs!$B$43),G2139*Q2139))*IF(Inputs!$B$38="pvp",1,(1+(Inputs!$B$21+Skills!Q10+(((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Skills!G11*IF(Skills!H11&gt;0,IF(Inputs!$B$38="pvp",MIN(Skills!I11,15),Skills!I11)/Skills!H11,1)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(100-(100-((Inputs!$B$19+0)))*(1-IF(Inputs!$B$3&gt;=130,IF(Inputs!$B$3&gt;=118,8,IF(Inputs!$B$3&gt;=110,7,5)),0)/100)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138,MAX(0,IF(Inputs!$B$3&gt;=118,8,IF(Inputs!$B$3&gt;=110,7,5))-5)*50,0),0)/100)*(1+(IF(Skills!A11="RAGING_BLOW",Inputs!$B$17+((C2150=TRUE)*(F2150-Calc!F21))+((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IFERROR(1/(IF(Inputs!$B$38="pvp",15,MAX(0.1,Skills!D11-IF(TRUE=TRUE,Inputs!$B$32,0)))*(1-IF(AND(ArtifactsInput!$M$27,Inputs!$B$4="Chapter Hunt"),CHOOSE(ArtifactsInput!$N$27+1,20,24,28,32,36,40),0)/100)),0)</f>
        <v/>
      </c>
      <c r="R2140">
        <f>IF(AND(Inputs!$B$38&lt;&gt;"pvp",Inputs!$B$43&gt;0),IF(MAX(0,Inputs!$B$43-B2165)&lt;=0,0,(INT(MAX(0,Inputs!$B$43-B2165)/(IF(Inputs!$B$38="pvp",15,MAX(0.1,Skills!D11-IF(TRUE=TRUE,Inputs!$B$32,0)))*(1-IF(AND(ArtifactsInput!$M$27,Inputs!$B$4="Chapter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$20+0+Skills!P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Inputs!$B$38&lt;&gt;"pvp",Inputs!$B$43=0),1,IF(IF(Inputs!$B$38="pvp",15,Inputs!$B$43)-(B2165)&lt;=0,1,MAX(0,IF(Inputs!$B$38="pvp",15,Inputs!$B$43)-MAX(5,B2165))/(IF(Inputs!$B$38="pvp",15,Inputs!$B$43)-(B2165)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TRUE=TRUE,Inputs!$B$32,0)))*(1-IF(AND(ArtifactsInput!$M$27,Inputs!$B$4="Chapter Hunt"),CHOOSE(ArtifactsInput!$N$27+1,20,24,28,32,36,40),0)/100)))))/Skills!H11,1)))/Inputs!$B$43),G2140*Q2140))*IF(Inputs!$B$38="pvp",1,(1+(Inputs!$B$21+Skills!Q11+(((C2145=TRUE)*F2145*(Skills!J16/100)*IF(AND(Inputs!$B$38&lt;&gt;"pvp",Inputs!$B$43&gt;0),(((R2145-1)*MIN((Skills!T16*(1+(Inputs!$B$34+(ArtifactsInput!$M$7-ArtifactsInput!$M$7)*CHOOSE(ArtifactsInput!$N$7+1,6,7.2,8.4,9.6,10.8,12))/100)),(1/Q2145))+MIN((Skills!T16*(1+(Inputs!$B$34+(ArtifactsInput!$M$7-ArtifactsInput!$M$7)*CHOOSE(ArtifactsInput!$N$7+1,6,7.2,8.4,9.6,10.8,12))/100)),MAX(0,Inputs!$B$43-((R2145-1)*(1/Q2145)))))/Inputs!$B$43),IF(Inputs!$B$38="pvp",MIN((Skills!T16*(1+(Inputs!$B$34+(ArtifactsInput!$M$7-ArtifactsInput!$M$7)*CHOOSE(ArtifactsInput!$N$7+1,6,7.2,8.4,9.6,10.8,12))/100)),15)/15,MIN(1,(Skills!T16*(1+(Inputs!$B$34+(ArtifactsInput!$M$7-ArtifactsInput!$M$7)*CHOOSE(ArtifactsInput!$N$7+1,6,7.2,8.4,9.6,10.8,12))/100))/(1/Q2145)))))+((C2137=TRUE)*IF(Inputs!$B$3&gt;=126,10*MIN(1,15*Q2137),0))+((C2134=TRUE)*((100/10)*(INDEX(FactorTable!$B$2:$Y$301,MATCH(ROUND(MIN(300,MAX(1,MAX(0,(Inputs!$B$3-100)*3)+Inputs!$B$28+Inputs!$B$29)),0),FactorTable!$A$2:$A$301,0),22)/1000))*(1+IF(Inputs!$B$3&gt;=134,0.5,0))*MIN(1,10*(1+(Inputs!$B$34+(ArtifactsInput!$M$7-ArtifactsInput!$M$7)*CHOOSE(ArtifactsInput!$N$7+1,6,7.2,8.4,9.6,10.8,12))/100)*Q2134)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Skills!G13*IF(Skills!H13&gt;0,IF(Inputs!$B$38="pvp",MIN(Skills!I13,15),Skills!I13)/Skills!H13,1)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Skills!G14*IF(Skills!H14&gt;0,IF(Inputs!$B$38="pvp",MIN(Skills!I14,15),Skills!I14)/Skills!H14,1)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Skills!G15*IF(Skills!H15&gt;0,IF(Inputs!$B$38="pvp",MIN(Skills!I15,15),Skills!I15)/Skills!H15,1)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IFERROR(1/(IF(Inputs!$B$38="pvp",15,MAX(0.1,Skills!D15-IF(TRUE=TRUE,Inputs!$B$32,0)))*(1-IF(AND(ArtifactsInput!$M$27,Inputs!$B$4="Chapter Hunt"),CHOOSE(ArtifactsInput!$N$27+1,20,24,28,32,36,40),0)/100)),0)</f>
        <v/>
      </c>
      <c r="R2144">
        <f>IF(AND(Inputs!$B$38&lt;&gt;"pvp",Inputs!$B$43&gt;0),IF(Inputs!$B$43&lt;=0,0,(INT(Inputs!$B$43/(IF(Inputs!$B$38="pvp",15,MAX(0.1,Skills!D15-IF(TRUE=TRUE,Inputs!$B$32,0)))*(1-IF(AND(ArtifactsInput!$M$27,Inputs!$B$4="Chapter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Skills!G16*IF(Skills!H16&gt;0,IF(Inputs!$B$38="pvp",MIN(Skills!I16,15),Skills!I16)/Skills!H16,1)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IFERROR(1/(IF(Inputs!$B$38="pvp",15,MAX(0.1,Skills!D16-IF(TRUE=TRUE,Inputs!$B$32,0)))*(1-IF(AND(ArtifactsInput!$M$27,Inputs!$B$4="Chapter Hunt"),CHOOSE(ArtifactsInput!$N$27+1,20,24,28,32,36,40),0)/100)),0)</f>
        <v/>
      </c>
      <c r="R2145">
        <f>IF(AND(Inputs!$B$38&lt;&gt;"pvp",Inputs!$B$43&gt;0),IF(Inputs!$B$43&lt;=0,0,(INT(Inputs!$B$43/(IF(Inputs!$B$38="pvp",15,MAX(0.1,Skills!D16-IF(TRUE=TRUE,Inputs!$B$32,0)))*(1-IF(AND(ArtifactsInput!$M$27,Inputs!$B$4="Chapter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Skills!G17*IF(Skills!H17&gt;0,IF(Inputs!$B$38="pvp",MIN(Skills!I17,15),Skills!I17)/Skills!H17,1)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IFERROR(1/(IF(Inputs!$B$38="pvp",15,MAX(0.1,Skills!D17-IF(TRUE=TRUE,Inputs!$B$32,0)))*(1-IF(AND(ArtifactsInput!$M$27,Inputs!$B$4="Chapter Hunt"),CHOOSE(ArtifactsInput!$N$27+1,20,24,28,32,36,40),0)/100)),0)</f>
        <v/>
      </c>
      <c r="R2146">
        <f>IF(AND(Inputs!$B$38&lt;&gt;"pvp",Inputs!$B$43&gt;0),IF(Inputs!$B$43&lt;=0,0,(INT(Inputs!$B$43/(IF(Inputs!$B$38="pvp",15,MAX(0.1,Skills!D17-IF(TRUE=TRUE,Inputs!$B$32,0)))*(1-IF(AND(ArtifactsInput!$M$27,Inputs!$B$4="Chapter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Skills!G18*IF(Skills!H18&gt;0,IF(Inputs!$B$38="pvp",MIN(Skills!I18,15),Skills!I18)/Skills!H18,1)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IFERROR(1/(IF(Inputs!$B$38="pvp",15,MAX(0.1,Skills!D18-IF(TRUE=TRUE,Inputs!$B$32,0)))*(1-IF(AND(ArtifactsInput!$M$27,Inputs!$B$4="Chapter Hunt"),CHOOSE(ArtifactsInput!$N$27+1,20,24,28,32,36,40),0)/100)),0)</f>
        <v/>
      </c>
      <c r="R2147">
        <f>IF(AND(Inputs!$B$38&lt;&gt;"pvp",Inputs!$B$43&gt;0),IF(Inputs!$B$43&lt;=0,0,(INT(Inputs!$B$43/(IF(Inputs!$B$38="pvp",15,MAX(0.1,Skills!D18-IF(TRUE=TRUE,Inputs!$B$32,0)))*(1-IF(AND(ArtifactsInput!$M$27,Inputs!$B$4="Chapter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Skills!G19*IF(Skills!H19&gt;0,IF(Inputs!$B$38="pvp",MIN(Skills!I19,15),Skills!I19)/Skills!H19,1)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IFERROR(1/(IF(Inputs!$B$38="pvp",15,MAX(0.1,Skills!D19-IF(TRUE=TRUE,Inputs!$B$32,0)))*(1-IF(AND(ArtifactsInput!$M$27,Inputs!$B$4="Chapter Hunt"),CHOOSE(ArtifactsInput!$N$27+1,20,24,28,32,36,40),0)/100)),0)</f>
        <v/>
      </c>
      <c r="R2148">
        <f>IF(AND(Inputs!$B$38&lt;&gt;"pvp",Inputs!$B$43&gt;0),IF(Inputs!$B$43&lt;=0,0,(INT(Inputs!$B$43/(IF(Inputs!$B$38="pvp",15,MAX(0.1,Skills!D19-IF(TRUE=TRUE,Inputs!$B$32,0)))*(1-IF(AND(ArtifactsInput!$M$27,Inputs!$B$4="Chapter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Skills!G20*IF(Skills!H20&gt;0,IF(Inputs!$B$38="pvp",MIN(Skills!I20,15),Skills!I20)/Skills!H20,1)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Skills!G21*IF(Skills!H21&gt;0,IF(Inputs!$B$38="pvp",MIN(Skills!I21,15),Skills!I21)/Skills!H21,1)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Skills!G22*IF(Skills!H22&gt;0,IF(Inputs!$B$38="pvp",MIN(Skills!I22,15),Skills!I22)/Skills!H22,1)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Skills!G23*IF(Skills!H23&gt;0,IF(Inputs!$B$38="pvp",MIN(Skills!I23,15),Skills!I23)/Skills!H23,1)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Skills!G24*IF(Skills!H24&gt;0,IF(Inputs!$B$38="pvp",MIN(Skills!I24,15),Skills!I24)/Skills!H24,1)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Skills!G25*IF(Skills!H25&gt;0,IF(Inputs!$B$38="pvp",MIN(Skills!I25,15),Skills!I25)/Skills!H25,1)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Skills!G26*IF(Skills!H26&gt;0,IF(Inputs!$B$38="pvp",MIN(Skills!I26,15),Skills!I26)/Skills!H26,1)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118,8,IF(Inputs!$B$3&gt;=110,7,5)))+((C2144=TRUE)*F2144*IF(AND(Inputs!$B$38&lt;&gt;"pvp",Inputs!$B$43&gt;0),(((R2144-1)*MIN((Skills!T15*(1+(Inputs!$B$34+(ArtifactsInput!$M$7-ArtifactsInput!$M$7)*CHOOSE(ArtifactsInput!$N$7+1,6,7.2,8.4,9.6,10.8,12))/100)),(1/Q2144))+MIN((Skills!T15*(1+(Inputs!$B$34+(ArtifactsInput!$M$7-ArtifactsInput!$M$7)*CHOOSE(ArtifactsInput!$N$7+1,6,7.2,8.4,9.6,10.8,12))/100)),MAX(0,Inputs!$B$43-((R2144-1)*(1/Q2144)))))/Inputs!$B$43),IF(Inputs!$B$38="pvp",MIN((Skills!T15*(1+(Inputs!$B$34+(ArtifactsInput!$M$7-ArtifactsInput!$M$7)*CHOOSE(ArtifactsInput!$N$7+1,6,7.2,8.4,9.6,10.8,12))/100)),15)/15,MIN(1,(Skills!T15*(1+(Inputs!$B$34+(ArtifactsInput!$M$7-ArtifactsInput!$M$7)*CHOOSE(ArtifactsInput!$N$7+1,6,7.2,8.4,9.6,10.8,12))/100))/(1/Q2144)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MIN((Skills!T19*(1+(Inputs!$B$34+(ArtifactsInput!$M$7-ArtifactsInput!$M$7)*CHOOSE(ArtifactsInput!$N$7+1,6,7.2,8.4,9.6,10.8,12))/100)),(1/Q2148))+MIN((Skills!T19*(1+(Inputs!$B$34+(ArtifactsInput!$M$7-ArtifactsInput!$M$7)*CHOOSE(ArtifactsInput!$N$7+1,6,7.2,8.4,9.6,10.8,12))/100)),MAX(0,Inputs!$B$43-((R2148-1)*(1/Q2148)))))/Inputs!$B$43),IF(Inputs!$B$38="pvp",MIN((Skills!T19*(1+(Inputs!$B$34+(ArtifactsInput!$M$7-ArtifactsInput!$M$7)*CHOOSE(ArtifactsInput!$N$7+1,6,7.2,8.4,9.6,10.8,12))/100)),15)/15,MIN(1,(Skills!T19*(1+(Inputs!$B$34+(ArtifactsInput!$M$7-ArtifactsInput!$M$7)*CHOOSE(ArtifactsInput!$N$7+1,6,7.2,8.4,9.6,10.8,12))/100))/(1/Q2148)))))</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MIN((Skills!T18*(1+(Inputs!$B$34+(ArtifactsInput!$M$7-ArtifactsInput!$M$7)*CHOOSE(ArtifactsInput!$N$7+1,6,7.2,8.4,9.6,10.8,12))/100)),(1/Q2147))+MIN((Skills!T18*(1+(Inputs!$B$34+(ArtifactsInput!$M$7-ArtifactsInput!$M$7)*CHOOSE(ArtifactsInput!$N$7+1,6,7.2,8.4,9.6,10.8,12))/100)),MAX(0,Inputs!$B$43-((R2147-1)*(1/Q2147)))))/Inputs!$B$43),IF(Inputs!$B$38="pvp",MIN((Skills!T18*(1+(Inputs!$B$34+(ArtifactsInput!$M$7-ArtifactsInput!$M$7)*CHOOSE(ArtifactsInput!$N$7+1,6,7.2,8.4,9.6,10.8,12))/100)),15)/15,MIN(1,(Skills!T18*(1+(Inputs!$B$34+(ArtifactsInput!$M$7-ArtifactsInput!$M$7)*CHOOSE(ArtifactsInput!$N$7+1,6,7.2,8.4,9.6,10.8,12))/100))/(1/Q2147)))))</f>
        <v/>
      </c>
    </row>
    <row r="2164">
      <c r="A2164" t="inlineStr">
        <is>
          <t>Global Final Damage Bonus % (Enrage + Combo Synergy)</t>
        </is>
      </c>
      <c r="B2164">
        <f>((C2146=TRUE)*F2146*IF(AND(Inputs!$B$38&lt;&gt;"pvp",Inputs!$B$43&gt;0),(((R2146-1)*MIN((Skills!T17*(1+(Inputs!$B$34+(ArtifactsInput!$M$7-ArtifactsInput!$M$7)*CHOOSE(ArtifactsInput!$N$7+1,6,7.2,8.4,9.6,10.8,12))/100)),(1/Q2146))+MIN((Skills!T17*(1+(Inputs!$B$34+(ArtifactsInput!$M$7-ArtifactsInput!$M$7)*CHOOSE(ArtifactsInput!$N$7+1,6,7.2,8.4,9.6,10.8,12))/100)),MAX(0,Inputs!$B$43-((R2146-1)*(1/Q2146)))))/Inputs!$B$43),IF(Inputs!$B$38="pvp",MIN((Skills!T17*(1+(Inputs!$B$34+(ArtifactsInput!$M$7-ArtifactsInput!$M$7)*CHOOSE(ArtifactsInput!$N$7+1,6,7.2,8.4,9.6,10.8,12))/100)),15)/15,MIN(1,(Skills!T17*(1+(Inputs!$B$34+(ArtifactsInput!$M$7-ArtifactsInput!$M$7)*CHOOSE(ArtifactsInput!$N$7+1,6,7.2,8.4,9.6,10.8,12))/100))/(1/Q2146)))))+((C2143=TRUE)*F2143*IF(Inputs!$B$3&gt;=118,8,IF(Inputs!$B$3&gt;=110,7,5)))+IF(Inputs!$B$3&gt;=98,5,0)</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Skills!G2*IF(Skills!H2&gt;0,IF(Inputs!$B$38="pvp",MIN(Skills!I2,15),Skills!I2)/Skills!H2,1)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Skills!G5*IF(Skills!H5&gt;0,IF(Inputs!$B$38="pvp",MIN(Skills!I5,15),Skills!I5)/Skills!H5,1)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IFERROR(1/(IF(Inputs!$B$38="pvp",15,MAX(0.1,Skills!D5-IF(TRUE=TRUE,Inputs!$B$32,0)))*(1-IF(AND(ArtifactsInput!$M$27,Inputs!$B$4="Chapter Hunt"),CHOOSE(ArtifactsInput!$N$27+1,20,24,28,32,36,40),0)/100)),0)</f>
        <v/>
      </c>
      <c r="R2176">
        <f>IF(AND(Inputs!$B$38&lt;&gt;"pvp",Inputs!$B$43&gt;0),IF(MAX(0,Inputs!$B$43-B2207)&lt;=0,0,(INT(MAX(0,Inputs!$B$43-B2207)/(IF(Inputs!$B$38="pvp",15,MAX(0.1,Skills!D5-IF(TRUE=TRUE,Inputs!$B$32,0)))*(1-IF(AND(ArtifactsInput!$M$27,Inputs!$B$4="Chapter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$20+0+Skills!P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TRUE=TRUE,Inputs!$B$32,0)))*(1-IF(AND(ArtifactsInput!$M$27,Inputs!$B$4="Chapter Hunt"),CHOOSE(ArtifactsInput!$N$27+1,20,24,28,32,36,40),0)/100)))))/Skills!H5,1)))/Inputs!$B$43),G2176*Q2176))*IF(Inputs!$B$38="pvp",1,(1+(Inputs!$B$21+Skills!Q5+(((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Skills!G6*IF(Skills!H6&gt;0,IF(Inputs!$B$38="pvp",MIN(Skills!I6,15),Skills!I6)/Skills!H6,1)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IFERROR(1/(IF(Inputs!$B$38="pvp",15,MAX(0.1,Skills!D6-IF(TRUE=TRUE,Inputs!$B$32,0)))*(1-IF(AND(ArtifactsInput!$M$27,Inputs!$B$4="Chapter Hunt"),CHOOSE(ArtifactsInput!$N$27+1,20,24,28,32,36,40),0)/100)),0)</f>
        <v/>
      </c>
      <c r="R2177">
        <f>IF(AND(Inputs!$B$38&lt;&gt;"pvp",Inputs!$B$43&gt;0),IF(MAX(0,Inputs!$B$43-B2207)&lt;=0,0,(INT(MAX(0,Inputs!$B$43-B2207)/(IF(Inputs!$B$38="pvp",15,MAX(0.1,Skills!D6-IF(TRUE=TRUE,Inputs!$B$32,0)))*(1-IF(AND(ArtifactsInput!$M$27,Inputs!$B$4="Chapter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$20+0+Skills!P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TRUE=TRUE,Inputs!$B$32,0)))*(1-IF(AND(ArtifactsInput!$M$27,Inputs!$B$4="Chapter Hunt"),CHOOSE(ArtifactsInput!$N$27+1,20,24,28,32,36,40),0)/100)))))/Skills!H6,1)))/Inputs!$B$43),G2177*Q2177))*IF(Inputs!$B$38="pvp",1,(1+(Inputs!$B$21+Skills!Q6+(((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Skills!G7*IF(Skills!H7&gt;0,IF(Inputs!$B$38="pvp",MIN(Skills!I7,15),Skills!I7)/Skills!H7,1)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IFERROR(1/(IF(Inputs!$B$38="pvp",15,MAX(0.1,Skills!D7-IF(TRUE=TRUE,Inputs!$B$32,0)))*(1-IF(AND(ArtifactsInput!$M$27,Inputs!$B$4="Chapter Hunt"),CHOOSE(ArtifactsInput!$N$27+1,20,24,28,32,36,40),0)/100)),0)</f>
        <v/>
      </c>
      <c r="R2178">
        <f>IF(AND(Inputs!$B$38&lt;&gt;"pvp",Inputs!$B$43&gt;0),IF(MAX(0,Inputs!$B$43-B2207)&lt;=0,0,(INT(MAX(0,Inputs!$B$43-B2207)/(IF(Inputs!$B$38="pvp",15,MAX(0.1,Skills!D7-IF(TRUE=TRUE,Inputs!$B$32,0)))*(1-IF(AND(ArtifactsInput!$M$27,Inputs!$B$4="Chapter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$20+0+Skills!P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TRUE=TRUE,Inputs!$B$32,0)))*(1-IF(AND(ArtifactsInput!$M$27,Inputs!$B$4="Chapter Hunt"),CHOOSE(ArtifactsInput!$N$27+1,20,24,28,32,36,40),0)/100)))))/Skills!H7,1)))/Inputs!$B$43),G2178*Q2178))*IF(Inputs!$B$38="pvp",1,(1+(Inputs!$B$21+Skills!Q7+(((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Skills!G8*IF(Skills!H8&gt;0,IF(Inputs!$B$38="pvp",MIN(Skills!I8,15),Skills!I8)/Skills!H8,1)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IFERROR(1/(IF(Inputs!$B$38="pvp",15,MAX(0.1,Skills!D8-IF(TRUE=TRUE,Inputs!$B$32,0)))*(1-IF(AND(ArtifactsInput!$M$27,Inputs!$B$4="Chapter Hunt"),CHOOSE(ArtifactsInput!$N$27+1,20,24,28,32,36,40),0)/100)),0)</f>
        <v/>
      </c>
      <c r="R2179">
        <f>IF(AND(Inputs!$B$38&lt;&gt;"pvp",Inputs!$B$43&gt;0),IF(MAX(0,Inputs!$B$43-B2207)&lt;=0,0,(INT(MAX(0,Inputs!$B$43-B2207)/(IF(Inputs!$B$38="pvp",15,MAX(0.1,Skills!D8-IF(TRUE=TRUE,Inputs!$B$32,0)))*(1-IF(AND(ArtifactsInput!$M$27,Inputs!$B$4="Chapter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$20+0+Skills!P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TRUE=TRUE,Inputs!$B$32,0)))*(1-IF(AND(ArtifactsInput!$M$27,Inputs!$B$4="Chapter Hunt"),CHOOSE(ArtifactsInput!$N$27+1,20,24,28,32,36,40),0)/100)))))/Skills!H8,1)))/Inputs!$B$43),G2179*Q2179))*IF(Inputs!$B$38="pvp",1,(1+(Inputs!$B$21+Skills!Q8+(((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Skills!G9*IF(Skills!H9&gt;0,IF(Inputs!$B$38="pvp",MIN(Skills!I9,15),Skills!I9)/Skills!H9,1)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138,MAX(0,IF(Inputs!$B$3&gt;=118,8,IF(Inputs!$B$3&gt;=110,7,5))-5)*50,0),0)/100)*(1+(IF(Skills!A9="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IFERROR(1/(IF(Inputs!$B$38="pvp",15,MAX(0.1,Skills!D9-IF(TRUE=TRUE,Inputs!$B$32,0)))*(1-IF(AND(ArtifactsInput!$M$27,Inputs!$B$4="Chapter Hunt"),CHOOSE(ArtifactsInput!$N$27+1,20,24,28,32,36,40),0)/100)),0)</f>
        <v/>
      </c>
      <c r="R2180">
        <f>IF(AND(Inputs!$B$38&lt;&gt;"pvp",Inputs!$B$43&gt;0),IF(MAX(0,Inputs!$B$43-B2207)&lt;=0,0,(INT(MAX(0,Inputs!$B$43-B2207)/(IF(Inputs!$B$38="pvp",15,MAX(0.1,Skills!D9-IF(TRUE=TRUE,Inputs!$B$32,0)))*(1-IF(AND(ArtifactsInput!$M$27,Inputs!$B$4="Chapter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TRUE=TRUE,Inputs!$B$32,0)))*(1-IF(AND(ArtifactsInput!$M$27,Inputs!$B$4="Chapter Hunt"),CHOOSE(ArtifactsInput!$N$27+1,20,24,28,32,36,40),0)/100)))))/Skills!H9,1)))/Inputs!$B$43),G2180*Q2180))*IF(Inputs!$B$38="pvp",1,1+(Inputs!$B$20+0+Skills!P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TRUE=TRUE,Inputs!$B$32,0)))*(1-IF(AND(ArtifactsInput!$M$27,Inputs!$B$4="Chapter Hunt"),CHOOSE(ArtifactsInput!$N$27+1,20,24,28,32,36,40),0)/100)))))/Skills!H9,1)))/Inputs!$B$43),G2180*Q2180))*IF(Inputs!$B$38="pvp",1,(1+(Inputs!$B$21+Skills!Q9+(((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Skills!G10*IF(Skills!H10&gt;0,IF(Inputs!$B$38="pvp",MIN(Skills!I10,15),Skills!I10)/Skills!H10,1)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138,MAX(0,IF(Inputs!$B$3&gt;=118,8,IF(Inputs!$B$3&gt;=110,7,5))-5)*50,0),0)/100)*(1+(IF(Skills!A10="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IFERROR(1/(IF(Inputs!$B$38="pvp",15,MAX(0.1,Skills!D10-IF(TRUE=TRUE,Inputs!$B$32,0)))*(1-IF(AND(ArtifactsInput!$M$27,Inputs!$B$4="Chapter Hunt"),CHOOSE(ArtifactsInput!$N$27+1,20,24,28,32,36,40),0)/100)),0)</f>
        <v/>
      </c>
      <c r="R2181">
        <f>IF(AND(Inputs!$B$38&lt;&gt;"pvp",Inputs!$B$43&gt;0),IF(MAX(0,Inputs!$B$43-B2207)&lt;=0,0,(INT(MAX(0,Inputs!$B$43-B2207)/(IF(Inputs!$B$38="pvp",15,MAX(0.1,Skills!D10-IF(TRUE=TRUE,Inputs!$B$32,0)))*(1-IF(AND(ArtifactsInput!$M$27,Inputs!$B$4="Chapter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$20+0+Skills!P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TRUE=TRUE,Inputs!$B$32,0)))*(1-IF(AND(ArtifactsInput!$M$27,Inputs!$B$4="Chapter Hunt"),CHOOSE(ArtifactsInput!$N$27+1,20,24,28,32,36,40),0)/100)))))/Skills!H10,1)))/Inputs!$B$43),G2181*Q2181))*IF(Inputs!$B$38="pvp",1,(1+(Inputs!$B$21+Skills!Q10+(((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Skills!G11*IF(Skills!H11&gt;0,IF(Inputs!$B$38="pvp",MIN(Skills!I11,15),Skills!I11)/Skills!H11,1)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(100-(100-((Inputs!$B$19+0)))*(1-IF(Inputs!$B$3&gt;=130,IF(Inputs!$B$3&gt;=118,8,IF(Inputs!$B$3&gt;=110,7,5)),0)/100)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138,MAX(0,IF(Inputs!$B$3&gt;=118,8,IF(Inputs!$B$3&gt;=110,7,5))-5)*50,0),0)/100)*(1+(IF(Skills!A11="RAGING_BLOW",Inputs!$B$17+((C2192=TRUE)*(F2192-Calc!F21))+((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IFERROR(1/(IF(Inputs!$B$38="pvp",15,MAX(0.1,Skills!D11-IF(TRUE=TRUE,Inputs!$B$32,0)))*(1-IF(AND(ArtifactsInput!$M$27,Inputs!$B$4="Chapter Hunt"),CHOOSE(ArtifactsInput!$N$27+1,20,24,28,32,36,40),0)/100)),0)</f>
        <v/>
      </c>
      <c r="R2182">
        <f>IF(AND(Inputs!$B$38&lt;&gt;"pvp",Inputs!$B$43&gt;0),IF(MAX(0,Inputs!$B$43-B2207)&lt;=0,0,(INT(MAX(0,Inputs!$B$43-B2207)/(IF(Inputs!$B$38="pvp",15,MAX(0.1,Skills!D11-IF(TRUE=TRUE,Inputs!$B$32,0)))*(1-IF(AND(ArtifactsInput!$M$27,Inputs!$B$4="Chapter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$20+0+Skills!P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Inputs!$B$38&lt;&gt;"pvp",Inputs!$B$43=0),1,IF(IF(Inputs!$B$38="pvp",15,Inputs!$B$43)-(B2207)&lt;=0,1,MAX(0,IF(Inputs!$B$38="pvp",15,Inputs!$B$43)-MAX(5,B2207))/(IF(Inputs!$B$38="pvp",15,Inputs!$B$43)-(B2207)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TRUE=TRUE,Inputs!$B$32,0)))*(1-IF(AND(ArtifactsInput!$M$27,Inputs!$B$4="Chapter Hunt"),CHOOSE(ArtifactsInput!$N$27+1,20,24,28,32,36,40),0)/100)))))/Skills!H11,1)))/Inputs!$B$43),G2182*Q2182))*IF(Inputs!$B$38="pvp",1,(1+(Inputs!$B$21+Skills!Q11+(((C2187=TRUE)*F2187*(Skills!J16/100)*IF(AND(Inputs!$B$38&lt;&gt;"pvp",Inputs!$B$43&gt;0),(((R2187-1)*MIN((Skills!T16*(1+(Inputs!$B$34+(ArtifactsInput!$M$7-ArtifactsInput!$M$7)*CHOOSE(ArtifactsInput!$N$7+1,6,7.2,8.4,9.6,10.8,12))/100)),(1/Q2187))+MIN((Skills!T16*(1+(Inputs!$B$34+(ArtifactsInput!$M$7-ArtifactsInput!$M$7)*CHOOSE(ArtifactsInput!$N$7+1,6,7.2,8.4,9.6,10.8,12))/100)),MAX(0,Inputs!$B$43-((R2187-1)*(1/Q2187)))))/Inputs!$B$43),IF(Inputs!$B$38="pvp",MIN((Skills!T16*(1+(Inputs!$B$34+(ArtifactsInput!$M$7-ArtifactsInput!$M$7)*CHOOSE(ArtifactsInput!$N$7+1,6,7.2,8.4,9.6,10.8,12))/100)),15)/15,MIN(1,(Skills!T16*(1+(Inputs!$B$34+(ArtifactsInput!$M$7-ArtifactsInput!$M$7)*CHOOSE(ArtifactsInput!$N$7+1,6,7.2,8.4,9.6,10.8,12))/100))/(1/Q2187)))))+((C2179=TRUE)*IF(Inputs!$B$3&gt;=126,10*MIN(1,15*Q2179),0))+((C2176=TRUE)*((100/10)*(INDEX(FactorTable!$B$2:$Y$301,MATCH(ROUND(MIN(300,MAX(1,MAX(0,(Inputs!$B$3-100)*3)+Inputs!$B$28+Inputs!$B$29)),0),FactorTable!$A$2:$A$301,0),22)/1000))*(1+IF(Inputs!$B$3&gt;=134,0.5,0))*MIN(1,10*(1+(Inputs!$B$34+(ArtifactsInput!$M$7-ArtifactsInput!$M$7)*CHOOSE(ArtifactsInput!$N$7+1,6,7.2,8.4,9.6,10.8,12))/100)*Q2176)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Skills!G13*IF(Skills!H13&gt;0,IF(Inputs!$B$38="pvp",MIN(Skills!I13,15),Skills!I13)/Skills!H13,1)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Skills!G14*IF(Skills!H14&gt;0,IF(Inputs!$B$38="pvp",MIN(Skills!I14,15),Skills!I14)/Skills!H14,1)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Skills!G15*IF(Skills!H15&gt;0,IF(Inputs!$B$38="pvp",MIN(Skills!I15,15),Skills!I15)/Skills!H15,1)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IFERROR(1/(IF(Inputs!$B$38="pvp",15,MAX(0.1,Skills!D15-IF(TRUE=TRUE,Inputs!$B$32,0)))*(1-IF(AND(ArtifactsInput!$M$27,Inputs!$B$4="Chapter Hunt"),CHOOSE(ArtifactsInput!$N$27+1,20,24,28,32,36,40),0)/100)),0)</f>
        <v/>
      </c>
      <c r="R2186">
        <f>IF(AND(Inputs!$B$38&lt;&gt;"pvp",Inputs!$B$43&gt;0),IF(Inputs!$B$43&lt;=0,0,(INT(Inputs!$B$43/(IF(Inputs!$B$38="pvp",15,MAX(0.1,Skills!D15-IF(TRUE=TRUE,Inputs!$B$32,0)))*(1-IF(AND(ArtifactsInput!$M$27,Inputs!$B$4="Chapter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Skills!G16*IF(Skills!H16&gt;0,IF(Inputs!$B$38="pvp",MIN(Skills!I16,15),Skills!I16)/Skills!H16,1)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IFERROR(1/(IF(Inputs!$B$38="pvp",15,MAX(0.1,Skills!D16-IF(TRUE=TRUE,Inputs!$B$32,0)))*(1-IF(AND(ArtifactsInput!$M$27,Inputs!$B$4="Chapter Hunt"),CHOOSE(ArtifactsInput!$N$27+1,20,24,28,32,36,40),0)/100)),0)</f>
        <v/>
      </c>
      <c r="R2187">
        <f>IF(AND(Inputs!$B$38&lt;&gt;"pvp",Inputs!$B$43&gt;0),IF(Inputs!$B$43&lt;=0,0,(INT(Inputs!$B$43/(IF(Inputs!$B$38="pvp",15,MAX(0.1,Skills!D16-IF(TRUE=TRUE,Inputs!$B$32,0)))*(1-IF(AND(ArtifactsInput!$M$27,Inputs!$B$4="Chapter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Skills!G17*IF(Skills!H17&gt;0,IF(Inputs!$B$38="pvp",MIN(Skills!I17,15),Skills!I17)/Skills!H17,1)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IFERROR(1/(IF(Inputs!$B$38="pvp",15,MAX(0.1,Skills!D17-IF(TRUE=TRUE,Inputs!$B$32,0)))*(1-IF(AND(ArtifactsInput!$M$27,Inputs!$B$4="Chapter Hunt"),CHOOSE(ArtifactsInput!$N$27+1,20,24,28,32,36,40),0)/100)),0)</f>
        <v/>
      </c>
      <c r="R2188">
        <f>IF(AND(Inputs!$B$38&lt;&gt;"pvp",Inputs!$B$43&gt;0),IF(Inputs!$B$43&lt;=0,0,(INT(Inputs!$B$43/(IF(Inputs!$B$38="pvp",15,MAX(0.1,Skills!D17-IF(TRUE=TRUE,Inputs!$B$32,0)))*(1-IF(AND(ArtifactsInput!$M$27,Inputs!$B$4="Chapter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Skills!G18*IF(Skills!H18&gt;0,IF(Inputs!$B$38="pvp",MIN(Skills!I18,15),Skills!I18)/Skills!H18,1)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IFERROR(1/(IF(Inputs!$B$38="pvp",15,MAX(0.1,Skills!D18-IF(TRUE=TRUE,Inputs!$B$32,0)))*(1-IF(AND(ArtifactsInput!$M$27,Inputs!$B$4="Chapter Hunt"),CHOOSE(ArtifactsInput!$N$27+1,20,24,28,32,36,40),0)/100)),0)</f>
        <v/>
      </c>
      <c r="R2189">
        <f>IF(AND(Inputs!$B$38&lt;&gt;"pvp",Inputs!$B$43&gt;0),IF(Inputs!$B$43&lt;=0,0,(INT(Inputs!$B$43/(IF(Inputs!$B$38="pvp",15,MAX(0.1,Skills!D18-IF(TRUE=TRUE,Inputs!$B$32,0)))*(1-IF(AND(ArtifactsInput!$M$27,Inputs!$B$4="Chapter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Skills!G19*IF(Skills!H19&gt;0,IF(Inputs!$B$38="pvp",MIN(Skills!I19,15),Skills!I19)/Skills!H19,1)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IFERROR(1/(IF(Inputs!$B$38="pvp",15,MAX(0.1,Skills!D19-IF(TRUE=TRUE,Inputs!$B$32,0)))*(1-IF(AND(ArtifactsInput!$M$27,Inputs!$B$4="Chapter Hunt"),CHOOSE(ArtifactsInput!$N$27+1,20,24,28,32,36,40),0)/100)),0)</f>
        <v/>
      </c>
      <c r="R2190">
        <f>IF(AND(Inputs!$B$38&lt;&gt;"pvp",Inputs!$B$43&gt;0),IF(Inputs!$B$43&lt;=0,0,(INT(Inputs!$B$43/(IF(Inputs!$B$38="pvp",15,MAX(0.1,Skills!D19-IF(TRUE=TRUE,Inputs!$B$32,0)))*(1-IF(AND(ArtifactsInput!$M$27,Inputs!$B$4="Chapter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Skills!G20*IF(Skills!H20&gt;0,IF(Inputs!$B$38="pvp",MIN(Skills!I20,15),Skills!I20)/Skills!H20,1)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Skills!G21*IF(Skills!H21&gt;0,IF(Inputs!$B$38="pvp",MIN(Skills!I21,15),Skills!I21)/Skills!H21,1)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Skills!G22*IF(Skills!H22&gt;0,IF(Inputs!$B$38="pvp",MIN(Skills!I22,15),Skills!I22)/Skills!H22,1)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Skills!G23*IF(Skills!H23&gt;0,IF(Inputs!$B$38="pvp",MIN(Skills!I23,15),Skills!I23)/Skills!H23,1)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Skills!G24*IF(Skills!H24&gt;0,IF(Inputs!$B$38="pvp",MIN(Skills!I24,15),Skills!I24)/Skills!H24,1)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Skills!G25*IF(Skills!H25&gt;0,IF(Inputs!$B$38="pvp",MIN(Skills!I25,15),Skills!I25)/Skills!H25,1)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Skills!G26*IF(Skills!H26&gt;0,IF(Inputs!$B$38="pvp",MIN(Skills!I26,15),Skills!I26)/Skills!H26,1)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118,8,IF(Inputs!$B$3&gt;=110,7,5)))+((C2186=TRUE)*F2186*IF(AND(Inputs!$B$38&lt;&gt;"pvp",Inputs!$B$43&gt;0),(((R2186-1)*MIN((Skills!T15*(1+(Inputs!$B$34+(ArtifactsInput!$M$7-ArtifactsInput!$M$7)*CHOOSE(ArtifactsInput!$N$7+1,6,7.2,8.4,9.6,10.8,12))/100)),(1/Q2186))+MIN((Skills!T15*(1+(Inputs!$B$34+(ArtifactsInput!$M$7-ArtifactsInput!$M$7)*CHOOSE(ArtifactsInput!$N$7+1,6,7.2,8.4,9.6,10.8,12))/100)),MAX(0,Inputs!$B$43-((R2186-1)*(1/Q2186)))))/Inputs!$B$43),IF(Inputs!$B$38="pvp",MIN((Skills!T15*(1+(Inputs!$B$34+(ArtifactsInput!$M$7-ArtifactsInput!$M$7)*CHOOSE(ArtifactsInput!$N$7+1,6,7.2,8.4,9.6,10.8,12))/100)),15)/15,MIN(1,(Skills!T15*(1+(Inputs!$B$34+(ArtifactsInput!$M$7-ArtifactsInput!$M$7)*CHOOSE(ArtifactsInput!$N$7+1,6,7.2,8.4,9.6,10.8,12))/100))/(1/Q2186)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MIN((Skills!T19*(1+(Inputs!$B$34+(ArtifactsInput!$M$7-ArtifactsInput!$M$7)*CHOOSE(ArtifactsInput!$N$7+1,6,7.2,8.4,9.6,10.8,12))/100)),(1/Q2190))+MIN((Skills!T19*(1+(Inputs!$B$34+(ArtifactsInput!$M$7-ArtifactsInput!$M$7)*CHOOSE(ArtifactsInput!$N$7+1,6,7.2,8.4,9.6,10.8,12))/100)),MAX(0,Inputs!$B$43-((R2190-1)*(1/Q2190)))))/Inputs!$B$43),IF(Inputs!$B$38="pvp",MIN((Skills!T19*(1+(Inputs!$B$34+(ArtifactsInput!$M$7-ArtifactsInput!$M$7)*CHOOSE(ArtifactsInput!$N$7+1,6,7.2,8.4,9.6,10.8,12))/100)),15)/15,MIN(1,(Skills!T19*(1+(Inputs!$B$34+(ArtifactsInput!$M$7-ArtifactsInput!$M$7)*CHOOSE(ArtifactsInput!$N$7+1,6,7.2,8.4,9.6,10.8,12))/100))/(1/Q2190)))))</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MIN((Skills!T18*(1+(Inputs!$B$34+(ArtifactsInput!$M$7-ArtifactsInput!$M$7)*CHOOSE(ArtifactsInput!$N$7+1,6,7.2,8.4,9.6,10.8,12))/100)),(1/Q2189))+MIN((Skills!T18*(1+(Inputs!$B$34+(ArtifactsInput!$M$7-ArtifactsInput!$M$7)*CHOOSE(ArtifactsInput!$N$7+1,6,7.2,8.4,9.6,10.8,12))/100)),MAX(0,Inputs!$B$43-((R2189-1)*(1/Q2189)))))/Inputs!$B$43),IF(Inputs!$B$38="pvp",MIN((Skills!T18*(1+(Inputs!$B$34+(ArtifactsInput!$M$7-ArtifactsInput!$M$7)*CHOOSE(ArtifactsInput!$N$7+1,6,7.2,8.4,9.6,10.8,12))/100)),15)/15,MIN(1,(Skills!T18*(1+(Inputs!$B$34+(ArtifactsInput!$M$7-ArtifactsInput!$M$7)*CHOOSE(ArtifactsInput!$N$7+1,6,7.2,8.4,9.6,10.8,12))/100))/(1/Q2189)))))</f>
        <v/>
      </c>
    </row>
    <row r="2206">
      <c r="A2206" t="inlineStr">
        <is>
          <t>Global Final Damage Bonus % (Enrage + Combo Synergy)</t>
        </is>
      </c>
      <c r="B2206">
        <f>((C2188=TRUE)*F2188*IF(AND(Inputs!$B$38&lt;&gt;"pvp",Inputs!$B$43&gt;0),(((R2188-1)*MIN((Skills!T17*(1+(Inputs!$B$34+(ArtifactsInput!$M$7-ArtifactsInput!$M$7)*CHOOSE(ArtifactsInput!$N$7+1,6,7.2,8.4,9.6,10.8,12))/100)),(1/Q2188))+MIN((Skills!T17*(1+(Inputs!$B$34+(ArtifactsInput!$M$7-ArtifactsInput!$M$7)*CHOOSE(ArtifactsInput!$N$7+1,6,7.2,8.4,9.6,10.8,12))/100)),MAX(0,Inputs!$B$43-((R2188-1)*(1/Q2188)))))/Inputs!$B$43),IF(Inputs!$B$38="pvp",MIN((Skills!T17*(1+(Inputs!$B$34+(ArtifactsInput!$M$7-ArtifactsInput!$M$7)*CHOOSE(ArtifactsInput!$N$7+1,6,7.2,8.4,9.6,10.8,12))/100)),15)/15,MIN(1,(Skills!T17*(1+(Inputs!$B$34+(ArtifactsInput!$M$7-ArtifactsInput!$M$7)*CHOOSE(ArtifactsInput!$N$7+1,6,7.2,8.4,9.6,10.8,12))/100))/(1/Q2188)))))+((C2185=TRUE)*F2185*IF(Inputs!$B$3&gt;=118,8,IF(Inputs!$B$3&gt;=110,7,5)))+IF(Inputs!$B$3&gt;=98,5,0)</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Skills!G2*IF(Skills!H2&gt;0,IF(Inputs!$B$38="pvp",MIN(Skills!I2,15),Skills!I2)/Skills!H2,1)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Skills!G5*IF(Skills!H5&gt;0,IF(Inputs!$B$38="pvp",MIN(Skills!I5,15),Skills!I5)/Skills!H5,1)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IFERROR(1/(IF(Inputs!$B$38="pvp",15,MAX(0.1,Skills!D5-IF(TRUE=TRUE,Inputs!$B$32,0)))*(1-IF(AND(ArtifactsInput!$M$27,Inputs!$B$4="Chapter Hunt"),CHOOSE(ArtifactsInput!$N$27+1,20,24,28,32,36,40),0)/100)),0)</f>
        <v/>
      </c>
      <c r="R2218">
        <f>IF(AND(Inputs!$B$38&lt;&gt;"pvp",Inputs!$B$43&gt;0),IF(MAX(0,Inputs!$B$43-B2249)&lt;=0,0,(INT(MAX(0,Inputs!$B$43-B2249)/(IF(Inputs!$B$38="pvp",15,MAX(0.1,Skills!D5-IF(TRUE=TRUE,Inputs!$B$32,0)))*(1-IF(AND(ArtifactsInput!$M$27,Inputs!$B$4="Chapter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$20+0+Skills!P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TRUE=TRUE,Inputs!$B$32,0)))*(1-IF(AND(ArtifactsInput!$M$27,Inputs!$B$4="Chapter Hunt"),CHOOSE(ArtifactsInput!$N$27+1,20,24,28,32,36,40),0)/100)))))/Skills!H5,1)))/Inputs!$B$43),G2218*Q2218))*IF(Inputs!$B$38="pvp",1,(1+(Inputs!$B$21+Skills!Q5+(((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Skills!G6*IF(Skills!H6&gt;0,IF(Inputs!$B$38="pvp",MIN(Skills!I6,15),Skills!I6)/Skills!H6,1)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IFERROR(1/(IF(Inputs!$B$38="pvp",15,MAX(0.1,Skills!D6-IF(TRUE=TRUE,Inputs!$B$32,0)))*(1-IF(AND(ArtifactsInput!$M$27,Inputs!$B$4="Chapter Hunt"),CHOOSE(ArtifactsInput!$N$27+1,20,24,28,32,36,40),0)/100)),0)</f>
        <v/>
      </c>
      <c r="R2219">
        <f>IF(AND(Inputs!$B$38&lt;&gt;"pvp",Inputs!$B$43&gt;0),IF(MAX(0,Inputs!$B$43-B2249)&lt;=0,0,(INT(MAX(0,Inputs!$B$43-B2249)/(IF(Inputs!$B$38="pvp",15,MAX(0.1,Skills!D6-IF(TRUE=TRUE,Inputs!$B$32,0)))*(1-IF(AND(ArtifactsInput!$M$27,Inputs!$B$4="Chapter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$20+0+Skills!P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TRUE=TRUE,Inputs!$B$32,0)))*(1-IF(AND(ArtifactsInput!$M$27,Inputs!$B$4="Chapter Hunt"),CHOOSE(ArtifactsInput!$N$27+1,20,24,28,32,36,40),0)/100)))))/Skills!H6,1)))/Inputs!$B$43),G2219*Q2219))*IF(Inputs!$B$38="pvp",1,(1+(Inputs!$B$21+Skills!Q6+(((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Skills!G7*IF(Skills!H7&gt;0,IF(Inputs!$B$38="pvp",MIN(Skills!I7,15),Skills!I7)/Skills!H7,1)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IFERROR(1/(IF(Inputs!$B$38="pvp",15,MAX(0.1,Skills!D7-IF(TRUE=TRUE,Inputs!$B$32,0)))*(1-IF(AND(ArtifactsInput!$M$27,Inputs!$B$4="Chapter Hunt"),CHOOSE(ArtifactsInput!$N$27+1,20,24,28,32,36,40),0)/100)),0)</f>
        <v/>
      </c>
      <c r="R2220">
        <f>IF(AND(Inputs!$B$38&lt;&gt;"pvp",Inputs!$B$43&gt;0),IF(MAX(0,Inputs!$B$43-B2249)&lt;=0,0,(INT(MAX(0,Inputs!$B$43-B2249)/(IF(Inputs!$B$38="pvp",15,MAX(0.1,Skills!D7-IF(TRUE=TRUE,Inputs!$B$32,0)))*(1-IF(AND(ArtifactsInput!$M$27,Inputs!$B$4="Chapter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$20+0+Skills!P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TRUE=TRUE,Inputs!$B$32,0)))*(1-IF(AND(ArtifactsInput!$M$27,Inputs!$B$4="Chapter Hunt"),CHOOSE(ArtifactsInput!$N$27+1,20,24,28,32,36,40),0)/100)))))/Skills!H7,1)))/Inputs!$B$43),G2220*Q2220))*IF(Inputs!$B$38="pvp",1,(1+(Inputs!$B$21+Skills!Q7+(((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Skills!G8*IF(Skills!H8&gt;0,IF(Inputs!$B$38="pvp",MIN(Skills!I8,15),Skills!I8)/Skills!H8,1)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IFERROR(1/(IF(Inputs!$B$38="pvp",15,MAX(0.1,Skills!D8-IF(TRUE=TRUE,Inputs!$B$32,0)))*(1-IF(AND(ArtifactsInput!$M$27,Inputs!$B$4="Chapter Hunt"),CHOOSE(ArtifactsInput!$N$27+1,20,24,28,32,36,40),0)/100)),0)</f>
        <v/>
      </c>
      <c r="R2221">
        <f>IF(AND(Inputs!$B$38&lt;&gt;"pvp",Inputs!$B$43&gt;0),IF(MAX(0,Inputs!$B$43-B2249)&lt;=0,0,(INT(MAX(0,Inputs!$B$43-B2249)/(IF(Inputs!$B$38="pvp",15,MAX(0.1,Skills!D8-IF(TRUE=TRUE,Inputs!$B$32,0)))*(1-IF(AND(ArtifactsInput!$M$27,Inputs!$B$4="Chapter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$20+0+Skills!P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TRUE=TRUE,Inputs!$B$32,0)))*(1-IF(AND(ArtifactsInput!$M$27,Inputs!$B$4="Chapter Hunt"),CHOOSE(ArtifactsInput!$N$27+1,20,24,28,32,36,40),0)/100)))))/Skills!H8,1)))/Inputs!$B$43),G2221*Q2221))*IF(Inputs!$B$38="pvp",1,(1+(Inputs!$B$21+Skills!Q8+(((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Skills!G9*IF(Skills!H9&gt;0,IF(Inputs!$B$38="pvp",MIN(Skills!I9,15),Skills!I9)/Skills!H9,1)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138,MAX(0,IF(Inputs!$B$3&gt;=118,8,IF(Inputs!$B$3&gt;=110,7,5))-5)*50,0),0)/100)*(1+(IF(Skills!A9="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IFERROR(1/(IF(Inputs!$B$38="pvp",15,MAX(0.1,Skills!D9-IF(TRUE=TRUE,Inputs!$B$32,0)))*(1-IF(AND(ArtifactsInput!$M$27,Inputs!$B$4="Chapter Hunt"),CHOOSE(ArtifactsInput!$N$27+1,20,24,28,32,36,40),0)/100)),0)</f>
        <v/>
      </c>
      <c r="R2222">
        <f>IF(AND(Inputs!$B$38&lt;&gt;"pvp",Inputs!$B$43&gt;0),IF(MAX(0,Inputs!$B$43-B2249)&lt;=0,0,(INT(MAX(0,Inputs!$B$43-B2249)/(IF(Inputs!$B$38="pvp",15,MAX(0.1,Skills!D9-IF(TRUE=TRUE,Inputs!$B$32,0)))*(1-IF(AND(ArtifactsInput!$M$27,Inputs!$B$4="Chapter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TRUE=TRUE,Inputs!$B$32,0)))*(1-IF(AND(ArtifactsInput!$M$27,Inputs!$B$4="Chapter Hunt"),CHOOSE(ArtifactsInput!$N$27+1,20,24,28,32,36,40),0)/100)))))/Skills!H9,1)))/Inputs!$B$43),G2222*Q2222))*IF(Inputs!$B$38="pvp",1,1+(Inputs!$B$20+0+Skills!P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TRUE=TRUE,Inputs!$B$32,0)))*(1-IF(AND(ArtifactsInput!$M$27,Inputs!$B$4="Chapter Hunt"),CHOOSE(ArtifactsInput!$N$27+1,20,24,28,32,36,40),0)/100)))))/Skills!H9,1)))/Inputs!$B$43),G2222*Q2222))*IF(Inputs!$B$38="pvp",1,(1+(Inputs!$B$21+Skills!Q9+(((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Skills!G10*IF(Skills!H10&gt;0,IF(Inputs!$B$38="pvp",MIN(Skills!I10,15),Skills!I10)/Skills!H10,1)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138,MAX(0,IF(Inputs!$B$3&gt;=118,8,IF(Inputs!$B$3&gt;=110,7,5))-5)*50,0),0)/100)*(1+(IF(Skills!A10="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IFERROR(1/(IF(Inputs!$B$38="pvp",15,MAX(0.1,Skills!D10-IF(TRUE=TRUE,Inputs!$B$32,0)))*(1-IF(AND(ArtifactsInput!$M$27,Inputs!$B$4="Chapter Hunt"),CHOOSE(ArtifactsInput!$N$27+1,20,24,28,32,36,40),0)/100)),0)</f>
        <v/>
      </c>
      <c r="R2223">
        <f>IF(AND(Inputs!$B$38&lt;&gt;"pvp",Inputs!$B$43&gt;0),IF(MAX(0,Inputs!$B$43-B2249)&lt;=0,0,(INT(MAX(0,Inputs!$B$43-B2249)/(IF(Inputs!$B$38="pvp",15,MAX(0.1,Skills!D10-IF(TRUE=TRUE,Inputs!$B$32,0)))*(1-IF(AND(ArtifactsInput!$M$27,Inputs!$B$4="Chapter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$20+0+Skills!P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TRUE=TRUE,Inputs!$B$32,0)))*(1-IF(AND(ArtifactsInput!$M$27,Inputs!$B$4="Chapter Hunt"),CHOOSE(ArtifactsInput!$N$27+1,20,24,28,32,36,40),0)/100)))))/Skills!H10,1)))/Inputs!$B$43),G2223*Q2223))*IF(Inputs!$B$38="pvp",1,(1+(Inputs!$B$21+Skills!Q10+(((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Skills!G11*IF(Skills!H11&gt;0,IF(Inputs!$B$38="pvp",MIN(Skills!I11,15),Skills!I11)/Skills!H11,1)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(100-(100-((Inputs!$B$19+0)))*(1-IF(Inputs!$B$3&gt;=130,IF(Inputs!$B$3&gt;=118,8,IF(Inputs!$B$3&gt;=110,7,5)),0)/100)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138,MAX(0,IF(Inputs!$B$3&gt;=118,8,IF(Inputs!$B$3&gt;=110,7,5))-5)*50,0),0)/100)*(1+(IF(Skills!A11="RAGING_BLOW",Inputs!$B$17+((C2234=TRUE)*(F2234-Calc!F21))+((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IFERROR(1/(IF(Inputs!$B$38="pvp",15,MAX(0.1,Skills!D11-IF(TRUE=TRUE,Inputs!$B$32,0)))*(1-IF(AND(ArtifactsInput!$M$27,Inputs!$B$4="Chapter Hunt"),CHOOSE(ArtifactsInput!$N$27+1,20,24,28,32,36,40),0)/100)),0)</f>
        <v/>
      </c>
      <c r="R2224">
        <f>IF(AND(Inputs!$B$38&lt;&gt;"pvp",Inputs!$B$43&gt;0),IF(MAX(0,Inputs!$B$43-B2249)&lt;=0,0,(INT(MAX(0,Inputs!$B$43-B2249)/(IF(Inputs!$B$38="pvp",15,MAX(0.1,Skills!D11-IF(TRUE=TRUE,Inputs!$B$32,0)))*(1-IF(AND(ArtifactsInput!$M$27,Inputs!$B$4="Chapter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$20+0+Skills!P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Inputs!$B$38&lt;&gt;"pvp",Inputs!$B$43=0),1,IF(IF(Inputs!$B$38="pvp",15,Inputs!$B$43)-(B2249)&lt;=0,1,MAX(0,IF(Inputs!$B$38="pvp",15,Inputs!$B$43)-MAX(5,B2249))/(IF(Inputs!$B$38="pvp",15,Inputs!$B$43)-(B2249)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TRUE=TRUE,Inputs!$B$32,0)))*(1-IF(AND(ArtifactsInput!$M$27,Inputs!$B$4="Chapter Hunt"),CHOOSE(ArtifactsInput!$N$27+1,20,24,28,32,36,40),0)/100)))))/Skills!H11,1)))/Inputs!$B$43),G2224*Q2224))*IF(Inputs!$B$38="pvp",1,(1+(Inputs!$B$21+Skills!Q11+(((C2229=TRUE)*F2229*(Skills!J16/100)*IF(AND(Inputs!$B$38&lt;&gt;"pvp",Inputs!$B$43&gt;0),(((R2229-1)*MIN((Skills!T16*(1+(Inputs!$B$34+(ArtifactsInput!$M$7-ArtifactsInput!$M$7)*CHOOSE(ArtifactsInput!$N$7+1,6,7.2,8.4,9.6,10.8,12))/100)),(1/Q2229))+MIN((Skills!T16*(1+(Inputs!$B$34+(ArtifactsInput!$M$7-ArtifactsInput!$M$7)*CHOOSE(ArtifactsInput!$N$7+1,6,7.2,8.4,9.6,10.8,12))/100)),MAX(0,Inputs!$B$43-((R2229-1)*(1/Q2229)))))/Inputs!$B$43),IF(Inputs!$B$38="pvp",MIN((Skills!T16*(1+(Inputs!$B$34+(ArtifactsInput!$M$7-ArtifactsInput!$M$7)*CHOOSE(ArtifactsInput!$N$7+1,6,7.2,8.4,9.6,10.8,12))/100)),15)/15,MIN(1,(Skills!T16*(1+(Inputs!$B$34+(ArtifactsInput!$M$7-ArtifactsInput!$M$7)*CHOOSE(ArtifactsInput!$N$7+1,6,7.2,8.4,9.6,10.8,12))/100))/(1/Q2229)))))+((C2221=TRUE)*IF(Inputs!$B$3&gt;=126,10*MIN(1,15*Q2221),0))+((C2218=TRUE)*((100/10)*(INDEX(FactorTable!$B$2:$Y$301,MATCH(ROUND(MIN(300,MAX(1,MAX(0,(Inputs!$B$3-100)*3)+Inputs!$B$28+Inputs!$B$29)),0),FactorTable!$A$2:$A$301,0),22)/1000))*(1+IF(Inputs!$B$3&gt;=134,0.5,0))*MIN(1,10*(1+(Inputs!$B$34+(ArtifactsInput!$M$7-ArtifactsInput!$M$7)*CHOOSE(ArtifactsInput!$N$7+1,6,7.2,8.4,9.6,10.8,12))/100)*Q2218)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Skills!G13*IF(Skills!H13&gt;0,IF(Inputs!$B$38="pvp",MIN(Skills!I13,15),Skills!I13)/Skills!H13,1)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Skills!G14*IF(Skills!H14&gt;0,IF(Inputs!$B$38="pvp",MIN(Skills!I14,15),Skills!I14)/Skills!H14,1)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Skills!G15*IF(Skills!H15&gt;0,IF(Inputs!$B$38="pvp",MIN(Skills!I15,15),Skills!I15)/Skills!H15,1)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IFERROR(1/(IF(Inputs!$B$38="pvp",15,MAX(0.1,Skills!D15-IF(TRUE=TRUE,Inputs!$B$32,0)))*(1-IF(AND(ArtifactsInput!$M$27,Inputs!$B$4="Chapter Hunt"),CHOOSE(ArtifactsInput!$N$27+1,20,24,28,32,36,40),0)/100)),0)</f>
        <v/>
      </c>
      <c r="R2228">
        <f>IF(AND(Inputs!$B$38&lt;&gt;"pvp",Inputs!$B$43&gt;0),IF(Inputs!$B$43&lt;=0,0,(INT(Inputs!$B$43/(IF(Inputs!$B$38="pvp",15,MAX(0.1,Skills!D15-IF(TRUE=TRUE,Inputs!$B$32,0)))*(1-IF(AND(ArtifactsInput!$M$27,Inputs!$B$4="Chapter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Skills!G16*IF(Skills!H16&gt;0,IF(Inputs!$B$38="pvp",MIN(Skills!I16,15),Skills!I16)/Skills!H16,1)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IFERROR(1/(IF(Inputs!$B$38="pvp",15,MAX(0.1,Skills!D16-IF(TRUE=TRUE,Inputs!$B$32,0)))*(1-IF(AND(ArtifactsInput!$M$27,Inputs!$B$4="Chapter Hunt"),CHOOSE(ArtifactsInput!$N$27+1,20,24,28,32,36,40),0)/100)),0)</f>
        <v/>
      </c>
      <c r="R2229">
        <f>IF(AND(Inputs!$B$38&lt;&gt;"pvp",Inputs!$B$43&gt;0),IF(Inputs!$B$43&lt;=0,0,(INT(Inputs!$B$43/(IF(Inputs!$B$38="pvp",15,MAX(0.1,Skills!D16-IF(TRUE=TRUE,Inputs!$B$32,0)))*(1-IF(AND(ArtifactsInput!$M$27,Inputs!$B$4="Chapter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Skills!G17*IF(Skills!H17&gt;0,IF(Inputs!$B$38="pvp",MIN(Skills!I17,15),Skills!I17)/Skills!H17,1)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IFERROR(1/(IF(Inputs!$B$38="pvp",15,MAX(0.1,Skills!D17-IF(TRUE=TRUE,Inputs!$B$32,0)))*(1-IF(AND(ArtifactsInput!$M$27,Inputs!$B$4="Chapter Hunt"),CHOOSE(ArtifactsInput!$N$27+1,20,24,28,32,36,40),0)/100)),0)</f>
        <v/>
      </c>
      <c r="R2230">
        <f>IF(AND(Inputs!$B$38&lt;&gt;"pvp",Inputs!$B$43&gt;0),IF(Inputs!$B$43&lt;=0,0,(INT(Inputs!$B$43/(IF(Inputs!$B$38="pvp",15,MAX(0.1,Skills!D17-IF(TRUE=TRUE,Inputs!$B$32,0)))*(1-IF(AND(ArtifactsInput!$M$27,Inputs!$B$4="Chapter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Skills!G18*IF(Skills!H18&gt;0,IF(Inputs!$B$38="pvp",MIN(Skills!I18,15),Skills!I18)/Skills!H18,1)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IFERROR(1/(IF(Inputs!$B$38="pvp",15,MAX(0.1,Skills!D18-IF(TRUE=TRUE,Inputs!$B$32,0)))*(1-IF(AND(ArtifactsInput!$M$27,Inputs!$B$4="Chapter Hunt"),CHOOSE(ArtifactsInput!$N$27+1,20,24,28,32,36,40),0)/100)),0)</f>
        <v/>
      </c>
      <c r="R2231">
        <f>IF(AND(Inputs!$B$38&lt;&gt;"pvp",Inputs!$B$43&gt;0),IF(Inputs!$B$43&lt;=0,0,(INT(Inputs!$B$43/(IF(Inputs!$B$38="pvp",15,MAX(0.1,Skills!D18-IF(TRUE=TRUE,Inputs!$B$32,0)))*(1-IF(AND(ArtifactsInput!$M$27,Inputs!$B$4="Chapter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Skills!G19*IF(Skills!H19&gt;0,IF(Inputs!$B$38="pvp",MIN(Skills!I19,15),Skills!I19)/Skills!H19,1)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IFERROR(1/(IF(Inputs!$B$38="pvp",15,MAX(0.1,Skills!D19-IF(TRUE=TRUE,Inputs!$B$32,0)))*(1-IF(AND(ArtifactsInput!$M$27,Inputs!$B$4="Chapter Hunt"),CHOOSE(ArtifactsInput!$N$27+1,20,24,28,32,36,40),0)/100)),0)</f>
        <v/>
      </c>
      <c r="R2232">
        <f>IF(AND(Inputs!$B$38&lt;&gt;"pvp",Inputs!$B$43&gt;0),IF(Inputs!$B$43&lt;=0,0,(INT(Inputs!$B$43/(IF(Inputs!$B$38="pvp",15,MAX(0.1,Skills!D19-IF(TRUE=TRUE,Inputs!$B$32,0)))*(1-IF(AND(ArtifactsInput!$M$27,Inputs!$B$4="Chapter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Skills!G20*IF(Skills!H20&gt;0,IF(Inputs!$B$38="pvp",MIN(Skills!I20,15),Skills!I20)/Skills!H20,1)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Skills!G21*IF(Skills!H21&gt;0,IF(Inputs!$B$38="pvp",MIN(Skills!I21,15),Skills!I21)/Skills!H21,1)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Skills!G22*IF(Skills!H22&gt;0,IF(Inputs!$B$38="pvp",MIN(Skills!I22,15),Skills!I22)/Skills!H22,1)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Skills!G23*IF(Skills!H23&gt;0,IF(Inputs!$B$38="pvp",MIN(Skills!I23,15),Skills!I23)/Skills!H23,1)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Skills!G24*IF(Skills!H24&gt;0,IF(Inputs!$B$38="pvp",MIN(Skills!I24,15),Skills!I24)/Skills!H24,1)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Skills!G25*IF(Skills!H25&gt;0,IF(Inputs!$B$38="pvp",MIN(Skills!I25,15),Skills!I25)/Skills!H25,1)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Skills!G26*IF(Skills!H26&gt;0,IF(Inputs!$B$38="pvp",MIN(Skills!I26,15),Skills!I26)/Skills!H26,1)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118,8,IF(Inputs!$B$3&gt;=110,7,5)))+((C2228=TRUE)*F2228*IF(AND(Inputs!$B$38&lt;&gt;"pvp",Inputs!$B$43&gt;0),(((R2228-1)*MIN((Skills!T15*(1+(Inputs!$B$34+(ArtifactsInput!$M$7-ArtifactsInput!$M$7)*CHOOSE(ArtifactsInput!$N$7+1,6,7.2,8.4,9.6,10.8,12))/100)),(1/Q2228))+MIN((Skills!T15*(1+(Inputs!$B$34+(ArtifactsInput!$M$7-ArtifactsInput!$M$7)*CHOOSE(ArtifactsInput!$N$7+1,6,7.2,8.4,9.6,10.8,12))/100)),MAX(0,Inputs!$B$43-((R2228-1)*(1/Q2228)))))/Inputs!$B$43),IF(Inputs!$B$38="pvp",MIN((Skills!T15*(1+(Inputs!$B$34+(ArtifactsInput!$M$7-ArtifactsInput!$M$7)*CHOOSE(ArtifactsInput!$N$7+1,6,7.2,8.4,9.6,10.8,12))/100)),15)/15,MIN(1,(Skills!T15*(1+(Inputs!$B$34+(ArtifactsInput!$M$7-ArtifactsInput!$M$7)*CHOOSE(ArtifactsInput!$N$7+1,6,7.2,8.4,9.6,10.8,12))/100))/(1/Q2228)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MIN((Skills!T19*(1+(Inputs!$B$34+(ArtifactsInput!$M$7-ArtifactsInput!$M$7)*CHOOSE(ArtifactsInput!$N$7+1,6,7.2,8.4,9.6,10.8,12))/100)),(1/Q2232))+MIN((Skills!T19*(1+(Inputs!$B$34+(ArtifactsInput!$M$7-ArtifactsInput!$M$7)*CHOOSE(ArtifactsInput!$N$7+1,6,7.2,8.4,9.6,10.8,12))/100)),MAX(0,Inputs!$B$43-((R2232-1)*(1/Q2232)))))/Inputs!$B$43),IF(Inputs!$B$38="pvp",MIN((Skills!T19*(1+(Inputs!$B$34+(ArtifactsInput!$M$7-ArtifactsInput!$M$7)*CHOOSE(ArtifactsInput!$N$7+1,6,7.2,8.4,9.6,10.8,12))/100)),15)/15,MIN(1,(Skills!T19*(1+(Inputs!$B$34+(ArtifactsInput!$M$7-ArtifactsInput!$M$7)*CHOOSE(ArtifactsInput!$N$7+1,6,7.2,8.4,9.6,10.8,12))/100))/(1/Q2232)))))</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MIN((Skills!T18*(1+(Inputs!$B$34+(ArtifactsInput!$M$7-ArtifactsInput!$M$7)*CHOOSE(ArtifactsInput!$N$7+1,6,7.2,8.4,9.6,10.8,12))/100)),(1/Q2231))+MIN((Skills!T18*(1+(Inputs!$B$34+(ArtifactsInput!$M$7-ArtifactsInput!$M$7)*CHOOSE(ArtifactsInput!$N$7+1,6,7.2,8.4,9.6,10.8,12))/100)),MAX(0,Inputs!$B$43-((R2231-1)*(1/Q2231)))))/Inputs!$B$43),IF(Inputs!$B$38="pvp",MIN((Skills!T18*(1+(Inputs!$B$34+(ArtifactsInput!$M$7-ArtifactsInput!$M$7)*CHOOSE(ArtifactsInput!$N$7+1,6,7.2,8.4,9.6,10.8,12))/100)),15)/15,MIN(1,(Skills!T18*(1+(Inputs!$B$34+(ArtifactsInput!$M$7-ArtifactsInput!$M$7)*CHOOSE(ArtifactsInput!$N$7+1,6,7.2,8.4,9.6,10.8,12))/100))/(1/Q2231)))))</f>
        <v/>
      </c>
    </row>
    <row r="2248">
      <c r="A2248" t="inlineStr">
        <is>
          <t>Global Final Damage Bonus % (Enrage + Combo Synergy)</t>
        </is>
      </c>
      <c r="B2248">
        <f>((C2230=TRUE)*F2230*IF(AND(Inputs!$B$38&lt;&gt;"pvp",Inputs!$B$43&gt;0),(((R2230-1)*MIN((Skills!T17*(1+(Inputs!$B$34+(ArtifactsInput!$M$7-ArtifactsInput!$M$7)*CHOOSE(ArtifactsInput!$N$7+1,6,7.2,8.4,9.6,10.8,12))/100)),(1/Q2230))+MIN((Skills!T17*(1+(Inputs!$B$34+(ArtifactsInput!$M$7-ArtifactsInput!$M$7)*CHOOSE(ArtifactsInput!$N$7+1,6,7.2,8.4,9.6,10.8,12))/100)),MAX(0,Inputs!$B$43-((R2230-1)*(1/Q2230)))))/Inputs!$B$43),IF(Inputs!$B$38="pvp",MIN((Skills!T17*(1+(Inputs!$B$34+(ArtifactsInput!$M$7-ArtifactsInput!$M$7)*CHOOSE(ArtifactsInput!$N$7+1,6,7.2,8.4,9.6,10.8,12))/100)),15)/15,MIN(1,(Skills!T17*(1+(Inputs!$B$34+(ArtifactsInput!$M$7-ArtifactsInput!$M$7)*CHOOSE(ArtifactsInput!$N$7+1,6,7.2,8.4,9.6,10.8,12))/100))/(1/Q2230)))))+((C2227=TRUE)*F2227*IF(Inputs!$B$3&gt;=118,8,IF(Inputs!$B$3&gt;=110,7,5)))+IF(Inputs!$B$3&gt;=98,5,0)</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Skills!G2*IF(Skills!H2&gt;0,IF(Inputs!$B$38="pvp",MIN(Skills!I2,15),Skills!I2)/Skills!H2,1)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Skills!G5*IF(Skills!H5&gt;0,IF(Inputs!$B$38="pvp",MIN(Skills!I5,15),Skills!I5)/Skills!H5,1)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IFERROR(1/(IF(Inputs!$B$38="pvp",15,MAX(0.1,Skills!D5-IF(TRUE=TRUE,Inputs!$B$32,0)))*(1-IF(AND(ArtifactsInput!$M$27,Inputs!$B$4="Chapter Hunt"),CHOOSE(ArtifactsInput!$N$27+1,20,24,28,32,36,40),0)/100)),0)</f>
        <v/>
      </c>
      <c r="R2260">
        <f>IF(AND(Inputs!$B$38&lt;&gt;"pvp",Inputs!$B$43&gt;0),IF(MAX(0,Inputs!$B$43-B2291)&lt;=0,0,(INT(MAX(0,Inputs!$B$43-B2291)/(IF(Inputs!$B$38="pvp",15,MAX(0.1,Skills!D5-IF(TRUE=TRUE,Inputs!$B$32,0)))*(1-IF(AND(ArtifactsInput!$M$27,Inputs!$B$4="Chapter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$20+0+Skills!P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TRUE=TRUE,Inputs!$B$32,0)))*(1-IF(AND(ArtifactsInput!$M$27,Inputs!$B$4="Chapter Hunt"),CHOOSE(ArtifactsInput!$N$27+1,20,24,28,32,36,40),0)/100)))))/Skills!H5,1)))/Inputs!$B$43),G2260*Q2260))*IF(Inputs!$B$38="pvp",1,(1+(Inputs!$B$21+Skills!Q5+(((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Skills!G6*IF(Skills!H6&gt;0,IF(Inputs!$B$38="pvp",MIN(Skills!I6,15),Skills!I6)/Skills!H6,1)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IFERROR(1/(IF(Inputs!$B$38="pvp",15,MAX(0.1,Skills!D6-IF(TRUE=TRUE,Inputs!$B$32,0)))*(1-IF(AND(ArtifactsInput!$M$27,Inputs!$B$4="Chapter Hunt"),CHOOSE(ArtifactsInput!$N$27+1,20,24,28,32,36,40),0)/100)),0)</f>
        <v/>
      </c>
      <c r="R2261">
        <f>IF(AND(Inputs!$B$38&lt;&gt;"pvp",Inputs!$B$43&gt;0),IF(MAX(0,Inputs!$B$43-B2291)&lt;=0,0,(INT(MAX(0,Inputs!$B$43-B2291)/(IF(Inputs!$B$38="pvp",15,MAX(0.1,Skills!D6-IF(TRUE=TRUE,Inputs!$B$32,0)))*(1-IF(AND(ArtifactsInput!$M$27,Inputs!$B$4="Chapter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$20+0+Skills!P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TRUE=TRUE,Inputs!$B$32,0)))*(1-IF(AND(ArtifactsInput!$M$27,Inputs!$B$4="Chapter Hunt"),CHOOSE(ArtifactsInput!$N$27+1,20,24,28,32,36,40),0)/100)))))/Skills!H6,1)))/Inputs!$B$43),G2261*Q2261))*IF(Inputs!$B$38="pvp",1,(1+(Inputs!$B$21+Skills!Q6+(((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Skills!G7*IF(Skills!H7&gt;0,IF(Inputs!$B$38="pvp",MIN(Skills!I7,15),Skills!I7)/Skills!H7,1)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IFERROR(1/(IF(Inputs!$B$38="pvp",15,MAX(0.1,Skills!D7-IF(TRUE=TRUE,Inputs!$B$32,0)))*(1-IF(AND(ArtifactsInput!$M$27,Inputs!$B$4="Chapter Hunt"),CHOOSE(ArtifactsInput!$N$27+1,20,24,28,32,36,40),0)/100)),0)</f>
        <v/>
      </c>
      <c r="R2262">
        <f>IF(AND(Inputs!$B$38&lt;&gt;"pvp",Inputs!$B$43&gt;0),IF(MAX(0,Inputs!$B$43-B2291)&lt;=0,0,(INT(MAX(0,Inputs!$B$43-B2291)/(IF(Inputs!$B$38="pvp",15,MAX(0.1,Skills!D7-IF(TRUE=TRUE,Inputs!$B$32,0)))*(1-IF(AND(ArtifactsInput!$M$27,Inputs!$B$4="Chapter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$20+0+Skills!P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TRUE=TRUE,Inputs!$B$32,0)))*(1-IF(AND(ArtifactsInput!$M$27,Inputs!$B$4="Chapter Hunt"),CHOOSE(ArtifactsInput!$N$27+1,20,24,28,32,36,40),0)/100)))))/Skills!H7,1)))/Inputs!$B$43),G2262*Q2262))*IF(Inputs!$B$38="pvp",1,(1+(Inputs!$B$21+Skills!Q7+(((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Skills!G8*IF(Skills!H8&gt;0,IF(Inputs!$B$38="pvp",MIN(Skills!I8,15),Skills!I8)/Skills!H8,1)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IFERROR(1/(IF(Inputs!$B$38="pvp",15,MAX(0.1,Skills!D8-IF(TRUE=TRUE,Inputs!$B$32,0)))*(1-IF(AND(ArtifactsInput!$M$27,Inputs!$B$4="Chapter Hunt"),CHOOSE(ArtifactsInput!$N$27+1,20,24,28,32,36,40),0)/100)),0)</f>
        <v/>
      </c>
      <c r="R2263">
        <f>IF(AND(Inputs!$B$38&lt;&gt;"pvp",Inputs!$B$43&gt;0),IF(MAX(0,Inputs!$B$43-B2291)&lt;=0,0,(INT(MAX(0,Inputs!$B$43-B2291)/(IF(Inputs!$B$38="pvp",15,MAX(0.1,Skills!D8-IF(TRUE=TRUE,Inputs!$B$32,0)))*(1-IF(AND(ArtifactsInput!$M$27,Inputs!$B$4="Chapter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$20+0+Skills!P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TRUE=TRUE,Inputs!$B$32,0)))*(1-IF(AND(ArtifactsInput!$M$27,Inputs!$B$4="Chapter Hunt"),CHOOSE(ArtifactsInput!$N$27+1,20,24,28,32,36,40),0)/100)))))/Skills!H8,1)))/Inputs!$B$43),G2263*Q2263))*IF(Inputs!$B$38="pvp",1,(1+(Inputs!$B$21+Skills!Q8+(((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Skills!G9*IF(Skills!H9&gt;0,IF(Inputs!$B$38="pvp",MIN(Skills!I9,15),Skills!I9)/Skills!H9,1)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138,MAX(0,IF(Inputs!$B$3&gt;=118,8,IF(Inputs!$B$3&gt;=110,7,5))-5)*50,0),0)/100)*(1+(IF(Skills!A9="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IFERROR(1/(IF(Inputs!$B$38="pvp",15,MAX(0.1,Skills!D9-IF(TRUE=TRUE,Inputs!$B$32,0)))*(1-IF(AND(ArtifactsInput!$M$27,Inputs!$B$4="Chapter Hunt"),CHOOSE(ArtifactsInput!$N$27+1,20,24,28,32,36,40),0)/100)),0)</f>
        <v/>
      </c>
      <c r="R2264">
        <f>IF(AND(Inputs!$B$38&lt;&gt;"pvp",Inputs!$B$43&gt;0),IF(MAX(0,Inputs!$B$43-B2291)&lt;=0,0,(INT(MAX(0,Inputs!$B$43-B2291)/(IF(Inputs!$B$38="pvp",15,MAX(0.1,Skills!D9-IF(TRUE=TRUE,Inputs!$B$32,0)))*(1-IF(AND(ArtifactsInput!$M$27,Inputs!$B$4="Chapter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TRUE=TRUE,Inputs!$B$32,0)))*(1-IF(AND(ArtifactsInput!$M$27,Inputs!$B$4="Chapter Hunt"),CHOOSE(ArtifactsInput!$N$27+1,20,24,28,32,36,40),0)/100)))))/Skills!H9,1)))/Inputs!$B$43),G2264*Q2264))*IF(Inputs!$B$38="pvp",1,1+(Inputs!$B$20+0+Skills!P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TRUE=TRUE,Inputs!$B$32,0)))*(1-IF(AND(ArtifactsInput!$M$27,Inputs!$B$4="Chapter Hunt"),CHOOSE(ArtifactsInput!$N$27+1,20,24,28,32,36,40),0)/100)))))/Skills!H9,1)))/Inputs!$B$43),G2264*Q2264))*IF(Inputs!$B$38="pvp",1,(1+(Inputs!$B$21+Skills!Q9+(((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Skills!G10*IF(Skills!H10&gt;0,IF(Inputs!$B$38="pvp",MIN(Skills!I10,15),Skills!I10)/Skills!H10,1)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138,MAX(0,IF(Inputs!$B$3&gt;=118,8,IF(Inputs!$B$3&gt;=110,7,5))-5)*50,0),0)/100)*(1+(IF(Skills!A10="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IFERROR(1/(IF(Inputs!$B$38="pvp",15,MAX(0.1,Skills!D10-IF(TRUE=TRUE,Inputs!$B$32,0)))*(1-IF(AND(ArtifactsInput!$M$27,Inputs!$B$4="Chapter Hunt"),CHOOSE(ArtifactsInput!$N$27+1,20,24,28,32,36,40),0)/100)),0)</f>
        <v/>
      </c>
      <c r="R2265">
        <f>IF(AND(Inputs!$B$38&lt;&gt;"pvp",Inputs!$B$43&gt;0),IF(MAX(0,Inputs!$B$43-B2291)&lt;=0,0,(INT(MAX(0,Inputs!$B$43-B2291)/(IF(Inputs!$B$38="pvp",15,MAX(0.1,Skills!D10-IF(TRUE=TRUE,Inputs!$B$32,0)))*(1-IF(AND(ArtifactsInput!$M$27,Inputs!$B$4="Chapter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$20+0+Skills!P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TRUE=TRUE,Inputs!$B$32,0)))*(1-IF(AND(ArtifactsInput!$M$27,Inputs!$B$4="Chapter Hunt"),CHOOSE(ArtifactsInput!$N$27+1,20,24,28,32,36,40),0)/100)))))/Skills!H10,1)))/Inputs!$B$43),G2265*Q2265))*IF(Inputs!$B$38="pvp",1,(1+(Inputs!$B$21+Skills!Q10+(((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Skills!G11*IF(Skills!H11&gt;0,IF(Inputs!$B$38="pvp",MIN(Skills!I11,15),Skills!I11)/Skills!H11,1)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(100-(100-((Inputs!$B$19+0)))*(1-IF(Inputs!$B$3&gt;=130,IF(Inputs!$B$3&gt;=118,8,IF(Inputs!$B$3&gt;=110,7,5)),0)/100)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138,MAX(0,IF(Inputs!$B$3&gt;=118,8,IF(Inputs!$B$3&gt;=110,7,5))-5)*50,0),0)/100)*(1+(IF(Skills!A11="RAGING_BLOW",Inputs!$B$17+((C2276=TRUE)*(F2276-Calc!F21))+((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IFERROR(1/(IF(Inputs!$B$38="pvp",15,MAX(0.1,Skills!D11-IF(TRUE=TRUE,Inputs!$B$32,0)))*(1-IF(AND(ArtifactsInput!$M$27,Inputs!$B$4="Chapter Hunt"),CHOOSE(ArtifactsInput!$N$27+1,20,24,28,32,36,40),0)/100)),0)</f>
        <v/>
      </c>
      <c r="R2266">
        <f>IF(AND(Inputs!$B$38&lt;&gt;"pvp",Inputs!$B$43&gt;0),IF(MAX(0,Inputs!$B$43-B2291)&lt;=0,0,(INT(MAX(0,Inputs!$B$43-B2291)/(IF(Inputs!$B$38="pvp",15,MAX(0.1,Skills!D11-IF(TRUE=TRUE,Inputs!$B$32,0)))*(1-IF(AND(ArtifactsInput!$M$27,Inputs!$B$4="Chapter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$20+0+Skills!P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Inputs!$B$38&lt;&gt;"pvp",Inputs!$B$43=0),1,IF(IF(Inputs!$B$38="pvp",15,Inputs!$B$43)-(B2291)&lt;=0,1,MAX(0,IF(Inputs!$B$38="pvp",15,Inputs!$B$43)-MAX(5,B2291))/(IF(Inputs!$B$38="pvp",15,Inputs!$B$43)-(B2291)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TRUE=TRUE,Inputs!$B$32,0)))*(1-IF(AND(ArtifactsInput!$M$27,Inputs!$B$4="Chapter Hunt"),CHOOSE(ArtifactsInput!$N$27+1,20,24,28,32,36,40),0)/100)))))/Skills!H11,1)))/Inputs!$B$43),G2266*Q2266))*IF(Inputs!$B$38="pvp",1,(1+(Inputs!$B$21+Skills!Q11+(((C2271=TRUE)*F2271*(Skills!J16/100)*IF(AND(Inputs!$B$38&lt;&gt;"pvp",Inputs!$B$43&gt;0),(((R2271-1)*MIN((Skills!T16*(1+(Inputs!$B$34+(ArtifactsInput!$M$7-ArtifactsInput!$M$7)*CHOOSE(ArtifactsInput!$N$7+1,6,7.2,8.4,9.6,10.8,12))/100)),(1/Q2271))+MIN((Skills!T16*(1+(Inputs!$B$34+(ArtifactsInput!$M$7-ArtifactsInput!$M$7)*CHOOSE(ArtifactsInput!$N$7+1,6,7.2,8.4,9.6,10.8,12))/100)),MAX(0,Inputs!$B$43-((R2271-1)*(1/Q2271)))))/Inputs!$B$43),IF(Inputs!$B$38="pvp",MIN((Skills!T16*(1+(Inputs!$B$34+(ArtifactsInput!$M$7-ArtifactsInput!$M$7)*CHOOSE(ArtifactsInput!$N$7+1,6,7.2,8.4,9.6,10.8,12))/100)),15)/15,MIN(1,(Skills!T16*(1+(Inputs!$B$34+(ArtifactsInput!$M$7-ArtifactsInput!$M$7)*CHOOSE(ArtifactsInput!$N$7+1,6,7.2,8.4,9.6,10.8,12))/100))/(1/Q2271)))))+((C2263=TRUE)*IF(Inputs!$B$3&gt;=126,10*MIN(1,15*Q2263),0))+((C2260=TRUE)*((100/10)*(INDEX(FactorTable!$B$2:$Y$301,MATCH(ROUND(MIN(300,MAX(1,MAX(0,(Inputs!$B$3-100)*3)+Inputs!$B$28+Inputs!$B$29)),0),FactorTable!$A$2:$A$301,0),22)/1000))*(1+IF(Inputs!$B$3&gt;=134,0.5,0))*MIN(1,10*(1+(Inputs!$B$34+(ArtifactsInput!$M$7-ArtifactsInput!$M$7)*CHOOSE(ArtifactsInput!$N$7+1,6,7.2,8.4,9.6,10.8,12))/100)*Q2260)))+(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Skills!G13*IF(Skills!H13&gt;0,IF(Inputs!$B$38="pvp",MIN(Skills!I13,15),Skills!I13)/Skills!H13,1)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Skills!G14*IF(Skills!H14&gt;0,IF(Inputs!$B$38="pvp",MIN(Skills!I14,15),Skills!I14)/Skills!H14,1)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Skills!G15*IF(Skills!H15&gt;0,IF(Inputs!$B$38="pvp",MIN(Skills!I15,15),Skills!I15)/Skills!H15,1)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IFERROR(1/(IF(Inputs!$B$38="pvp",15,MAX(0.1,Skills!D15-IF(TRUE=TRUE,Inputs!$B$32,0)))*(1-IF(AND(ArtifactsInput!$M$27,Inputs!$B$4="Chapter Hunt"),CHOOSE(ArtifactsInput!$N$27+1,20,24,28,32,36,40),0)/100)),0)</f>
        <v/>
      </c>
      <c r="R2270">
        <f>IF(AND(Inputs!$B$38&lt;&gt;"pvp",Inputs!$B$43&gt;0),IF(Inputs!$B$43&lt;=0,0,(INT(Inputs!$B$43/(IF(Inputs!$B$38="pvp",15,MAX(0.1,Skills!D15-IF(TRUE=TRUE,Inputs!$B$32,0)))*(1-IF(AND(ArtifactsInput!$M$27,Inputs!$B$4="Chapter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Skills!G16*IF(Skills!H16&gt;0,IF(Inputs!$B$38="pvp",MIN(Skills!I16,15),Skills!I16)/Skills!H16,1)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IFERROR(1/(IF(Inputs!$B$38="pvp",15,MAX(0.1,Skills!D16-IF(TRUE=TRUE,Inputs!$B$32,0)))*(1-IF(AND(ArtifactsInput!$M$27,Inputs!$B$4="Chapter Hunt"),CHOOSE(ArtifactsInput!$N$27+1,20,24,28,32,36,40),0)/100)),0)</f>
        <v/>
      </c>
      <c r="R2271">
        <f>IF(AND(Inputs!$B$38&lt;&gt;"pvp",Inputs!$B$43&gt;0),IF(Inputs!$B$43&lt;=0,0,(INT(Inputs!$B$43/(IF(Inputs!$B$38="pvp",15,MAX(0.1,Skills!D16-IF(TRUE=TRUE,Inputs!$B$32,0)))*(1-IF(AND(ArtifactsInput!$M$27,Inputs!$B$4="Chapter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Skills!G17*IF(Skills!H17&gt;0,IF(Inputs!$B$38="pvp",MIN(Skills!I17,15),Skills!I17)/Skills!H17,1)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IFERROR(1/(IF(Inputs!$B$38="pvp",15,MAX(0.1,Skills!D17-IF(TRUE=TRUE,Inputs!$B$32,0)))*(1-IF(AND(ArtifactsInput!$M$27,Inputs!$B$4="Chapter Hunt"),CHOOSE(ArtifactsInput!$N$27+1,20,24,28,32,36,40),0)/100)),0)</f>
        <v/>
      </c>
      <c r="R2272">
        <f>IF(AND(Inputs!$B$38&lt;&gt;"pvp",Inputs!$B$43&gt;0),IF(Inputs!$B$43&lt;=0,0,(INT(Inputs!$B$43/(IF(Inputs!$B$38="pvp",15,MAX(0.1,Skills!D17-IF(TRUE=TRUE,Inputs!$B$32,0)))*(1-IF(AND(ArtifactsInput!$M$27,Inputs!$B$4="Chapter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Skills!G18*IF(Skills!H18&gt;0,IF(Inputs!$B$38="pvp",MIN(Skills!I18,15),Skills!I18)/Skills!H18,1)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IFERROR(1/(IF(Inputs!$B$38="pvp",15,MAX(0.1,Skills!D18-IF(TRUE=TRUE,Inputs!$B$32,0)))*(1-IF(AND(ArtifactsInput!$M$27,Inputs!$B$4="Chapter Hunt"),CHOOSE(ArtifactsInput!$N$27+1,20,24,28,32,36,40),0)/100)),0)</f>
        <v/>
      </c>
      <c r="R2273">
        <f>IF(AND(Inputs!$B$38&lt;&gt;"pvp",Inputs!$B$43&gt;0),IF(Inputs!$B$43&lt;=0,0,(INT(Inputs!$B$43/(IF(Inputs!$B$38="pvp",15,MAX(0.1,Skills!D18-IF(TRUE=TRUE,Inputs!$B$32,0)))*(1-IF(AND(ArtifactsInput!$M$27,Inputs!$B$4="Chapter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Skills!G19*IF(Skills!H19&gt;0,IF(Inputs!$B$38="pvp",MIN(Skills!I19,15),Skills!I19)/Skills!H19,1)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IFERROR(1/(IF(Inputs!$B$38="pvp",15,MAX(0.1,Skills!D19-IF(TRUE=TRUE,Inputs!$B$32,0)))*(1-IF(AND(ArtifactsInput!$M$27,Inputs!$B$4="Chapter Hunt"),CHOOSE(ArtifactsInput!$N$27+1,20,24,28,32,36,40),0)/100)),0)</f>
        <v/>
      </c>
      <c r="R2274">
        <f>IF(AND(Inputs!$B$38&lt;&gt;"pvp",Inputs!$B$43&gt;0),IF(Inputs!$B$43&lt;=0,0,(INT(Inputs!$B$43/(IF(Inputs!$B$38="pvp",15,MAX(0.1,Skills!D19-IF(TRUE=TRUE,Inputs!$B$32,0)))*(1-IF(AND(ArtifactsInput!$M$27,Inputs!$B$4="Chapter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Skills!G20*IF(Skills!H20&gt;0,IF(Inputs!$B$38="pvp",MIN(Skills!I20,15),Skills!I20)/Skills!H20,1)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Skills!G21*IF(Skills!H21&gt;0,IF(Inputs!$B$38="pvp",MIN(Skills!I21,15),Skills!I21)/Skills!H21,1)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Skills!G22*IF(Skills!H22&gt;0,IF(Inputs!$B$38="pvp",MIN(Skills!I22,15),Skills!I22)/Skills!H22,1)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Skills!G23*IF(Skills!H23&gt;0,IF(Inputs!$B$38="pvp",MIN(Skills!I23,15),Skills!I23)/Skills!H23,1)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Skills!G24*IF(Skills!H24&gt;0,IF(Inputs!$B$38="pvp",MIN(Skills!I24,15),Skills!I24)/Skills!H24,1)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Skills!G25*IF(Skills!H25&gt;0,IF(Inputs!$B$38="pvp",MIN(Skills!I25,15),Skills!I25)/Skills!H25,1)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Skills!G26*IF(Skills!H26&gt;0,IF(Inputs!$B$38="pvp",MIN(Skills!I26,15),Skills!I26)/Skills!H26,1)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118,8,IF(Inputs!$B$3&gt;=110,7,5)))+((C2270=TRUE)*F2270*IF(AND(Inputs!$B$38&lt;&gt;"pvp",Inputs!$B$43&gt;0),(((R2270-1)*MIN((Skills!T15*(1+(Inputs!$B$34+(ArtifactsInput!$M$7-ArtifactsInput!$M$7)*CHOOSE(ArtifactsInput!$N$7+1,6,7.2,8.4,9.6,10.8,12))/100)),(1/Q2270))+MIN((Skills!T15*(1+(Inputs!$B$34+(ArtifactsInput!$M$7-ArtifactsInput!$M$7)*CHOOSE(ArtifactsInput!$N$7+1,6,7.2,8.4,9.6,10.8,12))/100)),MAX(0,Inputs!$B$43-((R2270-1)*(1/Q2270)))))/Inputs!$B$43),IF(Inputs!$B$38="pvp",MIN((Skills!T15*(1+(Inputs!$B$34+(ArtifactsInput!$M$7-ArtifactsInput!$M$7)*CHOOSE(ArtifactsInput!$N$7+1,6,7.2,8.4,9.6,10.8,12))/100)),15)/15,MIN(1,(Skills!T15*(1+(Inputs!$B$34+(ArtifactsInput!$M$7-ArtifactsInput!$M$7)*CHOOSE(ArtifactsInput!$N$7+1,6,7.2,8.4,9.6,10.8,12))/100))/(1/Q2270)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MIN((Skills!T19*(1+(Inputs!$B$34+(ArtifactsInput!$M$7-ArtifactsInput!$M$7)*CHOOSE(ArtifactsInput!$N$7+1,6,7.2,8.4,9.6,10.8,12))/100)),(1/Q2274))+MIN((Skills!T19*(1+(Inputs!$B$34+(ArtifactsInput!$M$7-ArtifactsInput!$M$7)*CHOOSE(ArtifactsInput!$N$7+1,6,7.2,8.4,9.6,10.8,12))/100)),MAX(0,Inputs!$B$43-((R2274-1)*(1/Q2274)))))/Inputs!$B$43),IF(Inputs!$B$38="pvp",MIN((Skills!T19*(1+(Inputs!$B$34+(ArtifactsInput!$M$7-ArtifactsInput!$M$7)*CHOOSE(ArtifactsInput!$N$7+1,6,7.2,8.4,9.6,10.8,12))/100)),15)/15,MIN(1,(Skills!T19*(1+(Inputs!$B$34+(ArtifactsInput!$M$7-ArtifactsInput!$M$7)*CHOOSE(ArtifactsInput!$N$7+1,6,7.2,8.4,9.6,10.8,12))/100))/(1/Q2274)))))</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MIN((Skills!T18*(1+(Inputs!$B$34+(ArtifactsInput!$M$7-ArtifactsInput!$M$7)*CHOOSE(ArtifactsInput!$N$7+1,6,7.2,8.4,9.6,10.8,12))/100)),(1/Q2273))+MIN((Skills!T18*(1+(Inputs!$B$34+(ArtifactsInput!$M$7-ArtifactsInput!$M$7)*CHOOSE(ArtifactsInput!$N$7+1,6,7.2,8.4,9.6,10.8,12))/100)),MAX(0,Inputs!$B$43-((R2273-1)*(1/Q2273)))))/Inputs!$B$43),IF(Inputs!$B$38="pvp",MIN((Skills!T18*(1+(Inputs!$B$34+(ArtifactsInput!$M$7-ArtifactsInput!$M$7)*CHOOSE(ArtifactsInput!$N$7+1,6,7.2,8.4,9.6,10.8,12))/100)),15)/15,MIN(1,(Skills!T18*(1+(Inputs!$B$34+(ArtifactsInput!$M$7-ArtifactsInput!$M$7)*CHOOSE(ArtifactsInput!$N$7+1,6,7.2,8.4,9.6,10.8,12))/100))/(1/Q2273)))))</f>
        <v/>
      </c>
    </row>
    <row r="2290">
      <c r="A2290" t="inlineStr">
        <is>
          <t>Global Final Damage Bonus % (Enrage + Combo Synergy)</t>
        </is>
      </c>
      <c r="B2290">
        <f>((C2272=TRUE)*F2272*IF(AND(Inputs!$B$38&lt;&gt;"pvp",Inputs!$B$43&gt;0),(((R2272-1)*MIN((Skills!T17*(1+(Inputs!$B$34+(ArtifactsInput!$M$7-ArtifactsInput!$M$7)*CHOOSE(ArtifactsInput!$N$7+1,6,7.2,8.4,9.6,10.8,12))/100)),(1/Q2272))+MIN((Skills!T17*(1+(Inputs!$B$34+(ArtifactsInput!$M$7-ArtifactsInput!$M$7)*CHOOSE(ArtifactsInput!$N$7+1,6,7.2,8.4,9.6,10.8,12))/100)),MAX(0,Inputs!$B$43-((R2272-1)*(1/Q2272)))))/Inputs!$B$43),IF(Inputs!$B$38="pvp",MIN((Skills!T17*(1+(Inputs!$B$34+(ArtifactsInput!$M$7-ArtifactsInput!$M$7)*CHOOSE(ArtifactsInput!$N$7+1,6,7.2,8.4,9.6,10.8,12))/100)),15)/15,MIN(1,(Skills!T17*(1+(Inputs!$B$34+(ArtifactsInput!$M$7-ArtifactsInput!$M$7)*CHOOSE(ArtifactsInput!$N$7+1,6,7.2,8.4,9.6,10.8,12))/100))/(1/Q2272)))))+((C2269=TRUE)*F2269*IF(Inputs!$B$3&gt;=118,8,IF(Inputs!$B$3&gt;=110,7,5)))+IF(Inputs!$B$3&gt;=98,5,0)</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Skills!G2*IF(Skills!H2&gt;0,IF(Inputs!$B$38="pvp",MIN(Skills!I2,15),Skills!I2)/Skills!H2,1)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138,MAX(0,IF(Inputs!$B$3&gt;=118,8,IF(Inputs!$B$3&gt;=110,7,5))-5)*50,0),0)/100)*(1+(IF(Skills!A2="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Skills!G5*IF(Skills!H5&gt;0,IF(Inputs!$B$38="pvp",MIN(Skills!I5,15),Skills!I5)/Skills!H5,1)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138,MAX(0,IF(Inputs!$B$3&gt;=118,8,IF(Inputs!$B$3&gt;=110,7,5))-5)*50,0),0)/100)*(1+(IF(Skills!A5="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IFERROR(1/(IF(Inputs!$B$38="pvp",15,MAX(0.1,Skills!D5-IF(TRUE=TRUE,Inputs!$B$32,0)))*(1-IF(AND(ArtifactsInput!$M$27,Inputs!$B$4="Chapter Hunt"),CHOOSE(ArtifactsInput!$N$27+1,20,24,28,32,36,40),0)/100)),0)</f>
        <v/>
      </c>
      <c r="R2302">
        <f>IF(AND(Inputs!$B$38&lt;&gt;"pvp",Inputs!$B$43&gt;0),IF(MAX(0,Inputs!$B$43-B2333)&lt;=0,0,(INT(MAX(0,Inputs!$B$43-B2333)/(IF(Inputs!$B$38="pvp",15,MAX(0.1,Skills!D5-IF(TRUE=TRUE,Inputs!$B$32,0)))*(1-IF(AND(ArtifactsInput!$M$27,Inputs!$B$4="Chapter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$20+0+Skills!P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TRUE=TRUE,Inputs!$B$32,0)))*(1-IF(AND(ArtifactsInput!$M$27,Inputs!$B$4="Chapter Hunt"),CHOOSE(ArtifactsInput!$N$27+1,20,24,28,32,36,40),0)/100)))))/Skills!H5,1)))/Inputs!$B$43),G2302*Q2302))*IF(Inputs!$B$38="pvp",1,(1+(Inputs!$B$21+Skills!Q5+(((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Skills!G6*IF(Skills!H6&gt;0,IF(Inputs!$B$38="pvp",MIN(Skills!I6,15),Skills!I6)/Skills!H6,1)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138,MAX(0,IF(Inputs!$B$3&gt;=118,8,IF(Inputs!$B$3&gt;=110,7,5))-5)*50,0),0)/100)*(1+(IF(Skills!A6="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IFERROR(1/(IF(Inputs!$B$38="pvp",15,MAX(0.1,Skills!D6-IF(TRUE=TRUE,Inputs!$B$32,0)))*(1-IF(AND(ArtifactsInput!$M$27,Inputs!$B$4="Chapter Hunt"),CHOOSE(ArtifactsInput!$N$27+1,20,24,28,32,36,40),0)/100)),0)</f>
        <v/>
      </c>
      <c r="R2303">
        <f>IF(AND(Inputs!$B$38&lt;&gt;"pvp",Inputs!$B$43&gt;0),IF(MAX(0,Inputs!$B$43-B2333)&lt;=0,0,(INT(MAX(0,Inputs!$B$43-B2333)/(IF(Inputs!$B$38="pvp",15,MAX(0.1,Skills!D6-IF(TRUE=TRUE,Inputs!$B$32,0)))*(1-IF(AND(ArtifactsInput!$M$27,Inputs!$B$4="Chapter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$20+0+Skills!P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TRUE=TRUE,Inputs!$B$32,0)))*(1-IF(AND(ArtifactsInput!$M$27,Inputs!$B$4="Chapter Hunt"),CHOOSE(ArtifactsInput!$N$27+1,20,24,28,32,36,40),0)/100)))))/Skills!H6,1)))/Inputs!$B$43),G2303*Q2303))*IF(Inputs!$B$38="pvp",1,(1+(Inputs!$B$21+Skills!Q6+(((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Skills!G7*IF(Skills!H7&gt;0,IF(Inputs!$B$38="pvp",MIN(Skills!I7,15),Skills!I7)/Skills!H7,1)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138,MAX(0,IF(Inputs!$B$3&gt;=118,8,IF(Inputs!$B$3&gt;=110,7,5))-5)*50,0),0)/100)*(1+(IF(Skills!A7="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IFERROR(1/(IF(Inputs!$B$38="pvp",15,MAX(0.1,Skills!D7-IF(TRUE=TRUE,Inputs!$B$32,0)))*(1-IF(AND(ArtifactsInput!$M$27,Inputs!$B$4="Chapter Hunt"),CHOOSE(ArtifactsInput!$N$27+1,20,24,28,32,36,40),0)/100)),0)</f>
        <v/>
      </c>
      <c r="R2304">
        <f>IF(AND(Inputs!$B$38&lt;&gt;"pvp",Inputs!$B$43&gt;0),IF(MAX(0,Inputs!$B$43-B2333)&lt;=0,0,(INT(MAX(0,Inputs!$B$43-B2333)/(IF(Inputs!$B$38="pvp",15,MAX(0.1,Skills!D7-IF(TRUE=TRUE,Inputs!$B$32,0)))*(1-IF(AND(ArtifactsInput!$M$27,Inputs!$B$4="Chapter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$20+0+Skills!P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TRUE=TRUE,Inputs!$B$32,0)))*(1-IF(AND(ArtifactsInput!$M$27,Inputs!$B$4="Chapter Hunt"),CHOOSE(ArtifactsInput!$N$27+1,20,24,28,32,36,40),0)/100)))))/Skills!H7,1)))/Inputs!$B$43),G2304*Q2304))*IF(Inputs!$B$38="pvp",1,(1+(Inputs!$B$21+Skills!Q7+(((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Skills!G8*IF(Skills!H8&gt;0,IF(Inputs!$B$38="pvp",MIN(Skills!I8,15),Skills!I8)/Skills!H8,1)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138,MAX(0,IF(Inputs!$B$3&gt;=118,8,IF(Inputs!$B$3&gt;=110,7,5))-5)*50,0),0)/100)*(1+(IF(Skills!A8="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IFERROR(1/(IF(Inputs!$B$38="pvp",15,MAX(0.1,Skills!D8-IF(TRUE=TRUE,Inputs!$B$32,0)))*(1-IF(AND(ArtifactsInput!$M$27,Inputs!$B$4="Chapter Hunt"),CHOOSE(ArtifactsInput!$N$27+1,20,24,28,32,36,40),0)/100)),0)</f>
        <v/>
      </c>
      <c r="R2305">
        <f>IF(AND(Inputs!$B$38&lt;&gt;"pvp",Inputs!$B$43&gt;0),IF(MAX(0,Inputs!$B$43-B2333)&lt;=0,0,(INT(MAX(0,Inputs!$B$43-B2333)/(IF(Inputs!$B$38="pvp",15,MAX(0.1,Skills!D8-IF(TRUE=TRUE,Inputs!$B$32,0)))*(1-IF(AND(ArtifactsInput!$M$27,Inputs!$B$4="Chapter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$20+0+Skills!P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TRUE=TRUE,Inputs!$B$32,0)))*(1-IF(AND(ArtifactsInput!$M$27,Inputs!$B$4="Chapter Hunt"),CHOOSE(ArtifactsInput!$N$27+1,20,24,28,32,36,40),0)/100)))))/Skills!H8,1)))/Inputs!$B$43),G2305*Q2305))*IF(Inputs!$B$38="pvp",1,(1+(Inputs!$B$21+Skills!Q8+(((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Skills!G9*IF(Skills!H9&gt;0,IF(Inputs!$B$38="pvp",MIN(Skills!I9,15),Skills!I9)/Skills!H9,1)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138,MAX(0,IF(Inputs!$B$3&gt;=118,8,IF(Inputs!$B$3&gt;=110,7,5))-5)*50,0),0)/100)*(1+(IF(Skills!A9="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IFERROR(1/(IF(Inputs!$B$38="pvp",15,MAX(0.1,Skills!D9-IF(TRUE=TRUE,Inputs!$B$32,0)))*(1-IF(AND(ArtifactsInput!$M$27,Inputs!$B$4="Chapter Hunt"),CHOOSE(ArtifactsInput!$N$27+1,20,24,28,32,36,40),0)/100)),0)</f>
        <v/>
      </c>
      <c r="R2306">
        <f>IF(AND(Inputs!$B$38&lt;&gt;"pvp",Inputs!$B$43&gt;0),IF(MAX(0,Inputs!$B$43-B2333)&lt;=0,0,(INT(MAX(0,Inputs!$B$43-B2333)/(IF(Inputs!$B$38="pvp",15,MAX(0.1,Skills!D9-IF(TRUE=TRUE,Inputs!$B$32,0)))*(1-IF(AND(ArtifactsInput!$M$27,Inputs!$B$4="Chapter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TRUE=TRUE,Inputs!$B$32,0)))*(1-IF(AND(ArtifactsInput!$M$27,Inputs!$B$4="Chapter Hunt"),CHOOSE(ArtifactsInput!$N$27+1,20,24,28,32,36,40),0)/100)))))/Skills!H9,1)))/Inputs!$B$43),G2306*Q2306))*IF(Inputs!$B$38="pvp",1,1+(Inputs!$B$20+0+Skills!P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TRUE=TRUE,Inputs!$B$32,0)))*(1-IF(AND(ArtifactsInput!$M$27,Inputs!$B$4="Chapter Hunt"),CHOOSE(ArtifactsInput!$N$27+1,20,24,28,32,36,40),0)/100)))))/Skills!H9,1)))/Inputs!$B$43),G2306*Q2306))*IF(Inputs!$B$38="pvp",1,(1+(Inputs!$B$21+Skills!Q9+(((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Skills!G10*IF(Skills!H10&gt;0,IF(Inputs!$B$38="pvp",MIN(Skills!I10,15),Skills!I10)/Skills!H10,1)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138,MAX(0,IF(Inputs!$B$3&gt;=118,8,IF(Inputs!$B$3&gt;=110,7,5))-5)*50,0),0)/100)*(1+(IF(Skills!A10="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IFERROR(1/(IF(Inputs!$B$38="pvp",15,MAX(0.1,Skills!D10-IF(TRUE=TRUE,Inputs!$B$32,0)))*(1-IF(AND(ArtifactsInput!$M$27,Inputs!$B$4="Chapter Hunt"),CHOOSE(ArtifactsInput!$N$27+1,20,24,28,32,36,40),0)/100)),0)</f>
        <v/>
      </c>
      <c r="R2307">
        <f>IF(AND(Inputs!$B$38&lt;&gt;"pvp",Inputs!$B$43&gt;0),IF(MAX(0,Inputs!$B$43-B2333)&lt;=0,0,(INT(MAX(0,Inputs!$B$43-B2333)/(IF(Inputs!$B$38="pvp",15,MAX(0.1,Skills!D10-IF(TRUE=TRUE,Inputs!$B$32,0)))*(1-IF(AND(ArtifactsInput!$M$27,Inputs!$B$4="Chapter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$20+0+Skills!P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TRUE=TRUE,Inputs!$B$32,0)))*(1-IF(AND(ArtifactsInput!$M$27,Inputs!$B$4="Chapter Hunt"),CHOOSE(ArtifactsInput!$N$27+1,20,24,28,32,36,40),0)/100)))))/Skills!H10,1)))/Inputs!$B$43),G2307*Q2307))*IF(Inputs!$B$38="pvp",1,(1+(Inputs!$B$21+Skills!Q10+(((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Skills!G11*IF(Skills!H11&gt;0,IF(Inputs!$B$38="pvp",MIN(Skills!I11,15),Skills!I11)/Skills!H11,1)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(100-(100-((Inputs!$B$19+0)))*(1-IF(Inputs!$B$3&gt;=130,IF(Inputs!$B$3&gt;=118,8,IF(Inputs!$B$3&gt;=110,7,5)),0)/100)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138,MAX(0,IF(Inputs!$B$3&gt;=118,8,IF(Inputs!$B$3&gt;=110,7,5))-5)*50,0),0)/100)*(1+(IF(Skills!A11="RAGING_BLOW",Inputs!$B$17+((C2318=TRUE)*(F2318-Calc!F21))+((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IFERROR(1/(IF(Inputs!$B$38="pvp",15,MAX(0.1,Skills!D11-IF(TRUE=TRUE,Inputs!$B$32,0)))*(1-IF(AND(ArtifactsInput!$M$27,Inputs!$B$4="Chapter Hunt"),CHOOSE(ArtifactsInput!$N$27+1,20,24,28,32,36,40),0)/100)),0)</f>
        <v/>
      </c>
      <c r="R2308">
        <f>IF(AND(Inputs!$B$38&lt;&gt;"pvp",Inputs!$B$43&gt;0),IF(MAX(0,Inputs!$B$43-B2333)&lt;=0,0,(INT(MAX(0,Inputs!$B$43-B2333)/(IF(Inputs!$B$38="pvp",15,MAX(0.1,Skills!D11-IF(TRUE=TRUE,Inputs!$B$32,0)))*(1-IF(AND(ArtifactsInput!$M$27,Inputs!$B$4="Chapter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$20+0+Skills!P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Inputs!$B$38&lt;&gt;"pvp",Inputs!$B$43=0),1,IF(IF(Inputs!$B$38="pvp",15,Inputs!$B$43)-(B2333)&lt;=0,1,MAX(0,IF(Inputs!$B$38="pvp",15,Inputs!$B$43)-MAX(5,B2333))/(IF(Inputs!$B$38="pvp",15,Inputs!$B$43)-(B2333)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TRUE=TRUE,Inputs!$B$32,0)))*(1-IF(AND(ArtifactsInput!$M$27,Inputs!$B$4="Chapter Hunt"),CHOOSE(ArtifactsInput!$N$27+1,20,24,28,32,36,40),0)/100)))))/Skills!H11,1)))/Inputs!$B$43),G2308*Q2308))*IF(Inputs!$B$38="pvp",1,(1+(Inputs!$B$21+Skills!Q11+(((C2313=TRUE)*F2313*(Skills!J16/100)*IF(AND(Inputs!$B$38&lt;&gt;"pvp",Inputs!$B$43&gt;0),(((R2313-1)*MIN((Skills!T16*(1+(Inputs!$B$34+(ArtifactsInput!$M$7-ArtifactsInput!$M$7)*CHOOSE(ArtifactsInput!$N$7+1,6,7.2,8.4,9.6,10.8,12))/100)),(1/Q2313))+MIN((Skills!T16*(1+(Inputs!$B$34+(ArtifactsInput!$M$7-ArtifactsInput!$M$7)*CHOOSE(ArtifactsInput!$N$7+1,6,7.2,8.4,9.6,10.8,12))/100)),MAX(0,Inputs!$B$43-((R2313-1)*(1/Q2313)))))/Inputs!$B$43),IF(Inputs!$B$38="pvp",MIN((Skills!T16*(1+(Inputs!$B$34+(ArtifactsInput!$M$7-ArtifactsInput!$M$7)*CHOOSE(ArtifactsInput!$N$7+1,6,7.2,8.4,9.6,10.8,12))/100)),15)/15,MIN(1,(Skills!T16*(1+(Inputs!$B$34+(ArtifactsInput!$M$7-ArtifactsInput!$M$7)*CHOOSE(ArtifactsInput!$N$7+1,6,7.2,8.4,9.6,10.8,12))/100))/(1/Q2313)))))+((C2305=TRUE)*IF(Inputs!$B$3&gt;=126,10*MIN(1,15*Q2305),0))+((C2302=TRUE)*((100/10)*(INDEX(FactorTable!$B$2:$Y$301,MATCH(ROUND(MIN(300,MAX(1,MAX(0,(Inputs!$B$3-100)*3)+Inputs!$B$28+Inputs!$B$29)),0),FactorTable!$A$2:$A$301,0),22)/1000))*(1+IF(Inputs!$B$3&gt;=134,0.5,0))*MIN(1,10*(1+(Inputs!$B$34+(ArtifactsInput!$M$7-ArtifactsInput!$M$7)*CHOOSE(ArtifactsInput!$N$7+1,6,7.2,8.4,9.6,10.8,12))/100)*Q2302)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Skills!G13*IF(Skills!H13&gt;0,IF(Inputs!$B$38="pvp",MIN(Skills!I13,15),Skills!I13)/Skills!H13,1)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Skills!G14*IF(Skills!H14&gt;0,IF(Inputs!$B$38="pvp",MIN(Skills!I14,15),Skills!I14)/Skills!H14,1)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Skills!G15*IF(Skills!H15&gt;0,IF(Inputs!$B$38="pvp",MIN(Skills!I15,15),Skills!I15)/Skills!H15,1)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IFERROR(1/(IF(Inputs!$B$38="pvp",15,MAX(0.1,Skills!D15-IF(TRUE=TRUE,Inputs!$B$32,0)))*(1-IF(AND(ArtifactsInput!$M$27,Inputs!$B$4="Chapter Hunt"),CHOOSE(ArtifactsInput!$N$27+1,20,24,28,32,36,40),0)/100)),0)</f>
        <v/>
      </c>
      <c r="R2312">
        <f>IF(AND(Inputs!$B$38&lt;&gt;"pvp",Inputs!$B$43&gt;0),IF(Inputs!$B$43&lt;=0,0,(INT(Inputs!$B$43/(IF(Inputs!$B$38="pvp",15,MAX(0.1,Skills!D15-IF(TRUE=TRUE,Inputs!$B$32,0)))*(1-IF(AND(ArtifactsInput!$M$27,Inputs!$B$4="Chapter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Skills!G16*IF(Skills!H16&gt;0,IF(Inputs!$B$38="pvp",MIN(Skills!I16,15),Skills!I16)/Skills!H16,1)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IFERROR(1/(IF(Inputs!$B$38="pvp",15,MAX(0.1,Skills!D16-IF(TRUE=TRUE,Inputs!$B$32,0)))*(1-IF(AND(ArtifactsInput!$M$27,Inputs!$B$4="Chapter Hunt"),CHOOSE(ArtifactsInput!$N$27+1,20,24,28,32,36,40),0)/100)),0)</f>
        <v/>
      </c>
      <c r="R2313">
        <f>IF(AND(Inputs!$B$38&lt;&gt;"pvp",Inputs!$B$43&gt;0),IF(Inputs!$B$43&lt;=0,0,(INT(Inputs!$B$43/(IF(Inputs!$B$38="pvp",15,MAX(0.1,Skills!D16-IF(TRUE=TRUE,Inputs!$B$32,0)))*(1-IF(AND(ArtifactsInput!$M$27,Inputs!$B$4="Chapter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Skills!G17*IF(Skills!H17&gt;0,IF(Inputs!$B$38="pvp",MIN(Skills!I17,15),Skills!I17)/Skills!H17,1)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IFERROR(1/(IF(Inputs!$B$38="pvp",15,MAX(0.1,Skills!D17-IF(TRUE=TRUE,Inputs!$B$32,0)))*(1-IF(AND(ArtifactsInput!$M$27,Inputs!$B$4="Chapter Hunt"),CHOOSE(ArtifactsInput!$N$27+1,20,24,28,32,36,40),0)/100)),0)</f>
        <v/>
      </c>
      <c r="R2314">
        <f>IF(AND(Inputs!$B$38&lt;&gt;"pvp",Inputs!$B$43&gt;0),IF(Inputs!$B$43&lt;=0,0,(INT(Inputs!$B$43/(IF(Inputs!$B$38="pvp",15,MAX(0.1,Skills!D17-IF(TRUE=TRUE,Inputs!$B$32,0)))*(1-IF(AND(ArtifactsInput!$M$27,Inputs!$B$4="Chapter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Skills!G18*IF(Skills!H18&gt;0,IF(Inputs!$B$38="pvp",MIN(Skills!I18,15),Skills!I18)/Skills!H18,1)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IFERROR(1/(IF(Inputs!$B$38="pvp",15,MAX(0.1,Skills!D18-IF(TRUE=TRUE,Inputs!$B$32,0)))*(1-IF(AND(ArtifactsInput!$M$27,Inputs!$B$4="Chapter Hunt"),CHOOSE(ArtifactsInput!$N$27+1,20,24,28,32,36,40),0)/100)),0)</f>
        <v/>
      </c>
      <c r="R2315">
        <f>IF(AND(Inputs!$B$38&lt;&gt;"pvp",Inputs!$B$43&gt;0),IF(Inputs!$B$43&lt;=0,0,(INT(Inputs!$B$43/(IF(Inputs!$B$38="pvp",15,MAX(0.1,Skills!D18-IF(TRUE=TRUE,Inputs!$B$32,0)))*(1-IF(AND(ArtifactsInput!$M$27,Inputs!$B$4="Chapter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Skills!G19*IF(Skills!H19&gt;0,IF(Inputs!$B$38="pvp",MIN(Skills!I19,15),Skills!I19)/Skills!H19,1)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IFERROR(1/(IF(Inputs!$B$38="pvp",15,MAX(0.1,Skills!D19-IF(TRUE=TRUE,Inputs!$B$32,0)))*(1-IF(AND(ArtifactsInput!$M$27,Inputs!$B$4="Chapter Hunt"),CHOOSE(ArtifactsInput!$N$27+1,20,24,28,32,36,40),0)/100)),0)</f>
        <v/>
      </c>
      <c r="R2316">
        <f>IF(AND(Inputs!$B$38&lt;&gt;"pvp",Inputs!$B$43&gt;0),IF(Inputs!$B$43&lt;=0,0,(INT(Inputs!$B$43/(IF(Inputs!$B$38="pvp",15,MAX(0.1,Skills!D19-IF(TRUE=TRUE,Inputs!$B$32,0)))*(1-IF(AND(ArtifactsInput!$M$27,Inputs!$B$4="Chapter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Skills!G20*IF(Skills!H20&gt;0,IF(Inputs!$B$38="pvp",MIN(Skills!I20,15),Skills!I20)/Skills!H20,1)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Skills!G21*IF(Skills!H21&gt;0,IF(Inputs!$B$38="pvp",MIN(Skills!I21,15),Skills!I21)/Skills!H21,1)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Skills!G22*IF(Skills!H22&gt;0,IF(Inputs!$B$38="pvp",MIN(Skills!I22,15),Skills!I22)/Skills!H22,1)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Skills!G23*IF(Skills!H23&gt;0,IF(Inputs!$B$38="pvp",MIN(Skills!I23,15),Skills!I23)/Skills!H23,1)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Skills!G24*IF(Skills!H24&gt;0,IF(Inputs!$B$38="pvp",MIN(Skills!I24,15),Skills!I24)/Skills!H24,1)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Skills!G25*IF(Skills!H25&gt;0,IF(Inputs!$B$38="pvp",MIN(Skills!I25,15),Skills!I25)/Skills!H25,1)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Skills!G26*IF(Skills!H26&gt;0,IF(Inputs!$B$38="pvp",MIN(Skills!I26,15),Skills!I26)/Skills!H26,1)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118,8,IF(Inputs!$B$3&gt;=110,7,5)))+((C2312=TRUE)*F2312*IF(AND(Inputs!$B$38&lt;&gt;"pvp",Inputs!$B$43&gt;0),(((R2312-1)*MIN((Skills!T15*(1+(Inputs!$B$34+(ArtifactsInput!$M$7-ArtifactsInput!$M$7)*CHOOSE(ArtifactsInput!$N$7+1,6,7.2,8.4,9.6,10.8,12))/100)),(1/Q2312))+MIN((Skills!T15*(1+(Inputs!$B$34+(ArtifactsInput!$M$7-ArtifactsInput!$M$7)*CHOOSE(ArtifactsInput!$N$7+1,6,7.2,8.4,9.6,10.8,12))/100)),MAX(0,Inputs!$B$43-((R2312-1)*(1/Q2312)))))/Inputs!$B$43),IF(Inputs!$B$38="pvp",MIN((Skills!T15*(1+(Inputs!$B$34+(ArtifactsInput!$M$7-ArtifactsInput!$M$7)*CHOOSE(ArtifactsInput!$N$7+1,6,7.2,8.4,9.6,10.8,12))/100)),15)/15,MIN(1,(Skills!T15*(1+(Inputs!$B$34+(ArtifactsInput!$M$7-ArtifactsInput!$M$7)*CHOOSE(ArtifactsInput!$N$7+1,6,7.2,8.4,9.6,10.8,12))/100))/(1/Q2312)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MIN((Skills!T19*(1+(Inputs!$B$34+(ArtifactsInput!$M$7-ArtifactsInput!$M$7)*CHOOSE(ArtifactsInput!$N$7+1,6,7.2,8.4,9.6,10.8,12))/100)),(1/Q2316))+MIN((Skills!T19*(1+(Inputs!$B$34+(ArtifactsInput!$M$7-ArtifactsInput!$M$7)*CHOOSE(ArtifactsInput!$N$7+1,6,7.2,8.4,9.6,10.8,12))/100)),MAX(0,Inputs!$B$43-((R2316-1)*(1/Q2316)))))/Inputs!$B$43),IF(Inputs!$B$38="pvp",MIN((Skills!T19*(1+(Inputs!$B$34+(ArtifactsInput!$M$7-ArtifactsInput!$M$7)*CHOOSE(ArtifactsInput!$N$7+1,6,7.2,8.4,9.6,10.8,12))/100)),15)/15,MIN(1,(Skills!T19*(1+(Inputs!$B$34+(ArtifactsInput!$M$7-ArtifactsInput!$M$7)*CHOOSE(ArtifactsInput!$N$7+1,6,7.2,8.4,9.6,10.8,12))/100))/(1/Q2316)))))</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MIN((Skills!T18*(1+(Inputs!$B$34+(ArtifactsInput!$M$7-ArtifactsInput!$M$7)*CHOOSE(ArtifactsInput!$N$7+1,6,7.2,8.4,9.6,10.8,12))/100)),(1/Q2315))+MIN((Skills!T18*(1+(Inputs!$B$34+(ArtifactsInput!$M$7-ArtifactsInput!$M$7)*CHOOSE(ArtifactsInput!$N$7+1,6,7.2,8.4,9.6,10.8,12))/100)),MAX(0,Inputs!$B$43-((R2315-1)*(1/Q2315)))))/Inputs!$B$43),IF(Inputs!$B$38="pvp",MIN((Skills!T18*(1+(Inputs!$B$34+(ArtifactsInput!$M$7-ArtifactsInput!$M$7)*CHOOSE(ArtifactsInput!$N$7+1,6,7.2,8.4,9.6,10.8,12))/100)),15)/15,MIN(1,(Skills!T18*(1+(Inputs!$B$34+(ArtifactsInput!$M$7-ArtifactsInput!$M$7)*CHOOSE(ArtifactsInput!$N$7+1,6,7.2,8.4,9.6,10.8,12))/100))/(1/Q2315)))))</f>
        <v/>
      </c>
    </row>
    <row r="2332">
      <c r="A2332" t="inlineStr">
        <is>
          <t>Global Final Damage Bonus % (Enrage + Combo Synergy)</t>
        </is>
      </c>
      <c r="B2332">
        <f>((C2314=TRUE)*F2314*IF(AND(Inputs!$B$38&lt;&gt;"pvp",Inputs!$B$43&gt;0),(((R2314-1)*MIN((Skills!T17*(1+(Inputs!$B$34+(ArtifactsInput!$M$7-ArtifactsInput!$M$7)*CHOOSE(ArtifactsInput!$N$7+1,6,7.2,8.4,9.6,10.8,12))/100)),(1/Q2314))+MIN((Skills!T17*(1+(Inputs!$B$34+(ArtifactsInput!$M$7-ArtifactsInput!$M$7)*CHOOSE(ArtifactsInput!$N$7+1,6,7.2,8.4,9.6,10.8,12))/100)),MAX(0,Inputs!$B$43-((R2314-1)*(1/Q2314)))))/Inputs!$B$43),IF(Inputs!$B$38="pvp",MIN((Skills!T17*(1+(Inputs!$B$34+(ArtifactsInput!$M$7-ArtifactsInput!$M$7)*CHOOSE(ArtifactsInput!$N$7+1,6,7.2,8.4,9.6,10.8,12))/100)),15)/15,MIN(1,(Skills!T17*(1+(Inputs!$B$34+(ArtifactsInput!$M$7-ArtifactsInput!$M$7)*CHOOSE(ArtifactsInput!$N$7+1,6,7.2,8.4,9.6,10.8,12))/100))/(1/Q2314)))))+((C2311=TRUE)*F2311*IF(Inputs!$B$3&gt;=118,8,IF(Inputs!$B$3&gt;=110,7,5)))+IF(Inputs!$B$3&gt;=98,5,0)</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Skills!G2*IF(Skills!H2&gt;0,IF(Inputs!$B$38="pvp",MIN(Skills!I2,15),Skills!I2)/Skills!H2,1)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Skills!G5*IF(Skills!H5&gt;0,IF(Inputs!$B$38="pvp",MIN(Skills!I5,15),Skills!I5)/Skills!H5,1)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IFERROR(1/(IF(Inputs!$B$38="pvp",15,MAX(0.1,Skills!D5-IF(TRUE=TRUE,Inputs!$B$32,0)))*(1-IF(AND(ArtifactsInput!$M$27,Inputs!$B$4="Chapter Hunt"),CHOOSE(ArtifactsInput!$N$27+1,20,24,28,32,36,40),0)/100)),0)</f>
        <v/>
      </c>
      <c r="R2344">
        <f>IF(AND(Inputs!$B$38&lt;&gt;"pvp",Inputs!$B$43&gt;0),IF(MAX(0,Inputs!$B$43-B2375)&lt;=0,0,(INT(MAX(0,Inputs!$B$43-B2375)/(IF(Inputs!$B$38="pvp",15,MAX(0.1,Skills!D5-IF(TRUE=TRUE,Inputs!$B$32,0)))*(1-IF(AND(ArtifactsInput!$M$27,Inputs!$B$4="Chapter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$20+0+Skills!P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TRUE=TRUE,Inputs!$B$32,0)))*(1-IF(AND(ArtifactsInput!$M$27,Inputs!$B$4="Chapter Hunt"),CHOOSE(ArtifactsInput!$N$27+1,20,24,28,32,36,40),0)/100)))))/Skills!H5,1)))/Inputs!$B$43),G2344*Q2344))*IF(Inputs!$B$38="pvp",1,(1+(Inputs!$B$21+Skills!Q5+(((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Skills!G6*IF(Skills!H6&gt;0,IF(Inputs!$B$38="pvp",MIN(Skills!I6,15),Skills!I6)/Skills!H6,1)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IFERROR(1/(IF(Inputs!$B$38="pvp",15,MAX(0.1,Skills!D6-IF(TRUE=TRUE,Inputs!$B$32,0)))*(1-IF(AND(ArtifactsInput!$M$27,Inputs!$B$4="Chapter Hunt"),CHOOSE(ArtifactsInput!$N$27+1,20,24,28,32,36,40),0)/100)),0)</f>
        <v/>
      </c>
      <c r="R2345">
        <f>IF(AND(Inputs!$B$38&lt;&gt;"pvp",Inputs!$B$43&gt;0),IF(MAX(0,Inputs!$B$43-B2375)&lt;=0,0,(INT(MAX(0,Inputs!$B$43-B2375)/(IF(Inputs!$B$38="pvp",15,MAX(0.1,Skills!D6-IF(TRUE=TRUE,Inputs!$B$32,0)))*(1-IF(AND(ArtifactsInput!$M$27,Inputs!$B$4="Chapter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$20+0+Skills!P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TRUE=TRUE,Inputs!$B$32,0)))*(1-IF(AND(ArtifactsInput!$M$27,Inputs!$B$4="Chapter Hunt"),CHOOSE(ArtifactsInput!$N$27+1,20,24,28,32,36,40),0)/100)))))/Skills!H6,1)))/Inputs!$B$43),G2345*Q2345))*IF(Inputs!$B$38="pvp",1,(1+(Inputs!$B$21+Skills!Q6+(((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Skills!G7*IF(Skills!H7&gt;0,IF(Inputs!$B$38="pvp",MIN(Skills!I7,15),Skills!I7)/Skills!H7,1)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IFERROR(1/(IF(Inputs!$B$38="pvp",15,MAX(0.1,Skills!D7-IF(TRUE=TRUE,Inputs!$B$32,0)))*(1-IF(AND(ArtifactsInput!$M$27,Inputs!$B$4="Chapter Hunt"),CHOOSE(ArtifactsInput!$N$27+1,20,24,28,32,36,40),0)/100)),0)</f>
        <v/>
      </c>
      <c r="R2346">
        <f>IF(AND(Inputs!$B$38&lt;&gt;"pvp",Inputs!$B$43&gt;0),IF(MAX(0,Inputs!$B$43-B2375)&lt;=0,0,(INT(MAX(0,Inputs!$B$43-B2375)/(IF(Inputs!$B$38="pvp",15,MAX(0.1,Skills!D7-IF(TRUE=TRUE,Inputs!$B$32,0)))*(1-IF(AND(ArtifactsInput!$M$27,Inputs!$B$4="Chapter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$20+0+Skills!P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TRUE=TRUE,Inputs!$B$32,0)))*(1-IF(AND(ArtifactsInput!$M$27,Inputs!$B$4="Chapter Hunt"),CHOOSE(ArtifactsInput!$N$27+1,20,24,28,32,36,40),0)/100)))))/Skills!H7,1)))/Inputs!$B$43),G2346*Q2346))*IF(Inputs!$B$38="pvp",1,(1+(Inputs!$B$21+Skills!Q7+(((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Skills!G8*IF(Skills!H8&gt;0,IF(Inputs!$B$38="pvp",MIN(Skills!I8,15),Skills!I8)/Skills!H8,1)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IFERROR(1/(IF(Inputs!$B$38="pvp",15,MAX(0.1,Skills!D8-IF(TRUE=TRUE,Inputs!$B$32,0)))*(1-IF(AND(ArtifactsInput!$M$27,Inputs!$B$4="Chapter Hunt"),CHOOSE(ArtifactsInput!$N$27+1,20,24,28,32,36,40),0)/100)),0)</f>
        <v/>
      </c>
      <c r="R2347">
        <f>IF(AND(Inputs!$B$38&lt;&gt;"pvp",Inputs!$B$43&gt;0),IF(MAX(0,Inputs!$B$43-B2375)&lt;=0,0,(INT(MAX(0,Inputs!$B$43-B2375)/(IF(Inputs!$B$38="pvp",15,MAX(0.1,Skills!D8-IF(TRUE=TRUE,Inputs!$B$32,0)))*(1-IF(AND(ArtifactsInput!$M$27,Inputs!$B$4="Chapter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$20+0+Skills!P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TRUE=TRUE,Inputs!$B$32,0)))*(1-IF(AND(ArtifactsInput!$M$27,Inputs!$B$4="Chapter Hunt"),CHOOSE(ArtifactsInput!$N$27+1,20,24,28,32,36,40),0)/100)))))/Skills!H8,1)))/Inputs!$B$43),G2347*Q2347))*IF(Inputs!$B$38="pvp",1,(1+(Inputs!$B$21+Skills!Q8+(((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Skills!G9*IF(Skills!H9&gt;0,IF(Inputs!$B$38="pvp",MIN(Skills!I9,15),Skills!I9)/Skills!H9,1)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138,MAX(0,IF(Inputs!$B$3&gt;=118,8,IF(Inputs!$B$3&gt;=110,7,5))-5)*50,0),0)/100)*(1+(IF(Skills!A9="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IFERROR(1/(IF(Inputs!$B$38="pvp",15,MAX(0.1,Skills!D9-IF(TRUE=TRUE,Inputs!$B$32,0)))*(1-IF(AND(ArtifactsInput!$M$27,Inputs!$B$4="Chapter Hunt"),CHOOSE(ArtifactsInput!$N$27+1,20,24,28,32,36,40),0)/100)),0)</f>
        <v/>
      </c>
      <c r="R2348">
        <f>IF(AND(Inputs!$B$38&lt;&gt;"pvp",Inputs!$B$43&gt;0),IF(MAX(0,Inputs!$B$43-B2375)&lt;=0,0,(INT(MAX(0,Inputs!$B$43-B2375)/(IF(Inputs!$B$38="pvp",15,MAX(0.1,Skills!D9-IF(TRUE=TRUE,Inputs!$B$32,0)))*(1-IF(AND(ArtifactsInput!$M$27,Inputs!$B$4="Chapter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TRUE=TRUE,Inputs!$B$32,0)))*(1-IF(AND(ArtifactsInput!$M$27,Inputs!$B$4="Chapter Hunt"),CHOOSE(ArtifactsInput!$N$27+1,20,24,28,32,36,40),0)/100)))))/Skills!H9,1)))/Inputs!$B$43),G2348*Q2348))*IF(Inputs!$B$38="pvp",1,1+(Inputs!$B$20+0+Skills!P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TRUE=TRUE,Inputs!$B$32,0)))*(1-IF(AND(ArtifactsInput!$M$27,Inputs!$B$4="Chapter Hunt"),CHOOSE(ArtifactsInput!$N$27+1,20,24,28,32,36,40),0)/100)))))/Skills!H9,1)))/Inputs!$B$43),G2348*Q2348))*IF(Inputs!$B$38="pvp",1,(1+(Inputs!$B$21+Skills!Q9+(((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Skills!G10*IF(Skills!H10&gt;0,IF(Inputs!$B$38="pvp",MIN(Skills!I10,15),Skills!I10)/Skills!H10,1)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138,MAX(0,IF(Inputs!$B$3&gt;=118,8,IF(Inputs!$B$3&gt;=110,7,5))-5)*50,0),0)/100)*(1+(IF(Skills!A10="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IFERROR(1/(IF(Inputs!$B$38="pvp",15,MAX(0.1,Skills!D10-IF(TRUE=TRUE,Inputs!$B$32,0)))*(1-IF(AND(ArtifactsInput!$M$27,Inputs!$B$4="Chapter Hunt"),CHOOSE(ArtifactsInput!$N$27+1,20,24,28,32,36,40),0)/100)),0)</f>
        <v/>
      </c>
      <c r="R2349">
        <f>IF(AND(Inputs!$B$38&lt;&gt;"pvp",Inputs!$B$43&gt;0),IF(MAX(0,Inputs!$B$43-B2375)&lt;=0,0,(INT(MAX(0,Inputs!$B$43-B2375)/(IF(Inputs!$B$38="pvp",15,MAX(0.1,Skills!D10-IF(TRUE=TRUE,Inputs!$B$32,0)))*(1-IF(AND(ArtifactsInput!$M$27,Inputs!$B$4="Chapter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$20+0+Skills!P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TRUE=TRUE,Inputs!$B$32,0)))*(1-IF(AND(ArtifactsInput!$M$27,Inputs!$B$4="Chapter Hunt"),CHOOSE(ArtifactsInput!$N$27+1,20,24,28,32,36,40),0)/100)))))/Skills!H10,1)))/Inputs!$B$43),G2349*Q2349))*IF(Inputs!$B$38="pvp",1,(1+(Inputs!$B$21+Skills!Q10+(((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Skills!G11*IF(Skills!H11&gt;0,IF(Inputs!$B$38="pvp",MIN(Skills!I11,15),Skills!I11)/Skills!H11,1)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(100-(100-((Inputs!$B$19+0)))*(1-IF(Inputs!$B$3&gt;=130,IF(Inputs!$B$3&gt;=118,8,IF(Inputs!$B$3&gt;=110,7,5)),0)/100)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138,MAX(0,IF(Inputs!$B$3&gt;=118,8,IF(Inputs!$B$3&gt;=110,7,5))-5)*50,0),0)/100)*(1+(IF(Skills!A11="RAGING_BLOW",Inputs!$B$17+((C2360=TRUE)*(F2360-Calc!F21))+((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IFERROR(1/(IF(Inputs!$B$38="pvp",15,MAX(0.1,Skills!D11-IF(TRUE=TRUE,Inputs!$B$32,0)))*(1-IF(AND(ArtifactsInput!$M$27,Inputs!$B$4="Chapter Hunt"),CHOOSE(ArtifactsInput!$N$27+1,20,24,28,32,36,40),0)/100)),0)</f>
        <v/>
      </c>
      <c r="R2350">
        <f>IF(AND(Inputs!$B$38&lt;&gt;"pvp",Inputs!$B$43&gt;0),IF(MAX(0,Inputs!$B$43-B2375)&lt;=0,0,(INT(MAX(0,Inputs!$B$43-B2375)/(IF(Inputs!$B$38="pvp",15,MAX(0.1,Skills!D11-IF(TRUE=TRUE,Inputs!$B$32,0)))*(1-IF(AND(ArtifactsInput!$M$27,Inputs!$B$4="Chapter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$20+0+Skills!P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Inputs!$B$38&lt;&gt;"pvp",Inputs!$B$43=0),1,IF(IF(Inputs!$B$38="pvp",15,Inputs!$B$43)-(B2375)&lt;=0,1,MAX(0,IF(Inputs!$B$38="pvp",15,Inputs!$B$43)-MAX(5,B2375))/(IF(Inputs!$B$38="pvp",15,Inputs!$B$43)-(B2375)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TRUE=TRUE,Inputs!$B$32,0)))*(1-IF(AND(ArtifactsInput!$M$27,Inputs!$B$4="Chapter Hunt"),CHOOSE(ArtifactsInput!$N$27+1,20,24,28,32,36,40),0)/100)))))/Skills!H11,1)))/Inputs!$B$43),G2350*Q2350))*IF(Inputs!$B$38="pvp",1,(1+(Inputs!$B$21+Skills!Q11+(((C2355=TRUE)*F2355*(Skills!J16/100)*IF(AND(Inputs!$B$38&lt;&gt;"pvp",Inputs!$B$43&gt;0),(((R2355-1)*MIN((Skills!T16*(1+(Inputs!$B$34+(ArtifactsInput!$M$7-ArtifactsInput!$M$7)*CHOOSE(ArtifactsInput!$N$7+1,6,7.2,8.4,9.6,10.8,12))/100)),(1/Q2355))+MIN((Skills!T16*(1+(Inputs!$B$34+(ArtifactsInput!$M$7-ArtifactsInput!$M$7)*CHOOSE(ArtifactsInput!$N$7+1,6,7.2,8.4,9.6,10.8,12))/100)),MAX(0,Inputs!$B$43-((R2355-1)*(1/Q2355)))))/Inputs!$B$43),IF(Inputs!$B$38="pvp",MIN((Skills!T16*(1+(Inputs!$B$34+(ArtifactsInput!$M$7-ArtifactsInput!$M$7)*CHOOSE(ArtifactsInput!$N$7+1,6,7.2,8.4,9.6,10.8,12))/100)),15)/15,MIN(1,(Skills!T16*(1+(Inputs!$B$34+(ArtifactsInput!$M$7-ArtifactsInput!$M$7)*CHOOSE(ArtifactsInput!$N$7+1,6,7.2,8.4,9.6,10.8,12))/100))/(1/Q2355)))))+((C2347=TRUE)*IF(Inputs!$B$3&gt;=126,10*MIN(1,15*Q2347),0))+((C2344=TRUE)*((100/10)*(INDEX(FactorTable!$B$2:$Y$301,MATCH(ROUND(MIN(300,MAX(1,MAX(0,(Inputs!$B$3-100)*3)+Inputs!$B$28+Inputs!$B$29)),0),FactorTable!$A$2:$A$301,0),22)/1000))*(1+IF(Inputs!$B$3&gt;=134,0.5,0))*MIN(1,10*(1+(Inputs!$B$34+(ArtifactsInput!$M$7-ArtifactsInput!$M$7)*CHOOSE(ArtifactsInput!$N$7+1,6,7.2,8.4,9.6,10.8,12))/100)*Q2344)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Skills!G13*IF(Skills!H13&gt;0,IF(Inputs!$B$38="pvp",MIN(Skills!I13,15),Skills!I13)/Skills!H13,1)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Skills!G14*IF(Skills!H14&gt;0,IF(Inputs!$B$38="pvp",MIN(Skills!I14,15),Skills!I14)/Skills!H14,1)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Skills!G15*IF(Skills!H15&gt;0,IF(Inputs!$B$38="pvp",MIN(Skills!I15,15),Skills!I15)/Skills!H15,1)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IFERROR(1/(IF(Inputs!$B$38="pvp",15,MAX(0.1,Skills!D15-IF(TRUE=TRUE,Inputs!$B$32,0)))*(1-IF(AND(ArtifactsInput!$M$27,Inputs!$B$4="Chapter Hunt"),CHOOSE(ArtifactsInput!$N$27+1,20,24,28,32,36,40),0)/100)),0)</f>
        <v/>
      </c>
      <c r="R2354">
        <f>IF(AND(Inputs!$B$38&lt;&gt;"pvp",Inputs!$B$43&gt;0),IF(Inputs!$B$43&lt;=0,0,(INT(Inputs!$B$43/(IF(Inputs!$B$38="pvp",15,MAX(0.1,Skills!D15-IF(TRUE=TRUE,Inputs!$B$32,0)))*(1-IF(AND(ArtifactsInput!$M$27,Inputs!$B$4="Chapter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Skills!G16*IF(Skills!H16&gt;0,IF(Inputs!$B$38="pvp",MIN(Skills!I16,15),Skills!I16)/Skills!H16,1)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IFERROR(1/(IF(Inputs!$B$38="pvp",15,MAX(0.1,Skills!D16-IF(TRUE=TRUE,Inputs!$B$32,0)))*(1-IF(AND(ArtifactsInput!$M$27,Inputs!$B$4="Chapter Hunt"),CHOOSE(ArtifactsInput!$N$27+1,20,24,28,32,36,40),0)/100)),0)</f>
        <v/>
      </c>
      <c r="R2355">
        <f>IF(AND(Inputs!$B$38&lt;&gt;"pvp",Inputs!$B$43&gt;0),IF(Inputs!$B$43&lt;=0,0,(INT(Inputs!$B$43/(IF(Inputs!$B$38="pvp",15,MAX(0.1,Skills!D16-IF(TRUE=TRUE,Inputs!$B$32,0)))*(1-IF(AND(ArtifactsInput!$M$27,Inputs!$B$4="Chapter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Skills!G17*IF(Skills!H17&gt;0,IF(Inputs!$B$38="pvp",MIN(Skills!I17,15),Skills!I17)/Skills!H17,1)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IFERROR(1/(IF(Inputs!$B$38="pvp",15,MAX(0.1,Skills!D17-IF(TRUE=TRUE,Inputs!$B$32,0)))*(1-IF(AND(ArtifactsInput!$M$27,Inputs!$B$4="Chapter Hunt"),CHOOSE(ArtifactsInput!$N$27+1,20,24,28,32,36,40),0)/100)),0)</f>
        <v/>
      </c>
      <c r="R2356">
        <f>IF(AND(Inputs!$B$38&lt;&gt;"pvp",Inputs!$B$43&gt;0),IF(Inputs!$B$43&lt;=0,0,(INT(Inputs!$B$43/(IF(Inputs!$B$38="pvp",15,MAX(0.1,Skills!D17-IF(TRUE=TRUE,Inputs!$B$32,0)))*(1-IF(AND(ArtifactsInput!$M$27,Inputs!$B$4="Chapter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Skills!G18*IF(Skills!H18&gt;0,IF(Inputs!$B$38="pvp",MIN(Skills!I18,15),Skills!I18)/Skills!H18,1)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IFERROR(1/(IF(Inputs!$B$38="pvp",15,MAX(0.1,Skills!D18-IF(TRUE=TRUE,Inputs!$B$32,0)))*(1-IF(AND(ArtifactsInput!$M$27,Inputs!$B$4="Chapter Hunt"),CHOOSE(ArtifactsInput!$N$27+1,20,24,28,32,36,40),0)/100)),0)</f>
        <v/>
      </c>
      <c r="R2357">
        <f>IF(AND(Inputs!$B$38&lt;&gt;"pvp",Inputs!$B$43&gt;0),IF(Inputs!$B$43&lt;=0,0,(INT(Inputs!$B$43/(IF(Inputs!$B$38="pvp",15,MAX(0.1,Skills!D18-IF(TRUE=TRUE,Inputs!$B$32,0)))*(1-IF(AND(ArtifactsInput!$M$27,Inputs!$B$4="Chapter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Skills!G19*IF(Skills!H19&gt;0,IF(Inputs!$B$38="pvp",MIN(Skills!I19,15),Skills!I19)/Skills!H19,1)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IFERROR(1/(IF(Inputs!$B$38="pvp",15,MAX(0.1,Skills!D19-IF(TRUE=TRUE,Inputs!$B$32,0)))*(1-IF(AND(ArtifactsInput!$M$27,Inputs!$B$4="Chapter Hunt"),CHOOSE(ArtifactsInput!$N$27+1,20,24,28,32,36,40),0)/100)),0)</f>
        <v/>
      </c>
      <c r="R2358">
        <f>IF(AND(Inputs!$B$38&lt;&gt;"pvp",Inputs!$B$43&gt;0),IF(Inputs!$B$43&lt;=0,0,(INT(Inputs!$B$43/(IF(Inputs!$B$38="pvp",15,MAX(0.1,Skills!D19-IF(TRUE=TRUE,Inputs!$B$32,0)))*(1-IF(AND(ArtifactsInput!$M$27,Inputs!$B$4="Chapter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Skills!G20*IF(Skills!H20&gt;0,IF(Inputs!$B$38="pvp",MIN(Skills!I20,15),Skills!I20)/Skills!H20,1)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Skills!G21*IF(Skills!H21&gt;0,IF(Inputs!$B$38="pvp",MIN(Skills!I21,15),Skills!I21)/Skills!H21,1)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Skills!G22*IF(Skills!H22&gt;0,IF(Inputs!$B$38="pvp",MIN(Skills!I22,15),Skills!I22)/Skills!H22,1)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Skills!G23*IF(Skills!H23&gt;0,IF(Inputs!$B$38="pvp",MIN(Skills!I23,15),Skills!I23)/Skills!H23,1)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Skills!G24*IF(Skills!H24&gt;0,IF(Inputs!$B$38="pvp",MIN(Skills!I24,15),Skills!I24)/Skills!H24,1)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Skills!G25*IF(Skills!H25&gt;0,IF(Inputs!$B$38="pvp",MIN(Skills!I25,15),Skills!I25)/Skills!H25,1)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Skills!G26*IF(Skills!H26&gt;0,IF(Inputs!$B$38="pvp",MIN(Skills!I26,15),Skills!I26)/Skills!H26,1)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118,8,IF(Inputs!$B$3&gt;=110,7,5)))+((C2354=TRUE)*F2354*IF(AND(Inputs!$B$38&lt;&gt;"pvp",Inputs!$B$43&gt;0),(((R2354-1)*MIN((Skills!T15*(1+(Inputs!$B$34+(ArtifactsInput!$M$7-ArtifactsInput!$M$7)*CHOOSE(ArtifactsInput!$N$7+1,6,7.2,8.4,9.6,10.8,12))/100)),(1/Q2354))+MIN((Skills!T15*(1+(Inputs!$B$34+(ArtifactsInput!$M$7-ArtifactsInput!$M$7)*CHOOSE(ArtifactsInput!$N$7+1,6,7.2,8.4,9.6,10.8,12))/100)),MAX(0,Inputs!$B$43-((R2354-1)*(1/Q2354)))))/Inputs!$B$43),IF(Inputs!$B$38="pvp",MIN((Skills!T15*(1+(Inputs!$B$34+(ArtifactsInput!$M$7-ArtifactsInput!$M$7)*CHOOSE(ArtifactsInput!$N$7+1,6,7.2,8.4,9.6,10.8,12))/100)),15)/15,MIN(1,(Skills!T15*(1+(Inputs!$B$34+(ArtifactsInput!$M$7-ArtifactsInput!$M$7)*CHOOSE(ArtifactsInput!$N$7+1,6,7.2,8.4,9.6,10.8,12))/100))/(1/Q2354)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MIN((Skills!T19*(1+(Inputs!$B$34+(ArtifactsInput!$M$7-ArtifactsInput!$M$7)*CHOOSE(ArtifactsInput!$N$7+1,6,7.2,8.4,9.6,10.8,12))/100)),(1/Q2358))+MIN((Skills!T19*(1+(Inputs!$B$34+(ArtifactsInput!$M$7-ArtifactsInput!$M$7)*CHOOSE(ArtifactsInput!$N$7+1,6,7.2,8.4,9.6,10.8,12))/100)),MAX(0,Inputs!$B$43-((R2358-1)*(1/Q2358)))))/Inputs!$B$43),IF(Inputs!$B$38="pvp",MIN((Skills!T19*(1+(Inputs!$B$34+(ArtifactsInput!$M$7-ArtifactsInput!$M$7)*CHOOSE(ArtifactsInput!$N$7+1,6,7.2,8.4,9.6,10.8,12))/100)),15)/15,MIN(1,(Skills!T19*(1+(Inputs!$B$34+(ArtifactsInput!$M$7-ArtifactsInput!$M$7)*CHOOSE(ArtifactsInput!$N$7+1,6,7.2,8.4,9.6,10.8,12))/100))/(1/Q2358)))))</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MIN((Skills!T18*(1+(Inputs!$B$34+(ArtifactsInput!$M$7-ArtifactsInput!$M$7)*CHOOSE(ArtifactsInput!$N$7+1,6,7.2,8.4,9.6,10.8,12))/100)),(1/Q2357))+MIN((Skills!T18*(1+(Inputs!$B$34+(ArtifactsInput!$M$7-ArtifactsInput!$M$7)*CHOOSE(ArtifactsInput!$N$7+1,6,7.2,8.4,9.6,10.8,12))/100)),MAX(0,Inputs!$B$43-((R2357-1)*(1/Q2357)))))/Inputs!$B$43),IF(Inputs!$B$38="pvp",MIN((Skills!T18*(1+(Inputs!$B$34+(ArtifactsInput!$M$7-ArtifactsInput!$M$7)*CHOOSE(ArtifactsInput!$N$7+1,6,7.2,8.4,9.6,10.8,12))/100)),15)/15,MIN(1,(Skills!T18*(1+(Inputs!$B$34+(ArtifactsInput!$M$7-ArtifactsInput!$M$7)*CHOOSE(ArtifactsInput!$N$7+1,6,7.2,8.4,9.6,10.8,12))/100))/(1/Q2357)))))</f>
        <v/>
      </c>
    </row>
    <row r="2374">
      <c r="A2374" t="inlineStr">
        <is>
          <t>Global Final Damage Bonus % (Enrage + Combo Synergy)</t>
        </is>
      </c>
      <c r="B2374">
        <f>((C2356=TRUE)*F2356*IF(AND(Inputs!$B$38&lt;&gt;"pvp",Inputs!$B$43&gt;0),(((R2356-1)*MIN((Skills!T17*(1+(Inputs!$B$34+(ArtifactsInput!$M$7-ArtifactsInput!$M$7)*CHOOSE(ArtifactsInput!$N$7+1,6,7.2,8.4,9.6,10.8,12))/100)),(1/Q2356))+MIN((Skills!T17*(1+(Inputs!$B$34+(ArtifactsInput!$M$7-ArtifactsInput!$M$7)*CHOOSE(ArtifactsInput!$N$7+1,6,7.2,8.4,9.6,10.8,12))/100)),MAX(0,Inputs!$B$43-((R2356-1)*(1/Q2356)))))/Inputs!$B$43),IF(Inputs!$B$38="pvp",MIN((Skills!T17*(1+(Inputs!$B$34+(ArtifactsInput!$M$7-ArtifactsInput!$M$7)*CHOOSE(ArtifactsInput!$N$7+1,6,7.2,8.4,9.6,10.8,12))/100)),15)/15,MIN(1,(Skills!T17*(1+(Inputs!$B$34+(ArtifactsInput!$M$7-ArtifactsInput!$M$7)*CHOOSE(ArtifactsInput!$N$7+1,6,7.2,8.4,9.6,10.8,12))/100))/(1/Q2356)))))+((C2353=TRUE)*F2353*IF(Inputs!$B$3&gt;=118,8,IF(Inputs!$B$3&gt;=110,7,5)))+IF(Inputs!$B$3&gt;=98,5,0)</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Skills!G2*IF(Skills!H2&gt;0,IF(Inputs!$B$38="pvp",MIN(Skills!I2,15),Skills!I2)/Skills!H2,1)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Skills!G5*IF(Skills!H5&gt;0,IF(Inputs!$B$38="pvp",MIN(Skills!I5,15),Skills!I5)/Skills!H5,1)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IFERROR(1/(IF(Inputs!$B$38="pvp",15,MAX(0.1,Skills!D5-IF(TRUE=TRUE,Inputs!$B$32,0)))*(1-IF(AND(ArtifactsInput!$M$27,Inputs!$B$4="Chapter Hunt"),CHOOSE(ArtifactsInput!$N$27+1,20,24,28,32,36,40),0)/100)),0)</f>
        <v/>
      </c>
      <c r="R2386">
        <f>IF(AND(Inputs!$B$38&lt;&gt;"pvp",Inputs!$B$43&gt;0),IF(MAX(0,Inputs!$B$43-B2417)&lt;=0,0,(INT(MAX(0,Inputs!$B$43-B2417)/(IF(Inputs!$B$38="pvp",15,MAX(0.1,Skills!D5-IF(TRUE=TRUE,Inputs!$B$32,0)))*(1-IF(AND(ArtifactsInput!$M$27,Inputs!$B$4="Chapter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$20+0+Skills!P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TRUE=TRUE,Inputs!$B$32,0)))*(1-IF(AND(ArtifactsInput!$M$27,Inputs!$B$4="Chapter Hunt"),CHOOSE(ArtifactsInput!$N$27+1,20,24,28,32,36,40),0)/100)))))/Skills!H5,1)))/Inputs!$B$43),G2386*Q2386))*IF(Inputs!$B$38="pvp",1,(1+(Inputs!$B$21+Skills!Q5+(((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Skills!G6*IF(Skills!H6&gt;0,IF(Inputs!$B$38="pvp",MIN(Skills!I6,15),Skills!I6)/Skills!H6,1)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IFERROR(1/(IF(Inputs!$B$38="pvp",15,MAX(0.1,Skills!D6-IF(TRUE=TRUE,Inputs!$B$32,0)))*(1-IF(AND(ArtifactsInput!$M$27,Inputs!$B$4="Chapter Hunt"),CHOOSE(ArtifactsInput!$N$27+1,20,24,28,32,36,40),0)/100)),0)</f>
        <v/>
      </c>
      <c r="R2387">
        <f>IF(AND(Inputs!$B$38&lt;&gt;"pvp",Inputs!$B$43&gt;0),IF(MAX(0,Inputs!$B$43-B2417)&lt;=0,0,(INT(MAX(0,Inputs!$B$43-B2417)/(IF(Inputs!$B$38="pvp",15,MAX(0.1,Skills!D6-IF(TRUE=TRUE,Inputs!$B$32,0)))*(1-IF(AND(ArtifactsInput!$M$27,Inputs!$B$4="Chapter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$20+0+Skills!P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TRUE=TRUE,Inputs!$B$32,0)))*(1-IF(AND(ArtifactsInput!$M$27,Inputs!$B$4="Chapter Hunt"),CHOOSE(ArtifactsInput!$N$27+1,20,24,28,32,36,40),0)/100)))))/Skills!H6,1)))/Inputs!$B$43),G2387*Q2387))*IF(Inputs!$B$38="pvp",1,(1+(Inputs!$B$21+Skills!Q6+(((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Skills!G7*IF(Skills!H7&gt;0,IF(Inputs!$B$38="pvp",MIN(Skills!I7,15),Skills!I7)/Skills!H7,1)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IFERROR(1/(IF(Inputs!$B$38="pvp",15,MAX(0.1,Skills!D7-IF(TRUE=TRUE,Inputs!$B$32,0)))*(1-IF(AND(ArtifactsInput!$M$27,Inputs!$B$4="Chapter Hunt"),CHOOSE(ArtifactsInput!$N$27+1,20,24,28,32,36,40),0)/100)),0)</f>
        <v/>
      </c>
      <c r="R2388">
        <f>IF(AND(Inputs!$B$38&lt;&gt;"pvp",Inputs!$B$43&gt;0),IF(MAX(0,Inputs!$B$43-B2417)&lt;=0,0,(INT(MAX(0,Inputs!$B$43-B2417)/(IF(Inputs!$B$38="pvp",15,MAX(0.1,Skills!D7-IF(TRUE=TRUE,Inputs!$B$32,0)))*(1-IF(AND(ArtifactsInput!$M$27,Inputs!$B$4="Chapter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$20+0+Skills!P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TRUE=TRUE,Inputs!$B$32,0)))*(1-IF(AND(ArtifactsInput!$M$27,Inputs!$B$4="Chapter Hunt"),CHOOSE(ArtifactsInput!$N$27+1,20,24,28,32,36,40),0)/100)))))/Skills!H7,1)))/Inputs!$B$43),G2388*Q2388))*IF(Inputs!$B$38="pvp",1,(1+(Inputs!$B$21+Skills!Q7+(((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Skills!G8*IF(Skills!H8&gt;0,IF(Inputs!$B$38="pvp",MIN(Skills!I8,15),Skills!I8)/Skills!H8,1)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IFERROR(1/(IF(Inputs!$B$38="pvp",15,MAX(0.1,Skills!D8-IF(TRUE=TRUE,Inputs!$B$32,0)))*(1-IF(AND(ArtifactsInput!$M$27,Inputs!$B$4="Chapter Hunt"),CHOOSE(ArtifactsInput!$N$27+1,20,24,28,32,36,40),0)/100)),0)</f>
        <v/>
      </c>
      <c r="R2389">
        <f>IF(AND(Inputs!$B$38&lt;&gt;"pvp",Inputs!$B$43&gt;0),IF(MAX(0,Inputs!$B$43-B2417)&lt;=0,0,(INT(MAX(0,Inputs!$B$43-B2417)/(IF(Inputs!$B$38="pvp",15,MAX(0.1,Skills!D8-IF(TRUE=TRUE,Inputs!$B$32,0)))*(1-IF(AND(ArtifactsInput!$M$27,Inputs!$B$4="Chapter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$20+0+Skills!P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TRUE=TRUE,Inputs!$B$32,0)))*(1-IF(AND(ArtifactsInput!$M$27,Inputs!$B$4="Chapter Hunt"),CHOOSE(ArtifactsInput!$N$27+1,20,24,28,32,36,40),0)/100)))))/Skills!H8,1)))/Inputs!$B$43),G2389*Q2389))*IF(Inputs!$B$38="pvp",1,(1+(Inputs!$B$21+Skills!Q8+(((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Skills!G9*IF(Skills!H9&gt;0,IF(Inputs!$B$38="pvp",MIN(Skills!I9,15),Skills!I9)/Skills!H9,1)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138,MAX(0,IF(Inputs!$B$3&gt;=118,8,IF(Inputs!$B$3&gt;=110,7,5))-5)*50,0),0)/100)*(1+(IF(Skills!A9="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IFERROR(1/(IF(Inputs!$B$38="pvp",15,MAX(0.1,Skills!D9-IF(TRUE=TRUE,Inputs!$B$32,0)))*(1-IF(AND(ArtifactsInput!$M$27,Inputs!$B$4="Chapter Hunt"),CHOOSE(ArtifactsInput!$N$27+1,20,24,28,32,36,40),0)/100)),0)</f>
        <v/>
      </c>
      <c r="R2390">
        <f>IF(AND(Inputs!$B$38&lt;&gt;"pvp",Inputs!$B$43&gt;0),IF(MAX(0,Inputs!$B$43-B2417)&lt;=0,0,(INT(MAX(0,Inputs!$B$43-B2417)/(IF(Inputs!$B$38="pvp",15,MAX(0.1,Skills!D9-IF(TRUE=TRUE,Inputs!$B$32,0)))*(1-IF(AND(ArtifactsInput!$M$27,Inputs!$B$4="Chapter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TRUE=TRUE,Inputs!$B$32,0)))*(1-IF(AND(ArtifactsInput!$M$27,Inputs!$B$4="Chapter Hunt"),CHOOSE(ArtifactsInput!$N$27+1,20,24,28,32,36,40),0)/100)))))/Skills!H9,1)))/Inputs!$B$43),G2390*Q2390))*IF(Inputs!$B$38="pvp",1,1+(Inputs!$B$20+0+Skills!P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TRUE=TRUE,Inputs!$B$32,0)))*(1-IF(AND(ArtifactsInput!$M$27,Inputs!$B$4="Chapter Hunt"),CHOOSE(ArtifactsInput!$N$27+1,20,24,28,32,36,40),0)/100)))))/Skills!H9,1)))/Inputs!$B$43),G2390*Q2390))*IF(Inputs!$B$38="pvp",1,(1+(Inputs!$B$21+Skills!Q9+(((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Skills!G10*IF(Skills!H10&gt;0,IF(Inputs!$B$38="pvp",MIN(Skills!I10,15),Skills!I10)/Skills!H10,1)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138,MAX(0,IF(Inputs!$B$3&gt;=118,8,IF(Inputs!$B$3&gt;=110,7,5))-5)*50,0),0)/100)*(1+(IF(Skills!A10="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IFERROR(1/(IF(Inputs!$B$38="pvp",15,MAX(0.1,Skills!D10-IF(TRUE=TRUE,Inputs!$B$32,0)))*(1-IF(AND(ArtifactsInput!$M$27,Inputs!$B$4="Chapter Hunt"),CHOOSE(ArtifactsInput!$N$27+1,20,24,28,32,36,40),0)/100)),0)</f>
        <v/>
      </c>
      <c r="R2391">
        <f>IF(AND(Inputs!$B$38&lt;&gt;"pvp",Inputs!$B$43&gt;0),IF(MAX(0,Inputs!$B$43-B2417)&lt;=0,0,(INT(MAX(0,Inputs!$B$43-B2417)/(IF(Inputs!$B$38="pvp",15,MAX(0.1,Skills!D10-IF(TRUE=TRUE,Inputs!$B$32,0)))*(1-IF(AND(ArtifactsInput!$M$27,Inputs!$B$4="Chapter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$20+0+Skills!P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TRUE=TRUE,Inputs!$B$32,0)))*(1-IF(AND(ArtifactsInput!$M$27,Inputs!$B$4="Chapter Hunt"),CHOOSE(ArtifactsInput!$N$27+1,20,24,28,32,36,40),0)/100)))))/Skills!H10,1)))/Inputs!$B$43),G2391*Q2391))*IF(Inputs!$B$38="pvp",1,(1+(Inputs!$B$21+Skills!Q10+(((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Skills!G11*IF(Skills!H11&gt;0,IF(Inputs!$B$38="pvp",MIN(Skills!I11,15),Skills!I11)/Skills!H11,1)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(100-(100-((Inputs!$B$19+0)))*(1-IF(Inputs!$B$3&gt;=130,IF(Inputs!$B$3&gt;=118,8,IF(Inputs!$B$3&gt;=110,7,5)),0)/100)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138,MAX(0,IF(Inputs!$B$3&gt;=118,8,IF(Inputs!$B$3&gt;=110,7,5))-5)*50,0),0)/100)*(1+(IF(Skills!A11="RAGING_BLOW",Inputs!$B$17+((C2402=TRUE)*(F2402-Calc!F21))+((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IFERROR(1/(IF(Inputs!$B$38="pvp",15,MAX(0.1,Skills!D11-IF(TRUE=TRUE,Inputs!$B$32,0)))*(1-IF(AND(ArtifactsInput!$M$27,Inputs!$B$4="Chapter Hunt"),CHOOSE(ArtifactsInput!$N$27+1,20,24,28,32,36,40),0)/100)),0)</f>
        <v/>
      </c>
      <c r="R2392">
        <f>IF(AND(Inputs!$B$38&lt;&gt;"pvp",Inputs!$B$43&gt;0),IF(MAX(0,Inputs!$B$43-B2417)&lt;=0,0,(INT(MAX(0,Inputs!$B$43-B2417)/(IF(Inputs!$B$38="pvp",15,MAX(0.1,Skills!D11-IF(TRUE=TRUE,Inputs!$B$32,0)))*(1-IF(AND(ArtifactsInput!$M$27,Inputs!$B$4="Chapter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$20+0+Skills!P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Inputs!$B$38&lt;&gt;"pvp",Inputs!$B$43=0),1,IF(IF(Inputs!$B$38="pvp",15,Inputs!$B$43)-(B2417)&lt;=0,1,MAX(0,IF(Inputs!$B$38="pvp",15,Inputs!$B$43)-MAX(5,B2417))/(IF(Inputs!$B$38="pvp",15,Inputs!$B$43)-(B2417)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TRUE=TRUE,Inputs!$B$32,0)))*(1-IF(AND(ArtifactsInput!$M$27,Inputs!$B$4="Chapter Hunt"),CHOOSE(ArtifactsInput!$N$27+1,20,24,28,32,36,40),0)/100)))))/Skills!H11,1)))/Inputs!$B$43),G2392*Q2392))*IF(Inputs!$B$38="pvp",1,(1+(Inputs!$B$21+Skills!Q11+(((C2397=TRUE)*F2397*(Skills!J16/100)*IF(AND(Inputs!$B$38&lt;&gt;"pvp",Inputs!$B$43&gt;0),(((R2397-1)*MIN((Skills!T16*(1+(Inputs!$B$34+(ArtifactsInput!$M$7-ArtifactsInput!$M$7)*CHOOSE(ArtifactsInput!$N$7+1,6,7.2,8.4,9.6,10.8,12))/100)),(1/Q2397))+MIN((Skills!T16*(1+(Inputs!$B$34+(ArtifactsInput!$M$7-ArtifactsInput!$M$7)*CHOOSE(ArtifactsInput!$N$7+1,6,7.2,8.4,9.6,10.8,12))/100)),MAX(0,Inputs!$B$43-((R2397-1)*(1/Q2397)))))/Inputs!$B$43),IF(Inputs!$B$38="pvp",MIN((Skills!T16*(1+(Inputs!$B$34+(ArtifactsInput!$M$7-ArtifactsInput!$M$7)*CHOOSE(ArtifactsInput!$N$7+1,6,7.2,8.4,9.6,10.8,12))/100)),15)/15,MIN(1,(Skills!T16*(1+(Inputs!$B$34+(ArtifactsInput!$M$7-ArtifactsInput!$M$7)*CHOOSE(ArtifactsInput!$N$7+1,6,7.2,8.4,9.6,10.8,12))/100))/(1/Q2397)))))+((C2389=TRUE)*IF(Inputs!$B$3&gt;=126,10*MIN(1,15*Q2389),0))+((C2386=TRUE)*((100/10)*(INDEX(FactorTable!$B$2:$Y$301,MATCH(ROUND(MIN(300,MAX(1,MAX(0,(Inputs!$B$3-100)*3)+Inputs!$B$28+Inputs!$B$29)),0),FactorTable!$A$2:$A$301,0),22)/1000))*(1+IF(Inputs!$B$3&gt;=134,0.5,0))*MIN(1,10*(1+(Inputs!$B$34+(ArtifactsInput!$M$7-ArtifactsInput!$M$7)*CHOOSE(ArtifactsInput!$N$7+1,6,7.2,8.4,9.6,10.8,12))/100)*Q2386)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Skills!G13*IF(Skills!H13&gt;0,IF(Inputs!$B$38="pvp",MIN(Skills!I13,15),Skills!I13)/Skills!H13,1)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Skills!G14*IF(Skills!H14&gt;0,IF(Inputs!$B$38="pvp",MIN(Skills!I14,15),Skills!I14)/Skills!H14,1)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Skills!G15*IF(Skills!H15&gt;0,IF(Inputs!$B$38="pvp",MIN(Skills!I15,15),Skills!I15)/Skills!H15,1)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IFERROR(1/(IF(Inputs!$B$38="pvp",15,MAX(0.1,Skills!D15-IF(TRUE=TRUE,Inputs!$B$32,0)))*(1-IF(AND(ArtifactsInput!$M$27,Inputs!$B$4="Chapter Hunt"),CHOOSE(ArtifactsInput!$N$27+1,20,24,28,32,36,40),0)/100)),0)</f>
        <v/>
      </c>
      <c r="R2396">
        <f>IF(AND(Inputs!$B$38&lt;&gt;"pvp",Inputs!$B$43&gt;0),IF(Inputs!$B$43&lt;=0,0,(INT(Inputs!$B$43/(IF(Inputs!$B$38="pvp",15,MAX(0.1,Skills!D15-IF(TRUE=TRUE,Inputs!$B$32,0)))*(1-IF(AND(ArtifactsInput!$M$27,Inputs!$B$4="Chapter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Skills!G16*IF(Skills!H16&gt;0,IF(Inputs!$B$38="pvp",MIN(Skills!I16,15),Skills!I16)/Skills!H16,1)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IFERROR(1/(IF(Inputs!$B$38="pvp",15,MAX(0.1,Skills!D16-IF(TRUE=TRUE,Inputs!$B$32,0)))*(1-IF(AND(ArtifactsInput!$M$27,Inputs!$B$4="Chapter Hunt"),CHOOSE(ArtifactsInput!$N$27+1,20,24,28,32,36,40),0)/100)),0)</f>
        <v/>
      </c>
      <c r="R2397">
        <f>IF(AND(Inputs!$B$38&lt;&gt;"pvp",Inputs!$B$43&gt;0),IF(Inputs!$B$43&lt;=0,0,(INT(Inputs!$B$43/(IF(Inputs!$B$38="pvp",15,MAX(0.1,Skills!D16-IF(TRUE=TRUE,Inputs!$B$32,0)))*(1-IF(AND(ArtifactsInput!$M$27,Inputs!$B$4="Chapter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Skills!G17*IF(Skills!H17&gt;0,IF(Inputs!$B$38="pvp",MIN(Skills!I17,15),Skills!I17)/Skills!H17,1)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IFERROR(1/(IF(Inputs!$B$38="pvp",15,MAX(0.1,Skills!D17-IF(TRUE=TRUE,Inputs!$B$32,0)))*(1-IF(AND(ArtifactsInput!$M$27,Inputs!$B$4="Chapter Hunt"),CHOOSE(ArtifactsInput!$N$27+1,20,24,28,32,36,40),0)/100)),0)</f>
        <v/>
      </c>
      <c r="R2398">
        <f>IF(AND(Inputs!$B$38&lt;&gt;"pvp",Inputs!$B$43&gt;0),IF(Inputs!$B$43&lt;=0,0,(INT(Inputs!$B$43/(IF(Inputs!$B$38="pvp",15,MAX(0.1,Skills!D17-IF(TRUE=TRUE,Inputs!$B$32,0)))*(1-IF(AND(ArtifactsInput!$M$27,Inputs!$B$4="Chapter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Skills!G18*IF(Skills!H18&gt;0,IF(Inputs!$B$38="pvp",MIN(Skills!I18,15),Skills!I18)/Skills!H18,1)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IFERROR(1/(IF(Inputs!$B$38="pvp",15,MAX(0.1,Skills!D18-IF(TRUE=TRUE,Inputs!$B$32,0)))*(1-IF(AND(ArtifactsInput!$M$27,Inputs!$B$4="Chapter Hunt"),CHOOSE(ArtifactsInput!$N$27+1,20,24,28,32,36,40),0)/100)),0)</f>
        <v/>
      </c>
      <c r="R2399">
        <f>IF(AND(Inputs!$B$38&lt;&gt;"pvp",Inputs!$B$43&gt;0),IF(Inputs!$B$43&lt;=0,0,(INT(Inputs!$B$43/(IF(Inputs!$B$38="pvp",15,MAX(0.1,Skills!D18-IF(TRUE=TRUE,Inputs!$B$32,0)))*(1-IF(AND(ArtifactsInput!$M$27,Inputs!$B$4="Chapter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Skills!G19*IF(Skills!H19&gt;0,IF(Inputs!$B$38="pvp",MIN(Skills!I19,15),Skills!I19)/Skills!H19,1)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IFERROR(1/(IF(Inputs!$B$38="pvp",15,MAX(0.1,Skills!D19-IF(TRUE=TRUE,Inputs!$B$32,0)))*(1-IF(AND(ArtifactsInput!$M$27,Inputs!$B$4="Chapter Hunt"),CHOOSE(ArtifactsInput!$N$27+1,20,24,28,32,36,40),0)/100)),0)</f>
        <v/>
      </c>
      <c r="R2400">
        <f>IF(AND(Inputs!$B$38&lt;&gt;"pvp",Inputs!$B$43&gt;0),IF(Inputs!$B$43&lt;=0,0,(INT(Inputs!$B$43/(IF(Inputs!$B$38="pvp",15,MAX(0.1,Skills!D19-IF(TRUE=TRUE,Inputs!$B$32,0)))*(1-IF(AND(ArtifactsInput!$M$27,Inputs!$B$4="Chapter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Skills!G20*IF(Skills!H20&gt;0,IF(Inputs!$B$38="pvp",MIN(Skills!I20,15),Skills!I20)/Skills!H20,1)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Skills!G21*IF(Skills!H21&gt;0,IF(Inputs!$B$38="pvp",MIN(Skills!I21,15),Skills!I21)/Skills!H21,1)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Skills!G22*IF(Skills!H22&gt;0,IF(Inputs!$B$38="pvp",MIN(Skills!I22,15),Skills!I22)/Skills!H22,1)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Skills!G23*IF(Skills!H23&gt;0,IF(Inputs!$B$38="pvp",MIN(Skills!I23,15),Skills!I23)/Skills!H23,1)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Skills!G24*IF(Skills!H24&gt;0,IF(Inputs!$B$38="pvp",MIN(Skills!I24,15),Skills!I24)/Skills!H24,1)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Skills!G25*IF(Skills!H25&gt;0,IF(Inputs!$B$38="pvp",MIN(Skills!I25,15),Skills!I25)/Skills!H25,1)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Skills!G26*IF(Skills!H26&gt;0,IF(Inputs!$B$38="pvp",MIN(Skills!I26,15),Skills!I26)/Skills!H26,1)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118,8,IF(Inputs!$B$3&gt;=110,7,5)))+((C2396=TRUE)*F2396*IF(AND(Inputs!$B$38&lt;&gt;"pvp",Inputs!$B$43&gt;0),(((R2396-1)*MIN((Skills!T15*(1+(Inputs!$B$34+(ArtifactsInput!$M$7-ArtifactsInput!$M$7)*CHOOSE(ArtifactsInput!$N$7+1,6,7.2,8.4,9.6,10.8,12))/100)),(1/Q2396))+MIN((Skills!T15*(1+(Inputs!$B$34+(ArtifactsInput!$M$7-ArtifactsInput!$M$7)*CHOOSE(ArtifactsInput!$N$7+1,6,7.2,8.4,9.6,10.8,12))/100)),MAX(0,Inputs!$B$43-((R2396-1)*(1/Q2396)))))/Inputs!$B$43),IF(Inputs!$B$38="pvp",MIN((Skills!T15*(1+(Inputs!$B$34+(ArtifactsInput!$M$7-ArtifactsInput!$M$7)*CHOOSE(ArtifactsInput!$N$7+1,6,7.2,8.4,9.6,10.8,12))/100)),15)/15,MIN(1,(Skills!T15*(1+(Inputs!$B$34+(ArtifactsInput!$M$7-ArtifactsInput!$M$7)*CHOOSE(ArtifactsInput!$N$7+1,6,7.2,8.4,9.6,10.8,12))/100))/(1/Q2396)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MIN((Skills!T19*(1+(Inputs!$B$34+(ArtifactsInput!$M$7-ArtifactsInput!$M$7)*CHOOSE(ArtifactsInput!$N$7+1,6,7.2,8.4,9.6,10.8,12))/100)),(1/Q2400))+MIN((Skills!T19*(1+(Inputs!$B$34+(ArtifactsInput!$M$7-ArtifactsInput!$M$7)*CHOOSE(ArtifactsInput!$N$7+1,6,7.2,8.4,9.6,10.8,12))/100)),MAX(0,Inputs!$B$43-((R2400-1)*(1/Q2400)))))/Inputs!$B$43),IF(Inputs!$B$38="pvp",MIN((Skills!T19*(1+(Inputs!$B$34+(ArtifactsInput!$M$7-ArtifactsInput!$M$7)*CHOOSE(ArtifactsInput!$N$7+1,6,7.2,8.4,9.6,10.8,12))/100)),15)/15,MIN(1,(Skills!T19*(1+(Inputs!$B$34+(ArtifactsInput!$M$7-ArtifactsInput!$M$7)*CHOOSE(ArtifactsInput!$N$7+1,6,7.2,8.4,9.6,10.8,12))/100))/(1/Q2400)))))</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MIN((Skills!T18*(1+(Inputs!$B$34+(ArtifactsInput!$M$7-ArtifactsInput!$M$7)*CHOOSE(ArtifactsInput!$N$7+1,6,7.2,8.4,9.6,10.8,12))/100)),(1/Q2399))+MIN((Skills!T18*(1+(Inputs!$B$34+(ArtifactsInput!$M$7-ArtifactsInput!$M$7)*CHOOSE(ArtifactsInput!$N$7+1,6,7.2,8.4,9.6,10.8,12))/100)),MAX(0,Inputs!$B$43-((R2399-1)*(1/Q2399)))))/Inputs!$B$43),IF(Inputs!$B$38="pvp",MIN((Skills!T18*(1+(Inputs!$B$34+(ArtifactsInput!$M$7-ArtifactsInput!$M$7)*CHOOSE(ArtifactsInput!$N$7+1,6,7.2,8.4,9.6,10.8,12))/100)),15)/15,MIN(1,(Skills!T18*(1+(Inputs!$B$34+(ArtifactsInput!$M$7-ArtifactsInput!$M$7)*CHOOSE(ArtifactsInput!$N$7+1,6,7.2,8.4,9.6,10.8,12))/100))/(1/Q2399)))))</f>
        <v/>
      </c>
    </row>
    <row r="2416">
      <c r="A2416" t="inlineStr">
        <is>
          <t>Global Final Damage Bonus % (Enrage + Combo Synergy)</t>
        </is>
      </c>
      <c r="B2416">
        <f>((C2398=TRUE)*F2398*IF(AND(Inputs!$B$38&lt;&gt;"pvp",Inputs!$B$43&gt;0),(((R2398-1)*MIN((Skills!T17*(1+(Inputs!$B$34+(ArtifactsInput!$M$7-ArtifactsInput!$M$7)*CHOOSE(ArtifactsInput!$N$7+1,6,7.2,8.4,9.6,10.8,12))/100)),(1/Q2398))+MIN((Skills!T17*(1+(Inputs!$B$34+(ArtifactsInput!$M$7-ArtifactsInput!$M$7)*CHOOSE(ArtifactsInput!$N$7+1,6,7.2,8.4,9.6,10.8,12))/100)),MAX(0,Inputs!$B$43-((R2398-1)*(1/Q2398)))))/Inputs!$B$43),IF(Inputs!$B$38="pvp",MIN((Skills!T17*(1+(Inputs!$B$34+(ArtifactsInput!$M$7-ArtifactsInput!$M$7)*CHOOSE(ArtifactsInput!$N$7+1,6,7.2,8.4,9.6,10.8,12))/100)),15)/15,MIN(1,(Skills!T17*(1+(Inputs!$B$34+(ArtifactsInput!$M$7-ArtifactsInput!$M$7)*CHOOSE(ArtifactsInput!$N$7+1,6,7.2,8.4,9.6,10.8,12))/100))/(1/Q2398)))))+((C2395=TRUE)*F2395*IF(Inputs!$B$3&gt;=118,8,IF(Inputs!$B$3&gt;=110,7,5)))+IF(Inputs!$B$3&gt;=98,5,0)</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Skills!G2*IF(Skills!H2&gt;0,IF(Inputs!$B$38="pvp",MIN(Skills!I2,15),Skills!I2)/Skills!H2,1)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Skills!G5*IF(Skills!H5&gt;0,IF(Inputs!$B$38="pvp",MIN(Skills!I5,15),Skills!I5)/Skills!H5,1)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IFERROR(1/(IF(Inputs!$B$38="pvp",15,MAX(0.1,Skills!D5-IF(TRUE=TRUE,Inputs!$B$32,0)))*(1-IF(AND(ArtifactsInput!$M$27,Inputs!$B$4="Chapter Hunt"),CHOOSE(ArtifactsInput!$N$27+1,20,24,28,32,36,40),0)/100)),0)</f>
        <v/>
      </c>
      <c r="R2428">
        <f>IF(AND(Inputs!$B$38&lt;&gt;"pvp",Inputs!$B$43&gt;0),IF(MAX(0,Inputs!$B$43-B2459)&lt;=0,0,(INT(MAX(0,Inputs!$B$43-B2459)/(IF(Inputs!$B$38="pvp",15,MAX(0.1,Skills!D5-IF(TRUE=TRUE,Inputs!$B$32,0)))*(1-IF(AND(ArtifactsInput!$M$27,Inputs!$B$4="Chapter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$20+0+Skills!P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TRUE=TRUE,Inputs!$B$32,0)))*(1-IF(AND(ArtifactsInput!$M$27,Inputs!$B$4="Chapter Hunt"),CHOOSE(ArtifactsInput!$N$27+1,20,24,28,32,36,40),0)/100)))))/Skills!H5,1)))/Inputs!$B$43),G2428*Q2428))*IF(Inputs!$B$38="pvp",1,(1+(Inputs!$B$21+Skills!Q5+(((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Skills!G6*IF(Skills!H6&gt;0,IF(Inputs!$B$38="pvp",MIN(Skills!I6,15),Skills!I6)/Skills!H6,1)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IFERROR(1/(IF(Inputs!$B$38="pvp",15,MAX(0.1,Skills!D6-IF(TRUE=TRUE,Inputs!$B$32,0)))*(1-IF(AND(ArtifactsInput!$M$27,Inputs!$B$4="Chapter Hunt"),CHOOSE(ArtifactsInput!$N$27+1,20,24,28,32,36,40),0)/100)),0)</f>
        <v/>
      </c>
      <c r="R2429">
        <f>IF(AND(Inputs!$B$38&lt;&gt;"pvp",Inputs!$B$43&gt;0),IF(MAX(0,Inputs!$B$43-B2459)&lt;=0,0,(INT(MAX(0,Inputs!$B$43-B2459)/(IF(Inputs!$B$38="pvp",15,MAX(0.1,Skills!D6-IF(TRUE=TRUE,Inputs!$B$32,0)))*(1-IF(AND(ArtifactsInput!$M$27,Inputs!$B$4="Chapter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$20+0+Skills!P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TRUE=TRUE,Inputs!$B$32,0)))*(1-IF(AND(ArtifactsInput!$M$27,Inputs!$B$4="Chapter Hunt"),CHOOSE(ArtifactsInput!$N$27+1,20,24,28,32,36,40),0)/100)))))/Skills!H6,1)))/Inputs!$B$43),G2429*Q2429))*IF(Inputs!$B$38="pvp",1,(1+(Inputs!$B$21+Skills!Q6+(((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Skills!G7*IF(Skills!H7&gt;0,IF(Inputs!$B$38="pvp",MIN(Skills!I7,15),Skills!I7)/Skills!H7,1)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IFERROR(1/(IF(Inputs!$B$38="pvp",15,MAX(0.1,Skills!D7-IF(TRUE=TRUE,Inputs!$B$32,0)))*(1-IF(AND(ArtifactsInput!$M$27,Inputs!$B$4="Chapter Hunt"),CHOOSE(ArtifactsInput!$N$27+1,20,24,28,32,36,40),0)/100)),0)</f>
        <v/>
      </c>
      <c r="R2430">
        <f>IF(AND(Inputs!$B$38&lt;&gt;"pvp",Inputs!$B$43&gt;0),IF(MAX(0,Inputs!$B$43-B2459)&lt;=0,0,(INT(MAX(0,Inputs!$B$43-B2459)/(IF(Inputs!$B$38="pvp",15,MAX(0.1,Skills!D7-IF(TRUE=TRUE,Inputs!$B$32,0)))*(1-IF(AND(ArtifactsInput!$M$27,Inputs!$B$4="Chapter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$20+0+Skills!P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TRUE=TRUE,Inputs!$B$32,0)))*(1-IF(AND(ArtifactsInput!$M$27,Inputs!$B$4="Chapter Hunt"),CHOOSE(ArtifactsInput!$N$27+1,20,24,28,32,36,40),0)/100)))))/Skills!H7,1)))/Inputs!$B$43),G2430*Q2430))*IF(Inputs!$B$38="pvp",1,(1+(Inputs!$B$21+Skills!Q7+(((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Skills!G8*IF(Skills!H8&gt;0,IF(Inputs!$B$38="pvp",MIN(Skills!I8,15),Skills!I8)/Skills!H8,1)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IFERROR(1/(IF(Inputs!$B$38="pvp",15,MAX(0.1,Skills!D8-IF(TRUE=TRUE,Inputs!$B$32,0)))*(1-IF(AND(ArtifactsInput!$M$27,Inputs!$B$4="Chapter Hunt"),CHOOSE(ArtifactsInput!$N$27+1,20,24,28,32,36,40),0)/100)),0)</f>
        <v/>
      </c>
      <c r="R2431">
        <f>IF(AND(Inputs!$B$38&lt;&gt;"pvp",Inputs!$B$43&gt;0),IF(MAX(0,Inputs!$B$43-B2459)&lt;=0,0,(INT(MAX(0,Inputs!$B$43-B2459)/(IF(Inputs!$B$38="pvp",15,MAX(0.1,Skills!D8-IF(TRUE=TRUE,Inputs!$B$32,0)))*(1-IF(AND(ArtifactsInput!$M$27,Inputs!$B$4="Chapter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$20+0+Skills!P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TRUE=TRUE,Inputs!$B$32,0)))*(1-IF(AND(ArtifactsInput!$M$27,Inputs!$B$4="Chapter Hunt"),CHOOSE(ArtifactsInput!$N$27+1,20,24,28,32,36,40),0)/100)))))/Skills!H8,1)))/Inputs!$B$43),G2431*Q2431))*IF(Inputs!$B$38="pvp",1,(1+(Inputs!$B$21+Skills!Q8+(((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Skills!G9*IF(Skills!H9&gt;0,IF(Inputs!$B$38="pvp",MIN(Skills!I9,15),Skills!I9)/Skills!H9,1)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138,MAX(0,IF(Inputs!$B$3&gt;=118,8,IF(Inputs!$B$3&gt;=110,7,5))-5)*50,0),0)/100)*(1+(IF(Skills!A9="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IFERROR(1/(IF(Inputs!$B$38="pvp",15,MAX(0.1,Skills!D9-IF(TRUE=TRUE,Inputs!$B$32,0)))*(1-IF(AND(ArtifactsInput!$M$27,Inputs!$B$4="Chapter Hunt"),CHOOSE(ArtifactsInput!$N$27+1,20,24,28,32,36,40),0)/100)),0)</f>
        <v/>
      </c>
      <c r="R2432">
        <f>IF(AND(Inputs!$B$38&lt;&gt;"pvp",Inputs!$B$43&gt;0),IF(MAX(0,Inputs!$B$43-B2459)&lt;=0,0,(INT(MAX(0,Inputs!$B$43-B2459)/(IF(Inputs!$B$38="pvp",15,MAX(0.1,Skills!D9-IF(TRUE=TRUE,Inputs!$B$32,0)))*(1-IF(AND(ArtifactsInput!$M$27,Inputs!$B$4="Chapter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TRUE=TRUE,Inputs!$B$32,0)))*(1-IF(AND(ArtifactsInput!$M$27,Inputs!$B$4="Chapter Hunt"),CHOOSE(ArtifactsInput!$N$27+1,20,24,28,32,36,40),0)/100)))))/Skills!H9,1)))/Inputs!$B$43),G2432*Q2432))*IF(Inputs!$B$38="pvp",1,1+(Inputs!$B$20+0+Skills!P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TRUE=TRUE,Inputs!$B$32,0)))*(1-IF(AND(ArtifactsInput!$M$27,Inputs!$B$4="Chapter Hunt"),CHOOSE(ArtifactsInput!$N$27+1,20,24,28,32,36,40),0)/100)))))/Skills!H9,1)))/Inputs!$B$43),G2432*Q2432))*IF(Inputs!$B$38="pvp",1,(1+(Inputs!$B$21+Skills!Q9+(((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Skills!G10*IF(Skills!H10&gt;0,IF(Inputs!$B$38="pvp",MIN(Skills!I10,15),Skills!I10)/Skills!H10,1)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138,MAX(0,IF(Inputs!$B$3&gt;=118,8,IF(Inputs!$B$3&gt;=110,7,5))-5)*50,0),0)/100)*(1+(IF(Skills!A10="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IFERROR(1/(IF(Inputs!$B$38="pvp",15,MAX(0.1,Skills!D10-IF(TRUE=TRUE,Inputs!$B$32,0)))*(1-IF(AND(ArtifactsInput!$M$27,Inputs!$B$4="Chapter Hunt"),CHOOSE(ArtifactsInput!$N$27+1,20,24,28,32,36,40),0)/100)),0)</f>
        <v/>
      </c>
      <c r="R2433">
        <f>IF(AND(Inputs!$B$38&lt;&gt;"pvp",Inputs!$B$43&gt;0),IF(MAX(0,Inputs!$B$43-B2459)&lt;=0,0,(INT(MAX(0,Inputs!$B$43-B2459)/(IF(Inputs!$B$38="pvp",15,MAX(0.1,Skills!D10-IF(TRUE=TRUE,Inputs!$B$32,0)))*(1-IF(AND(ArtifactsInput!$M$27,Inputs!$B$4="Chapter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$20+0+Skills!P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TRUE=TRUE,Inputs!$B$32,0)))*(1-IF(AND(ArtifactsInput!$M$27,Inputs!$B$4="Chapter Hunt"),CHOOSE(ArtifactsInput!$N$27+1,20,24,28,32,36,40),0)/100)))))/Skills!H10,1)))/Inputs!$B$43),G2433*Q2433))*IF(Inputs!$B$38="pvp",1,(1+(Inputs!$B$21+Skills!Q10+(((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Skills!G11*IF(Skills!H11&gt;0,IF(Inputs!$B$38="pvp",MIN(Skills!I11,15),Skills!I11)/Skills!H11,1)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(100-(100-((Inputs!$B$19+0)))*(1-IF(Inputs!$B$3&gt;=130,IF(Inputs!$B$3&gt;=118,8,IF(Inputs!$B$3&gt;=110,7,5)),0)/100)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138,MAX(0,IF(Inputs!$B$3&gt;=118,8,IF(Inputs!$B$3&gt;=110,7,5))-5)*50,0),0)/100)*(1+(IF(Skills!A11="RAGING_BLOW",Inputs!$B$17+((C2444=TRUE)*(F2444-Calc!F21))+((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IFERROR(1/(IF(Inputs!$B$38="pvp",15,MAX(0.1,Skills!D11-IF(TRUE=TRUE,Inputs!$B$32,0)))*(1-IF(AND(ArtifactsInput!$M$27,Inputs!$B$4="Chapter Hunt"),CHOOSE(ArtifactsInput!$N$27+1,20,24,28,32,36,40),0)/100)),0)</f>
        <v/>
      </c>
      <c r="R2434">
        <f>IF(AND(Inputs!$B$38&lt;&gt;"pvp",Inputs!$B$43&gt;0),IF(MAX(0,Inputs!$B$43-B2459)&lt;=0,0,(INT(MAX(0,Inputs!$B$43-B2459)/(IF(Inputs!$B$38="pvp",15,MAX(0.1,Skills!D11-IF(TRUE=TRUE,Inputs!$B$32,0)))*(1-IF(AND(ArtifactsInput!$M$27,Inputs!$B$4="Chapter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$20+0+Skills!P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Inputs!$B$38&lt;&gt;"pvp",Inputs!$B$43=0),1,IF(IF(Inputs!$B$38="pvp",15,Inputs!$B$43)-(B2459)&lt;=0,1,MAX(0,IF(Inputs!$B$38="pvp",15,Inputs!$B$43)-MAX(5,B2459))/(IF(Inputs!$B$38="pvp",15,Inputs!$B$43)-(B2459)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TRUE=TRUE,Inputs!$B$32,0)))*(1-IF(AND(ArtifactsInput!$M$27,Inputs!$B$4="Chapter Hunt"),CHOOSE(ArtifactsInput!$N$27+1,20,24,28,32,36,40),0)/100)))))/Skills!H11,1)))/Inputs!$B$43),G2434*Q2434))*IF(Inputs!$B$38="pvp",1,(1+(Inputs!$B$21+Skills!Q11+(((C2439=TRUE)*F2439*(Skills!J16/100)*IF(AND(Inputs!$B$38&lt;&gt;"pvp",Inputs!$B$43&gt;0),(((R2439-1)*MIN((Skills!T16*(1+(Inputs!$B$34+(ArtifactsInput!$M$7-ArtifactsInput!$M$7)*CHOOSE(ArtifactsInput!$N$7+1,6,7.2,8.4,9.6,10.8,12))/100)),(1/Q2439))+MIN((Skills!T16*(1+(Inputs!$B$34+(ArtifactsInput!$M$7-ArtifactsInput!$M$7)*CHOOSE(ArtifactsInput!$N$7+1,6,7.2,8.4,9.6,10.8,12))/100)),MAX(0,Inputs!$B$43-((R2439-1)*(1/Q2439)))))/Inputs!$B$43),IF(Inputs!$B$38="pvp",MIN((Skills!T16*(1+(Inputs!$B$34+(ArtifactsInput!$M$7-ArtifactsInput!$M$7)*CHOOSE(ArtifactsInput!$N$7+1,6,7.2,8.4,9.6,10.8,12))/100)),15)/15,MIN(1,(Skills!T16*(1+(Inputs!$B$34+(ArtifactsInput!$M$7-ArtifactsInput!$M$7)*CHOOSE(ArtifactsInput!$N$7+1,6,7.2,8.4,9.6,10.8,12))/100))/(1/Q2439)))))+((C2431=TRUE)*IF(Inputs!$B$3&gt;=126,10*MIN(1,15*Q2431),0))+((C2428=TRUE)*((100/10)*(INDEX(FactorTable!$B$2:$Y$301,MATCH(ROUND(MIN(300,MAX(1,MAX(0,(Inputs!$B$3-100)*3)+Inputs!$B$28+Inputs!$B$29)),0),FactorTable!$A$2:$A$301,0),22)/1000))*(1+IF(Inputs!$B$3&gt;=134,0.5,0))*MIN(1,10*(1+(Inputs!$B$34+(ArtifactsInput!$M$7-ArtifactsInput!$M$7)*CHOOSE(ArtifactsInput!$N$7+1,6,7.2,8.4,9.6,10.8,12))/100)*Q2428)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Skills!G13*IF(Skills!H13&gt;0,IF(Inputs!$B$38="pvp",MIN(Skills!I13,15),Skills!I13)/Skills!H13,1)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Skills!G14*IF(Skills!H14&gt;0,IF(Inputs!$B$38="pvp",MIN(Skills!I14,15),Skills!I14)/Skills!H14,1)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Skills!G15*IF(Skills!H15&gt;0,IF(Inputs!$B$38="pvp",MIN(Skills!I15,15),Skills!I15)/Skills!H15,1)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IFERROR(1/(IF(Inputs!$B$38="pvp",15,MAX(0.1,Skills!D15-IF(TRUE=TRUE,Inputs!$B$32,0)))*(1-IF(AND(ArtifactsInput!$M$27,Inputs!$B$4="Chapter Hunt"),CHOOSE(ArtifactsInput!$N$27+1,20,24,28,32,36,40),0)/100)),0)</f>
        <v/>
      </c>
      <c r="R2438">
        <f>IF(AND(Inputs!$B$38&lt;&gt;"pvp",Inputs!$B$43&gt;0),IF(Inputs!$B$43&lt;=0,0,(INT(Inputs!$B$43/(IF(Inputs!$B$38="pvp",15,MAX(0.1,Skills!D15-IF(TRUE=TRUE,Inputs!$B$32,0)))*(1-IF(AND(ArtifactsInput!$M$27,Inputs!$B$4="Chapter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Skills!G16*IF(Skills!H16&gt;0,IF(Inputs!$B$38="pvp",MIN(Skills!I16,15),Skills!I16)/Skills!H16,1)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IFERROR(1/(IF(Inputs!$B$38="pvp",15,MAX(0.1,Skills!D16-IF(TRUE=TRUE,Inputs!$B$32,0)))*(1-IF(AND(ArtifactsInput!$M$27,Inputs!$B$4="Chapter Hunt"),CHOOSE(ArtifactsInput!$N$27+1,20,24,28,32,36,40),0)/100)),0)</f>
        <v/>
      </c>
      <c r="R2439">
        <f>IF(AND(Inputs!$B$38&lt;&gt;"pvp",Inputs!$B$43&gt;0),IF(Inputs!$B$43&lt;=0,0,(INT(Inputs!$B$43/(IF(Inputs!$B$38="pvp",15,MAX(0.1,Skills!D16-IF(TRUE=TRUE,Inputs!$B$32,0)))*(1-IF(AND(ArtifactsInput!$M$27,Inputs!$B$4="Chapter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Skills!G17*IF(Skills!H17&gt;0,IF(Inputs!$B$38="pvp",MIN(Skills!I17,15),Skills!I17)/Skills!H17,1)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IFERROR(1/(IF(Inputs!$B$38="pvp",15,MAX(0.1,Skills!D17-IF(TRUE=TRUE,Inputs!$B$32,0)))*(1-IF(AND(ArtifactsInput!$M$27,Inputs!$B$4="Chapter Hunt"),CHOOSE(ArtifactsInput!$N$27+1,20,24,28,32,36,40),0)/100)),0)</f>
        <v/>
      </c>
      <c r="R2440">
        <f>IF(AND(Inputs!$B$38&lt;&gt;"pvp",Inputs!$B$43&gt;0),IF(Inputs!$B$43&lt;=0,0,(INT(Inputs!$B$43/(IF(Inputs!$B$38="pvp",15,MAX(0.1,Skills!D17-IF(TRUE=TRUE,Inputs!$B$32,0)))*(1-IF(AND(ArtifactsInput!$M$27,Inputs!$B$4="Chapter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Skills!G18*IF(Skills!H18&gt;0,IF(Inputs!$B$38="pvp",MIN(Skills!I18,15),Skills!I18)/Skills!H18,1)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IFERROR(1/(IF(Inputs!$B$38="pvp",15,MAX(0.1,Skills!D18-IF(TRUE=TRUE,Inputs!$B$32,0)))*(1-IF(AND(ArtifactsInput!$M$27,Inputs!$B$4="Chapter Hunt"),CHOOSE(ArtifactsInput!$N$27+1,20,24,28,32,36,40),0)/100)),0)</f>
        <v/>
      </c>
      <c r="R2441">
        <f>IF(AND(Inputs!$B$38&lt;&gt;"pvp",Inputs!$B$43&gt;0),IF(Inputs!$B$43&lt;=0,0,(INT(Inputs!$B$43/(IF(Inputs!$B$38="pvp",15,MAX(0.1,Skills!D18-IF(TRUE=TRUE,Inputs!$B$32,0)))*(1-IF(AND(ArtifactsInput!$M$27,Inputs!$B$4="Chapter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Skills!G19*IF(Skills!H19&gt;0,IF(Inputs!$B$38="pvp",MIN(Skills!I19,15),Skills!I19)/Skills!H19,1)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IFERROR(1/(IF(Inputs!$B$38="pvp",15,MAX(0.1,Skills!D19-IF(TRUE=TRUE,Inputs!$B$32,0)))*(1-IF(AND(ArtifactsInput!$M$27,Inputs!$B$4="Chapter Hunt"),CHOOSE(ArtifactsInput!$N$27+1,20,24,28,32,36,40),0)/100)),0)</f>
        <v/>
      </c>
      <c r="R2442">
        <f>IF(AND(Inputs!$B$38&lt;&gt;"pvp",Inputs!$B$43&gt;0),IF(Inputs!$B$43&lt;=0,0,(INT(Inputs!$B$43/(IF(Inputs!$B$38="pvp",15,MAX(0.1,Skills!D19-IF(TRUE=TRUE,Inputs!$B$32,0)))*(1-IF(AND(ArtifactsInput!$M$27,Inputs!$B$4="Chapter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Skills!G20*IF(Skills!H20&gt;0,IF(Inputs!$B$38="pvp",MIN(Skills!I20,15),Skills!I20)/Skills!H20,1)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Skills!G21*IF(Skills!H21&gt;0,IF(Inputs!$B$38="pvp",MIN(Skills!I21,15),Skills!I21)/Skills!H21,1)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Skills!G22*IF(Skills!H22&gt;0,IF(Inputs!$B$38="pvp",MIN(Skills!I22,15),Skills!I22)/Skills!H22,1)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Skills!G23*IF(Skills!H23&gt;0,IF(Inputs!$B$38="pvp",MIN(Skills!I23,15),Skills!I23)/Skills!H23,1)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Skills!G24*IF(Skills!H24&gt;0,IF(Inputs!$B$38="pvp",MIN(Skills!I24,15),Skills!I24)/Skills!H24,1)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Skills!G25*IF(Skills!H25&gt;0,IF(Inputs!$B$38="pvp",MIN(Skills!I25,15),Skills!I25)/Skills!H25,1)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Skills!G26*IF(Skills!H26&gt;0,IF(Inputs!$B$38="pvp",MIN(Skills!I26,15),Skills!I26)/Skills!H26,1)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118,8,IF(Inputs!$B$3&gt;=110,7,5)))+((C2438=TRUE)*F2438*IF(AND(Inputs!$B$38&lt;&gt;"pvp",Inputs!$B$43&gt;0),(((R2438-1)*MIN((Skills!T15*(1+(Inputs!$B$34+(ArtifactsInput!$M$7-ArtifactsInput!$M$7)*CHOOSE(ArtifactsInput!$N$7+1,6,7.2,8.4,9.6,10.8,12))/100)),(1/Q2438))+MIN((Skills!T15*(1+(Inputs!$B$34+(ArtifactsInput!$M$7-ArtifactsInput!$M$7)*CHOOSE(ArtifactsInput!$N$7+1,6,7.2,8.4,9.6,10.8,12))/100)),MAX(0,Inputs!$B$43-((R2438-1)*(1/Q2438)))))/Inputs!$B$43),IF(Inputs!$B$38="pvp",MIN((Skills!T15*(1+(Inputs!$B$34+(ArtifactsInput!$M$7-ArtifactsInput!$M$7)*CHOOSE(ArtifactsInput!$N$7+1,6,7.2,8.4,9.6,10.8,12))/100)),15)/15,MIN(1,(Skills!T15*(1+(Inputs!$B$34+(ArtifactsInput!$M$7-ArtifactsInput!$M$7)*CHOOSE(ArtifactsInput!$N$7+1,6,7.2,8.4,9.6,10.8,12))/100))/(1/Q2438)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MIN((Skills!T19*(1+(Inputs!$B$34+(ArtifactsInput!$M$7-ArtifactsInput!$M$7)*CHOOSE(ArtifactsInput!$N$7+1,6,7.2,8.4,9.6,10.8,12))/100)),(1/Q2442))+MIN((Skills!T19*(1+(Inputs!$B$34+(ArtifactsInput!$M$7-ArtifactsInput!$M$7)*CHOOSE(ArtifactsInput!$N$7+1,6,7.2,8.4,9.6,10.8,12))/100)),MAX(0,Inputs!$B$43-((R2442-1)*(1/Q2442)))))/Inputs!$B$43),IF(Inputs!$B$38="pvp",MIN((Skills!T19*(1+(Inputs!$B$34+(ArtifactsInput!$M$7-ArtifactsInput!$M$7)*CHOOSE(ArtifactsInput!$N$7+1,6,7.2,8.4,9.6,10.8,12))/100)),15)/15,MIN(1,(Skills!T19*(1+(Inputs!$B$34+(ArtifactsInput!$M$7-ArtifactsInput!$M$7)*CHOOSE(ArtifactsInput!$N$7+1,6,7.2,8.4,9.6,10.8,12))/100))/(1/Q2442)))))</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MIN((Skills!T18*(1+(Inputs!$B$34+(ArtifactsInput!$M$7-ArtifactsInput!$M$7)*CHOOSE(ArtifactsInput!$N$7+1,6,7.2,8.4,9.6,10.8,12))/100)),(1/Q2441))+MIN((Skills!T18*(1+(Inputs!$B$34+(ArtifactsInput!$M$7-ArtifactsInput!$M$7)*CHOOSE(ArtifactsInput!$N$7+1,6,7.2,8.4,9.6,10.8,12))/100)),MAX(0,Inputs!$B$43-((R2441-1)*(1/Q2441)))))/Inputs!$B$43),IF(Inputs!$B$38="pvp",MIN((Skills!T18*(1+(Inputs!$B$34+(ArtifactsInput!$M$7-ArtifactsInput!$M$7)*CHOOSE(ArtifactsInput!$N$7+1,6,7.2,8.4,9.6,10.8,12))/100)),15)/15,MIN(1,(Skills!T18*(1+(Inputs!$B$34+(ArtifactsInput!$M$7-ArtifactsInput!$M$7)*CHOOSE(ArtifactsInput!$N$7+1,6,7.2,8.4,9.6,10.8,12))/100))/(1/Q2441)))))</f>
        <v/>
      </c>
    </row>
    <row r="2458">
      <c r="A2458" t="inlineStr">
        <is>
          <t>Global Final Damage Bonus % (Enrage + Combo Synergy)</t>
        </is>
      </c>
      <c r="B2458">
        <f>((C2440=TRUE)*F2440*IF(AND(Inputs!$B$38&lt;&gt;"pvp",Inputs!$B$43&gt;0),(((R2440-1)*MIN((Skills!T17*(1+(Inputs!$B$34+(ArtifactsInput!$M$7-ArtifactsInput!$M$7)*CHOOSE(ArtifactsInput!$N$7+1,6,7.2,8.4,9.6,10.8,12))/100)),(1/Q2440))+MIN((Skills!T17*(1+(Inputs!$B$34+(ArtifactsInput!$M$7-ArtifactsInput!$M$7)*CHOOSE(ArtifactsInput!$N$7+1,6,7.2,8.4,9.6,10.8,12))/100)),MAX(0,Inputs!$B$43-((R2440-1)*(1/Q2440)))))/Inputs!$B$43),IF(Inputs!$B$38="pvp",MIN((Skills!T17*(1+(Inputs!$B$34+(ArtifactsInput!$M$7-ArtifactsInput!$M$7)*CHOOSE(ArtifactsInput!$N$7+1,6,7.2,8.4,9.6,10.8,12))/100)),15)/15,MIN(1,(Skills!T17*(1+(Inputs!$B$34+(ArtifactsInput!$M$7-ArtifactsInput!$M$7)*CHOOSE(ArtifactsInput!$N$7+1,6,7.2,8.4,9.6,10.8,12))/100))/(1/Q2440)))))+((C2437=TRUE)*F2437*IF(Inputs!$B$3&gt;=118,8,IF(Inputs!$B$3&gt;=110,7,5)))+IF(Inputs!$B$3&gt;=98,5,0)</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Skills!G2*IF(Skills!H2&gt;0,IF(Inputs!$B$38="pvp",MIN(Skills!I2,15),Skills!I2)/Skills!H2,1)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Skills!G5*IF(Skills!H5&gt;0,IF(Inputs!$B$38="pvp",MIN(Skills!I5,15),Skills!I5)/Skills!H5,1)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IFERROR(1/(IF(Inputs!$B$38="pvp",15,MAX(0.1,Skills!D5-IF(TRUE=TRUE,Inputs!$B$32,0)))*(1-IF(AND(ArtifactsInput!$M$27,Inputs!$B$4="Chapter Hunt"),CHOOSE(ArtifactsInput!$N$27+1,20,24,28,32,36,40),0)/100)),0)</f>
        <v/>
      </c>
      <c r="R2470">
        <f>IF(AND(Inputs!$B$38&lt;&gt;"pvp",Inputs!$B$43&gt;0),IF(MAX(0,Inputs!$B$43-B2501)&lt;=0,0,(INT(MAX(0,Inputs!$B$43-B2501)/(IF(Inputs!$B$38="pvp",15,MAX(0.1,Skills!D5-IF(TRUE=TRUE,Inputs!$B$32,0)))*(1-IF(AND(ArtifactsInput!$M$27,Inputs!$B$4="Chapter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$20+0+Skills!P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TRUE=TRUE,Inputs!$B$32,0)))*(1-IF(AND(ArtifactsInput!$M$27,Inputs!$B$4="Chapter Hunt"),CHOOSE(ArtifactsInput!$N$27+1,20,24,28,32,36,40),0)/100)))))/Skills!H5,1)))/Inputs!$B$43),G2470*Q2470))*IF(Inputs!$B$38="pvp",1,(1+(Inputs!$B$21+Skills!Q5+(((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Skills!G6*IF(Skills!H6&gt;0,IF(Inputs!$B$38="pvp",MIN(Skills!I6,15),Skills!I6)/Skills!H6,1)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IFERROR(1/(IF(Inputs!$B$38="pvp",15,MAX(0.1,Skills!D6-IF(TRUE=TRUE,Inputs!$B$32,0)))*(1-IF(AND(ArtifactsInput!$M$27,Inputs!$B$4="Chapter Hunt"),CHOOSE(ArtifactsInput!$N$27+1,20,24,28,32,36,40),0)/100)),0)</f>
        <v/>
      </c>
      <c r="R2471">
        <f>IF(AND(Inputs!$B$38&lt;&gt;"pvp",Inputs!$B$43&gt;0),IF(MAX(0,Inputs!$B$43-B2501)&lt;=0,0,(INT(MAX(0,Inputs!$B$43-B2501)/(IF(Inputs!$B$38="pvp",15,MAX(0.1,Skills!D6-IF(TRUE=TRUE,Inputs!$B$32,0)))*(1-IF(AND(ArtifactsInput!$M$27,Inputs!$B$4="Chapter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$20+0+Skills!P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TRUE=TRUE,Inputs!$B$32,0)))*(1-IF(AND(ArtifactsInput!$M$27,Inputs!$B$4="Chapter Hunt"),CHOOSE(ArtifactsInput!$N$27+1,20,24,28,32,36,40),0)/100)))))/Skills!H6,1)))/Inputs!$B$43),G2471*Q2471))*IF(Inputs!$B$38="pvp",1,(1+(Inputs!$B$21+Skills!Q6+(((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Skills!G7*IF(Skills!H7&gt;0,IF(Inputs!$B$38="pvp",MIN(Skills!I7,15),Skills!I7)/Skills!H7,1)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IFERROR(1/(IF(Inputs!$B$38="pvp",15,MAX(0.1,Skills!D7-IF(TRUE=TRUE,Inputs!$B$32,0)))*(1-IF(AND(ArtifactsInput!$M$27,Inputs!$B$4="Chapter Hunt"),CHOOSE(ArtifactsInput!$N$27+1,20,24,28,32,36,40),0)/100)),0)</f>
        <v/>
      </c>
      <c r="R2472">
        <f>IF(AND(Inputs!$B$38&lt;&gt;"pvp",Inputs!$B$43&gt;0),IF(MAX(0,Inputs!$B$43-B2501)&lt;=0,0,(INT(MAX(0,Inputs!$B$43-B2501)/(IF(Inputs!$B$38="pvp",15,MAX(0.1,Skills!D7-IF(TRUE=TRUE,Inputs!$B$32,0)))*(1-IF(AND(ArtifactsInput!$M$27,Inputs!$B$4="Chapter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$20+0+Skills!P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TRUE=TRUE,Inputs!$B$32,0)))*(1-IF(AND(ArtifactsInput!$M$27,Inputs!$B$4="Chapter Hunt"),CHOOSE(ArtifactsInput!$N$27+1,20,24,28,32,36,40),0)/100)))))/Skills!H7,1)))/Inputs!$B$43),G2472*Q2472))*IF(Inputs!$B$38="pvp",1,(1+(Inputs!$B$21+Skills!Q7+(((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Skills!G8*IF(Skills!H8&gt;0,IF(Inputs!$B$38="pvp",MIN(Skills!I8,15),Skills!I8)/Skills!H8,1)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IFERROR(1/(IF(Inputs!$B$38="pvp",15,MAX(0.1,Skills!D8-IF(TRUE=TRUE,Inputs!$B$32,0)))*(1-IF(AND(ArtifactsInput!$M$27,Inputs!$B$4="Chapter Hunt"),CHOOSE(ArtifactsInput!$N$27+1,20,24,28,32,36,40),0)/100)),0)</f>
        <v/>
      </c>
      <c r="R2473">
        <f>IF(AND(Inputs!$B$38&lt;&gt;"pvp",Inputs!$B$43&gt;0),IF(MAX(0,Inputs!$B$43-B2501)&lt;=0,0,(INT(MAX(0,Inputs!$B$43-B2501)/(IF(Inputs!$B$38="pvp",15,MAX(0.1,Skills!D8-IF(TRUE=TRUE,Inputs!$B$32,0)))*(1-IF(AND(ArtifactsInput!$M$27,Inputs!$B$4="Chapter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$20+0+Skills!P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TRUE=TRUE,Inputs!$B$32,0)))*(1-IF(AND(ArtifactsInput!$M$27,Inputs!$B$4="Chapter Hunt"),CHOOSE(ArtifactsInput!$N$27+1,20,24,28,32,36,40),0)/100)))))/Skills!H8,1)))/Inputs!$B$43),G2473*Q2473))*IF(Inputs!$B$38="pvp",1,(1+(Inputs!$B$21+Skills!Q8+(((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Skills!G9*IF(Skills!H9&gt;0,IF(Inputs!$B$38="pvp",MIN(Skills!I9,15),Skills!I9)/Skills!H9,1)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138,MAX(0,IF(Inputs!$B$3&gt;=118,8,IF(Inputs!$B$3&gt;=110,7,5))-5)*50,0),0)/100)*(1+(IF(Skills!A9="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IFERROR(1/(IF(Inputs!$B$38="pvp",15,MAX(0.1,Skills!D9-IF(TRUE=TRUE,Inputs!$B$32,0)))*(1-IF(AND(ArtifactsInput!$M$27,Inputs!$B$4="Chapter Hunt"),CHOOSE(ArtifactsInput!$N$27+1,20,24,28,32,36,40),0)/100)),0)</f>
        <v/>
      </c>
      <c r="R2474">
        <f>IF(AND(Inputs!$B$38&lt;&gt;"pvp",Inputs!$B$43&gt;0),IF(MAX(0,Inputs!$B$43-B2501)&lt;=0,0,(INT(MAX(0,Inputs!$B$43-B2501)/(IF(Inputs!$B$38="pvp",15,MAX(0.1,Skills!D9-IF(TRUE=TRUE,Inputs!$B$32,0)))*(1-IF(AND(ArtifactsInput!$M$27,Inputs!$B$4="Chapter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TRUE=TRUE,Inputs!$B$32,0)))*(1-IF(AND(ArtifactsInput!$M$27,Inputs!$B$4="Chapter Hunt"),CHOOSE(ArtifactsInput!$N$27+1,20,24,28,32,36,40),0)/100)))))/Skills!H9,1)))/Inputs!$B$43),G2474*Q2474))*IF(Inputs!$B$38="pvp",1,1+(Inputs!$B$20+0+Skills!P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TRUE=TRUE,Inputs!$B$32,0)))*(1-IF(AND(ArtifactsInput!$M$27,Inputs!$B$4="Chapter Hunt"),CHOOSE(ArtifactsInput!$N$27+1,20,24,28,32,36,40),0)/100)))))/Skills!H9,1)))/Inputs!$B$43),G2474*Q2474))*IF(Inputs!$B$38="pvp",1,(1+(Inputs!$B$21+Skills!Q9+(((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Skills!G10*IF(Skills!H10&gt;0,IF(Inputs!$B$38="pvp",MIN(Skills!I10,15),Skills!I10)/Skills!H10,1)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138,MAX(0,IF(Inputs!$B$3&gt;=118,8,IF(Inputs!$B$3&gt;=110,7,5))-5)*50,0),0)/100)*(1+(IF(Skills!A10="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IFERROR(1/(IF(Inputs!$B$38="pvp",15,MAX(0.1,Skills!D10-IF(TRUE=TRUE,Inputs!$B$32,0)))*(1-IF(AND(ArtifactsInput!$M$27,Inputs!$B$4="Chapter Hunt"),CHOOSE(ArtifactsInput!$N$27+1,20,24,28,32,36,40),0)/100)),0)</f>
        <v/>
      </c>
      <c r="R2475">
        <f>IF(AND(Inputs!$B$38&lt;&gt;"pvp",Inputs!$B$43&gt;0),IF(MAX(0,Inputs!$B$43-B2501)&lt;=0,0,(INT(MAX(0,Inputs!$B$43-B2501)/(IF(Inputs!$B$38="pvp",15,MAX(0.1,Skills!D10-IF(TRUE=TRUE,Inputs!$B$32,0)))*(1-IF(AND(ArtifactsInput!$M$27,Inputs!$B$4="Chapter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$20+0+Skills!P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TRUE=TRUE,Inputs!$B$32,0)))*(1-IF(AND(ArtifactsInput!$M$27,Inputs!$B$4="Chapter Hunt"),CHOOSE(ArtifactsInput!$N$27+1,20,24,28,32,36,40),0)/100)))))/Skills!H10,1)))/Inputs!$B$43),G2475*Q2475))*IF(Inputs!$B$38="pvp",1,(1+(Inputs!$B$21+Skills!Q10+(((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Skills!G11*IF(Skills!H11&gt;0,IF(Inputs!$B$38="pvp",MIN(Skills!I11,15),Skills!I11)/Skills!H11,1)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(100-(100-((Inputs!$B$19+0)))*(1-IF(Inputs!$B$3&gt;=130,IF(Inputs!$B$3&gt;=118,8,IF(Inputs!$B$3&gt;=110,7,5)),0)/100)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138,MAX(0,IF(Inputs!$B$3&gt;=118,8,IF(Inputs!$B$3&gt;=110,7,5))-5)*50,0),0)/100)*(1+(IF(Skills!A11="RAGING_BLOW",Inputs!$B$17+((C2486=TRUE)*(F2486-Calc!F21))+((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IFERROR(1/(IF(Inputs!$B$38="pvp",15,MAX(0.1,Skills!D11-IF(TRUE=TRUE,Inputs!$B$32,0)))*(1-IF(AND(ArtifactsInput!$M$27,Inputs!$B$4="Chapter Hunt"),CHOOSE(ArtifactsInput!$N$27+1,20,24,28,32,36,40),0)/100)),0)</f>
        <v/>
      </c>
      <c r="R2476">
        <f>IF(AND(Inputs!$B$38&lt;&gt;"pvp",Inputs!$B$43&gt;0),IF(MAX(0,Inputs!$B$43-B2501)&lt;=0,0,(INT(MAX(0,Inputs!$B$43-B2501)/(IF(Inputs!$B$38="pvp",15,MAX(0.1,Skills!D11-IF(TRUE=TRUE,Inputs!$B$32,0)))*(1-IF(AND(ArtifactsInput!$M$27,Inputs!$B$4="Chapter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$20+0+Skills!P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Inputs!$B$38&lt;&gt;"pvp",Inputs!$B$43=0),1,IF(IF(Inputs!$B$38="pvp",15,Inputs!$B$43)-(B2501)&lt;=0,1,MAX(0,IF(Inputs!$B$38="pvp",15,Inputs!$B$43)-MAX(5,B2501))/(IF(Inputs!$B$38="pvp",15,Inputs!$B$43)-(B2501)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TRUE=TRUE,Inputs!$B$32,0)))*(1-IF(AND(ArtifactsInput!$M$27,Inputs!$B$4="Chapter Hunt"),CHOOSE(ArtifactsInput!$N$27+1,20,24,28,32,36,40),0)/100)))))/Skills!H11,1)))/Inputs!$B$43),G2476*Q2476))*IF(Inputs!$B$38="pvp",1,(1+(Inputs!$B$21+Skills!Q11+(((C2481=TRUE)*F2481*(Skills!J16/100)*IF(AND(Inputs!$B$38&lt;&gt;"pvp",Inputs!$B$43&gt;0),(((R2481-1)*MIN((Skills!T16*(1+(Inputs!$B$34+(ArtifactsInput!$M$7-ArtifactsInput!$M$7)*CHOOSE(ArtifactsInput!$N$7+1,6,7.2,8.4,9.6,10.8,12))/100)),(1/Q2481))+MIN((Skills!T16*(1+(Inputs!$B$34+(ArtifactsInput!$M$7-ArtifactsInput!$M$7)*CHOOSE(ArtifactsInput!$N$7+1,6,7.2,8.4,9.6,10.8,12))/100)),MAX(0,Inputs!$B$43-((R2481-1)*(1/Q2481)))))/Inputs!$B$43),IF(Inputs!$B$38="pvp",MIN((Skills!T16*(1+(Inputs!$B$34+(ArtifactsInput!$M$7-ArtifactsInput!$M$7)*CHOOSE(ArtifactsInput!$N$7+1,6,7.2,8.4,9.6,10.8,12))/100)),15)/15,MIN(1,(Skills!T16*(1+(Inputs!$B$34+(ArtifactsInput!$M$7-ArtifactsInput!$M$7)*CHOOSE(ArtifactsInput!$N$7+1,6,7.2,8.4,9.6,10.8,12))/100))/(1/Q2481)))))+((C2473=TRUE)*IF(Inputs!$B$3&gt;=126,10*MIN(1,15*Q2473),0))+((C2470=TRUE)*((100/10)*(INDEX(FactorTable!$B$2:$Y$301,MATCH(ROUND(MIN(300,MAX(1,MAX(0,(Inputs!$B$3-100)*3)+Inputs!$B$28+Inputs!$B$29)),0),FactorTable!$A$2:$A$301,0),22)/1000))*(1+IF(Inputs!$B$3&gt;=134,0.5,0))*MIN(1,10*(1+(Inputs!$B$34+(ArtifactsInput!$M$7-ArtifactsInput!$M$7)*CHOOSE(ArtifactsInput!$N$7+1,6,7.2,8.4,9.6,10.8,12))/100)*Q2470)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Skills!G13*IF(Skills!H13&gt;0,IF(Inputs!$B$38="pvp",MIN(Skills!I13,15),Skills!I13)/Skills!H13,1)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Skills!G14*IF(Skills!H14&gt;0,IF(Inputs!$B$38="pvp",MIN(Skills!I14,15),Skills!I14)/Skills!H14,1)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Skills!G15*IF(Skills!H15&gt;0,IF(Inputs!$B$38="pvp",MIN(Skills!I15,15),Skills!I15)/Skills!H15,1)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IFERROR(1/(IF(Inputs!$B$38="pvp",15,MAX(0.1,Skills!D15-IF(TRUE=TRUE,Inputs!$B$32,0)))*(1-IF(AND(ArtifactsInput!$M$27,Inputs!$B$4="Chapter Hunt"),CHOOSE(ArtifactsInput!$N$27+1,20,24,28,32,36,40),0)/100)),0)</f>
        <v/>
      </c>
      <c r="R2480">
        <f>IF(AND(Inputs!$B$38&lt;&gt;"pvp",Inputs!$B$43&gt;0),IF(Inputs!$B$43&lt;=0,0,(INT(Inputs!$B$43/(IF(Inputs!$B$38="pvp",15,MAX(0.1,Skills!D15-IF(TRUE=TRUE,Inputs!$B$32,0)))*(1-IF(AND(ArtifactsInput!$M$27,Inputs!$B$4="Chapter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Skills!G16*IF(Skills!H16&gt;0,IF(Inputs!$B$38="pvp",MIN(Skills!I16,15),Skills!I16)/Skills!H16,1)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IFERROR(1/(IF(Inputs!$B$38="pvp",15,MAX(0.1,Skills!D16-IF(TRUE=TRUE,Inputs!$B$32,0)))*(1-IF(AND(ArtifactsInput!$M$27,Inputs!$B$4="Chapter Hunt"),CHOOSE(ArtifactsInput!$N$27+1,20,24,28,32,36,40),0)/100)),0)</f>
        <v/>
      </c>
      <c r="R2481">
        <f>IF(AND(Inputs!$B$38&lt;&gt;"pvp",Inputs!$B$43&gt;0),IF(Inputs!$B$43&lt;=0,0,(INT(Inputs!$B$43/(IF(Inputs!$B$38="pvp",15,MAX(0.1,Skills!D16-IF(TRUE=TRUE,Inputs!$B$32,0)))*(1-IF(AND(ArtifactsInput!$M$27,Inputs!$B$4="Chapter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Skills!G17*IF(Skills!H17&gt;0,IF(Inputs!$B$38="pvp",MIN(Skills!I17,15),Skills!I17)/Skills!H17,1)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IFERROR(1/(IF(Inputs!$B$38="pvp",15,MAX(0.1,Skills!D17-IF(TRUE=TRUE,Inputs!$B$32,0)))*(1-IF(AND(ArtifactsInput!$M$27,Inputs!$B$4="Chapter Hunt"),CHOOSE(ArtifactsInput!$N$27+1,20,24,28,32,36,40),0)/100)),0)</f>
        <v/>
      </c>
      <c r="R2482">
        <f>IF(AND(Inputs!$B$38&lt;&gt;"pvp",Inputs!$B$43&gt;0),IF(Inputs!$B$43&lt;=0,0,(INT(Inputs!$B$43/(IF(Inputs!$B$38="pvp",15,MAX(0.1,Skills!D17-IF(TRUE=TRUE,Inputs!$B$32,0)))*(1-IF(AND(ArtifactsInput!$M$27,Inputs!$B$4="Chapter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Skills!G18*IF(Skills!H18&gt;0,IF(Inputs!$B$38="pvp",MIN(Skills!I18,15),Skills!I18)/Skills!H18,1)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IFERROR(1/(IF(Inputs!$B$38="pvp",15,MAX(0.1,Skills!D18-IF(TRUE=TRUE,Inputs!$B$32,0)))*(1-IF(AND(ArtifactsInput!$M$27,Inputs!$B$4="Chapter Hunt"),CHOOSE(ArtifactsInput!$N$27+1,20,24,28,32,36,40),0)/100)),0)</f>
        <v/>
      </c>
      <c r="R2483">
        <f>IF(AND(Inputs!$B$38&lt;&gt;"pvp",Inputs!$B$43&gt;0),IF(Inputs!$B$43&lt;=0,0,(INT(Inputs!$B$43/(IF(Inputs!$B$38="pvp",15,MAX(0.1,Skills!D18-IF(TRUE=TRUE,Inputs!$B$32,0)))*(1-IF(AND(ArtifactsInput!$M$27,Inputs!$B$4="Chapter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Skills!G19*IF(Skills!H19&gt;0,IF(Inputs!$B$38="pvp",MIN(Skills!I19,15),Skills!I19)/Skills!H19,1)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IFERROR(1/(IF(Inputs!$B$38="pvp",15,MAX(0.1,Skills!D19-IF(TRUE=TRUE,Inputs!$B$32,0)))*(1-IF(AND(ArtifactsInput!$M$27,Inputs!$B$4="Chapter Hunt"),CHOOSE(ArtifactsInput!$N$27+1,20,24,28,32,36,40),0)/100)),0)</f>
        <v/>
      </c>
      <c r="R2484">
        <f>IF(AND(Inputs!$B$38&lt;&gt;"pvp",Inputs!$B$43&gt;0),IF(Inputs!$B$43&lt;=0,0,(INT(Inputs!$B$43/(IF(Inputs!$B$38="pvp",15,MAX(0.1,Skills!D19-IF(TRUE=TRUE,Inputs!$B$32,0)))*(1-IF(AND(ArtifactsInput!$M$27,Inputs!$B$4="Chapter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Skills!G20*IF(Skills!H20&gt;0,IF(Inputs!$B$38="pvp",MIN(Skills!I20,15),Skills!I20)/Skills!H20,1)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Skills!G21*IF(Skills!H21&gt;0,IF(Inputs!$B$38="pvp",MIN(Skills!I21,15),Skills!I21)/Skills!H21,1)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Skills!G22*IF(Skills!H22&gt;0,IF(Inputs!$B$38="pvp",MIN(Skills!I22,15),Skills!I22)/Skills!H22,1)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Skills!G23*IF(Skills!H23&gt;0,IF(Inputs!$B$38="pvp",MIN(Skills!I23,15),Skills!I23)/Skills!H23,1)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Skills!G24*IF(Skills!H24&gt;0,IF(Inputs!$B$38="pvp",MIN(Skills!I24,15),Skills!I24)/Skills!H24,1)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Skills!G25*IF(Skills!H25&gt;0,IF(Inputs!$B$38="pvp",MIN(Skills!I25,15),Skills!I25)/Skills!H25,1)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Skills!G26*IF(Skills!H26&gt;0,IF(Inputs!$B$38="pvp",MIN(Skills!I26,15),Skills!I26)/Skills!H26,1)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118,8,IF(Inputs!$B$3&gt;=110,7,5)))+((C2480=TRUE)*F2480*IF(AND(Inputs!$B$38&lt;&gt;"pvp",Inputs!$B$43&gt;0),(((R2480-1)*MIN((Skills!T15*(1+(Inputs!$B$34+(ArtifactsInput!$M$7-ArtifactsInput!$M$7)*CHOOSE(ArtifactsInput!$N$7+1,6,7.2,8.4,9.6,10.8,12))/100)),(1/Q2480))+MIN((Skills!T15*(1+(Inputs!$B$34+(ArtifactsInput!$M$7-ArtifactsInput!$M$7)*CHOOSE(ArtifactsInput!$N$7+1,6,7.2,8.4,9.6,10.8,12))/100)),MAX(0,Inputs!$B$43-((R2480-1)*(1/Q2480)))))/Inputs!$B$43),IF(Inputs!$B$38="pvp",MIN((Skills!T15*(1+(Inputs!$B$34+(ArtifactsInput!$M$7-ArtifactsInput!$M$7)*CHOOSE(ArtifactsInput!$N$7+1,6,7.2,8.4,9.6,10.8,12))/100)),15)/15,MIN(1,(Skills!T15*(1+(Inputs!$B$34+(ArtifactsInput!$M$7-ArtifactsInput!$M$7)*CHOOSE(ArtifactsInput!$N$7+1,6,7.2,8.4,9.6,10.8,12))/100))/(1/Q2480)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MIN((Skills!T19*(1+(Inputs!$B$34+(ArtifactsInput!$M$7-ArtifactsInput!$M$7)*CHOOSE(ArtifactsInput!$N$7+1,6,7.2,8.4,9.6,10.8,12))/100)),(1/Q2484))+MIN((Skills!T19*(1+(Inputs!$B$34+(ArtifactsInput!$M$7-ArtifactsInput!$M$7)*CHOOSE(ArtifactsInput!$N$7+1,6,7.2,8.4,9.6,10.8,12))/100)),MAX(0,Inputs!$B$43-((R2484-1)*(1/Q2484)))))/Inputs!$B$43),IF(Inputs!$B$38="pvp",MIN((Skills!T19*(1+(Inputs!$B$34+(ArtifactsInput!$M$7-ArtifactsInput!$M$7)*CHOOSE(ArtifactsInput!$N$7+1,6,7.2,8.4,9.6,10.8,12))/100)),15)/15,MIN(1,(Skills!T19*(1+(Inputs!$B$34+(ArtifactsInput!$M$7-ArtifactsInput!$M$7)*CHOOSE(ArtifactsInput!$N$7+1,6,7.2,8.4,9.6,10.8,12))/100))/(1/Q2484)))))</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MIN((Skills!T18*(1+(Inputs!$B$34+(ArtifactsInput!$M$7-ArtifactsInput!$M$7)*CHOOSE(ArtifactsInput!$N$7+1,6,7.2,8.4,9.6,10.8,12))/100)),(1/Q2483))+MIN((Skills!T18*(1+(Inputs!$B$34+(ArtifactsInput!$M$7-ArtifactsInput!$M$7)*CHOOSE(ArtifactsInput!$N$7+1,6,7.2,8.4,9.6,10.8,12))/100)),MAX(0,Inputs!$B$43-((R2483-1)*(1/Q2483)))))/Inputs!$B$43),IF(Inputs!$B$38="pvp",MIN((Skills!T18*(1+(Inputs!$B$34+(ArtifactsInput!$M$7-ArtifactsInput!$M$7)*CHOOSE(ArtifactsInput!$N$7+1,6,7.2,8.4,9.6,10.8,12))/100)),15)/15,MIN(1,(Skills!T18*(1+(Inputs!$B$34+(ArtifactsInput!$M$7-ArtifactsInput!$M$7)*CHOOSE(ArtifactsInput!$N$7+1,6,7.2,8.4,9.6,10.8,12))/100))/(1/Q2483)))))</f>
        <v/>
      </c>
    </row>
    <row r="2500">
      <c r="A2500" t="inlineStr">
        <is>
          <t>Global Final Damage Bonus % (Enrage + Combo Synergy)</t>
        </is>
      </c>
      <c r="B2500">
        <f>((C2482=TRUE)*F2482*IF(AND(Inputs!$B$38&lt;&gt;"pvp",Inputs!$B$43&gt;0),(((R2482-1)*MIN((Skills!T17*(1+(Inputs!$B$34+(ArtifactsInput!$M$7-ArtifactsInput!$M$7)*CHOOSE(ArtifactsInput!$N$7+1,6,7.2,8.4,9.6,10.8,12))/100)),(1/Q2482))+MIN((Skills!T17*(1+(Inputs!$B$34+(ArtifactsInput!$M$7-ArtifactsInput!$M$7)*CHOOSE(ArtifactsInput!$N$7+1,6,7.2,8.4,9.6,10.8,12))/100)),MAX(0,Inputs!$B$43-((R2482-1)*(1/Q2482)))))/Inputs!$B$43),IF(Inputs!$B$38="pvp",MIN((Skills!T17*(1+(Inputs!$B$34+(ArtifactsInput!$M$7-ArtifactsInput!$M$7)*CHOOSE(ArtifactsInput!$N$7+1,6,7.2,8.4,9.6,10.8,12))/100)),15)/15,MIN(1,(Skills!T17*(1+(Inputs!$B$34+(ArtifactsInput!$M$7-ArtifactsInput!$M$7)*CHOOSE(ArtifactsInput!$N$7+1,6,7.2,8.4,9.6,10.8,12))/100))/(1/Q2482)))))+((C2479=TRUE)*F2479*IF(Inputs!$B$3&gt;=118,8,IF(Inputs!$B$3&gt;=110,7,5)))+IF(Inputs!$B$3&gt;=98,5,0)</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Skills!G2*IF(Skills!H2&gt;0,IF(Inputs!$B$38="pvp",MIN(Skills!I2,15),Skills!I2)/Skills!H2,1)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Skills!G5*IF(Skills!H5&gt;0,IF(Inputs!$B$38="pvp",MIN(Skills!I5,15),Skills!I5)/Skills!H5,1)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IFERROR(1/(IF(Inputs!$B$38="pvp",15,MAX(0.1,Skills!D5-IF(TRUE=TRUE,Inputs!$B$32,0)))*(1-IF(AND(ArtifactsInput!$M$27,Inputs!$B$4="Chapter Hunt"),CHOOSE(ArtifactsInput!$N$27+1,20,24,28,32,36,40),0)/100)),0)</f>
        <v/>
      </c>
      <c r="R2512">
        <f>IF(AND(Inputs!$B$38&lt;&gt;"pvp",Inputs!$B$43&gt;0),IF(MAX(0,Inputs!$B$43-B2543)&lt;=0,0,(INT(MAX(0,Inputs!$B$43-B2543)/(IF(Inputs!$B$38="pvp",15,MAX(0.1,Skills!D5-IF(TRUE=TRUE,Inputs!$B$32,0)))*(1-IF(AND(ArtifactsInput!$M$27,Inputs!$B$4="Chapter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$20+0+Skills!P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TRUE=TRUE,Inputs!$B$32,0)))*(1-IF(AND(ArtifactsInput!$M$27,Inputs!$B$4="Chapter Hunt"),CHOOSE(ArtifactsInput!$N$27+1,20,24,28,32,36,40),0)/100)))))/Skills!H5,1)))/Inputs!$B$43),G2512*Q2512))*IF(Inputs!$B$38="pvp",1,(1+(Inputs!$B$21+Skills!Q5+(((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Skills!G6*IF(Skills!H6&gt;0,IF(Inputs!$B$38="pvp",MIN(Skills!I6,15),Skills!I6)/Skills!H6,1)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IFERROR(1/(IF(Inputs!$B$38="pvp",15,MAX(0.1,Skills!D6-IF(TRUE=TRUE,Inputs!$B$32,0)))*(1-IF(AND(ArtifactsInput!$M$27,Inputs!$B$4="Chapter Hunt"),CHOOSE(ArtifactsInput!$N$27+1,20,24,28,32,36,40),0)/100)),0)</f>
        <v/>
      </c>
      <c r="R2513">
        <f>IF(AND(Inputs!$B$38&lt;&gt;"pvp",Inputs!$B$43&gt;0),IF(MAX(0,Inputs!$B$43-B2543)&lt;=0,0,(INT(MAX(0,Inputs!$B$43-B2543)/(IF(Inputs!$B$38="pvp",15,MAX(0.1,Skills!D6-IF(TRUE=TRUE,Inputs!$B$32,0)))*(1-IF(AND(ArtifactsInput!$M$27,Inputs!$B$4="Chapter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$20+0+Skills!P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TRUE=TRUE,Inputs!$B$32,0)))*(1-IF(AND(ArtifactsInput!$M$27,Inputs!$B$4="Chapter Hunt"),CHOOSE(ArtifactsInput!$N$27+1,20,24,28,32,36,40),0)/100)))))/Skills!H6,1)))/Inputs!$B$43),G2513*Q2513))*IF(Inputs!$B$38="pvp",1,(1+(Inputs!$B$21+Skills!Q6+(((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Skills!G7*IF(Skills!H7&gt;0,IF(Inputs!$B$38="pvp",MIN(Skills!I7,15),Skills!I7)/Skills!H7,1)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IFERROR(1/(IF(Inputs!$B$38="pvp",15,MAX(0.1,Skills!D7-IF(TRUE=TRUE,Inputs!$B$32,0)))*(1-IF(AND(ArtifactsInput!$M$27,Inputs!$B$4="Chapter Hunt"),CHOOSE(ArtifactsInput!$N$27+1,20,24,28,32,36,40),0)/100)),0)</f>
        <v/>
      </c>
      <c r="R2514">
        <f>IF(AND(Inputs!$B$38&lt;&gt;"pvp",Inputs!$B$43&gt;0),IF(MAX(0,Inputs!$B$43-B2543)&lt;=0,0,(INT(MAX(0,Inputs!$B$43-B2543)/(IF(Inputs!$B$38="pvp",15,MAX(0.1,Skills!D7-IF(TRUE=TRUE,Inputs!$B$32,0)))*(1-IF(AND(ArtifactsInput!$M$27,Inputs!$B$4="Chapter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$20+0+Skills!P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TRUE=TRUE,Inputs!$B$32,0)))*(1-IF(AND(ArtifactsInput!$M$27,Inputs!$B$4="Chapter Hunt"),CHOOSE(ArtifactsInput!$N$27+1,20,24,28,32,36,40),0)/100)))))/Skills!H7,1)))/Inputs!$B$43),G2514*Q2514))*IF(Inputs!$B$38="pvp",1,(1+(Inputs!$B$21+Skills!Q7+(((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Skills!G8*IF(Skills!H8&gt;0,IF(Inputs!$B$38="pvp",MIN(Skills!I8,15),Skills!I8)/Skills!H8,1)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IFERROR(1/(IF(Inputs!$B$38="pvp",15,MAX(0.1,Skills!D8-IF(TRUE=TRUE,Inputs!$B$32,0)))*(1-IF(AND(ArtifactsInput!$M$27,Inputs!$B$4="Chapter Hunt"),CHOOSE(ArtifactsInput!$N$27+1,20,24,28,32,36,40),0)/100)),0)</f>
        <v/>
      </c>
      <c r="R2515">
        <f>IF(AND(Inputs!$B$38&lt;&gt;"pvp",Inputs!$B$43&gt;0),IF(MAX(0,Inputs!$B$43-B2543)&lt;=0,0,(INT(MAX(0,Inputs!$B$43-B2543)/(IF(Inputs!$B$38="pvp",15,MAX(0.1,Skills!D8-IF(TRUE=TRUE,Inputs!$B$32,0)))*(1-IF(AND(ArtifactsInput!$M$27,Inputs!$B$4="Chapter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$20+0+Skills!P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TRUE=TRUE,Inputs!$B$32,0)))*(1-IF(AND(ArtifactsInput!$M$27,Inputs!$B$4="Chapter Hunt"),CHOOSE(ArtifactsInput!$N$27+1,20,24,28,32,36,40),0)/100)))))/Skills!H8,1)))/Inputs!$B$43),G2515*Q2515))*IF(Inputs!$B$38="pvp",1,(1+(Inputs!$B$21+Skills!Q8+(((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Skills!G9*IF(Skills!H9&gt;0,IF(Inputs!$B$38="pvp",MIN(Skills!I9,15),Skills!I9)/Skills!H9,1)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138,MAX(0,IF(Inputs!$B$3&gt;=118,8,IF(Inputs!$B$3&gt;=110,7,5))-5)*50,0),0)/100)*(1+(IF(Skills!A9="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IFERROR(1/(IF(Inputs!$B$38="pvp",15,MAX(0.1,Skills!D9-IF(TRUE=TRUE,Inputs!$B$32,0)))*(1-IF(AND(ArtifactsInput!$M$27,Inputs!$B$4="Chapter Hunt"),CHOOSE(ArtifactsInput!$N$27+1,20,24,28,32,36,40),0)/100)),0)</f>
        <v/>
      </c>
      <c r="R2516">
        <f>IF(AND(Inputs!$B$38&lt;&gt;"pvp",Inputs!$B$43&gt;0),IF(MAX(0,Inputs!$B$43-B2543)&lt;=0,0,(INT(MAX(0,Inputs!$B$43-B2543)/(IF(Inputs!$B$38="pvp",15,MAX(0.1,Skills!D9-IF(TRUE=TRUE,Inputs!$B$32,0)))*(1-IF(AND(ArtifactsInput!$M$27,Inputs!$B$4="Chapter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TRUE=TRUE,Inputs!$B$32,0)))*(1-IF(AND(ArtifactsInput!$M$27,Inputs!$B$4="Chapter Hunt"),CHOOSE(ArtifactsInput!$N$27+1,20,24,28,32,36,40),0)/100)))))/Skills!H9,1)))/Inputs!$B$43),G2516*Q2516))*IF(Inputs!$B$38="pvp",1,1+(Inputs!$B$20+0+Skills!P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TRUE=TRUE,Inputs!$B$32,0)))*(1-IF(AND(ArtifactsInput!$M$27,Inputs!$B$4="Chapter Hunt"),CHOOSE(ArtifactsInput!$N$27+1,20,24,28,32,36,40),0)/100)))))/Skills!H9,1)))/Inputs!$B$43),G2516*Q2516))*IF(Inputs!$B$38="pvp",1,(1+(Inputs!$B$21+Skills!Q9+(((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Skills!G10*IF(Skills!H10&gt;0,IF(Inputs!$B$38="pvp",MIN(Skills!I10,15),Skills!I10)/Skills!H10,1)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138,MAX(0,IF(Inputs!$B$3&gt;=118,8,IF(Inputs!$B$3&gt;=110,7,5))-5)*50,0),0)/100)*(1+(IF(Skills!A10="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IFERROR(1/(IF(Inputs!$B$38="pvp",15,MAX(0.1,Skills!D10-IF(TRUE=TRUE,Inputs!$B$32,0)))*(1-IF(AND(ArtifactsInput!$M$27,Inputs!$B$4="Chapter Hunt"),CHOOSE(ArtifactsInput!$N$27+1,20,24,28,32,36,40),0)/100)),0)</f>
        <v/>
      </c>
      <c r="R2517">
        <f>IF(AND(Inputs!$B$38&lt;&gt;"pvp",Inputs!$B$43&gt;0),IF(MAX(0,Inputs!$B$43-B2543)&lt;=0,0,(INT(MAX(0,Inputs!$B$43-B2543)/(IF(Inputs!$B$38="pvp",15,MAX(0.1,Skills!D10-IF(TRUE=TRUE,Inputs!$B$32,0)))*(1-IF(AND(ArtifactsInput!$M$27,Inputs!$B$4="Chapter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$20+0+Skills!P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TRUE=TRUE,Inputs!$B$32,0)))*(1-IF(AND(ArtifactsInput!$M$27,Inputs!$B$4="Chapter Hunt"),CHOOSE(ArtifactsInput!$N$27+1,20,24,28,32,36,40),0)/100)))))/Skills!H10,1)))/Inputs!$B$43),G2517*Q2517))*IF(Inputs!$B$38="pvp",1,(1+(Inputs!$B$21+Skills!Q10+(((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Skills!G11*IF(Skills!H11&gt;0,IF(Inputs!$B$38="pvp",MIN(Skills!I11,15),Skills!I11)/Skills!H11,1)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(100-(100-((Inputs!$B$19+0)))*(1-IF(Inputs!$B$3&gt;=130,IF(Inputs!$B$3&gt;=118,8,IF(Inputs!$B$3&gt;=110,7,5)),0)/100)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138,MAX(0,IF(Inputs!$B$3&gt;=118,8,IF(Inputs!$B$3&gt;=110,7,5))-5)*50,0),0)/100)*(1+(IF(Skills!A11="RAGING_BLOW",Inputs!$B$17+((C2528=TRUE)*(F2528-Calc!F21))+((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IFERROR(1/(IF(Inputs!$B$38="pvp",15,MAX(0.1,Skills!D11-IF(TRUE=TRUE,Inputs!$B$32,0)))*(1-IF(AND(ArtifactsInput!$M$27,Inputs!$B$4="Chapter Hunt"),CHOOSE(ArtifactsInput!$N$27+1,20,24,28,32,36,40),0)/100)),0)</f>
        <v/>
      </c>
      <c r="R2518">
        <f>IF(AND(Inputs!$B$38&lt;&gt;"pvp",Inputs!$B$43&gt;0),IF(MAX(0,Inputs!$B$43-B2543)&lt;=0,0,(INT(MAX(0,Inputs!$B$43-B2543)/(IF(Inputs!$B$38="pvp",15,MAX(0.1,Skills!D11-IF(TRUE=TRUE,Inputs!$B$32,0)))*(1-IF(AND(ArtifactsInput!$M$27,Inputs!$B$4="Chapter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$20+0+Skills!P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Inputs!$B$38&lt;&gt;"pvp",Inputs!$B$43=0),1,IF(IF(Inputs!$B$38="pvp",15,Inputs!$B$43)-(B2543)&lt;=0,1,MAX(0,IF(Inputs!$B$38="pvp",15,Inputs!$B$43)-MAX(5,B2543))/(IF(Inputs!$B$38="pvp",15,Inputs!$B$43)-(B2543)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TRUE=TRUE,Inputs!$B$32,0)))*(1-IF(AND(ArtifactsInput!$M$27,Inputs!$B$4="Chapter Hunt"),CHOOSE(ArtifactsInput!$N$27+1,20,24,28,32,36,40),0)/100)))))/Skills!H11,1)))/Inputs!$B$43),G2518*Q2518))*IF(Inputs!$B$38="pvp",1,(1+(Inputs!$B$21+Skills!Q11+(((C2523=TRUE)*F2523*(Skills!J16/100)*IF(AND(Inputs!$B$38&lt;&gt;"pvp",Inputs!$B$43&gt;0),(((R2523-1)*MIN((Skills!T16*(1+(Inputs!$B$34+(ArtifactsInput!$M$7-ArtifactsInput!$M$7)*CHOOSE(ArtifactsInput!$N$7+1,6,7.2,8.4,9.6,10.8,12))/100)),(1/Q2523))+MIN((Skills!T16*(1+(Inputs!$B$34+(ArtifactsInput!$M$7-ArtifactsInput!$M$7)*CHOOSE(ArtifactsInput!$N$7+1,6,7.2,8.4,9.6,10.8,12))/100)),MAX(0,Inputs!$B$43-((R2523-1)*(1/Q2523)))))/Inputs!$B$43),IF(Inputs!$B$38="pvp",MIN((Skills!T16*(1+(Inputs!$B$34+(ArtifactsInput!$M$7-ArtifactsInput!$M$7)*CHOOSE(ArtifactsInput!$N$7+1,6,7.2,8.4,9.6,10.8,12))/100)),15)/15,MIN(1,(Skills!T16*(1+(Inputs!$B$34+(ArtifactsInput!$M$7-ArtifactsInput!$M$7)*CHOOSE(ArtifactsInput!$N$7+1,6,7.2,8.4,9.6,10.8,12))/100))/(1/Q2523)))))+((C2515=TRUE)*IF(Inputs!$B$3&gt;=126,10*MIN(1,15*Q2515),0))+((C2512=TRUE)*((100/10)*(INDEX(FactorTable!$B$2:$Y$301,MATCH(ROUND(MIN(300,MAX(1,MAX(0,(Inputs!$B$3-100)*3)+Inputs!$B$28+Inputs!$B$29)),0),FactorTable!$A$2:$A$301,0),22)/1000))*(1+IF(Inputs!$B$3&gt;=134,0.5,0))*MIN(1,10*(1+(Inputs!$B$34+(ArtifactsInput!$M$7-ArtifactsInput!$M$7)*CHOOSE(ArtifactsInput!$N$7+1,6,7.2,8.4,9.6,10.8,12))/100)*Q2512)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Skills!G13*IF(Skills!H13&gt;0,IF(Inputs!$B$38="pvp",MIN(Skills!I13,15),Skills!I13)/Skills!H13,1)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Skills!G14*IF(Skills!H14&gt;0,IF(Inputs!$B$38="pvp",MIN(Skills!I14,15),Skills!I14)/Skills!H14,1)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Skills!G15*IF(Skills!H15&gt;0,IF(Inputs!$B$38="pvp",MIN(Skills!I15,15),Skills!I15)/Skills!H15,1)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IFERROR(1/(IF(Inputs!$B$38="pvp",15,MAX(0.1,Skills!D15-IF(TRUE=TRUE,Inputs!$B$32,0)))*(1-IF(AND(ArtifactsInput!$M$27,Inputs!$B$4="Chapter Hunt"),CHOOSE(ArtifactsInput!$N$27+1,20,24,28,32,36,40),0)/100)),0)</f>
        <v/>
      </c>
      <c r="R2522">
        <f>IF(AND(Inputs!$B$38&lt;&gt;"pvp",Inputs!$B$43&gt;0),IF(Inputs!$B$43&lt;=0,0,(INT(Inputs!$B$43/(IF(Inputs!$B$38="pvp",15,MAX(0.1,Skills!D15-IF(TRUE=TRUE,Inputs!$B$32,0)))*(1-IF(AND(ArtifactsInput!$M$27,Inputs!$B$4="Chapter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Skills!G16*IF(Skills!H16&gt;0,IF(Inputs!$B$38="pvp",MIN(Skills!I16,15),Skills!I16)/Skills!H16,1)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IFERROR(1/(IF(Inputs!$B$38="pvp",15,MAX(0.1,Skills!D16-IF(TRUE=TRUE,Inputs!$B$32,0)))*(1-IF(AND(ArtifactsInput!$M$27,Inputs!$B$4="Chapter Hunt"),CHOOSE(ArtifactsInput!$N$27+1,20,24,28,32,36,40),0)/100)),0)</f>
        <v/>
      </c>
      <c r="R2523">
        <f>IF(AND(Inputs!$B$38&lt;&gt;"pvp",Inputs!$B$43&gt;0),IF(Inputs!$B$43&lt;=0,0,(INT(Inputs!$B$43/(IF(Inputs!$B$38="pvp",15,MAX(0.1,Skills!D16-IF(TRUE=TRUE,Inputs!$B$32,0)))*(1-IF(AND(ArtifactsInput!$M$27,Inputs!$B$4="Chapter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Skills!G17*IF(Skills!H17&gt;0,IF(Inputs!$B$38="pvp",MIN(Skills!I17,15),Skills!I17)/Skills!H17,1)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IFERROR(1/(IF(Inputs!$B$38="pvp",15,MAX(0.1,Skills!D17-IF(TRUE=TRUE,Inputs!$B$32,0)))*(1-IF(AND(ArtifactsInput!$M$27,Inputs!$B$4="Chapter Hunt"),CHOOSE(ArtifactsInput!$N$27+1,20,24,28,32,36,40),0)/100)),0)</f>
        <v/>
      </c>
      <c r="R2524">
        <f>IF(AND(Inputs!$B$38&lt;&gt;"pvp",Inputs!$B$43&gt;0),IF(Inputs!$B$43&lt;=0,0,(INT(Inputs!$B$43/(IF(Inputs!$B$38="pvp",15,MAX(0.1,Skills!D17-IF(TRUE=TRUE,Inputs!$B$32,0)))*(1-IF(AND(ArtifactsInput!$M$27,Inputs!$B$4="Chapter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Skills!G18*IF(Skills!H18&gt;0,IF(Inputs!$B$38="pvp",MIN(Skills!I18,15),Skills!I18)/Skills!H18,1)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IFERROR(1/(IF(Inputs!$B$38="pvp",15,MAX(0.1,Skills!D18-IF(TRUE=TRUE,Inputs!$B$32,0)))*(1-IF(AND(ArtifactsInput!$M$27,Inputs!$B$4="Chapter Hunt"),CHOOSE(ArtifactsInput!$N$27+1,20,24,28,32,36,40),0)/100)),0)</f>
        <v/>
      </c>
      <c r="R2525">
        <f>IF(AND(Inputs!$B$38&lt;&gt;"pvp",Inputs!$B$43&gt;0),IF(Inputs!$B$43&lt;=0,0,(INT(Inputs!$B$43/(IF(Inputs!$B$38="pvp",15,MAX(0.1,Skills!D18-IF(TRUE=TRUE,Inputs!$B$32,0)))*(1-IF(AND(ArtifactsInput!$M$27,Inputs!$B$4="Chapter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Skills!G19*IF(Skills!H19&gt;0,IF(Inputs!$B$38="pvp",MIN(Skills!I19,15),Skills!I19)/Skills!H19,1)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IFERROR(1/(IF(Inputs!$B$38="pvp",15,MAX(0.1,Skills!D19-IF(TRUE=TRUE,Inputs!$B$32,0)))*(1-IF(AND(ArtifactsInput!$M$27,Inputs!$B$4="Chapter Hunt"),CHOOSE(ArtifactsInput!$N$27+1,20,24,28,32,36,40),0)/100)),0)</f>
        <v/>
      </c>
      <c r="R2526">
        <f>IF(AND(Inputs!$B$38&lt;&gt;"pvp",Inputs!$B$43&gt;0),IF(Inputs!$B$43&lt;=0,0,(INT(Inputs!$B$43/(IF(Inputs!$B$38="pvp",15,MAX(0.1,Skills!D19-IF(TRUE=TRUE,Inputs!$B$32,0)))*(1-IF(AND(ArtifactsInput!$M$27,Inputs!$B$4="Chapter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Skills!G20*IF(Skills!H20&gt;0,IF(Inputs!$B$38="pvp",MIN(Skills!I20,15),Skills!I20)/Skills!H20,1)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Skills!G21*IF(Skills!H21&gt;0,IF(Inputs!$B$38="pvp",MIN(Skills!I21,15),Skills!I21)/Skills!H21,1)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Skills!G22*IF(Skills!H22&gt;0,IF(Inputs!$B$38="pvp",MIN(Skills!I22,15),Skills!I22)/Skills!H22,1)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Skills!G23*IF(Skills!H23&gt;0,IF(Inputs!$B$38="pvp",MIN(Skills!I23,15),Skills!I23)/Skills!H23,1)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Skills!G24*IF(Skills!H24&gt;0,IF(Inputs!$B$38="pvp",MIN(Skills!I24,15),Skills!I24)/Skills!H24,1)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Skills!G25*IF(Skills!H25&gt;0,IF(Inputs!$B$38="pvp",MIN(Skills!I25,15),Skills!I25)/Skills!H25,1)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Skills!G26*IF(Skills!H26&gt;0,IF(Inputs!$B$38="pvp",MIN(Skills!I26,15),Skills!I26)/Skills!H26,1)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118,8,IF(Inputs!$B$3&gt;=110,7,5)))+((C2522=TRUE)*F2522*IF(AND(Inputs!$B$38&lt;&gt;"pvp",Inputs!$B$43&gt;0),(((R2522-1)*MIN((Skills!T15*(1+(Inputs!$B$34+(ArtifactsInput!$M$7-ArtifactsInput!$M$7)*CHOOSE(ArtifactsInput!$N$7+1,6,7.2,8.4,9.6,10.8,12))/100)),(1/Q2522))+MIN((Skills!T15*(1+(Inputs!$B$34+(ArtifactsInput!$M$7-ArtifactsInput!$M$7)*CHOOSE(ArtifactsInput!$N$7+1,6,7.2,8.4,9.6,10.8,12))/100)),MAX(0,Inputs!$B$43-((R2522-1)*(1/Q2522)))))/Inputs!$B$43),IF(Inputs!$B$38="pvp",MIN((Skills!T15*(1+(Inputs!$B$34+(ArtifactsInput!$M$7-ArtifactsInput!$M$7)*CHOOSE(ArtifactsInput!$N$7+1,6,7.2,8.4,9.6,10.8,12))/100)),15)/15,MIN(1,(Skills!T15*(1+(Inputs!$B$34+(ArtifactsInput!$M$7-ArtifactsInput!$M$7)*CHOOSE(ArtifactsInput!$N$7+1,6,7.2,8.4,9.6,10.8,12))/100))/(1/Q2522)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MIN((Skills!T19*(1+(Inputs!$B$34+(ArtifactsInput!$M$7-ArtifactsInput!$M$7)*CHOOSE(ArtifactsInput!$N$7+1,6,7.2,8.4,9.6,10.8,12))/100)),(1/Q2526))+MIN((Skills!T19*(1+(Inputs!$B$34+(ArtifactsInput!$M$7-ArtifactsInput!$M$7)*CHOOSE(ArtifactsInput!$N$7+1,6,7.2,8.4,9.6,10.8,12))/100)),MAX(0,Inputs!$B$43-((R2526-1)*(1/Q2526)))))/Inputs!$B$43),IF(Inputs!$B$38="pvp",MIN((Skills!T19*(1+(Inputs!$B$34+(ArtifactsInput!$M$7-ArtifactsInput!$M$7)*CHOOSE(ArtifactsInput!$N$7+1,6,7.2,8.4,9.6,10.8,12))/100)),15)/15,MIN(1,(Skills!T19*(1+(Inputs!$B$34+(ArtifactsInput!$M$7-ArtifactsInput!$M$7)*CHOOSE(ArtifactsInput!$N$7+1,6,7.2,8.4,9.6,10.8,12))/100))/(1/Q2526)))))</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MIN((Skills!T18*(1+(Inputs!$B$34+(ArtifactsInput!$M$7-ArtifactsInput!$M$7)*CHOOSE(ArtifactsInput!$N$7+1,6,7.2,8.4,9.6,10.8,12))/100)),(1/Q2525))+MIN((Skills!T18*(1+(Inputs!$B$34+(ArtifactsInput!$M$7-ArtifactsInput!$M$7)*CHOOSE(ArtifactsInput!$N$7+1,6,7.2,8.4,9.6,10.8,12))/100)),MAX(0,Inputs!$B$43-((R2525-1)*(1/Q2525)))))/Inputs!$B$43),IF(Inputs!$B$38="pvp",MIN((Skills!T18*(1+(Inputs!$B$34+(ArtifactsInput!$M$7-ArtifactsInput!$M$7)*CHOOSE(ArtifactsInput!$N$7+1,6,7.2,8.4,9.6,10.8,12))/100)),15)/15,MIN(1,(Skills!T18*(1+(Inputs!$B$34+(ArtifactsInput!$M$7-ArtifactsInput!$M$7)*CHOOSE(ArtifactsInput!$N$7+1,6,7.2,8.4,9.6,10.8,12))/100))/(1/Q2525)))))</f>
        <v/>
      </c>
    </row>
    <row r="2542">
      <c r="A2542" t="inlineStr">
        <is>
          <t>Global Final Damage Bonus % (Enrage + Combo Synergy)</t>
        </is>
      </c>
      <c r="B2542">
        <f>((C2524=TRUE)*F2524*IF(AND(Inputs!$B$38&lt;&gt;"pvp",Inputs!$B$43&gt;0),(((R2524-1)*MIN((Skills!T17*(1+(Inputs!$B$34+(ArtifactsInput!$M$7-ArtifactsInput!$M$7)*CHOOSE(ArtifactsInput!$N$7+1,6,7.2,8.4,9.6,10.8,12))/100)),(1/Q2524))+MIN((Skills!T17*(1+(Inputs!$B$34+(ArtifactsInput!$M$7-ArtifactsInput!$M$7)*CHOOSE(ArtifactsInput!$N$7+1,6,7.2,8.4,9.6,10.8,12))/100)),MAX(0,Inputs!$B$43-((R2524-1)*(1/Q2524)))))/Inputs!$B$43),IF(Inputs!$B$38="pvp",MIN((Skills!T17*(1+(Inputs!$B$34+(ArtifactsInput!$M$7-ArtifactsInput!$M$7)*CHOOSE(ArtifactsInput!$N$7+1,6,7.2,8.4,9.6,10.8,12))/100)),15)/15,MIN(1,(Skills!T17*(1+(Inputs!$B$34+(ArtifactsInput!$M$7-ArtifactsInput!$M$7)*CHOOSE(ArtifactsInput!$N$7+1,6,7.2,8.4,9.6,10.8,12))/100))/(1/Q2524)))))+((C2521=TRUE)*F2521*IF(Inputs!$B$3&gt;=118,8,IF(Inputs!$B$3&gt;=110,7,5)))+IF(Inputs!$B$3&gt;=98,5,0)</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Skills!G2*IF(Skills!H2&gt;0,IF(Inputs!$B$38="pvp",MIN(Skills!I2,15),Skills!I2)/Skills!H2,1)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Skills!G5*IF(Skills!H5&gt;0,IF(Inputs!$B$38="pvp",MIN(Skills!I5,15),Skills!I5)/Skills!H5,1)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IFERROR(1/(IF(Inputs!$B$38="pvp",15,MAX(0.1,Skills!D5-IF(TRUE=TRUE,Inputs!$B$32,0)))*(1-IF(AND(ArtifactsInput!$M$27,Inputs!$B$4="Chapter Hunt"),CHOOSE(ArtifactsInput!$N$27+1,20,24,28,32,36,40),0)/100)),0)</f>
        <v/>
      </c>
      <c r="R2554">
        <f>IF(AND(Inputs!$B$38&lt;&gt;"pvp",Inputs!$B$43&gt;0),IF(MAX(0,Inputs!$B$43-B2585)&lt;=0,0,(INT(MAX(0,Inputs!$B$43-B2585)/(IF(Inputs!$B$38="pvp",15,MAX(0.1,Skills!D5-IF(TRUE=TRUE,Inputs!$B$32,0)))*(1-IF(AND(ArtifactsInput!$M$27,Inputs!$B$4="Chapter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$20+0+Skills!P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TRUE=TRUE,Inputs!$B$32,0)))*(1-IF(AND(ArtifactsInput!$M$27,Inputs!$B$4="Chapter Hunt"),CHOOSE(ArtifactsInput!$N$27+1,20,24,28,32,36,40),0)/100)))))/Skills!H5,1)))/Inputs!$B$43),G2554*Q2554))*IF(Inputs!$B$38="pvp",1,(1+(Inputs!$B$21+Skills!Q5+(((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Skills!G6*IF(Skills!H6&gt;0,IF(Inputs!$B$38="pvp",MIN(Skills!I6,15),Skills!I6)/Skills!H6,1)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IFERROR(1/(IF(Inputs!$B$38="pvp",15,MAX(0.1,Skills!D6-IF(TRUE=TRUE,Inputs!$B$32,0)))*(1-IF(AND(ArtifactsInput!$M$27,Inputs!$B$4="Chapter Hunt"),CHOOSE(ArtifactsInput!$N$27+1,20,24,28,32,36,40),0)/100)),0)</f>
        <v/>
      </c>
      <c r="R2555">
        <f>IF(AND(Inputs!$B$38&lt;&gt;"pvp",Inputs!$B$43&gt;0),IF(MAX(0,Inputs!$B$43-B2585)&lt;=0,0,(INT(MAX(0,Inputs!$B$43-B2585)/(IF(Inputs!$B$38="pvp",15,MAX(0.1,Skills!D6-IF(TRUE=TRUE,Inputs!$B$32,0)))*(1-IF(AND(ArtifactsInput!$M$27,Inputs!$B$4="Chapter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$20+0+Skills!P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TRUE=TRUE,Inputs!$B$32,0)))*(1-IF(AND(ArtifactsInput!$M$27,Inputs!$B$4="Chapter Hunt"),CHOOSE(ArtifactsInput!$N$27+1,20,24,28,32,36,40),0)/100)))))/Skills!H6,1)))/Inputs!$B$43),G2555*Q2555))*IF(Inputs!$B$38="pvp",1,(1+(Inputs!$B$21+Skills!Q6+(((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Skills!G7*IF(Skills!H7&gt;0,IF(Inputs!$B$38="pvp",MIN(Skills!I7,15),Skills!I7)/Skills!H7,1)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IFERROR(1/(IF(Inputs!$B$38="pvp",15,MAX(0.1,Skills!D7-IF(TRUE=TRUE,Inputs!$B$32,0)))*(1-IF(AND(ArtifactsInput!$M$27,Inputs!$B$4="Chapter Hunt"),CHOOSE(ArtifactsInput!$N$27+1,20,24,28,32,36,40),0)/100)),0)</f>
        <v/>
      </c>
      <c r="R2556">
        <f>IF(AND(Inputs!$B$38&lt;&gt;"pvp",Inputs!$B$43&gt;0),IF(MAX(0,Inputs!$B$43-B2585)&lt;=0,0,(INT(MAX(0,Inputs!$B$43-B2585)/(IF(Inputs!$B$38="pvp",15,MAX(0.1,Skills!D7-IF(TRUE=TRUE,Inputs!$B$32,0)))*(1-IF(AND(ArtifactsInput!$M$27,Inputs!$B$4="Chapter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$20+0+Skills!P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TRUE=TRUE,Inputs!$B$32,0)))*(1-IF(AND(ArtifactsInput!$M$27,Inputs!$B$4="Chapter Hunt"),CHOOSE(ArtifactsInput!$N$27+1,20,24,28,32,36,40),0)/100)))))/Skills!H7,1)))/Inputs!$B$43),G2556*Q2556))*IF(Inputs!$B$38="pvp",1,(1+(Inputs!$B$21+Skills!Q7+(((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Skills!G8*IF(Skills!H8&gt;0,IF(Inputs!$B$38="pvp",MIN(Skills!I8,15),Skills!I8)/Skills!H8,1)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IFERROR(1/(IF(Inputs!$B$38="pvp",15,MAX(0.1,Skills!D8-IF(TRUE=TRUE,Inputs!$B$32,0)))*(1-IF(AND(ArtifactsInput!$M$27,Inputs!$B$4="Chapter Hunt"),CHOOSE(ArtifactsInput!$N$27+1,20,24,28,32,36,40),0)/100)),0)</f>
        <v/>
      </c>
      <c r="R2557">
        <f>IF(AND(Inputs!$B$38&lt;&gt;"pvp",Inputs!$B$43&gt;0),IF(MAX(0,Inputs!$B$43-B2585)&lt;=0,0,(INT(MAX(0,Inputs!$B$43-B2585)/(IF(Inputs!$B$38="pvp",15,MAX(0.1,Skills!D8-IF(TRUE=TRUE,Inputs!$B$32,0)))*(1-IF(AND(ArtifactsInput!$M$27,Inputs!$B$4="Chapter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$20+0+Skills!P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TRUE=TRUE,Inputs!$B$32,0)))*(1-IF(AND(ArtifactsInput!$M$27,Inputs!$B$4="Chapter Hunt"),CHOOSE(ArtifactsInput!$N$27+1,20,24,28,32,36,40),0)/100)))))/Skills!H8,1)))/Inputs!$B$43),G2557*Q2557))*IF(Inputs!$B$38="pvp",1,(1+(Inputs!$B$21+Skills!Q8+(((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Skills!G9*IF(Skills!H9&gt;0,IF(Inputs!$B$38="pvp",MIN(Skills!I9,15),Skills!I9)/Skills!H9,1)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138,MAX(0,IF(Inputs!$B$3&gt;=118,8,IF(Inputs!$B$3&gt;=110,7,5))-5)*50,0),0)/100)*(1+(IF(Skills!A9="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IFERROR(1/(IF(Inputs!$B$38="pvp",15,MAX(0.1,Skills!D9-IF(TRUE=TRUE,Inputs!$B$32,0)))*(1-IF(AND(ArtifactsInput!$M$27,Inputs!$B$4="Chapter Hunt"),CHOOSE(ArtifactsInput!$N$27+1,20,24,28,32,36,40),0)/100)),0)</f>
        <v/>
      </c>
      <c r="R2558">
        <f>IF(AND(Inputs!$B$38&lt;&gt;"pvp",Inputs!$B$43&gt;0),IF(MAX(0,Inputs!$B$43-B2585)&lt;=0,0,(INT(MAX(0,Inputs!$B$43-B2585)/(IF(Inputs!$B$38="pvp",15,MAX(0.1,Skills!D9-IF(TRUE=TRUE,Inputs!$B$32,0)))*(1-IF(AND(ArtifactsInput!$M$27,Inputs!$B$4="Chapter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TRUE=TRUE,Inputs!$B$32,0)))*(1-IF(AND(ArtifactsInput!$M$27,Inputs!$B$4="Chapter Hunt"),CHOOSE(ArtifactsInput!$N$27+1,20,24,28,32,36,40),0)/100)))))/Skills!H9,1)))/Inputs!$B$43),G2558*Q2558))*IF(Inputs!$B$38="pvp",1,1+(Inputs!$B$20+0+Skills!P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TRUE=TRUE,Inputs!$B$32,0)))*(1-IF(AND(ArtifactsInput!$M$27,Inputs!$B$4="Chapter Hunt"),CHOOSE(ArtifactsInput!$N$27+1,20,24,28,32,36,40),0)/100)))))/Skills!H9,1)))/Inputs!$B$43),G2558*Q2558))*IF(Inputs!$B$38="pvp",1,(1+(Inputs!$B$21+Skills!Q9+(((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Skills!G10*IF(Skills!H10&gt;0,IF(Inputs!$B$38="pvp",MIN(Skills!I10,15),Skills!I10)/Skills!H10,1)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138,MAX(0,IF(Inputs!$B$3&gt;=118,8,IF(Inputs!$B$3&gt;=110,7,5))-5)*50,0),0)/100)*(1+(IF(Skills!A10="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IFERROR(1/(IF(Inputs!$B$38="pvp",15,MAX(0.1,Skills!D10-IF(TRUE=TRUE,Inputs!$B$32,0)))*(1-IF(AND(ArtifactsInput!$M$27,Inputs!$B$4="Chapter Hunt"),CHOOSE(ArtifactsInput!$N$27+1,20,24,28,32,36,40),0)/100)),0)</f>
        <v/>
      </c>
      <c r="R2559">
        <f>IF(AND(Inputs!$B$38&lt;&gt;"pvp",Inputs!$B$43&gt;0),IF(MAX(0,Inputs!$B$43-B2585)&lt;=0,0,(INT(MAX(0,Inputs!$B$43-B2585)/(IF(Inputs!$B$38="pvp",15,MAX(0.1,Skills!D10-IF(TRUE=TRUE,Inputs!$B$32,0)))*(1-IF(AND(ArtifactsInput!$M$27,Inputs!$B$4="Chapter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$20+0+Skills!P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TRUE=TRUE,Inputs!$B$32,0)))*(1-IF(AND(ArtifactsInput!$M$27,Inputs!$B$4="Chapter Hunt"),CHOOSE(ArtifactsInput!$N$27+1,20,24,28,32,36,40),0)/100)))))/Skills!H10,1)))/Inputs!$B$43),G2559*Q2559))*IF(Inputs!$B$38="pvp",1,(1+(Inputs!$B$21+Skills!Q10+(((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Skills!G11*IF(Skills!H11&gt;0,IF(Inputs!$B$38="pvp",MIN(Skills!I11,15),Skills!I11)/Skills!H11,1)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(100-(100-((Inputs!$B$19+0)))*(1-IF(Inputs!$B$3&gt;=130,IF(Inputs!$B$3&gt;=118,8,IF(Inputs!$B$3&gt;=110,7,5)),0)/100)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138,MAX(0,IF(Inputs!$B$3&gt;=118,8,IF(Inputs!$B$3&gt;=110,7,5))-5)*50,0),0)/100)*(1+(IF(Skills!A11="RAGING_BLOW",Inputs!$B$17+((C2570=TRUE)*(F2570-Calc!F21))+((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IFERROR(1/(IF(Inputs!$B$38="pvp",15,MAX(0.1,Skills!D11-IF(TRUE=TRUE,Inputs!$B$32,0)))*(1-IF(AND(ArtifactsInput!$M$27,Inputs!$B$4="Chapter Hunt"),CHOOSE(ArtifactsInput!$N$27+1,20,24,28,32,36,40),0)/100)),0)</f>
        <v/>
      </c>
      <c r="R2560">
        <f>IF(AND(Inputs!$B$38&lt;&gt;"pvp",Inputs!$B$43&gt;0),IF(MAX(0,Inputs!$B$43-B2585)&lt;=0,0,(INT(MAX(0,Inputs!$B$43-B2585)/(IF(Inputs!$B$38="pvp",15,MAX(0.1,Skills!D11-IF(TRUE=TRUE,Inputs!$B$32,0)))*(1-IF(AND(ArtifactsInput!$M$27,Inputs!$B$4="Chapter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$20+0+Skills!P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IF(ArtifactsInput!$M$40,FALSE,TRUE)-ArtifactsInput!$M$40)))/100)*(1-IF(IF(ArtifactsInput!$M$40,FALSE,TRUE),CHOOSE(ArtifactsInput!$N$40+1,5,6,7,8,9,10),0)/100)^IF(Inputs!$B$38="pvp",1,2)))/100)))/(5000/(6000+Inputs!$B$42*(1-(100*(1-(1-(100-(100-((Inputs!$B$19+0)))*(1-IF(Inputs!$B$3&gt;=130,IF(Inputs!$B$3&gt;=118,8,IF(Inputs!$B$3&gt;=110,7,5)),0)/100))/100)*(1-CHOOSE(ArtifactsInput!$N$40+1,5,6,7,8,9,10)/100)^(IF(ArtifactsInput!$M$40,FALSE,TRUE)-ArtifactsInput!$M$40)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Inputs!$B$38&lt;&gt;"pvp",Inputs!$B$43=0),1,IF(IF(Inputs!$B$38="pvp",15,Inputs!$B$43)-(B2585)&lt;=0,1,MAX(0,IF(Inputs!$B$38="pvp",15,Inputs!$B$43)-MAX(5,B2585))/(IF(Inputs!$B$38="pvp",15,Inputs!$B$43)-(B2585)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TRUE=TRUE,Inputs!$B$32,0)))*(1-IF(AND(ArtifactsInput!$M$27,Inputs!$B$4="Chapter Hunt"),CHOOSE(ArtifactsInput!$N$27+1,20,24,28,32,36,40),0)/100)))))/Skills!H11,1)))/Inputs!$B$43),G2560*Q2560))*IF(Inputs!$B$38="pvp",1,(1+(Inputs!$B$21+Skills!Q11+(((C2565=TRUE)*F2565*(Skills!J16/100)*IF(AND(Inputs!$B$38&lt;&gt;"pvp",Inputs!$B$43&gt;0),(((R2565-1)*MIN((Skills!T16*(1+(Inputs!$B$34+(ArtifactsInput!$M$7-ArtifactsInput!$M$7)*CHOOSE(ArtifactsInput!$N$7+1,6,7.2,8.4,9.6,10.8,12))/100)),(1/Q2565))+MIN((Skills!T16*(1+(Inputs!$B$34+(ArtifactsInput!$M$7-ArtifactsInput!$M$7)*CHOOSE(ArtifactsInput!$N$7+1,6,7.2,8.4,9.6,10.8,12))/100)),MAX(0,Inputs!$B$43-((R2565-1)*(1/Q2565)))))/Inputs!$B$43),IF(Inputs!$B$38="pvp",MIN((Skills!T16*(1+(Inputs!$B$34+(ArtifactsInput!$M$7-ArtifactsInput!$M$7)*CHOOSE(ArtifactsInput!$N$7+1,6,7.2,8.4,9.6,10.8,12))/100)),15)/15,MIN(1,(Skills!T16*(1+(Inputs!$B$34+(ArtifactsInput!$M$7-ArtifactsInput!$M$7)*CHOOSE(ArtifactsInput!$N$7+1,6,7.2,8.4,9.6,10.8,12))/100))/(1/Q2565)))))+((C2557=TRUE)*IF(Inputs!$B$3&gt;=126,10*MIN(1,15*Q2557),0))+((C2554=TRUE)*((100/10)*(INDEX(FactorTable!$B$2:$Y$301,MATCH(ROUND(MIN(300,MAX(1,MAX(0,(Inputs!$B$3-100)*3)+Inputs!$B$28+Inputs!$B$29)),0),FactorTable!$A$2:$A$301,0),22)/1000))*(1+IF(Inputs!$B$3&gt;=134,0.5,0))*MIN(1,10*(1+(Inputs!$B$34+(ArtifactsInput!$M$7-ArtifactsInput!$M$7)*CHOOSE(ArtifactsInput!$N$7+1,6,7.2,8.4,9.6,10.8,12))/100)*Q2554)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Skills!G13*IF(Skills!H13&gt;0,IF(Inputs!$B$38="pvp",MIN(Skills!I13,15),Skills!I13)/Skills!H13,1)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Skills!G14*IF(Skills!H14&gt;0,IF(Inputs!$B$38="pvp",MIN(Skills!I14,15),Skills!I14)/Skills!H14,1)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Skills!G15*IF(Skills!H15&gt;0,IF(Inputs!$B$38="pvp",MIN(Skills!I15,15),Skills!I15)/Skills!H15,1)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IFERROR(1/(IF(Inputs!$B$38="pvp",15,MAX(0.1,Skills!D15-IF(TRUE=TRUE,Inputs!$B$32,0)))*(1-IF(AND(ArtifactsInput!$M$27,Inputs!$B$4="Chapter Hunt"),CHOOSE(ArtifactsInput!$N$27+1,20,24,28,32,36,40),0)/100)),0)</f>
        <v/>
      </c>
      <c r="R2564">
        <f>IF(AND(Inputs!$B$38&lt;&gt;"pvp",Inputs!$B$43&gt;0),IF(Inputs!$B$43&lt;=0,0,(INT(Inputs!$B$43/(IF(Inputs!$B$38="pvp",15,MAX(0.1,Skills!D15-IF(TRUE=TRUE,Inputs!$B$32,0)))*(1-IF(AND(ArtifactsInput!$M$27,Inputs!$B$4="Chapter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Skills!G16*IF(Skills!H16&gt;0,IF(Inputs!$B$38="pvp",MIN(Skills!I16,15),Skills!I16)/Skills!H16,1)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IFERROR(1/(IF(Inputs!$B$38="pvp",15,MAX(0.1,Skills!D16-IF(TRUE=TRUE,Inputs!$B$32,0)))*(1-IF(AND(ArtifactsInput!$M$27,Inputs!$B$4="Chapter Hunt"),CHOOSE(ArtifactsInput!$N$27+1,20,24,28,32,36,40),0)/100)),0)</f>
        <v/>
      </c>
      <c r="R2565">
        <f>IF(AND(Inputs!$B$38&lt;&gt;"pvp",Inputs!$B$43&gt;0),IF(Inputs!$B$43&lt;=0,0,(INT(Inputs!$B$43/(IF(Inputs!$B$38="pvp",15,MAX(0.1,Skills!D16-IF(TRUE=TRUE,Inputs!$B$32,0)))*(1-IF(AND(ArtifactsInput!$M$27,Inputs!$B$4="Chapter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Skills!G17*IF(Skills!H17&gt;0,IF(Inputs!$B$38="pvp",MIN(Skills!I17,15),Skills!I17)/Skills!H17,1)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IFERROR(1/(IF(Inputs!$B$38="pvp",15,MAX(0.1,Skills!D17-IF(TRUE=TRUE,Inputs!$B$32,0)))*(1-IF(AND(ArtifactsInput!$M$27,Inputs!$B$4="Chapter Hunt"),CHOOSE(ArtifactsInput!$N$27+1,20,24,28,32,36,40),0)/100)),0)</f>
        <v/>
      </c>
      <c r="R2566">
        <f>IF(AND(Inputs!$B$38&lt;&gt;"pvp",Inputs!$B$43&gt;0),IF(Inputs!$B$43&lt;=0,0,(INT(Inputs!$B$43/(IF(Inputs!$B$38="pvp",15,MAX(0.1,Skills!D17-IF(TRUE=TRUE,Inputs!$B$32,0)))*(1-IF(AND(ArtifactsInput!$M$27,Inputs!$B$4="Chapter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Skills!G18*IF(Skills!H18&gt;0,IF(Inputs!$B$38="pvp",MIN(Skills!I18,15),Skills!I18)/Skills!H18,1)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IFERROR(1/(IF(Inputs!$B$38="pvp",15,MAX(0.1,Skills!D18-IF(TRUE=TRUE,Inputs!$B$32,0)))*(1-IF(AND(ArtifactsInput!$M$27,Inputs!$B$4="Chapter Hunt"),CHOOSE(ArtifactsInput!$N$27+1,20,24,28,32,36,40),0)/100)),0)</f>
        <v/>
      </c>
      <c r="R2567">
        <f>IF(AND(Inputs!$B$38&lt;&gt;"pvp",Inputs!$B$43&gt;0),IF(Inputs!$B$43&lt;=0,0,(INT(Inputs!$B$43/(IF(Inputs!$B$38="pvp",15,MAX(0.1,Skills!D18-IF(TRUE=TRUE,Inputs!$B$32,0)))*(1-IF(AND(ArtifactsInput!$M$27,Inputs!$B$4="Chapter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Skills!G19*IF(Skills!H19&gt;0,IF(Inputs!$B$38="pvp",MIN(Skills!I19,15),Skills!I19)/Skills!H19,1)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IFERROR(1/(IF(Inputs!$B$38="pvp",15,MAX(0.1,Skills!D19-IF(TRUE=TRUE,Inputs!$B$32,0)))*(1-IF(AND(ArtifactsInput!$M$27,Inputs!$B$4="Chapter Hunt"),CHOOSE(ArtifactsInput!$N$27+1,20,24,28,32,36,40),0)/100)),0)</f>
        <v/>
      </c>
      <c r="R2568">
        <f>IF(AND(Inputs!$B$38&lt;&gt;"pvp",Inputs!$B$43&gt;0),IF(Inputs!$B$43&lt;=0,0,(INT(Inputs!$B$43/(IF(Inputs!$B$38="pvp",15,MAX(0.1,Skills!D19-IF(TRUE=TRUE,Inputs!$B$32,0)))*(1-IF(AND(ArtifactsInput!$M$27,Inputs!$B$4="Chapter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Skills!G20*IF(Skills!H20&gt;0,IF(Inputs!$B$38="pvp",MIN(Skills!I20,15),Skills!I20)/Skills!H20,1)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Skills!G21*IF(Skills!H21&gt;0,IF(Inputs!$B$38="pvp",MIN(Skills!I21,15),Skills!I21)/Skills!H21,1)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Skills!G22*IF(Skills!H22&gt;0,IF(Inputs!$B$38="pvp",MIN(Skills!I22,15),Skills!I22)/Skills!H22,1)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Skills!G23*IF(Skills!H23&gt;0,IF(Inputs!$B$38="pvp",MIN(Skills!I23,15),Skills!I23)/Skills!H23,1)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Skills!G24*IF(Skills!H24&gt;0,IF(Inputs!$B$38="pvp",MIN(Skills!I24,15),Skills!I24)/Skills!H24,1)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Skills!G25*IF(Skills!H25&gt;0,IF(Inputs!$B$38="pvp",MIN(Skills!I25,15),Skills!I25)/Skills!H25,1)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Skills!G26*IF(Skills!H26&gt;0,IF(Inputs!$B$38="pvp",MIN(Skills!I26,15),Skills!I26)/Skills!H26,1)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118,8,IF(Inputs!$B$3&gt;=110,7,5)))+((C2564=TRUE)*F2564*IF(AND(Inputs!$B$38&lt;&gt;"pvp",Inputs!$B$43&gt;0),(((R2564-1)*MIN((Skills!T15*(1+(Inputs!$B$34+(ArtifactsInput!$M$7-ArtifactsInput!$M$7)*CHOOSE(ArtifactsInput!$N$7+1,6,7.2,8.4,9.6,10.8,12))/100)),(1/Q2564))+MIN((Skills!T15*(1+(Inputs!$B$34+(ArtifactsInput!$M$7-ArtifactsInput!$M$7)*CHOOSE(ArtifactsInput!$N$7+1,6,7.2,8.4,9.6,10.8,12))/100)),MAX(0,Inputs!$B$43-((R2564-1)*(1/Q2564)))))/Inputs!$B$43),IF(Inputs!$B$38="pvp",MIN((Skills!T15*(1+(Inputs!$B$34+(ArtifactsInput!$M$7-ArtifactsInput!$M$7)*CHOOSE(ArtifactsInput!$N$7+1,6,7.2,8.4,9.6,10.8,12))/100)),15)/15,MIN(1,(Skills!T15*(1+(Inputs!$B$34+(ArtifactsInput!$M$7-ArtifactsInput!$M$7)*CHOOSE(ArtifactsInput!$N$7+1,6,7.2,8.4,9.6,10.8,12))/100))/(1/Q2564)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MIN((Skills!T19*(1+(Inputs!$B$34+(ArtifactsInput!$M$7-ArtifactsInput!$M$7)*CHOOSE(ArtifactsInput!$N$7+1,6,7.2,8.4,9.6,10.8,12))/100)),(1/Q2568))+MIN((Skills!T19*(1+(Inputs!$B$34+(ArtifactsInput!$M$7-ArtifactsInput!$M$7)*CHOOSE(ArtifactsInput!$N$7+1,6,7.2,8.4,9.6,10.8,12))/100)),MAX(0,Inputs!$B$43-((R2568-1)*(1/Q2568)))))/Inputs!$B$43),IF(Inputs!$B$38="pvp",MIN((Skills!T19*(1+(Inputs!$B$34+(ArtifactsInput!$M$7-ArtifactsInput!$M$7)*CHOOSE(ArtifactsInput!$N$7+1,6,7.2,8.4,9.6,10.8,12))/100)),15)/15,MIN(1,(Skills!T19*(1+(Inputs!$B$34+(ArtifactsInput!$M$7-ArtifactsInput!$M$7)*CHOOSE(ArtifactsInput!$N$7+1,6,7.2,8.4,9.6,10.8,12))/100))/(1/Q2568)))))</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MIN((Skills!T18*(1+(Inputs!$B$34+(ArtifactsInput!$M$7-ArtifactsInput!$M$7)*CHOOSE(ArtifactsInput!$N$7+1,6,7.2,8.4,9.6,10.8,12))/100)),(1/Q2567))+MIN((Skills!T18*(1+(Inputs!$B$34+(ArtifactsInput!$M$7-ArtifactsInput!$M$7)*CHOOSE(ArtifactsInput!$N$7+1,6,7.2,8.4,9.6,10.8,12))/100)),MAX(0,Inputs!$B$43-((R2567-1)*(1/Q2567)))))/Inputs!$B$43),IF(Inputs!$B$38="pvp",MIN((Skills!T18*(1+(Inputs!$B$34+(ArtifactsInput!$M$7-ArtifactsInput!$M$7)*CHOOSE(ArtifactsInput!$N$7+1,6,7.2,8.4,9.6,10.8,12))/100)),15)/15,MIN(1,(Skills!T18*(1+(Inputs!$B$34+(ArtifactsInput!$M$7-ArtifactsInput!$M$7)*CHOOSE(ArtifactsInput!$N$7+1,6,7.2,8.4,9.6,10.8,12))/100))/(1/Q2567)))))</f>
        <v/>
      </c>
    </row>
    <row r="2584">
      <c r="A2584" t="inlineStr">
        <is>
          <t>Global Final Damage Bonus % (Enrage + Combo Synergy)</t>
        </is>
      </c>
      <c r="B2584">
        <f>((C2566=TRUE)*F2566*IF(AND(Inputs!$B$38&lt;&gt;"pvp",Inputs!$B$43&gt;0),(((R2566-1)*MIN((Skills!T17*(1+(Inputs!$B$34+(ArtifactsInput!$M$7-ArtifactsInput!$M$7)*CHOOSE(ArtifactsInput!$N$7+1,6,7.2,8.4,9.6,10.8,12))/100)),(1/Q2566))+MIN((Skills!T17*(1+(Inputs!$B$34+(ArtifactsInput!$M$7-ArtifactsInput!$M$7)*CHOOSE(ArtifactsInput!$N$7+1,6,7.2,8.4,9.6,10.8,12))/100)),MAX(0,Inputs!$B$43-((R2566-1)*(1/Q2566)))))/Inputs!$B$43),IF(Inputs!$B$38="pvp",MIN((Skills!T17*(1+(Inputs!$B$34+(ArtifactsInput!$M$7-ArtifactsInput!$M$7)*CHOOSE(ArtifactsInput!$N$7+1,6,7.2,8.4,9.6,10.8,12))/100)),15)/15,MIN(1,(Skills!T17*(1+(Inputs!$B$34+(ArtifactsInput!$M$7-ArtifactsInput!$M$7)*CHOOSE(ArtifactsInput!$N$7+1,6,7.2,8.4,9.6,10.8,12))/100))/(1/Q2566)))))+((C2563=TRUE)*F2563*IF(Inputs!$B$3&gt;=118,8,IF(Inputs!$B$3&gt;=110,7,5)))+IF(Inputs!$B$3&gt;=98,5,0)</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Skills!G2*IF(Skills!H2&gt;0,IF(Inputs!$B$38="pvp",MIN(Skills!I2,15),Skills!I2)/Skills!H2,1)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Skills!G5*IF(Skills!H5&gt;0,IF(Inputs!$B$38="pvp",MIN(Skills!I5,15),Skills!I5)/Skills!H5,1)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IFERROR(1/(IF(Inputs!$B$38="pvp",15,MAX(0.1,Skills!D5-IF(TRUE=TRUE,Inputs!$B$32,0)))*(1-IF(AND(ArtifactsInput!$M$27,Inputs!$B$4="Chapter Hunt"),CHOOSE(ArtifactsInput!$N$27+1,20,24,28,32,36,40),0)/100)),0)</f>
        <v/>
      </c>
      <c r="R2596">
        <f>IF(AND(Inputs!$B$38&lt;&gt;"pvp",Inputs!$B$43&gt;0),IF(MAX(0,Inputs!$B$43-B2627)&lt;=0,0,(INT(MAX(0,Inputs!$B$43-B2627)/(IF(Inputs!$B$38="pvp",15,MAX(0.1,Skills!D5-IF(TRUE=TRUE,Inputs!$B$32,0)))*(1-IF(AND(ArtifactsInput!$M$27,Inputs!$B$4="Chapter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$20+0+Skills!P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TRUE=TRUE,Inputs!$B$32,0)))*(1-IF(AND(ArtifactsInput!$M$27,Inputs!$B$4="Chapter Hunt"),CHOOSE(ArtifactsInput!$N$27+1,20,24,28,32,36,40),0)/100)))))/Skills!H5,1)))/Inputs!$B$43),G2596*Q2596))*IF(Inputs!$B$38="pvp",1,(1+(Inputs!$B$21+Skills!Q5+(((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Skills!G6*IF(Skills!H6&gt;0,IF(Inputs!$B$38="pvp",MIN(Skills!I6,15),Skills!I6)/Skills!H6,1)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$20+0+Skills!P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TRUE=TRUE,Inputs!$B$32,0)))*(1-IF(AND(ArtifactsInput!$M$27,Inputs!$B$4="Chapter Hunt"),CHOOSE(ArtifactsInput!$N$27+1,20,24,28,32,36,40),0)/100)))))/Skills!H6,1)))/Inputs!$B$43),G2597*Q2597))*IF(Inputs!$B$38="pvp",1,(1+(Inputs!$B$21+Skills!Q6+(((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Skills!G7*IF(Skills!H7&gt;0,IF(Inputs!$B$38="pvp",MIN(Skills!I7,15),Skills!I7)/Skills!H7,1)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$20+0+Skills!P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TRUE=TRUE,Inputs!$B$32,0)))*(1-IF(AND(ArtifactsInput!$M$27,Inputs!$B$4="Chapter Hunt"),CHOOSE(ArtifactsInput!$N$27+1,20,24,28,32,36,40),0)/100)))))/Skills!H7,1)))/Inputs!$B$43),G2598*Q2598))*IF(Inputs!$B$38="pvp",1,(1+(Inputs!$B$21+Skills!Q7+(((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Skills!G8*IF(Skills!H8&gt;0,IF(Inputs!$B$38="pvp",MIN(Skills!I8,15),Skills!I8)/Skills!H8,1)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$20+0+Skills!P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TRUE=TRUE,Inputs!$B$32,0)))*(1-IF(AND(ArtifactsInput!$M$27,Inputs!$B$4="Chapter Hunt"),CHOOSE(ArtifactsInput!$N$27+1,20,24,28,32,36,40),0)/100)))))/Skills!H8,1)))/Inputs!$B$43),G2599*Q2599))*IF(Inputs!$B$38="pvp",1,(1+(Inputs!$B$21+Skills!Q8+(((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Skills!G9*IF(Skills!H9&gt;0,IF(Inputs!$B$38="pvp",MIN(Skills!I9,15),Skills!I9)/Skills!H9,1)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138,MAX(0,IF(Inputs!$B$3&gt;=118,8,IF(Inputs!$B$3&gt;=110,7,5))-5)*50,0),0)/100)*(1+(IF(Skills!A9="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IFERROR(1/(IF(Inputs!$B$38="pvp",15,MAX(0.1,Skills!D9-IF(TRUE=TRUE,Inputs!$B$32,0)))*(1-IF(AND(ArtifactsInput!$M$27,Inputs!$B$4="Chapter Hunt"),CHOOSE(ArtifactsInput!$N$27+1,20,24,28,32,36,40),0)/100)),0)</f>
        <v/>
      </c>
      <c r="R2600">
        <f>IF(AND(Inputs!$B$38&lt;&gt;"pvp",Inputs!$B$43&gt;0),IF(MAX(0,Inputs!$B$43-B2627)&lt;=0,0,(INT(MAX(0,Inputs!$B$43-B2627)/(IF(Inputs!$B$38="pvp",15,MAX(0.1,Skills!D9-IF(TRUE=TRUE,Inputs!$B$32,0)))*(1-IF(AND(ArtifactsInput!$M$27,Inputs!$B$4="Chapter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$20+0+Skills!P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TRUE=TRUE,Inputs!$B$32,0)))*(1-IF(AND(ArtifactsInput!$M$27,Inputs!$B$4="Chapter Hunt"),CHOOSE(ArtifactsInput!$N$27+1,20,24,28,32,36,40),0)/100)))))/Skills!H9,1)))/Inputs!$B$43),G2600*Q2600))*IF(Inputs!$B$38="pvp",1,(1+(Inputs!$B$21+Skills!Q9+(((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Skills!G10*IF(Skills!H10&gt;0,IF(Inputs!$B$38="pvp",MIN(Skills!I10,15),Skills!I10)/Skills!H10,1)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138,MAX(0,IF(Inputs!$B$3&gt;=118,8,IF(Inputs!$B$3&gt;=110,7,5))-5)*50,0),0)/100)*(1+(IF(Skills!A10="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$20+0+Skills!P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TRUE=TRUE,Inputs!$B$32,0)))*(1-IF(AND(ArtifactsInput!$M$27,Inputs!$B$4="Chapter Hunt"),CHOOSE(ArtifactsInput!$N$27+1,20,24,28,32,36,40),0)/100)))))/Skills!H10,1)))/Inputs!$B$43),G2601*Q2601))*IF(Inputs!$B$38="pvp",1,(1+(Inputs!$B$21+Skills!Q10+(((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Skills!G11*IF(Skills!H11&gt;0,IF(Inputs!$B$38="pvp",MIN(Skills!I11,15),Skills!I11)/Skills!H11,1)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(100-(100-((Inputs!$B$19+0)))*(1-IF(Inputs!$B$3&gt;=130,IF(Inputs!$B$3&gt;=118,8,IF(Inputs!$B$3&gt;=110,7,5)),0)/100)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138,MAX(0,IF(Inputs!$B$3&gt;=118,8,IF(Inputs!$B$3&gt;=110,7,5))-5)*50,0),0)/100)*(1+(IF(Skills!A11="RAGING_BLOW",Inputs!$B$17+((C2612=TRUE)*(F2612-Calc!F21))+((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IFERROR(1/(IF(Inputs!$B$38="pvp",15,MAX(0.1,Skills!D11-IF(TRUE=TRUE,Inputs!$B$32,0)))*(1-IF(AND(ArtifactsInput!$M$27,Inputs!$B$4="Chapter Hunt"),CHOOSE(ArtifactsInput!$N$27+1,20,24,28,32,36,40),0)/100)),0)</f>
        <v/>
      </c>
      <c r="R2602">
        <f>IF(AND(Inputs!$B$38&lt;&gt;"pvp",Inputs!$B$43&gt;0),IF(MAX(0,Inputs!$B$43-B2627)&lt;=0,0,(INT(MAX(0,Inputs!$B$43-B2627)/(IF(Inputs!$B$38="pvp",15,MAX(0.1,Skills!D11-IF(TRUE=TRUE,Inputs!$B$32,0)))*(1-IF(AND(ArtifactsInput!$M$27,Inputs!$B$4="Chapter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$20+0+Skills!P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Inputs!$B$38&lt;&gt;"pvp",Inputs!$B$43=0),1,IF(IF(Inputs!$B$38="pvp",15,Inputs!$B$43)-(B2627)&lt;=0,1,MAX(0,IF(Inputs!$B$38="pvp",15,Inputs!$B$43)-MAX(5,B2627))/(IF(Inputs!$B$38="pvp",15,Inputs!$B$43)-(B2627)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TRUE=TRUE,Inputs!$B$32,0)))*(1-IF(AND(ArtifactsInput!$M$27,Inputs!$B$4="Chapter Hunt"),CHOOSE(ArtifactsInput!$N$27+1,20,24,28,32,36,40),0)/100)))))/Skills!H11,1)))/Inputs!$B$43),G2602*Q2602))*IF(Inputs!$B$38="pvp",1,(1+(Inputs!$B$21+Skills!Q11+(((C2607=TRUE)*F2607*(Skills!J16/100)*IF(AND(Inputs!$B$38&lt;&gt;"pvp",Inputs!$B$43&gt;0),(((R2607-1)*MIN((Skills!T16*(1+(Inputs!$B$34+(ArtifactsInput!$M$7-ArtifactsInput!$M$7)*CHOOSE(ArtifactsInput!$N$7+1,6,7.2,8.4,9.6,10.8,12))/100)),(1/Q2607))+MIN((Skills!T16*(1+(Inputs!$B$34+(ArtifactsInput!$M$7-ArtifactsInput!$M$7)*CHOOSE(ArtifactsInput!$N$7+1,6,7.2,8.4,9.6,10.8,12))/100)),MAX(0,Inputs!$B$43-((R2607-1)*(1/Q2607)))))/Inputs!$B$43),IF(Inputs!$B$38="pvp",MIN((Skills!T16*(1+(Inputs!$B$34+(ArtifactsInput!$M$7-ArtifactsInput!$M$7)*CHOOSE(ArtifactsInput!$N$7+1,6,7.2,8.4,9.6,10.8,12))/100)),15)/15,MIN(1,(Skills!T16*(1+(Inputs!$B$34+(ArtifactsInput!$M$7-ArtifactsInput!$M$7)*CHOOSE(ArtifactsInput!$N$7+1,6,7.2,8.4,9.6,10.8,12))/100))/(1/Q2607)))))+((C2599=TRUE)*IF(Inputs!$B$3&gt;=126,10*MIN(1,15*Q2599),0))+((C2596=TRUE)*((100/10)*(INDEX(FactorTable!$B$2:$Y$301,MATCH(ROUND(MIN(300,MAX(1,MAX(0,(Inputs!$B$3-100)*3)+Inputs!$B$28+Inputs!$B$29)),0),FactorTable!$A$2:$A$301,0),22)/1000))*(1+IF(Inputs!$B$3&gt;=134,0.5,0))*MIN(1,10*(1+(Inputs!$B$34+(ArtifactsInput!$M$7-ArtifactsInput!$M$7)*CHOOSE(ArtifactsInput!$N$7+1,6,7.2,8.4,9.6,10.8,12))/100)*Q2596)))+(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Skills!G13*IF(Skills!H13&gt;0,IF(Inputs!$B$38="pvp",MIN(Skills!I13,15),Skills!I13)/Skills!H13,1)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Skills!G14*IF(Skills!H14&gt;0,IF(Inputs!$B$38="pvp",MIN(Skills!I14,15),Skills!I14)/Skills!H14,1)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Skills!G15*IF(Skills!H15&gt;0,IF(Inputs!$B$38="pvp",MIN(Skills!I15,15),Skills!I15)/Skills!H15,1)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Skills!G16*IF(Skills!H16&gt;0,IF(Inputs!$B$38="pvp",MIN(Skills!I16,15),Skills!I16)/Skills!H16,1)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IFERROR(1/(IF(Inputs!$B$38="pvp",15,MAX(0.1,Skills!D16-IF(TRUE=TRUE,Inputs!$B$32,0)))*(1-IF(AND(ArtifactsInput!$M$27,Inputs!$B$4="Chapter Hunt"),CHOOSE(ArtifactsInput!$N$27+1,20,24,28,32,36,40),0)/100)),0)</f>
        <v/>
      </c>
      <c r="R2607">
        <f>IF(AND(Inputs!$B$38&lt;&gt;"pvp",Inputs!$B$43&gt;0),IF(Inputs!$B$43&lt;=0,0,(INT(Inputs!$B$43/(IF(Inputs!$B$38="pvp",15,MAX(0.1,Skills!D16-IF(TRUE=TRUE,Inputs!$B$32,0)))*(1-IF(AND(ArtifactsInput!$M$27,Inputs!$B$4="Chapter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Skills!G17*IF(Skills!H17&gt;0,IF(Inputs!$B$38="pvp",MIN(Skills!I17,15),Skills!I17)/Skills!H17,1)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IFERROR(1/(IF(Inputs!$B$38="pvp",15,MAX(0.1,Skills!D17-IF(TRUE=TRUE,Inputs!$B$32,0)))*(1-IF(AND(ArtifactsInput!$M$27,Inputs!$B$4="Chapter Hunt"),CHOOSE(ArtifactsInput!$N$27+1,20,24,28,32,36,40),0)/100)),0)</f>
        <v/>
      </c>
      <c r="R2608">
        <f>IF(AND(Inputs!$B$38&lt;&gt;"pvp",Inputs!$B$43&gt;0),IF(Inputs!$B$43&lt;=0,0,(INT(Inputs!$B$43/(IF(Inputs!$B$38="pvp",15,MAX(0.1,Skills!D17-IF(TRUE=TRUE,Inputs!$B$32,0)))*(1-IF(AND(ArtifactsInput!$M$27,Inputs!$B$4="Chapter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Skills!G18*IF(Skills!H18&gt;0,IF(Inputs!$B$38="pvp",MIN(Skills!I18,15),Skills!I18)/Skills!H18,1)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IFERROR(1/(IF(Inputs!$B$38="pvp",15,MAX(0.1,Skills!D18-IF(TRUE=TRUE,Inputs!$B$32,0)))*(1-IF(AND(ArtifactsInput!$M$27,Inputs!$B$4="Chapter Hunt"),CHOOSE(ArtifactsInput!$N$27+1,20,24,28,32,36,40),0)/100)),0)</f>
        <v/>
      </c>
      <c r="R2609">
        <f>IF(AND(Inputs!$B$38&lt;&gt;"pvp",Inputs!$B$43&gt;0),IF(Inputs!$B$43&lt;=0,0,(INT(Inputs!$B$43/(IF(Inputs!$B$38="pvp",15,MAX(0.1,Skills!D18-IF(TRUE=TRUE,Inputs!$B$32,0)))*(1-IF(AND(ArtifactsInput!$M$27,Inputs!$B$4="Chapter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Skills!G19*IF(Skills!H19&gt;0,IF(Inputs!$B$38="pvp",MIN(Skills!I19,15),Skills!I19)/Skills!H19,1)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IFERROR(1/(IF(Inputs!$B$38="pvp",15,MAX(0.1,Skills!D19-IF(TRUE=TRUE,Inputs!$B$32,0)))*(1-IF(AND(ArtifactsInput!$M$27,Inputs!$B$4="Chapter Hunt"),CHOOSE(ArtifactsInput!$N$27+1,20,24,28,32,36,40),0)/100)),0)</f>
        <v/>
      </c>
      <c r="R2610">
        <f>IF(AND(Inputs!$B$38&lt;&gt;"pvp",Inputs!$B$43&gt;0),IF(Inputs!$B$43&lt;=0,0,(INT(Inputs!$B$43/(IF(Inputs!$B$38="pvp",15,MAX(0.1,Skills!D19-IF(TRUE=TRUE,Inputs!$B$32,0)))*(1-IF(AND(ArtifactsInput!$M$27,Inputs!$B$4="Chapter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Skills!G20*IF(Skills!H20&gt;0,IF(Inputs!$B$38="pvp",MIN(Skills!I20,15),Skills!I20)/Skills!H20,1)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Skills!G21*IF(Skills!H21&gt;0,IF(Inputs!$B$38="pvp",MIN(Skills!I21,15),Skills!I21)/Skills!H21,1)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Skills!G22*IF(Skills!H22&gt;0,IF(Inputs!$B$38="pvp",MIN(Skills!I22,15),Skills!I22)/Skills!H22,1)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Skills!G23*IF(Skills!H23&gt;0,IF(Inputs!$B$38="pvp",MIN(Skills!I23,15),Skills!I23)/Skills!H23,1)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Skills!G24*IF(Skills!H24&gt;0,IF(Inputs!$B$38="pvp",MIN(Skills!I24,15),Skills!I24)/Skills!H24,1)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Skills!G25*IF(Skills!H25&gt;0,IF(Inputs!$B$38="pvp",MIN(Skills!I25,15),Skills!I25)/Skills!H25,1)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Skills!G26*IF(Skills!H26&gt;0,IF(Inputs!$B$38="pvp",MIN(Skills!I26,15),Skills!I26)/Skills!H26,1)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118,8,IF(Inputs!$B$3&gt;=110,7,5)))+((C2606=TRUE)*F2606*IF(AND(Inputs!$B$38&lt;&gt;"pvp",Inputs!$B$43&gt;0),(((R2606-1)*MIN((Skills!T15*(1+(Inputs!$B$34+(ArtifactsInput!$M$7-ArtifactsInput!$M$7)*CHOOSE(ArtifactsInput!$N$7+1,6,7.2,8.4,9.6,10.8,12))/100)),(1/Q2606))+MIN((Skills!T15*(1+(Inputs!$B$34+(ArtifactsInput!$M$7-ArtifactsInput!$M$7)*CHOOSE(ArtifactsInput!$N$7+1,6,7.2,8.4,9.6,10.8,12))/100)),MAX(0,Inputs!$B$43-((R2606-1)*(1/Q2606)))))/Inputs!$B$43),IF(Inputs!$B$38="pvp",MIN((Skills!T15*(1+(Inputs!$B$34+(ArtifactsInput!$M$7-ArtifactsInput!$M$7)*CHOOSE(ArtifactsInput!$N$7+1,6,7.2,8.4,9.6,10.8,12))/100)),15)/15,MIN(1,(Skills!T15*(1+(Inputs!$B$34+(ArtifactsInput!$M$7-ArtifactsInput!$M$7)*CHOOSE(ArtifactsInput!$N$7+1,6,7.2,8.4,9.6,10.8,12))/100))/(1/Q2606)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MIN((Skills!T19*(1+(Inputs!$B$34+(ArtifactsInput!$M$7-ArtifactsInput!$M$7)*CHOOSE(ArtifactsInput!$N$7+1,6,7.2,8.4,9.6,10.8,12))/100)),(1/Q2610))+MIN((Skills!T19*(1+(Inputs!$B$34+(ArtifactsInput!$M$7-ArtifactsInput!$M$7)*CHOOSE(ArtifactsInput!$N$7+1,6,7.2,8.4,9.6,10.8,12))/100)),MAX(0,Inputs!$B$43-((R2610-1)*(1/Q2610)))))/Inputs!$B$43),IF(Inputs!$B$38="pvp",MIN((Skills!T19*(1+(Inputs!$B$34+(ArtifactsInput!$M$7-ArtifactsInput!$M$7)*CHOOSE(ArtifactsInput!$N$7+1,6,7.2,8.4,9.6,10.8,12))/100)),15)/15,MIN(1,(Skills!T19*(1+(Inputs!$B$34+(ArtifactsInput!$M$7-ArtifactsInput!$M$7)*CHOOSE(ArtifactsInput!$N$7+1,6,7.2,8.4,9.6,10.8,12))/100))/(1/Q2610)))))</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MIN((Skills!T18*(1+(Inputs!$B$34+(ArtifactsInput!$M$7-ArtifactsInput!$M$7)*CHOOSE(ArtifactsInput!$N$7+1,6,7.2,8.4,9.6,10.8,12))/100)),(1/Q2609))+MIN((Skills!T18*(1+(Inputs!$B$34+(ArtifactsInput!$M$7-ArtifactsInput!$M$7)*CHOOSE(ArtifactsInput!$N$7+1,6,7.2,8.4,9.6,10.8,12))/100)),MAX(0,Inputs!$B$43-((R2609-1)*(1/Q2609)))))/Inputs!$B$43),IF(Inputs!$B$38="pvp",MIN((Skills!T18*(1+(Inputs!$B$34+(ArtifactsInput!$M$7-ArtifactsInput!$M$7)*CHOOSE(ArtifactsInput!$N$7+1,6,7.2,8.4,9.6,10.8,12))/100)),15)/15,MIN(1,(Skills!T18*(1+(Inputs!$B$34+(ArtifactsInput!$M$7-ArtifactsInput!$M$7)*CHOOSE(ArtifactsInput!$N$7+1,6,7.2,8.4,9.6,10.8,12))/100))/(1/Q2609)))))</f>
        <v/>
      </c>
    </row>
    <row r="2626">
      <c r="A2626" t="inlineStr">
        <is>
          <t>Global Final Damage Bonus % (Enrage + Combo Synergy)</t>
        </is>
      </c>
      <c r="B2626">
        <f>((C2608=TRUE)*F2608*IF(AND(Inputs!$B$38&lt;&gt;"pvp",Inputs!$B$43&gt;0),(((R2608-1)*MIN((Skills!T17*(1+(Inputs!$B$34+(ArtifactsInput!$M$7-ArtifactsInput!$M$7)*CHOOSE(ArtifactsInput!$N$7+1,6,7.2,8.4,9.6,10.8,12))/100)),(1/Q2608))+MIN((Skills!T17*(1+(Inputs!$B$34+(ArtifactsInput!$M$7-ArtifactsInput!$M$7)*CHOOSE(ArtifactsInput!$N$7+1,6,7.2,8.4,9.6,10.8,12))/100)),MAX(0,Inputs!$B$43-((R2608-1)*(1/Q2608)))))/Inputs!$B$43),IF(Inputs!$B$38="pvp",MIN((Skills!T17*(1+(Inputs!$B$34+(ArtifactsInput!$M$7-ArtifactsInput!$M$7)*CHOOSE(ArtifactsInput!$N$7+1,6,7.2,8.4,9.6,10.8,12))/100)),15)/15,MIN(1,(Skills!T17*(1+(Inputs!$B$34+(ArtifactsInput!$M$7-ArtifactsInput!$M$7)*CHOOSE(ArtifactsInput!$N$7+1,6,7.2,8.4,9.6,10.8,12))/100))/(1/Q2608)))))+((C2605=TRUE)*F2605*IF(Inputs!$B$3&gt;=118,8,IF(Inputs!$B$3&gt;=110,7,5)))+IF(Inputs!$B$3&gt;=98,5,0)</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Skills!G2*IF(Skills!H2&gt;0,IF(Inputs!$B$38="pvp",MIN(Skills!I2,15),Skills!I2)/Skills!H2,1)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Skills!G5*IF(Skills!H5&gt;0,IF(Inputs!$B$38="pvp",MIN(Skills!I5,15),Skills!I5)/Skills!H5,1)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IFERROR(1/(IF(Inputs!$B$38="pvp",15,MAX(0.1,Skills!D5-IF(TRUE=TRUE,Inputs!$B$32,0)))*(1-IF(AND(ArtifactsInput!$M$27,Inputs!$B$4="Chapter Hunt"),CHOOSE(ArtifactsInput!$N$27+1,20,24,28,32,36,40),0)/100)),0)</f>
        <v/>
      </c>
      <c r="R2638">
        <f>IF(AND(Inputs!$B$38&lt;&gt;"pvp",Inputs!$B$43&gt;0),IF(MAX(0,Inputs!$B$43-B2669)&lt;=0,0,(INT(MAX(0,Inputs!$B$43-B2669)/(IF(Inputs!$B$38="pvp",15,MAX(0.1,Skills!D5-IF(TRUE=TRUE,Inputs!$B$32,0)))*(1-IF(AND(ArtifactsInput!$M$27,Inputs!$B$4="Chapter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$20+0+Skills!P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TRUE=TRUE,Inputs!$B$32,0)))*(1-IF(AND(ArtifactsInput!$M$27,Inputs!$B$4="Chapter Hunt"),CHOOSE(ArtifactsInput!$N$27+1,20,24,28,32,36,40),0)/100)))))/Skills!H5,1)))/Inputs!$B$43),G2638*Q2638))*IF(Inputs!$B$38="pvp",1,(1+(Inputs!$B$21+Skills!Q5+(((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Skills!G6*IF(Skills!H6&gt;0,IF(Inputs!$B$38="pvp",MIN(Skills!I6,15),Skills!I6)/Skills!H6,1)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IFERROR(1/(IF(Inputs!$B$38="pvp",15,MAX(0.1,Skills!D6-IF(TRUE=TRUE,Inputs!$B$32,0)))*(1-IF(AND(ArtifactsInput!$M$27,Inputs!$B$4="Chapter Hunt"),CHOOSE(ArtifactsInput!$N$27+1,20,24,28,32,36,40),0)/100)),0)</f>
        <v/>
      </c>
      <c r="R2639">
        <f>IF(AND(Inputs!$B$38&lt;&gt;"pvp",Inputs!$B$43&gt;0),IF(MAX(0,Inputs!$B$43-B2669)&lt;=0,0,(INT(MAX(0,Inputs!$B$43-B2669)/(IF(Inputs!$B$38="pvp",15,MAX(0.1,Skills!D6-IF(TRUE=TRUE,Inputs!$B$32,0)))*(1-IF(AND(ArtifactsInput!$M$27,Inputs!$B$4="Chapter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$20+0+Skills!P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TRUE=TRUE,Inputs!$B$32,0)))*(1-IF(AND(ArtifactsInput!$M$27,Inputs!$B$4="Chapter Hunt"),CHOOSE(ArtifactsInput!$N$27+1,20,24,28,32,36,40),0)/100)))))/Skills!H6,1)))/Inputs!$B$43),G2639*Q2639))*IF(Inputs!$B$38="pvp",1,(1+(Inputs!$B$21+Skills!Q6+(((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Skills!G7*IF(Skills!H7&gt;0,IF(Inputs!$B$38="pvp",MIN(Skills!I7,15),Skills!I7)/Skills!H7,1)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IFERROR(1/(IF(Inputs!$B$38="pvp",15,MAX(0.1,Skills!D7-IF(TRUE=TRUE,Inputs!$B$32,0)))*(1-IF(AND(ArtifactsInput!$M$27,Inputs!$B$4="Chapter Hunt"),CHOOSE(ArtifactsInput!$N$27+1,20,24,28,32,36,40),0)/100)),0)</f>
        <v/>
      </c>
      <c r="R2640">
        <f>IF(AND(Inputs!$B$38&lt;&gt;"pvp",Inputs!$B$43&gt;0),IF(MAX(0,Inputs!$B$43-B2669)&lt;=0,0,(INT(MAX(0,Inputs!$B$43-B2669)/(IF(Inputs!$B$38="pvp",15,MAX(0.1,Skills!D7-IF(TRUE=TRUE,Inputs!$B$32,0)))*(1-IF(AND(ArtifactsInput!$M$27,Inputs!$B$4="Chapter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$20+0+Skills!P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TRUE=TRUE,Inputs!$B$32,0)))*(1-IF(AND(ArtifactsInput!$M$27,Inputs!$B$4="Chapter Hunt"),CHOOSE(ArtifactsInput!$N$27+1,20,24,28,32,36,40),0)/100)))))/Skills!H7,1)))/Inputs!$B$43),G2640*Q2640))*IF(Inputs!$B$38="pvp",1,(1+(Inputs!$B$21+Skills!Q7+(((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Skills!G8*IF(Skills!H8&gt;0,IF(Inputs!$B$38="pvp",MIN(Skills!I8,15),Skills!I8)/Skills!H8,1)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IFERROR(1/(IF(Inputs!$B$38="pvp",15,MAX(0.1,Skills!D8-IF(TRUE=TRUE,Inputs!$B$32,0)))*(1-IF(AND(ArtifactsInput!$M$27,Inputs!$B$4="Chapter Hunt"),CHOOSE(ArtifactsInput!$N$27+1,20,24,28,32,36,40),0)/100)),0)</f>
        <v/>
      </c>
      <c r="R2641">
        <f>IF(AND(Inputs!$B$38&lt;&gt;"pvp",Inputs!$B$43&gt;0),IF(MAX(0,Inputs!$B$43-B2669)&lt;=0,0,(INT(MAX(0,Inputs!$B$43-B2669)/(IF(Inputs!$B$38="pvp",15,MAX(0.1,Skills!D8-IF(TRUE=TRUE,Inputs!$B$32,0)))*(1-IF(AND(ArtifactsInput!$M$27,Inputs!$B$4="Chapter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$20+0+Skills!P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TRUE=TRUE,Inputs!$B$32,0)))*(1-IF(AND(ArtifactsInput!$M$27,Inputs!$B$4="Chapter Hunt"),CHOOSE(ArtifactsInput!$N$27+1,20,24,28,32,36,40),0)/100)))))/Skills!H8,1)))/Inputs!$B$43),G2641*Q2641))*IF(Inputs!$B$38="pvp",1,(1+(Inputs!$B$21+Skills!Q8+(((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Skills!G9*IF(Skills!H9&gt;0,IF(Inputs!$B$38="pvp",MIN(Skills!I9,15),Skills!I9)/Skills!H9,1)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138,MAX(0,IF(Inputs!$B$3&gt;=118,8,IF(Inputs!$B$3&gt;=110,7,5))-5)*50,0),0)/100)*(1+(IF(Skills!A9="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IFERROR(1/(IF(Inputs!$B$38="pvp",15,MAX(0.1,Skills!D9-IF(TRUE=TRUE,Inputs!$B$32,0)))*(1-IF(AND(ArtifactsInput!$M$27,Inputs!$B$4="Chapter Hunt"),CHOOSE(ArtifactsInput!$N$27+1,20,24,28,32,36,40),0)/100)),0)</f>
        <v/>
      </c>
      <c r="R2642">
        <f>IF(AND(Inputs!$B$38&lt;&gt;"pvp",Inputs!$B$43&gt;0),IF(MAX(0,Inputs!$B$43-B2669)&lt;=0,0,(INT(MAX(0,Inputs!$B$43-B2669)/(IF(Inputs!$B$38="pvp",15,MAX(0.1,Skills!D9-IF(TRUE=TRUE,Inputs!$B$32,0)))*(1-IF(AND(ArtifactsInput!$M$27,Inputs!$B$4="Chapter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TRUE=TRUE,Inputs!$B$32,0)))*(1-IF(AND(ArtifactsInput!$M$27,Inputs!$B$4="Chapter Hunt"),CHOOSE(ArtifactsInput!$N$27+1,20,24,28,32,36,40),0)/100)))))/Skills!H9,1)))/Inputs!$B$43),G2642*Q2642))*IF(Inputs!$B$38="pvp",1,1+(Inputs!$B$20+0+Skills!P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TRUE=TRUE,Inputs!$B$32,0)))*(1-IF(AND(ArtifactsInput!$M$27,Inputs!$B$4="Chapter Hunt"),CHOOSE(ArtifactsInput!$N$27+1,20,24,28,32,36,40),0)/100)))))/Skills!H9,1)))/Inputs!$B$43),G2642*Q2642))*IF(Inputs!$B$38="pvp",1,(1+(Inputs!$B$21+Skills!Q9+(((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Skills!G10*IF(Skills!H10&gt;0,IF(Inputs!$B$38="pvp",MIN(Skills!I10,15),Skills!I10)/Skills!H10,1)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138,MAX(0,IF(Inputs!$B$3&gt;=118,8,IF(Inputs!$B$3&gt;=110,7,5))-5)*50,0),0)/100)*(1+(IF(Skills!A10="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IFERROR(1/(IF(Inputs!$B$38="pvp",15,MAX(0.1,Skills!D10-IF(TRUE=TRUE,Inputs!$B$32,0)))*(1-IF(AND(ArtifactsInput!$M$27,Inputs!$B$4="Chapter Hunt"),CHOOSE(ArtifactsInput!$N$27+1,20,24,28,32,36,40),0)/100)),0)</f>
        <v/>
      </c>
      <c r="R2643">
        <f>IF(AND(Inputs!$B$38&lt;&gt;"pvp",Inputs!$B$43&gt;0),IF(MAX(0,Inputs!$B$43-B2669)&lt;=0,0,(INT(MAX(0,Inputs!$B$43-B2669)/(IF(Inputs!$B$38="pvp",15,MAX(0.1,Skills!D10-IF(TRUE=TRUE,Inputs!$B$32,0)))*(1-IF(AND(ArtifactsInput!$M$27,Inputs!$B$4="Chapter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$20+0+Skills!P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TRUE=TRUE,Inputs!$B$32,0)))*(1-IF(AND(ArtifactsInput!$M$27,Inputs!$B$4="Chapter Hunt"),CHOOSE(ArtifactsInput!$N$27+1,20,24,28,32,36,40),0)/100)))))/Skills!H10,1)))/Inputs!$B$43),G2643*Q2643))*IF(Inputs!$B$38="pvp",1,(1+(Inputs!$B$21+Skills!Q10+(((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Skills!G11*IF(Skills!H11&gt;0,IF(Inputs!$B$38="pvp",MIN(Skills!I11,15),Skills!I11)/Skills!H11,1)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(100-(100-((Inputs!$B$19+0)))*(1-IF(Inputs!$B$3&gt;=130,IF(Inputs!$B$3&gt;=118,8,IF(Inputs!$B$3&gt;=110,7,5)),0)/100)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138,MAX(0,IF(Inputs!$B$3&gt;=118,8,IF(Inputs!$B$3&gt;=110,7,5))-5)*50,0),0)/100)*(1+(IF(Skills!A11="RAGING_BLOW",Inputs!$B$17+((C2654=TRUE)*(F2654-Calc!F21))+((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IFERROR(1/(IF(Inputs!$B$38="pvp",15,MAX(0.1,Skills!D11-IF(TRUE=TRUE,Inputs!$B$32,0)))*(1-IF(AND(ArtifactsInput!$M$27,Inputs!$B$4="Chapter Hunt"),CHOOSE(ArtifactsInput!$N$27+1,20,24,28,32,36,40),0)/100)),0)</f>
        <v/>
      </c>
      <c r="R2644">
        <f>IF(AND(Inputs!$B$38&lt;&gt;"pvp",Inputs!$B$43&gt;0),IF(MAX(0,Inputs!$B$43-B2669)&lt;=0,0,(INT(MAX(0,Inputs!$B$43-B2669)/(IF(Inputs!$B$38="pvp",15,MAX(0.1,Skills!D11-IF(TRUE=TRUE,Inputs!$B$32,0)))*(1-IF(AND(ArtifactsInput!$M$27,Inputs!$B$4="Chapter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$20+0+Skills!P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nputs!$B$38&lt;&gt;"pvp",Inputs!$B$43=0),1,IF(IF(Inputs!$B$38="pvp",15,Inputs!$B$43)-(B2669)&lt;=0,1,MAX(0,IF(Inputs!$B$38="pvp",15,Inputs!$B$43)-MAX(5,B2669))/(IF(Inputs!$B$38="pvp",15,Inputs!$B$43)-(B2669))))*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TRUE=TRUE,Inputs!$B$32,0)))*(1-IF(AND(ArtifactsInput!$M$27,Inputs!$B$4="Chapter Hunt"),CHOOSE(ArtifactsInput!$N$27+1,20,24,28,32,36,40),0)/100)))))/Skills!H11,1)))/Inputs!$B$43),G2644*Q2644))*IF(Inputs!$B$38="pvp",1,(1+(Inputs!$B$21+Skills!Q11+(((C2649=TRUE)*F2649*(Skills!J16/100)*IF(AND(Inputs!$B$38&lt;&gt;"pvp",Inputs!$B$43&gt;0),(((R2649-1)*MIN((Skills!T16*(1+(Inputs!$B$34+(ArtifactsInput!$M$7-ArtifactsInput!$M$7)*CHOOSE(ArtifactsInput!$N$7+1,6,7.2,8.4,9.6,10.8,12))/100)),(1/Q2649))+MIN((Skills!T16*(1+(Inputs!$B$34+(ArtifactsInput!$M$7-ArtifactsInput!$M$7)*CHOOSE(ArtifactsInput!$N$7+1,6,7.2,8.4,9.6,10.8,12))/100)),MAX(0,Inputs!$B$43-((R2649-1)*(1/Q2649)))))/Inputs!$B$43),IF(Inputs!$B$38="pvp",MIN((Skills!T16*(1+(Inputs!$B$34+(ArtifactsInput!$M$7-ArtifactsInput!$M$7)*CHOOSE(ArtifactsInput!$N$7+1,6,7.2,8.4,9.6,10.8,12))/100)),15)/15,MIN(1,(Skills!T16*(1+(Inputs!$B$34+(ArtifactsInput!$M$7-ArtifactsInput!$M$7)*CHOOSE(ArtifactsInput!$N$7+1,6,7.2,8.4,9.6,10.8,12))/100))/(1/Q2649)))))+((C2641=TRUE)*IF(Inputs!$B$3&gt;=126,10*MIN(1,15*Q2641),0))+((C2638=TRUE)*((100/10)*(INDEX(FactorTable!$B$2:$Y$301,MATCH(ROUND(MIN(300,MAX(1,MAX(0,(Inputs!$B$3-100)*3)+Inputs!$B$28+Inputs!$B$29)),0),FactorTable!$A$2:$A$301,0),22)/1000))*(1+IF(Inputs!$B$3&gt;=134,0.5,0))*MIN(1,10*(1+(Inputs!$B$34+(ArtifactsInput!$M$7-ArtifactsInput!$M$7)*CHOOSE(ArtifactsInput!$N$7+1,6,7.2,8.4,9.6,10.8,12))/100)*Q2638)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Skills!G13*IF(Skills!H13&gt;0,IF(Inputs!$B$38="pvp",MIN(Skills!I13,15),Skills!I13)/Skills!H13,1)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Skills!G14*IF(Skills!H14&gt;0,IF(Inputs!$B$38="pvp",MIN(Skills!I14,15),Skills!I14)/Skills!H14,1)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Skills!G15*IF(Skills!H15&gt;0,IF(Inputs!$B$38="pvp",MIN(Skills!I15,15),Skills!I15)/Skills!H15,1)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IFERROR(1/(IF(Inputs!$B$38="pvp",15,MAX(0.1,Skills!D15-IF(TRUE=TRUE,Inputs!$B$32,0)))*(1-IF(AND(ArtifactsInput!$M$27,Inputs!$B$4="Chapter Hunt"),CHOOSE(ArtifactsInput!$N$27+1,20,24,28,32,36,40),0)/100)),0)</f>
        <v/>
      </c>
      <c r="R2648">
        <f>IF(AND(Inputs!$B$38&lt;&gt;"pvp",Inputs!$B$43&gt;0),IF(Inputs!$B$43&lt;=0,0,(INT(Inputs!$B$43/(IF(Inputs!$B$38="pvp",15,MAX(0.1,Skills!D15-IF(TRUE=TRUE,Inputs!$B$32,0)))*(1-IF(AND(ArtifactsInput!$M$27,Inputs!$B$4="Chapter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Skills!G16*IF(Skills!H16&gt;0,IF(Inputs!$B$38="pvp",MIN(Skills!I16,15),Skills!I16)/Skills!H16,1)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IFERROR(1/(IF(Inputs!$B$38="pvp",15,MAX(0.1,Skills!D16-IF(TRUE=TRUE,Inputs!$B$32,0)))*(1-IF(AND(ArtifactsInput!$M$27,Inputs!$B$4="Chapter Hunt"),CHOOSE(ArtifactsInput!$N$27+1,20,24,28,32,36,40),0)/100)),0)</f>
        <v/>
      </c>
      <c r="R2649">
        <f>IF(AND(Inputs!$B$38&lt;&gt;"pvp",Inputs!$B$43&gt;0),IF(Inputs!$B$43&lt;=0,0,(INT(Inputs!$B$43/(IF(Inputs!$B$38="pvp",15,MAX(0.1,Skills!D16-IF(TRUE=TRUE,Inputs!$B$32,0)))*(1-IF(AND(ArtifactsInput!$M$27,Inputs!$B$4="Chapter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Skills!G17*IF(Skills!H17&gt;0,IF(Inputs!$B$38="pvp",MIN(Skills!I17,15),Skills!I17)/Skills!H17,1)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IFERROR(1/(IF(Inputs!$B$38="pvp",15,MAX(0.1,Skills!D17-IF(TRUE=TRUE,Inputs!$B$32,0)))*(1-IF(AND(ArtifactsInput!$M$27,Inputs!$B$4="Chapter Hunt"),CHOOSE(ArtifactsInput!$N$27+1,20,24,28,32,36,40),0)/100)),0)</f>
        <v/>
      </c>
      <c r="R2650">
        <f>IF(AND(Inputs!$B$38&lt;&gt;"pvp",Inputs!$B$43&gt;0),IF(Inputs!$B$43&lt;=0,0,(INT(Inputs!$B$43/(IF(Inputs!$B$38="pvp",15,MAX(0.1,Skills!D17-IF(TRUE=TRUE,Inputs!$B$32,0)))*(1-IF(AND(ArtifactsInput!$M$27,Inputs!$B$4="Chapter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Skills!G18*IF(Skills!H18&gt;0,IF(Inputs!$B$38="pvp",MIN(Skills!I18,15),Skills!I18)/Skills!H18,1)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IFERROR(1/(IF(Inputs!$B$38="pvp",15,MAX(0.1,Skills!D18-IF(TRUE=TRUE,Inputs!$B$32,0)))*(1-IF(AND(ArtifactsInput!$M$27,Inputs!$B$4="Chapter Hunt"),CHOOSE(ArtifactsInput!$N$27+1,20,24,28,32,36,40),0)/100)),0)</f>
        <v/>
      </c>
      <c r="R2651">
        <f>IF(AND(Inputs!$B$38&lt;&gt;"pvp",Inputs!$B$43&gt;0),IF(Inputs!$B$43&lt;=0,0,(INT(Inputs!$B$43/(IF(Inputs!$B$38="pvp",15,MAX(0.1,Skills!D18-IF(TRUE=TRUE,Inputs!$B$32,0)))*(1-IF(AND(ArtifactsInput!$M$27,Inputs!$B$4="Chapter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Skills!G19*IF(Skills!H19&gt;0,IF(Inputs!$B$38="pvp",MIN(Skills!I19,15),Skills!I19)/Skills!H19,1)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IFERROR(1/(IF(Inputs!$B$38="pvp",15,MAX(0.1,Skills!D19-IF(TRUE=TRUE,Inputs!$B$32,0)))*(1-IF(AND(ArtifactsInput!$M$27,Inputs!$B$4="Chapter Hunt"),CHOOSE(ArtifactsInput!$N$27+1,20,24,28,32,36,40),0)/100)),0)</f>
        <v/>
      </c>
      <c r="R2652">
        <f>IF(AND(Inputs!$B$38&lt;&gt;"pvp",Inputs!$B$43&gt;0),IF(Inputs!$B$43&lt;=0,0,(INT(Inputs!$B$43/(IF(Inputs!$B$38="pvp",15,MAX(0.1,Skills!D19-IF(TRUE=TRUE,Inputs!$B$32,0)))*(1-IF(AND(ArtifactsInput!$M$27,Inputs!$B$4="Chapter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Skills!G20*IF(Skills!H20&gt;0,IF(Inputs!$B$38="pvp",MIN(Skills!I20,15),Skills!I20)/Skills!H20,1)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Skills!G21*IF(Skills!H21&gt;0,IF(Inputs!$B$38="pvp",MIN(Skills!I21,15),Skills!I21)/Skills!H21,1)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Skills!G22*IF(Skills!H22&gt;0,IF(Inputs!$B$38="pvp",MIN(Skills!I22,15),Skills!I22)/Skills!H22,1)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Skills!G23*IF(Skills!H23&gt;0,IF(Inputs!$B$38="pvp",MIN(Skills!I23,15),Skills!I23)/Skills!H23,1)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Skills!G24*IF(Skills!H24&gt;0,IF(Inputs!$B$38="pvp",MIN(Skills!I24,15),Skills!I24)/Skills!H24,1)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Skills!G25*IF(Skills!H25&gt;0,IF(Inputs!$B$38="pvp",MIN(Skills!I25,15),Skills!I25)/Skills!H25,1)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Skills!G26*IF(Skills!H26&gt;0,IF(Inputs!$B$38="pvp",MIN(Skills!I26,15),Skills!I26)/Skills!H26,1)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118,8,IF(Inputs!$B$3&gt;=110,7,5)))+((C2648=TRUE)*F2648*IF(AND(Inputs!$B$38&lt;&gt;"pvp",Inputs!$B$43&gt;0),(((R2648-1)*MIN((Skills!T15*(1+(Inputs!$B$34+(ArtifactsInput!$M$7-ArtifactsInput!$M$7)*CHOOSE(ArtifactsInput!$N$7+1,6,7.2,8.4,9.6,10.8,12))/100)),(1/Q2648))+MIN((Skills!T15*(1+(Inputs!$B$34+(ArtifactsInput!$M$7-ArtifactsInput!$M$7)*CHOOSE(ArtifactsInput!$N$7+1,6,7.2,8.4,9.6,10.8,12))/100)),MAX(0,Inputs!$B$43-((R2648-1)*(1/Q2648)))))/Inputs!$B$43),IF(Inputs!$B$38="pvp",MIN((Skills!T15*(1+(Inputs!$B$34+(ArtifactsInput!$M$7-ArtifactsInput!$M$7)*CHOOSE(ArtifactsInput!$N$7+1,6,7.2,8.4,9.6,10.8,12))/100)),15)/15,MIN(1,(Skills!T15*(1+(Inputs!$B$34+(ArtifactsInput!$M$7-ArtifactsInput!$M$7)*CHOOSE(ArtifactsInput!$N$7+1,6,7.2,8.4,9.6,10.8,12))/100))/(1/Q2648)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MIN((Skills!T19*(1+(Inputs!$B$34+(ArtifactsInput!$M$7-ArtifactsInput!$M$7)*CHOOSE(ArtifactsInput!$N$7+1,6,7.2,8.4,9.6,10.8,12))/100)),(1/Q2652))+MIN((Skills!T19*(1+(Inputs!$B$34+(ArtifactsInput!$M$7-ArtifactsInput!$M$7)*CHOOSE(ArtifactsInput!$N$7+1,6,7.2,8.4,9.6,10.8,12))/100)),MAX(0,Inputs!$B$43-((R2652-1)*(1/Q2652)))))/Inputs!$B$43),IF(Inputs!$B$38="pvp",MIN((Skills!T19*(1+(Inputs!$B$34+(ArtifactsInput!$M$7-ArtifactsInput!$M$7)*CHOOSE(ArtifactsInput!$N$7+1,6,7.2,8.4,9.6,10.8,12))/100)),15)/15,MIN(1,(Skills!T19*(1+(Inputs!$B$34+(ArtifactsInput!$M$7-ArtifactsInput!$M$7)*CHOOSE(ArtifactsInput!$N$7+1,6,7.2,8.4,9.6,10.8,12))/100))/(1/Q2652)))))</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MIN((Skills!T18*(1+(Inputs!$B$34+(ArtifactsInput!$M$7-ArtifactsInput!$M$7)*CHOOSE(ArtifactsInput!$N$7+1,6,7.2,8.4,9.6,10.8,12))/100)),(1/Q2651))+MIN((Skills!T18*(1+(Inputs!$B$34+(ArtifactsInput!$M$7-ArtifactsInput!$M$7)*CHOOSE(ArtifactsInput!$N$7+1,6,7.2,8.4,9.6,10.8,12))/100)),MAX(0,Inputs!$B$43-((R2651-1)*(1/Q2651)))))/Inputs!$B$43),IF(Inputs!$B$38="pvp",MIN((Skills!T18*(1+(Inputs!$B$34+(ArtifactsInput!$M$7-ArtifactsInput!$M$7)*CHOOSE(ArtifactsInput!$N$7+1,6,7.2,8.4,9.6,10.8,12))/100)),15)/15,MIN(1,(Skills!T18*(1+(Inputs!$B$34+(ArtifactsInput!$M$7-ArtifactsInput!$M$7)*CHOOSE(ArtifactsInput!$N$7+1,6,7.2,8.4,9.6,10.8,12))/100))/(1/Q2651)))))</f>
        <v/>
      </c>
    </row>
    <row r="2668">
      <c r="A2668" t="inlineStr">
        <is>
          <t>Global Final Damage Bonus % (Enrage + Combo Synergy)</t>
        </is>
      </c>
      <c r="B2668">
        <f>((C2650=TRUE)*F2650*IF(AND(Inputs!$B$38&lt;&gt;"pvp",Inputs!$B$43&gt;0),(((R2650-1)*MIN((Skills!T17*(1+(Inputs!$B$34+(ArtifactsInput!$M$7-ArtifactsInput!$M$7)*CHOOSE(ArtifactsInput!$N$7+1,6,7.2,8.4,9.6,10.8,12))/100)),(1/Q2650))+MIN((Skills!T17*(1+(Inputs!$B$34+(ArtifactsInput!$M$7-ArtifactsInput!$M$7)*CHOOSE(ArtifactsInput!$N$7+1,6,7.2,8.4,9.6,10.8,12))/100)),MAX(0,Inputs!$B$43-((R2650-1)*(1/Q2650)))))/Inputs!$B$43),IF(Inputs!$B$38="pvp",MIN((Skills!T17*(1+(Inputs!$B$34+(ArtifactsInput!$M$7-ArtifactsInput!$M$7)*CHOOSE(ArtifactsInput!$N$7+1,6,7.2,8.4,9.6,10.8,12))/100)),15)/15,MIN(1,(Skills!T17*(1+(Inputs!$B$34+(ArtifactsInput!$M$7-ArtifactsInput!$M$7)*CHOOSE(ArtifactsInput!$N$7+1,6,7.2,8.4,9.6,10.8,12))/100))/(1/Q2650)))))+((C2647=TRUE)*F2647*IF(Inputs!$B$3&gt;=118,8,IF(Inputs!$B$3&gt;=110,7,5)))+IF(Inputs!$B$3&gt;=98,5,0)</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Skills!G2*IF(Skills!H2&gt;0,IF(Inputs!$B$38="pvp",MIN(Skills!I2,15),Skills!I2)/Skills!H2,1)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Skills!G5*IF(Skills!H5&gt;0,IF(Inputs!$B$38="pvp",MIN(Skills!I5,15),Skills!I5)/Skills!H5,1)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IFERROR(1/(IF(Inputs!$B$38="pvp",15,MAX(0.1,Skills!D5-IF(TRUE=TRUE,0.5,0)))*(1-IF(AND(ArtifactsInput!$M$27,Inputs!$B$4="Chapter Hunt"),CHOOSE(ArtifactsInput!$N$27+1,20,24,28,32,36,40),0)/100)),0)</f>
        <v/>
      </c>
      <c r="R2694">
        <f>IF(AND(Inputs!$B$38&lt;&gt;"pvp",Inputs!$B$43&gt;0),IF(MAX(0,Inputs!$B$43-B2725)&lt;=0,0,(INT(MAX(0,Inputs!$B$43-B2725)/(IF(Inputs!$B$38="pvp",15,MAX(0.1,Skills!D5-IF(TRUE=TRUE,0.5,0)))*(1-IF(AND(ArtifactsInput!$M$27,Inputs!$B$4="Chapter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$20+0+Skills!P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TRUE=TRUE,0.5,0)))*(1-IF(AND(ArtifactsInput!$M$27,Inputs!$B$4="Chapter Hunt"),CHOOSE(ArtifactsInput!$N$27+1,20,24,28,32,36,40),0)/100)))))/Skills!H5,1)))/Inputs!$B$43),G2694*Q2694))*IF(Inputs!$B$38="pvp",1,(1+(Inputs!$B$21+Skills!Q5+(((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Skills!G6*IF(Skills!H6&gt;0,IF(Inputs!$B$38="pvp",MIN(Skills!I6,15),Skills!I6)/Skills!H6,1)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IFERROR(1/(IF(Inputs!$B$38="pvp",15,MAX(0.1,Skills!D6-IF(TRUE=TRUE,0.5,0)))*(1-IF(AND(ArtifactsInput!$M$27,Inputs!$B$4="Chapter Hunt"),CHOOSE(ArtifactsInput!$N$27+1,20,24,28,32,36,40),0)/100)),0)</f>
        <v/>
      </c>
      <c r="R2695">
        <f>IF(AND(Inputs!$B$38&lt;&gt;"pvp",Inputs!$B$43&gt;0),IF(MAX(0,Inputs!$B$43-B2725)&lt;=0,0,(INT(MAX(0,Inputs!$B$43-B2725)/(IF(Inputs!$B$38="pvp",15,MAX(0.1,Skills!D6-IF(TRUE=TRUE,0.5,0)))*(1-IF(AND(ArtifactsInput!$M$27,Inputs!$B$4="Chapter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$20+0+Skills!P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TRUE=TRUE,0.5,0)))*(1-IF(AND(ArtifactsInput!$M$27,Inputs!$B$4="Chapter Hunt"),CHOOSE(ArtifactsInput!$N$27+1,20,24,28,32,36,40),0)/100)))))/Skills!H6,1)))/Inputs!$B$43),G2695*Q2695))*IF(Inputs!$B$38="pvp",1,(1+(Inputs!$B$21+Skills!Q6+(((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Skills!G7*IF(Skills!H7&gt;0,IF(Inputs!$B$38="pvp",MIN(Skills!I7,15),Skills!I7)/Skills!H7,1)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IFERROR(1/(IF(Inputs!$B$38="pvp",15,MAX(0.1,Skills!D7-IF(TRUE=TRUE,0.5,0)))*(1-IF(AND(ArtifactsInput!$M$27,Inputs!$B$4="Chapter Hunt"),CHOOSE(ArtifactsInput!$N$27+1,20,24,28,32,36,40),0)/100)),0)</f>
        <v/>
      </c>
      <c r="R2696">
        <f>IF(AND(Inputs!$B$38&lt;&gt;"pvp",Inputs!$B$43&gt;0),IF(MAX(0,Inputs!$B$43-B2725)&lt;=0,0,(INT(MAX(0,Inputs!$B$43-B2725)/(IF(Inputs!$B$38="pvp",15,MAX(0.1,Skills!D7-IF(TRUE=TRUE,0.5,0)))*(1-IF(AND(ArtifactsInput!$M$27,Inputs!$B$4="Chapter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$20+0+Skills!P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TRUE=TRUE,0.5,0)))*(1-IF(AND(ArtifactsInput!$M$27,Inputs!$B$4="Chapter Hunt"),CHOOSE(ArtifactsInput!$N$27+1,20,24,28,32,36,40),0)/100)))))/Skills!H7,1)))/Inputs!$B$43),G2696*Q2696))*IF(Inputs!$B$38="pvp",1,(1+(Inputs!$B$21+Skills!Q7+(((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Skills!G8*IF(Skills!H8&gt;0,IF(Inputs!$B$38="pvp",MIN(Skills!I8,15),Skills!I8)/Skills!H8,1)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IFERROR(1/(IF(Inputs!$B$38="pvp",15,MAX(0.1,Skills!D8-IF(TRUE=TRUE,0.5,0)))*(1-IF(AND(ArtifactsInput!$M$27,Inputs!$B$4="Chapter Hunt"),CHOOSE(ArtifactsInput!$N$27+1,20,24,28,32,36,40),0)/100)),0)</f>
        <v/>
      </c>
      <c r="R2697">
        <f>IF(AND(Inputs!$B$38&lt;&gt;"pvp",Inputs!$B$43&gt;0),IF(MAX(0,Inputs!$B$43-B2725)&lt;=0,0,(INT(MAX(0,Inputs!$B$43-B2725)/(IF(Inputs!$B$38="pvp",15,MAX(0.1,Skills!D8-IF(TRUE=TRUE,0.5,0)))*(1-IF(AND(ArtifactsInput!$M$27,Inputs!$B$4="Chapter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$20+0+Skills!P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TRUE=TRUE,0.5,0)))*(1-IF(AND(ArtifactsInput!$M$27,Inputs!$B$4="Chapter Hunt"),CHOOSE(ArtifactsInput!$N$27+1,20,24,28,32,36,40),0)/100)))))/Skills!H8,1)))/Inputs!$B$43),G2697*Q2697))*IF(Inputs!$B$38="pvp",1,(1+(Inputs!$B$21+Skills!Q8+(((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Skills!G9*IF(Skills!H9&gt;0,IF(Inputs!$B$38="pvp",MIN(Skills!I9,15),Skills!I9)/Skills!H9,1)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138,MAX(0,IF(Inputs!$B$3&gt;=118,8,IF(Inputs!$B$3&gt;=110,7,5))-5)*50,0),0)/100)*(1+(IF(Skills!A9="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IFERROR(1/(IF(Inputs!$B$38="pvp",15,MAX(0.1,Skills!D9-IF(TRUE=TRUE,0.5,0)))*(1-IF(AND(ArtifactsInput!$M$27,Inputs!$B$4="Chapter Hunt"),CHOOSE(ArtifactsInput!$N$27+1,20,24,28,32,36,40),0)/100)),0)</f>
        <v/>
      </c>
      <c r="R2698">
        <f>IF(AND(Inputs!$B$38&lt;&gt;"pvp",Inputs!$B$43&gt;0),IF(MAX(0,Inputs!$B$43-B2725)&lt;=0,0,(INT(MAX(0,Inputs!$B$43-B2725)/(IF(Inputs!$B$38="pvp",15,MAX(0.1,Skills!D9-IF(TRUE=TRUE,0.5,0)))*(1-IF(AND(ArtifactsInput!$M$27,Inputs!$B$4="Chapter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TRUE=TRUE,0.5,0)))*(1-IF(AND(ArtifactsInput!$M$27,Inputs!$B$4="Chapter Hunt"),CHOOSE(ArtifactsInput!$N$27+1,20,24,28,32,36,40),0)/100)))))/Skills!H9,1)))/Inputs!$B$43),G2698*Q2698))*IF(Inputs!$B$38="pvp",1,1+(Inputs!$B$20+0+Skills!P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TRUE=TRUE,0.5,0)))*(1-IF(AND(ArtifactsInput!$M$27,Inputs!$B$4="Chapter Hunt"),CHOOSE(ArtifactsInput!$N$27+1,20,24,28,32,36,40),0)/100)))))/Skills!H9,1)))/Inputs!$B$43),G2698*Q2698))*IF(Inputs!$B$38="pvp",1,(1+(Inputs!$B$21+Skills!Q9+(((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Skills!G10*IF(Skills!H10&gt;0,IF(Inputs!$B$38="pvp",MIN(Skills!I10,15),Skills!I10)/Skills!H10,1)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138,MAX(0,IF(Inputs!$B$3&gt;=118,8,IF(Inputs!$B$3&gt;=110,7,5))-5)*50,0),0)/100)*(1+(IF(Skills!A10="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IFERROR(1/(IF(Inputs!$B$38="pvp",15,MAX(0.1,Skills!D10-IF(TRUE=TRUE,0.5,0)))*(1-IF(AND(ArtifactsInput!$M$27,Inputs!$B$4="Chapter Hunt"),CHOOSE(ArtifactsInput!$N$27+1,20,24,28,32,36,40),0)/100)),0)</f>
        <v/>
      </c>
      <c r="R2699">
        <f>IF(AND(Inputs!$B$38&lt;&gt;"pvp",Inputs!$B$43&gt;0),IF(MAX(0,Inputs!$B$43-B2725)&lt;=0,0,(INT(MAX(0,Inputs!$B$43-B2725)/(IF(Inputs!$B$38="pvp",15,MAX(0.1,Skills!D10-IF(TRUE=TRUE,0.5,0)))*(1-IF(AND(ArtifactsInput!$M$27,Inputs!$B$4="Chapter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$20+0+Skills!P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TRUE=TRUE,0.5,0)))*(1-IF(AND(ArtifactsInput!$M$27,Inputs!$B$4="Chapter Hunt"),CHOOSE(ArtifactsInput!$N$27+1,20,24,28,32,36,40),0)/100)))))/Skills!H10,1)))/Inputs!$B$43),G2699*Q2699))*IF(Inputs!$B$38="pvp",1,(1+(Inputs!$B$21+Skills!Q10+(((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Skills!G11*IF(Skills!H11&gt;0,IF(Inputs!$B$38="pvp",MIN(Skills!I11,15),Skills!I11)/Skills!H11,1)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(100-(100-((Inputs!$B$19+0)))*(1-IF(Inputs!$B$3&gt;=130,IF(Inputs!$B$3&gt;=118,8,IF(Inputs!$B$3&gt;=110,7,5)),0)/100)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138,MAX(0,IF(Inputs!$B$3&gt;=118,8,IF(Inputs!$B$3&gt;=110,7,5))-5)*50,0),0)/100)*(1+(IF(Skills!A11="RAGING_BLOW",Inputs!$B$17+((C2710=TRUE)*(F2710-Calc!F21))+((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IFERROR(1/(IF(Inputs!$B$38="pvp",15,MAX(0.1,Skills!D11-IF(TRUE=TRUE,0.5,0)))*(1-IF(AND(ArtifactsInput!$M$27,Inputs!$B$4="Chapter Hunt"),CHOOSE(ArtifactsInput!$N$27+1,20,24,28,32,36,40),0)/100)),0)</f>
        <v/>
      </c>
      <c r="R2700">
        <f>IF(AND(Inputs!$B$38&lt;&gt;"pvp",Inputs!$B$43&gt;0),IF(MAX(0,Inputs!$B$43-B2725)&lt;=0,0,(INT(MAX(0,Inputs!$B$43-B2725)/(IF(Inputs!$B$38="pvp",15,MAX(0.1,Skills!D11-IF(TRUE=TRUE,0.5,0)))*(1-IF(AND(ArtifactsInput!$M$27,Inputs!$B$4="Chapter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$20+0+Skills!P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Inputs!$B$38&lt;&gt;"pvp",Inputs!$B$43=0),1,IF(IF(Inputs!$B$38="pvp",15,Inputs!$B$43)-(B2725)&lt;=0,1,MAX(0,IF(Inputs!$B$38="pvp",15,Inputs!$B$43)-MAX(5,B2725))/(IF(Inputs!$B$38="pvp",15,Inputs!$B$43)-(B2725)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TRUE=TRUE,0.5,0)))*(1-IF(AND(ArtifactsInput!$M$27,Inputs!$B$4="Chapter Hunt"),CHOOSE(ArtifactsInput!$N$27+1,20,24,28,32,36,40),0)/100)))))/Skills!H11,1)))/Inputs!$B$43),G2700*Q2700))*IF(Inputs!$B$38="pvp",1,(1+(Inputs!$B$21+Skills!Q11+(((C2705=TRUE)*F2705*(Skills!J16/100)*IF(AND(Inputs!$B$38&lt;&gt;"pvp",Inputs!$B$43&gt;0),(((R2705-1)*MIN((Skills!T16*(1+(Inputs!$B$34+(ArtifactsInput!$M$7-ArtifactsInput!$M$7)*CHOOSE(ArtifactsInput!$N$7+1,6,7.2,8.4,9.6,10.8,12))/100)),(1/Q2705))+MIN((Skills!T16*(1+(Inputs!$B$34+(ArtifactsInput!$M$7-ArtifactsInput!$M$7)*CHOOSE(ArtifactsInput!$N$7+1,6,7.2,8.4,9.6,10.8,12))/100)),MAX(0,Inputs!$B$43-((R2705-1)*(1/Q2705)))))/Inputs!$B$43),IF(Inputs!$B$38="pvp",MIN((Skills!T16*(1+(Inputs!$B$34+(ArtifactsInput!$M$7-ArtifactsInput!$M$7)*CHOOSE(ArtifactsInput!$N$7+1,6,7.2,8.4,9.6,10.8,12))/100)),15)/15,MIN(1,(Skills!T16*(1+(Inputs!$B$34+(ArtifactsInput!$M$7-ArtifactsInput!$M$7)*CHOOSE(ArtifactsInput!$N$7+1,6,7.2,8.4,9.6,10.8,12))/100))/(1/Q2705)))))+((C2697=TRUE)*IF(Inputs!$B$3&gt;=126,10*MIN(1,15*Q2697),0))+((C2694=TRUE)*((100/10)*(INDEX(FactorTable!$B$2:$Y$301,MATCH(ROUND(MIN(300,MAX(1,MAX(0,(Inputs!$B$3-100)*3)+Inputs!$B$28+Inputs!$B$29)),0),FactorTable!$A$2:$A$301,0),22)/1000))*(1+IF(Inputs!$B$3&gt;=134,0.5,0))*MIN(1,10*(1+(Inputs!$B$34+(ArtifactsInput!$M$7-ArtifactsInput!$M$7)*CHOOSE(ArtifactsInput!$N$7+1,6,7.2,8.4,9.6,10.8,12))/100)*Q2694)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Skills!G13*IF(Skills!H13&gt;0,IF(Inputs!$B$38="pvp",MIN(Skills!I13,15),Skills!I13)/Skills!H13,1)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Skills!G14*IF(Skills!H14&gt;0,IF(Inputs!$B$38="pvp",MIN(Skills!I14,15),Skills!I14)/Skills!H14,1)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Skills!G15*IF(Skills!H15&gt;0,IF(Inputs!$B$38="pvp",MIN(Skills!I15,15),Skills!I15)/Skills!H15,1)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IFERROR(1/(IF(Inputs!$B$38="pvp",15,MAX(0.1,Skills!D15-IF(TRUE=TRUE,0.5,0)))*(1-IF(AND(ArtifactsInput!$M$27,Inputs!$B$4="Chapter Hunt"),CHOOSE(ArtifactsInput!$N$27+1,20,24,28,32,36,40),0)/100)),0)</f>
        <v/>
      </c>
      <c r="R2704">
        <f>IF(AND(Inputs!$B$38&lt;&gt;"pvp",Inputs!$B$43&gt;0),IF(Inputs!$B$43&lt;=0,0,(INT(Inputs!$B$43/(IF(Inputs!$B$38="pvp",15,MAX(0.1,Skills!D15-IF(TRUE=TRUE,0.5,0)))*(1-IF(AND(ArtifactsInput!$M$27,Inputs!$B$4="Chapter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Skills!G16*IF(Skills!H16&gt;0,IF(Inputs!$B$38="pvp",MIN(Skills!I16,15),Skills!I16)/Skills!H16,1)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IFERROR(1/(IF(Inputs!$B$38="pvp",15,MAX(0.1,Skills!D16-IF(TRUE=TRUE,0.5,0)))*(1-IF(AND(ArtifactsInput!$M$27,Inputs!$B$4="Chapter Hunt"),CHOOSE(ArtifactsInput!$N$27+1,20,24,28,32,36,40),0)/100)),0)</f>
        <v/>
      </c>
      <c r="R2705">
        <f>IF(AND(Inputs!$B$38&lt;&gt;"pvp",Inputs!$B$43&gt;0),IF(Inputs!$B$43&lt;=0,0,(INT(Inputs!$B$43/(IF(Inputs!$B$38="pvp",15,MAX(0.1,Skills!D16-IF(TRUE=TRUE,0.5,0)))*(1-IF(AND(ArtifactsInput!$M$27,Inputs!$B$4="Chapter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Skills!G17*IF(Skills!H17&gt;0,IF(Inputs!$B$38="pvp",MIN(Skills!I17,15),Skills!I17)/Skills!H17,1)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IFERROR(1/(IF(Inputs!$B$38="pvp",15,MAX(0.1,Skills!D17-IF(TRUE=TRUE,0.5,0)))*(1-IF(AND(ArtifactsInput!$M$27,Inputs!$B$4="Chapter Hunt"),CHOOSE(ArtifactsInput!$N$27+1,20,24,28,32,36,40),0)/100)),0)</f>
        <v/>
      </c>
      <c r="R2706">
        <f>IF(AND(Inputs!$B$38&lt;&gt;"pvp",Inputs!$B$43&gt;0),IF(Inputs!$B$43&lt;=0,0,(INT(Inputs!$B$43/(IF(Inputs!$B$38="pvp",15,MAX(0.1,Skills!D17-IF(TRUE=TRUE,0.5,0)))*(1-IF(AND(ArtifactsInput!$M$27,Inputs!$B$4="Chapter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Skills!G18*IF(Skills!H18&gt;0,IF(Inputs!$B$38="pvp",MIN(Skills!I18,15),Skills!I18)/Skills!H18,1)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IFERROR(1/(IF(Inputs!$B$38="pvp",15,MAX(0.1,Skills!D18-IF(TRUE=TRUE,0.5,0)))*(1-IF(AND(ArtifactsInput!$M$27,Inputs!$B$4="Chapter Hunt"),CHOOSE(ArtifactsInput!$N$27+1,20,24,28,32,36,40),0)/100)),0)</f>
        <v/>
      </c>
      <c r="R2707">
        <f>IF(AND(Inputs!$B$38&lt;&gt;"pvp",Inputs!$B$43&gt;0),IF(Inputs!$B$43&lt;=0,0,(INT(Inputs!$B$43/(IF(Inputs!$B$38="pvp",15,MAX(0.1,Skills!D18-IF(TRUE=TRUE,0.5,0)))*(1-IF(AND(ArtifactsInput!$M$27,Inputs!$B$4="Chapter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Skills!G19*IF(Skills!H19&gt;0,IF(Inputs!$B$38="pvp",MIN(Skills!I19,15),Skills!I19)/Skills!H19,1)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IFERROR(1/(IF(Inputs!$B$38="pvp",15,MAX(0.1,Skills!D19-IF(TRUE=TRUE,0.5,0)))*(1-IF(AND(ArtifactsInput!$M$27,Inputs!$B$4="Chapter Hunt"),CHOOSE(ArtifactsInput!$N$27+1,20,24,28,32,36,40),0)/100)),0)</f>
        <v/>
      </c>
      <c r="R2708">
        <f>IF(AND(Inputs!$B$38&lt;&gt;"pvp",Inputs!$B$43&gt;0),IF(Inputs!$B$43&lt;=0,0,(INT(Inputs!$B$43/(IF(Inputs!$B$38="pvp",15,MAX(0.1,Skills!D19-IF(TRUE=TRUE,0.5,0)))*(1-IF(AND(ArtifactsInput!$M$27,Inputs!$B$4="Chapter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Skills!G20*IF(Skills!H20&gt;0,IF(Inputs!$B$38="pvp",MIN(Skills!I20,15),Skills!I20)/Skills!H20,1)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Skills!G21*IF(Skills!H21&gt;0,IF(Inputs!$B$38="pvp",MIN(Skills!I21,15),Skills!I21)/Skills!H21,1)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Skills!G22*IF(Skills!H22&gt;0,IF(Inputs!$B$38="pvp",MIN(Skills!I22,15),Skills!I22)/Skills!H22,1)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Skills!G23*IF(Skills!H23&gt;0,IF(Inputs!$B$38="pvp",MIN(Skills!I23,15),Skills!I23)/Skills!H23,1)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Skills!G24*IF(Skills!H24&gt;0,IF(Inputs!$B$38="pvp",MIN(Skills!I24,15),Skills!I24)/Skills!H24,1)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Skills!G25*IF(Skills!H25&gt;0,IF(Inputs!$B$38="pvp",MIN(Skills!I25,15),Skills!I25)/Skills!H25,1)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Skills!G26*IF(Skills!H26&gt;0,IF(Inputs!$B$38="pvp",MIN(Skills!I26,15),Skills!I26)/Skills!H26,1)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118,8,IF(Inputs!$B$3&gt;=110,7,5)))+((C2704=TRUE)*F2704*IF(AND(Inputs!$B$38&lt;&gt;"pvp",Inputs!$B$43&gt;0),(((R2704-1)*MIN((Skills!T15*(1+(Inputs!$B$34+(ArtifactsInput!$M$7-ArtifactsInput!$M$7)*CHOOSE(ArtifactsInput!$N$7+1,6,7.2,8.4,9.6,10.8,12))/100)),(1/Q2704))+MIN((Skills!T15*(1+(Inputs!$B$34+(ArtifactsInput!$M$7-ArtifactsInput!$M$7)*CHOOSE(ArtifactsInput!$N$7+1,6,7.2,8.4,9.6,10.8,12))/100)),MAX(0,Inputs!$B$43-((R2704-1)*(1/Q2704)))))/Inputs!$B$43),IF(Inputs!$B$38="pvp",MIN((Skills!T15*(1+(Inputs!$B$34+(ArtifactsInput!$M$7-ArtifactsInput!$M$7)*CHOOSE(ArtifactsInput!$N$7+1,6,7.2,8.4,9.6,10.8,12))/100)),15)/15,MIN(1,(Skills!T15*(1+(Inputs!$B$34+(ArtifactsInput!$M$7-ArtifactsInput!$M$7)*CHOOSE(ArtifactsInput!$N$7+1,6,7.2,8.4,9.6,10.8,12))/100))/(1/Q2704)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MIN((Skills!T19*(1+(Inputs!$B$34+(ArtifactsInput!$M$7-ArtifactsInput!$M$7)*CHOOSE(ArtifactsInput!$N$7+1,6,7.2,8.4,9.6,10.8,12))/100)),(1/Q2708))+MIN((Skills!T19*(1+(Inputs!$B$34+(ArtifactsInput!$M$7-ArtifactsInput!$M$7)*CHOOSE(ArtifactsInput!$N$7+1,6,7.2,8.4,9.6,10.8,12))/100)),MAX(0,Inputs!$B$43-((R2708-1)*(1/Q2708)))))/Inputs!$B$43),IF(Inputs!$B$38="pvp",MIN((Skills!T19*(1+(Inputs!$B$34+(ArtifactsInput!$M$7-ArtifactsInput!$M$7)*CHOOSE(ArtifactsInput!$N$7+1,6,7.2,8.4,9.6,10.8,12))/100)),15)/15,MIN(1,(Skills!T19*(1+(Inputs!$B$34+(ArtifactsInput!$M$7-ArtifactsInput!$M$7)*CHOOSE(ArtifactsInput!$N$7+1,6,7.2,8.4,9.6,10.8,12))/100))/(1/Q2708)))))</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MIN((Skills!T18*(1+(Inputs!$B$34+(ArtifactsInput!$M$7-ArtifactsInput!$M$7)*CHOOSE(ArtifactsInput!$N$7+1,6,7.2,8.4,9.6,10.8,12))/100)),(1/Q2707))+MIN((Skills!T18*(1+(Inputs!$B$34+(ArtifactsInput!$M$7-ArtifactsInput!$M$7)*CHOOSE(ArtifactsInput!$N$7+1,6,7.2,8.4,9.6,10.8,12))/100)),MAX(0,Inputs!$B$43-((R2707-1)*(1/Q2707)))))/Inputs!$B$43),IF(Inputs!$B$38="pvp",MIN((Skills!T18*(1+(Inputs!$B$34+(ArtifactsInput!$M$7-ArtifactsInput!$M$7)*CHOOSE(ArtifactsInput!$N$7+1,6,7.2,8.4,9.6,10.8,12))/100)),15)/15,MIN(1,(Skills!T18*(1+(Inputs!$B$34+(ArtifactsInput!$M$7-ArtifactsInput!$M$7)*CHOOSE(ArtifactsInput!$N$7+1,6,7.2,8.4,9.6,10.8,12))/100))/(1/Q2707)))))</f>
        <v/>
      </c>
    </row>
    <row r="2724">
      <c r="A2724" t="inlineStr">
        <is>
          <t>Global Final Damage Bonus % (Enrage + Combo Synergy)</t>
        </is>
      </c>
      <c r="B2724">
        <f>((C2706=TRUE)*F2706*IF(AND(Inputs!$B$38&lt;&gt;"pvp",Inputs!$B$43&gt;0),(((R2706-1)*MIN((Skills!T17*(1+(Inputs!$B$34+(ArtifactsInput!$M$7-ArtifactsInput!$M$7)*CHOOSE(ArtifactsInput!$N$7+1,6,7.2,8.4,9.6,10.8,12))/100)),(1/Q2706))+MIN((Skills!T17*(1+(Inputs!$B$34+(ArtifactsInput!$M$7-ArtifactsInput!$M$7)*CHOOSE(ArtifactsInput!$N$7+1,6,7.2,8.4,9.6,10.8,12))/100)),MAX(0,Inputs!$B$43-((R2706-1)*(1/Q2706)))))/Inputs!$B$43),IF(Inputs!$B$38="pvp",MIN((Skills!T17*(1+(Inputs!$B$34+(ArtifactsInput!$M$7-ArtifactsInput!$M$7)*CHOOSE(ArtifactsInput!$N$7+1,6,7.2,8.4,9.6,10.8,12))/100)),15)/15,MIN(1,(Skills!T17*(1+(Inputs!$B$34+(ArtifactsInput!$M$7-ArtifactsInput!$M$7)*CHOOSE(ArtifactsInput!$N$7+1,6,7.2,8.4,9.6,10.8,12))/100))/(1/Q2706)))))+((C2703=TRUE)*F2703*IF(Inputs!$B$3&gt;=118,8,IF(Inputs!$B$3&gt;=110,7,5)))+IF(Inputs!$B$3&gt;=98,5,0)</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Skills!G2*IF(Skills!H2&gt;0,IF(Inputs!$B$38="pvp",MIN(Skills!I2,15),Skills!I2)/Skills!H2,1)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Skills!G5*IF(Skills!H5&gt;0,IF(Inputs!$B$38="pvp",MIN(Skills!I5,15),Skills!I5)/Skills!H5,1)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IFERROR(1/(IF(Inputs!$B$38="pvp",15,MAX(0.1,Skills!D5-IF(TRUE=TRUE,1.0,0)))*(1-IF(AND(ArtifactsInput!$M$27,Inputs!$B$4="Chapter Hunt"),CHOOSE(ArtifactsInput!$N$27+1,20,24,28,32,36,40),0)/100)),0)</f>
        <v/>
      </c>
      <c r="R2736">
        <f>IF(AND(Inputs!$B$38&lt;&gt;"pvp",Inputs!$B$43&gt;0),IF(MAX(0,Inputs!$B$43-B2767)&lt;=0,0,(INT(MAX(0,Inputs!$B$43-B2767)/(IF(Inputs!$B$38="pvp",15,MAX(0.1,Skills!D5-IF(TRUE=TRUE,1.0,0)))*(1-IF(AND(ArtifactsInput!$M$27,Inputs!$B$4="Chapter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$20+0+Skills!P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TRUE=TRUE,1.0,0)))*(1-IF(AND(ArtifactsInput!$M$27,Inputs!$B$4="Chapter Hunt"),CHOOSE(ArtifactsInput!$N$27+1,20,24,28,32,36,40),0)/100)))))/Skills!H5,1)))/Inputs!$B$43),G2736*Q2736))*IF(Inputs!$B$38="pvp",1,(1+(Inputs!$B$21+Skills!Q5+(((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Skills!G6*IF(Skills!H6&gt;0,IF(Inputs!$B$38="pvp",MIN(Skills!I6,15),Skills!I6)/Skills!H6,1)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IFERROR(1/(IF(Inputs!$B$38="pvp",15,MAX(0.1,Skills!D6-IF(TRUE=TRUE,1.0,0)))*(1-IF(AND(ArtifactsInput!$M$27,Inputs!$B$4="Chapter Hunt"),CHOOSE(ArtifactsInput!$N$27+1,20,24,28,32,36,40),0)/100)),0)</f>
        <v/>
      </c>
      <c r="R2737">
        <f>IF(AND(Inputs!$B$38&lt;&gt;"pvp",Inputs!$B$43&gt;0),IF(MAX(0,Inputs!$B$43-B2767)&lt;=0,0,(INT(MAX(0,Inputs!$B$43-B2767)/(IF(Inputs!$B$38="pvp",15,MAX(0.1,Skills!D6-IF(TRUE=TRUE,1.0,0)))*(1-IF(AND(ArtifactsInput!$M$27,Inputs!$B$4="Chapter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$20+0+Skills!P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TRUE=TRUE,1.0,0)))*(1-IF(AND(ArtifactsInput!$M$27,Inputs!$B$4="Chapter Hunt"),CHOOSE(ArtifactsInput!$N$27+1,20,24,28,32,36,40),0)/100)))))/Skills!H6,1)))/Inputs!$B$43),G2737*Q2737))*IF(Inputs!$B$38="pvp",1,(1+(Inputs!$B$21+Skills!Q6+(((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Skills!G7*IF(Skills!H7&gt;0,IF(Inputs!$B$38="pvp",MIN(Skills!I7,15),Skills!I7)/Skills!H7,1)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IFERROR(1/(IF(Inputs!$B$38="pvp",15,MAX(0.1,Skills!D7-IF(TRUE=TRUE,1.0,0)))*(1-IF(AND(ArtifactsInput!$M$27,Inputs!$B$4="Chapter Hunt"),CHOOSE(ArtifactsInput!$N$27+1,20,24,28,32,36,40),0)/100)),0)</f>
        <v/>
      </c>
      <c r="R2738">
        <f>IF(AND(Inputs!$B$38&lt;&gt;"pvp",Inputs!$B$43&gt;0),IF(MAX(0,Inputs!$B$43-B2767)&lt;=0,0,(INT(MAX(0,Inputs!$B$43-B2767)/(IF(Inputs!$B$38="pvp",15,MAX(0.1,Skills!D7-IF(TRUE=TRUE,1.0,0)))*(1-IF(AND(ArtifactsInput!$M$27,Inputs!$B$4="Chapter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$20+0+Skills!P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TRUE=TRUE,1.0,0)))*(1-IF(AND(ArtifactsInput!$M$27,Inputs!$B$4="Chapter Hunt"),CHOOSE(ArtifactsInput!$N$27+1,20,24,28,32,36,40),0)/100)))))/Skills!H7,1)))/Inputs!$B$43),G2738*Q2738))*IF(Inputs!$B$38="pvp",1,(1+(Inputs!$B$21+Skills!Q7+(((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Skills!G8*IF(Skills!H8&gt;0,IF(Inputs!$B$38="pvp",MIN(Skills!I8,15),Skills!I8)/Skills!H8,1)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IFERROR(1/(IF(Inputs!$B$38="pvp",15,MAX(0.1,Skills!D8-IF(TRUE=TRUE,1.0,0)))*(1-IF(AND(ArtifactsInput!$M$27,Inputs!$B$4="Chapter Hunt"),CHOOSE(ArtifactsInput!$N$27+1,20,24,28,32,36,40),0)/100)),0)</f>
        <v/>
      </c>
      <c r="R2739">
        <f>IF(AND(Inputs!$B$38&lt;&gt;"pvp",Inputs!$B$43&gt;0),IF(MAX(0,Inputs!$B$43-B2767)&lt;=0,0,(INT(MAX(0,Inputs!$B$43-B2767)/(IF(Inputs!$B$38="pvp",15,MAX(0.1,Skills!D8-IF(TRUE=TRUE,1.0,0)))*(1-IF(AND(ArtifactsInput!$M$27,Inputs!$B$4="Chapter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$20+0+Skills!P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TRUE=TRUE,1.0,0)))*(1-IF(AND(ArtifactsInput!$M$27,Inputs!$B$4="Chapter Hunt"),CHOOSE(ArtifactsInput!$N$27+1,20,24,28,32,36,40),0)/100)))))/Skills!H8,1)))/Inputs!$B$43),G2739*Q2739))*IF(Inputs!$B$38="pvp",1,(1+(Inputs!$B$21+Skills!Q8+(((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Skills!G9*IF(Skills!H9&gt;0,IF(Inputs!$B$38="pvp",MIN(Skills!I9,15),Skills!I9)/Skills!H9,1)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138,MAX(0,IF(Inputs!$B$3&gt;=118,8,IF(Inputs!$B$3&gt;=110,7,5))-5)*50,0),0)/100)*(1+(IF(Skills!A9="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IFERROR(1/(IF(Inputs!$B$38="pvp",15,MAX(0.1,Skills!D9-IF(TRUE=TRUE,1.0,0)))*(1-IF(AND(ArtifactsInput!$M$27,Inputs!$B$4="Chapter Hunt"),CHOOSE(ArtifactsInput!$N$27+1,20,24,28,32,36,40),0)/100)),0)</f>
        <v/>
      </c>
      <c r="R2740">
        <f>IF(AND(Inputs!$B$38&lt;&gt;"pvp",Inputs!$B$43&gt;0),IF(MAX(0,Inputs!$B$43-B2767)&lt;=0,0,(INT(MAX(0,Inputs!$B$43-B2767)/(IF(Inputs!$B$38="pvp",15,MAX(0.1,Skills!D9-IF(TRUE=TRUE,1.0,0)))*(1-IF(AND(ArtifactsInput!$M$27,Inputs!$B$4="Chapter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TRUE=TRUE,1.0,0)))*(1-IF(AND(ArtifactsInput!$M$27,Inputs!$B$4="Chapter Hunt"),CHOOSE(ArtifactsInput!$N$27+1,20,24,28,32,36,40),0)/100)))))/Skills!H9,1)))/Inputs!$B$43),G2740*Q2740))*IF(Inputs!$B$38="pvp",1,1+(Inputs!$B$20+0+Skills!P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TRUE=TRUE,1.0,0)))*(1-IF(AND(ArtifactsInput!$M$27,Inputs!$B$4="Chapter Hunt"),CHOOSE(ArtifactsInput!$N$27+1,20,24,28,32,36,40),0)/100)))))/Skills!H9,1)))/Inputs!$B$43),G2740*Q2740))*IF(Inputs!$B$38="pvp",1,(1+(Inputs!$B$21+Skills!Q9+(((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Skills!G10*IF(Skills!H10&gt;0,IF(Inputs!$B$38="pvp",MIN(Skills!I10,15),Skills!I10)/Skills!H10,1)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138,MAX(0,IF(Inputs!$B$3&gt;=118,8,IF(Inputs!$B$3&gt;=110,7,5))-5)*50,0),0)/100)*(1+(IF(Skills!A10="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IFERROR(1/(IF(Inputs!$B$38="pvp",15,MAX(0.1,Skills!D10-IF(TRUE=TRUE,1.0,0)))*(1-IF(AND(ArtifactsInput!$M$27,Inputs!$B$4="Chapter Hunt"),CHOOSE(ArtifactsInput!$N$27+1,20,24,28,32,36,40),0)/100)),0)</f>
        <v/>
      </c>
      <c r="R2741">
        <f>IF(AND(Inputs!$B$38&lt;&gt;"pvp",Inputs!$B$43&gt;0),IF(MAX(0,Inputs!$B$43-B2767)&lt;=0,0,(INT(MAX(0,Inputs!$B$43-B2767)/(IF(Inputs!$B$38="pvp",15,MAX(0.1,Skills!D10-IF(TRUE=TRUE,1.0,0)))*(1-IF(AND(ArtifactsInput!$M$27,Inputs!$B$4="Chapter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$20+0+Skills!P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TRUE=TRUE,1.0,0)))*(1-IF(AND(ArtifactsInput!$M$27,Inputs!$B$4="Chapter Hunt"),CHOOSE(ArtifactsInput!$N$27+1,20,24,28,32,36,40),0)/100)))))/Skills!H10,1)))/Inputs!$B$43),G2741*Q2741))*IF(Inputs!$B$38="pvp",1,(1+(Inputs!$B$21+Skills!Q10+(((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Skills!G11*IF(Skills!H11&gt;0,IF(Inputs!$B$38="pvp",MIN(Skills!I11,15),Skills!I11)/Skills!H11,1)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(100-(100-((Inputs!$B$19+0)))*(1-IF(Inputs!$B$3&gt;=130,IF(Inputs!$B$3&gt;=118,8,IF(Inputs!$B$3&gt;=110,7,5)),0)/100)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138,MAX(0,IF(Inputs!$B$3&gt;=118,8,IF(Inputs!$B$3&gt;=110,7,5))-5)*50,0),0)/100)*(1+(IF(Skills!A11="RAGING_BLOW",Inputs!$B$17+((C2752=TRUE)*(F2752-Calc!F21))+((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IFERROR(1/(IF(Inputs!$B$38="pvp",15,MAX(0.1,Skills!D11-IF(TRUE=TRUE,1.0,0)))*(1-IF(AND(ArtifactsInput!$M$27,Inputs!$B$4="Chapter Hunt"),CHOOSE(ArtifactsInput!$N$27+1,20,24,28,32,36,40),0)/100)),0)</f>
        <v/>
      </c>
      <c r="R2742">
        <f>IF(AND(Inputs!$B$38&lt;&gt;"pvp",Inputs!$B$43&gt;0),IF(MAX(0,Inputs!$B$43-B2767)&lt;=0,0,(INT(MAX(0,Inputs!$B$43-B2767)/(IF(Inputs!$B$38="pvp",15,MAX(0.1,Skills!D11-IF(TRUE=TRUE,1.0,0)))*(1-IF(AND(ArtifactsInput!$M$27,Inputs!$B$4="Chapter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$20+0+Skills!P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Inputs!$B$38&lt;&gt;"pvp",Inputs!$B$43=0),1,IF(IF(Inputs!$B$38="pvp",15,Inputs!$B$43)-(B2767)&lt;=0,1,MAX(0,IF(Inputs!$B$38="pvp",15,Inputs!$B$43)-MAX(5,B2767))/(IF(Inputs!$B$38="pvp",15,Inputs!$B$43)-(B2767)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TRUE=TRUE,1.0,0)))*(1-IF(AND(ArtifactsInput!$M$27,Inputs!$B$4="Chapter Hunt"),CHOOSE(ArtifactsInput!$N$27+1,20,24,28,32,36,40),0)/100)))))/Skills!H11,1)))/Inputs!$B$43),G2742*Q2742))*IF(Inputs!$B$38="pvp",1,(1+(Inputs!$B$21+Skills!Q11+(((C2747=TRUE)*F2747*(Skills!J16/100)*IF(AND(Inputs!$B$38&lt;&gt;"pvp",Inputs!$B$43&gt;0),(((R2747-1)*MIN((Skills!T16*(1+(Inputs!$B$34+(ArtifactsInput!$M$7-ArtifactsInput!$M$7)*CHOOSE(ArtifactsInput!$N$7+1,6,7.2,8.4,9.6,10.8,12))/100)),(1/Q2747))+MIN((Skills!T16*(1+(Inputs!$B$34+(ArtifactsInput!$M$7-ArtifactsInput!$M$7)*CHOOSE(ArtifactsInput!$N$7+1,6,7.2,8.4,9.6,10.8,12))/100)),MAX(0,Inputs!$B$43-((R2747-1)*(1/Q2747)))))/Inputs!$B$43),IF(Inputs!$B$38="pvp",MIN((Skills!T16*(1+(Inputs!$B$34+(ArtifactsInput!$M$7-ArtifactsInput!$M$7)*CHOOSE(ArtifactsInput!$N$7+1,6,7.2,8.4,9.6,10.8,12))/100)),15)/15,MIN(1,(Skills!T16*(1+(Inputs!$B$34+(ArtifactsInput!$M$7-ArtifactsInput!$M$7)*CHOOSE(ArtifactsInput!$N$7+1,6,7.2,8.4,9.6,10.8,12))/100))/(1/Q2747)))))+((C2739=TRUE)*IF(Inputs!$B$3&gt;=126,10*MIN(1,15*Q2739),0))+((C2736=TRUE)*((100/10)*(INDEX(FactorTable!$B$2:$Y$301,MATCH(ROUND(MIN(300,MAX(1,MAX(0,(Inputs!$B$3-100)*3)+Inputs!$B$28+Inputs!$B$29)),0),FactorTable!$A$2:$A$301,0),22)/1000))*(1+IF(Inputs!$B$3&gt;=134,0.5,0))*MIN(1,10*(1+(Inputs!$B$34+(ArtifactsInput!$M$7-ArtifactsInput!$M$7)*CHOOSE(ArtifactsInput!$N$7+1,6,7.2,8.4,9.6,10.8,12))/100)*Q2736)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Skills!G13*IF(Skills!H13&gt;0,IF(Inputs!$B$38="pvp",MIN(Skills!I13,15),Skills!I13)/Skills!H13,1)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Skills!G14*IF(Skills!H14&gt;0,IF(Inputs!$B$38="pvp",MIN(Skills!I14,15),Skills!I14)/Skills!H14,1)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Skills!G15*IF(Skills!H15&gt;0,IF(Inputs!$B$38="pvp",MIN(Skills!I15,15),Skills!I15)/Skills!H15,1)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IFERROR(1/(IF(Inputs!$B$38="pvp",15,MAX(0.1,Skills!D15-IF(TRUE=TRUE,1.0,0)))*(1-IF(AND(ArtifactsInput!$M$27,Inputs!$B$4="Chapter Hunt"),CHOOSE(ArtifactsInput!$N$27+1,20,24,28,32,36,40),0)/100)),0)</f>
        <v/>
      </c>
      <c r="R2746">
        <f>IF(AND(Inputs!$B$38&lt;&gt;"pvp",Inputs!$B$43&gt;0),IF(Inputs!$B$43&lt;=0,0,(INT(Inputs!$B$43/(IF(Inputs!$B$38="pvp",15,MAX(0.1,Skills!D15-IF(TRUE=TRUE,1.0,0)))*(1-IF(AND(ArtifactsInput!$M$27,Inputs!$B$4="Chapter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Skills!G16*IF(Skills!H16&gt;0,IF(Inputs!$B$38="pvp",MIN(Skills!I16,15),Skills!I16)/Skills!H16,1)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IFERROR(1/(IF(Inputs!$B$38="pvp",15,MAX(0.1,Skills!D16-IF(TRUE=TRUE,1.0,0)))*(1-IF(AND(ArtifactsInput!$M$27,Inputs!$B$4="Chapter Hunt"),CHOOSE(ArtifactsInput!$N$27+1,20,24,28,32,36,40),0)/100)),0)</f>
        <v/>
      </c>
      <c r="R2747">
        <f>IF(AND(Inputs!$B$38&lt;&gt;"pvp",Inputs!$B$43&gt;0),IF(Inputs!$B$43&lt;=0,0,(INT(Inputs!$B$43/(IF(Inputs!$B$38="pvp",15,MAX(0.1,Skills!D16-IF(TRUE=TRUE,1.0,0)))*(1-IF(AND(ArtifactsInput!$M$27,Inputs!$B$4="Chapter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Skills!G17*IF(Skills!H17&gt;0,IF(Inputs!$B$38="pvp",MIN(Skills!I17,15),Skills!I17)/Skills!H17,1)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IFERROR(1/(IF(Inputs!$B$38="pvp",15,MAX(0.1,Skills!D17-IF(TRUE=TRUE,1.0,0)))*(1-IF(AND(ArtifactsInput!$M$27,Inputs!$B$4="Chapter Hunt"),CHOOSE(ArtifactsInput!$N$27+1,20,24,28,32,36,40),0)/100)),0)</f>
        <v/>
      </c>
      <c r="R2748">
        <f>IF(AND(Inputs!$B$38&lt;&gt;"pvp",Inputs!$B$43&gt;0),IF(Inputs!$B$43&lt;=0,0,(INT(Inputs!$B$43/(IF(Inputs!$B$38="pvp",15,MAX(0.1,Skills!D17-IF(TRUE=TRUE,1.0,0)))*(1-IF(AND(ArtifactsInput!$M$27,Inputs!$B$4="Chapter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Skills!G18*IF(Skills!H18&gt;0,IF(Inputs!$B$38="pvp",MIN(Skills!I18,15),Skills!I18)/Skills!H18,1)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IFERROR(1/(IF(Inputs!$B$38="pvp",15,MAX(0.1,Skills!D18-IF(TRUE=TRUE,1.0,0)))*(1-IF(AND(ArtifactsInput!$M$27,Inputs!$B$4="Chapter Hunt"),CHOOSE(ArtifactsInput!$N$27+1,20,24,28,32,36,40),0)/100)),0)</f>
        <v/>
      </c>
      <c r="R2749">
        <f>IF(AND(Inputs!$B$38&lt;&gt;"pvp",Inputs!$B$43&gt;0),IF(Inputs!$B$43&lt;=0,0,(INT(Inputs!$B$43/(IF(Inputs!$B$38="pvp",15,MAX(0.1,Skills!D18-IF(TRUE=TRUE,1.0,0)))*(1-IF(AND(ArtifactsInput!$M$27,Inputs!$B$4="Chapter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Skills!G19*IF(Skills!H19&gt;0,IF(Inputs!$B$38="pvp",MIN(Skills!I19,15),Skills!I19)/Skills!H19,1)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IFERROR(1/(IF(Inputs!$B$38="pvp",15,MAX(0.1,Skills!D19-IF(TRUE=TRUE,1.0,0)))*(1-IF(AND(ArtifactsInput!$M$27,Inputs!$B$4="Chapter Hunt"),CHOOSE(ArtifactsInput!$N$27+1,20,24,28,32,36,40),0)/100)),0)</f>
        <v/>
      </c>
      <c r="R2750">
        <f>IF(AND(Inputs!$B$38&lt;&gt;"pvp",Inputs!$B$43&gt;0),IF(Inputs!$B$43&lt;=0,0,(INT(Inputs!$B$43/(IF(Inputs!$B$38="pvp",15,MAX(0.1,Skills!D19-IF(TRUE=TRUE,1.0,0)))*(1-IF(AND(ArtifactsInput!$M$27,Inputs!$B$4="Chapter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Skills!G20*IF(Skills!H20&gt;0,IF(Inputs!$B$38="pvp",MIN(Skills!I20,15),Skills!I20)/Skills!H20,1)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Skills!G21*IF(Skills!H21&gt;0,IF(Inputs!$B$38="pvp",MIN(Skills!I21,15),Skills!I21)/Skills!H21,1)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Skills!G22*IF(Skills!H22&gt;0,IF(Inputs!$B$38="pvp",MIN(Skills!I22,15),Skills!I22)/Skills!H22,1)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Skills!G23*IF(Skills!H23&gt;0,IF(Inputs!$B$38="pvp",MIN(Skills!I23,15),Skills!I23)/Skills!H23,1)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Skills!G24*IF(Skills!H24&gt;0,IF(Inputs!$B$38="pvp",MIN(Skills!I24,15),Skills!I24)/Skills!H24,1)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Skills!G25*IF(Skills!H25&gt;0,IF(Inputs!$B$38="pvp",MIN(Skills!I25,15),Skills!I25)/Skills!H25,1)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Skills!G26*IF(Skills!H26&gt;0,IF(Inputs!$B$38="pvp",MIN(Skills!I26,15),Skills!I26)/Skills!H26,1)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118,8,IF(Inputs!$B$3&gt;=110,7,5)))+((C2746=TRUE)*F2746*IF(AND(Inputs!$B$38&lt;&gt;"pvp",Inputs!$B$43&gt;0),(((R2746-1)*MIN((Skills!T15*(1+(Inputs!$B$34+(ArtifactsInput!$M$7-ArtifactsInput!$M$7)*CHOOSE(ArtifactsInput!$N$7+1,6,7.2,8.4,9.6,10.8,12))/100)),(1/Q2746))+MIN((Skills!T15*(1+(Inputs!$B$34+(ArtifactsInput!$M$7-ArtifactsInput!$M$7)*CHOOSE(ArtifactsInput!$N$7+1,6,7.2,8.4,9.6,10.8,12))/100)),MAX(0,Inputs!$B$43-((R2746-1)*(1/Q2746)))))/Inputs!$B$43),IF(Inputs!$B$38="pvp",MIN((Skills!T15*(1+(Inputs!$B$34+(ArtifactsInput!$M$7-ArtifactsInput!$M$7)*CHOOSE(ArtifactsInput!$N$7+1,6,7.2,8.4,9.6,10.8,12))/100)),15)/15,MIN(1,(Skills!T15*(1+(Inputs!$B$34+(ArtifactsInput!$M$7-ArtifactsInput!$M$7)*CHOOSE(ArtifactsInput!$N$7+1,6,7.2,8.4,9.6,10.8,12))/100))/(1/Q2746)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MIN((Skills!T19*(1+(Inputs!$B$34+(ArtifactsInput!$M$7-ArtifactsInput!$M$7)*CHOOSE(ArtifactsInput!$N$7+1,6,7.2,8.4,9.6,10.8,12))/100)),(1/Q2750))+MIN((Skills!T19*(1+(Inputs!$B$34+(ArtifactsInput!$M$7-ArtifactsInput!$M$7)*CHOOSE(ArtifactsInput!$N$7+1,6,7.2,8.4,9.6,10.8,12))/100)),MAX(0,Inputs!$B$43-((R2750-1)*(1/Q2750)))))/Inputs!$B$43),IF(Inputs!$B$38="pvp",MIN((Skills!T19*(1+(Inputs!$B$34+(ArtifactsInput!$M$7-ArtifactsInput!$M$7)*CHOOSE(ArtifactsInput!$N$7+1,6,7.2,8.4,9.6,10.8,12))/100)),15)/15,MIN(1,(Skills!T19*(1+(Inputs!$B$34+(ArtifactsInput!$M$7-ArtifactsInput!$M$7)*CHOOSE(ArtifactsInput!$N$7+1,6,7.2,8.4,9.6,10.8,12))/100))/(1/Q2750)))))</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MIN((Skills!T18*(1+(Inputs!$B$34+(ArtifactsInput!$M$7-ArtifactsInput!$M$7)*CHOOSE(ArtifactsInput!$N$7+1,6,7.2,8.4,9.6,10.8,12))/100)),(1/Q2749))+MIN((Skills!T18*(1+(Inputs!$B$34+(ArtifactsInput!$M$7-ArtifactsInput!$M$7)*CHOOSE(ArtifactsInput!$N$7+1,6,7.2,8.4,9.6,10.8,12))/100)),MAX(0,Inputs!$B$43-((R2749-1)*(1/Q2749)))))/Inputs!$B$43),IF(Inputs!$B$38="pvp",MIN((Skills!T18*(1+(Inputs!$B$34+(ArtifactsInput!$M$7-ArtifactsInput!$M$7)*CHOOSE(ArtifactsInput!$N$7+1,6,7.2,8.4,9.6,10.8,12))/100)),15)/15,MIN(1,(Skills!T18*(1+(Inputs!$B$34+(ArtifactsInput!$M$7-ArtifactsInput!$M$7)*CHOOSE(ArtifactsInput!$N$7+1,6,7.2,8.4,9.6,10.8,12))/100))/(1/Q2749)))))</f>
        <v/>
      </c>
    </row>
    <row r="2766">
      <c r="A2766" t="inlineStr">
        <is>
          <t>Global Final Damage Bonus % (Enrage + Combo Synergy)</t>
        </is>
      </c>
      <c r="B2766">
        <f>((C2748=TRUE)*F2748*IF(AND(Inputs!$B$38&lt;&gt;"pvp",Inputs!$B$43&gt;0),(((R2748-1)*MIN((Skills!T17*(1+(Inputs!$B$34+(ArtifactsInput!$M$7-ArtifactsInput!$M$7)*CHOOSE(ArtifactsInput!$N$7+1,6,7.2,8.4,9.6,10.8,12))/100)),(1/Q2748))+MIN((Skills!T17*(1+(Inputs!$B$34+(ArtifactsInput!$M$7-ArtifactsInput!$M$7)*CHOOSE(ArtifactsInput!$N$7+1,6,7.2,8.4,9.6,10.8,12))/100)),MAX(0,Inputs!$B$43-((R2748-1)*(1/Q2748)))))/Inputs!$B$43),IF(Inputs!$B$38="pvp",MIN((Skills!T17*(1+(Inputs!$B$34+(ArtifactsInput!$M$7-ArtifactsInput!$M$7)*CHOOSE(ArtifactsInput!$N$7+1,6,7.2,8.4,9.6,10.8,12))/100)),15)/15,MIN(1,(Skills!T17*(1+(Inputs!$B$34+(ArtifactsInput!$M$7-ArtifactsInput!$M$7)*CHOOSE(ArtifactsInput!$N$7+1,6,7.2,8.4,9.6,10.8,12))/100))/(1/Q2748)))))+((C2745=TRUE)*F2745*IF(Inputs!$B$3&gt;=118,8,IF(Inputs!$B$3&gt;=110,7,5)))+IF(Inputs!$B$3&gt;=98,5,0)</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Skills!G2*IF(Skills!H2&gt;0,IF(Inputs!$B$38="pvp",MIN(Skills!I2,15),Skills!I2)/Skills!H2,1)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Skills!G5*IF(Skills!H5&gt;0,IF(Inputs!$B$38="pvp",MIN(Skills!I5,15),Skills!I5)/Skills!H5,1)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IFERROR(1/(IF(Inputs!$B$38="pvp",15,MAX(0.1,Skills!D5-IF(TRUE=TRUE,1.5,0)))*(1-IF(AND(ArtifactsInput!$M$27,Inputs!$B$4="Chapter Hunt"),CHOOSE(ArtifactsInput!$N$27+1,20,24,28,32,36,40),0)/100)),0)</f>
        <v/>
      </c>
      <c r="R2778">
        <f>IF(AND(Inputs!$B$38&lt;&gt;"pvp",Inputs!$B$43&gt;0),IF(MAX(0,Inputs!$B$43-B2809)&lt;=0,0,(INT(MAX(0,Inputs!$B$43-B2809)/(IF(Inputs!$B$38="pvp",15,MAX(0.1,Skills!D5-IF(TRUE=TRUE,1.5,0)))*(1-IF(AND(ArtifactsInput!$M$27,Inputs!$B$4="Chapter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$20+0+Skills!P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TRUE=TRUE,1.5,0)))*(1-IF(AND(ArtifactsInput!$M$27,Inputs!$B$4="Chapter Hunt"),CHOOSE(ArtifactsInput!$N$27+1,20,24,28,32,36,40),0)/100)))))/Skills!H5,1)))/Inputs!$B$43),G2778*Q2778))*IF(Inputs!$B$38="pvp",1,(1+(Inputs!$B$21+Skills!Q5+(((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Skills!G6*IF(Skills!H6&gt;0,IF(Inputs!$B$38="pvp",MIN(Skills!I6,15),Skills!I6)/Skills!H6,1)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IFERROR(1/(IF(Inputs!$B$38="pvp",15,MAX(0.1,Skills!D6-IF(TRUE=TRUE,1.5,0)))*(1-IF(AND(ArtifactsInput!$M$27,Inputs!$B$4="Chapter Hunt"),CHOOSE(ArtifactsInput!$N$27+1,20,24,28,32,36,40),0)/100)),0)</f>
        <v/>
      </c>
      <c r="R2779">
        <f>IF(AND(Inputs!$B$38&lt;&gt;"pvp",Inputs!$B$43&gt;0),IF(MAX(0,Inputs!$B$43-B2809)&lt;=0,0,(INT(MAX(0,Inputs!$B$43-B2809)/(IF(Inputs!$B$38="pvp",15,MAX(0.1,Skills!D6-IF(TRUE=TRUE,1.5,0)))*(1-IF(AND(ArtifactsInput!$M$27,Inputs!$B$4="Chapter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$20+0+Skills!P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TRUE=TRUE,1.5,0)))*(1-IF(AND(ArtifactsInput!$M$27,Inputs!$B$4="Chapter Hunt"),CHOOSE(ArtifactsInput!$N$27+1,20,24,28,32,36,40),0)/100)))))/Skills!H6,1)))/Inputs!$B$43),G2779*Q2779))*IF(Inputs!$B$38="pvp",1,(1+(Inputs!$B$21+Skills!Q6+(((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Skills!G7*IF(Skills!H7&gt;0,IF(Inputs!$B$38="pvp",MIN(Skills!I7,15),Skills!I7)/Skills!H7,1)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IFERROR(1/(IF(Inputs!$B$38="pvp",15,MAX(0.1,Skills!D7-IF(TRUE=TRUE,1.5,0)))*(1-IF(AND(ArtifactsInput!$M$27,Inputs!$B$4="Chapter Hunt"),CHOOSE(ArtifactsInput!$N$27+1,20,24,28,32,36,40),0)/100)),0)</f>
        <v/>
      </c>
      <c r="R2780">
        <f>IF(AND(Inputs!$B$38&lt;&gt;"pvp",Inputs!$B$43&gt;0),IF(MAX(0,Inputs!$B$43-B2809)&lt;=0,0,(INT(MAX(0,Inputs!$B$43-B2809)/(IF(Inputs!$B$38="pvp",15,MAX(0.1,Skills!D7-IF(TRUE=TRUE,1.5,0)))*(1-IF(AND(ArtifactsInput!$M$27,Inputs!$B$4="Chapter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$20+0+Skills!P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TRUE=TRUE,1.5,0)))*(1-IF(AND(ArtifactsInput!$M$27,Inputs!$B$4="Chapter Hunt"),CHOOSE(ArtifactsInput!$N$27+1,20,24,28,32,36,40),0)/100)))))/Skills!H7,1)))/Inputs!$B$43),G2780*Q2780))*IF(Inputs!$B$38="pvp",1,(1+(Inputs!$B$21+Skills!Q7+(((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Skills!G8*IF(Skills!H8&gt;0,IF(Inputs!$B$38="pvp",MIN(Skills!I8,15),Skills!I8)/Skills!H8,1)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IFERROR(1/(IF(Inputs!$B$38="pvp",15,MAX(0.1,Skills!D8-IF(TRUE=TRUE,1.5,0)))*(1-IF(AND(ArtifactsInput!$M$27,Inputs!$B$4="Chapter Hunt"),CHOOSE(ArtifactsInput!$N$27+1,20,24,28,32,36,40),0)/100)),0)</f>
        <v/>
      </c>
      <c r="R2781">
        <f>IF(AND(Inputs!$B$38&lt;&gt;"pvp",Inputs!$B$43&gt;0),IF(MAX(0,Inputs!$B$43-B2809)&lt;=0,0,(INT(MAX(0,Inputs!$B$43-B2809)/(IF(Inputs!$B$38="pvp",15,MAX(0.1,Skills!D8-IF(TRUE=TRUE,1.5,0)))*(1-IF(AND(ArtifactsInput!$M$27,Inputs!$B$4="Chapter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$20+0+Skills!P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TRUE=TRUE,1.5,0)))*(1-IF(AND(ArtifactsInput!$M$27,Inputs!$B$4="Chapter Hunt"),CHOOSE(ArtifactsInput!$N$27+1,20,24,28,32,36,40),0)/100)))))/Skills!H8,1)))/Inputs!$B$43),G2781*Q2781))*IF(Inputs!$B$38="pvp",1,(1+(Inputs!$B$21+Skills!Q8+(((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Skills!G9*IF(Skills!H9&gt;0,IF(Inputs!$B$38="pvp",MIN(Skills!I9,15),Skills!I9)/Skills!H9,1)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138,MAX(0,IF(Inputs!$B$3&gt;=118,8,IF(Inputs!$B$3&gt;=110,7,5))-5)*50,0),0)/100)*(1+(IF(Skills!A9="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IFERROR(1/(IF(Inputs!$B$38="pvp",15,MAX(0.1,Skills!D9-IF(TRUE=TRUE,1.5,0)))*(1-IF(AND(ArtifactsInput!$M$27,Inputs!$B$4="Chapter Hunt"),CHOOSE(ArtifactsInput!$N$27+1,20,24,28,32,36,40),0)/100)),0)</f>
        <v/>
      </c>
      <c r="R2782">
        <f>IF(AND(Inputs!$B$38&lt;&gt;"pvp",Inputs!$B$43&gt;0),IF(MAX(0,Inputs!$B$43-B2809)&lt;=0,0,(INT(MAX(0,Inputs!$B$43-B2809)/(IF(Inputs!$B$38="pvp",15,MAX(0.1,Skills!D9-IF(TRUE=TRUE,1.5,0)))*(1-IF(AND(ArtifactsInput!$M$27,Inputs!$B$4="Chapter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TRUE=TRUE,1.5,0)))*(1-IF(AND(ArtifactsInput!$M$27,Inputs!$B$4="Chapter Hunt"),CHOOSE(ArtifactsInput!$N$27+1,20,24,28,32,36,40),0)/100)))))/Skills!H9,1)))/Inputs!$B$43),G2782*Q2782))*IF(Inputs!$B$38="pvp",1,1+(Inputs!$B$20+0+Skills!P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TRUE=TRUE,1.5,0)))*(1-IF(AND(ArtifactsInput!$M$27,Inputs!$B$4="Chapter Hunt"),CHOOSE(ArtifactsInput!$N$27+1,20,24,28,32,36,40),0)/100)))))/Skills!H9,1)))/Inputs!$B$43),G2782*Q2782))*IF(Inputs!$B$38="pvp",1,(1+(Inputs!$B$21+Skills!Q9+(((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Skills!G10*IF(Skills!H10&gt;0,IF(Inputs!$B$38="pvp",MIN(Skills!I10,15),Skills!I10)/Skills!H10,1)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138,MAX(0,IF(Inputs!$B$3&gt;=118,8,IF(Inputs!$B$3&gt;=110,7,5))-5)*50,0),0)/100)*(1+(IF(Skills!A10="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IFERROR(1/(IF(Inputs!$B$38="pvp",15,MAX(0.1,Skills!D10-IF(TRUE=TRUE,1.5,0)))*(1-IF(AND(ArtifactsInput!$M$27,Inputs!$B$4="Chapter Hunt"),CHOOSE(ArtifactsInput!$N$27+1,20,24,28,32,36,40),0)/100)),0)</f>
        <v/>
      </c>
      <c r="R2783">
        <f>IF(AND(Inputs!$B$38&lt;&gt;"pvp",Inputs!$B$43&gt;0),IF(MAX(0,Inputs!$B$43-B2809)&lt;=0,0,(INT(MAX(0,Inputs!$B$43-B2809)/(IF(Inputs!$B$38="pvp",15,MAX(0.1,Skills!D10-IF(TRUE=TRUE,1.5,0)))*(1-IF(AND(ArtifactsInput!$M$27,Inputs!$B$4="Chapter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$20+0+Skills!P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TRUE=TRUE,1.5,0)))*(1-IF(AND(ArtifactsInput!$M$27,Inputs!$B$4="Chapter Hunt"),CHOOSE(ArtifactsInput!$N$27+1,20,24,28,32,36,40),0)/100)))))/Skills!H10,1)))/Inputs!$B$43),G2783*Q2783))*IF(Inputs!$B$38="pvp",1,(1+(Inputs!$B$21+Skills!Q10+(((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Skills!G11*IF(Skills!H11&gt;0,IF(Inputs!$B$38="pvp",MIN(Skills!I11,15),Skills!I11)/Skills!H11,1)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(100-(100-((Inputs!$B$19+0)))*(1-IF(Inputs!$B$3&gt;=130,IF(Inputs!$B$3&gt;=118,8,IF(Inputs!$B$3&gt;=110,7,5)),0)/100)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138,MAX(0,IF(Inputs!$B$3&gt;=118,8,IF(Inputs!$B$3&gt;=110,7,5))-5)*50,0),0)/100)*(1+(IF(Skills!A11="RAGING_BLOW",Inputs!$B$17+((C2794=TRUE)*(F2794-Calc!F21))+((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IFERROR(1/(IF(Inputs!$B$38="pvp",15,MAX(0.1,Skills!D11-IF(TRUE=TRUE,1.5,0)))*(1-IF(AND(ArtifactsInput!$M$27,Inputs!$B$4="Chapter Hunt"),CHOOSE(ArtifactsInput!$N$27+1,20,24,28,32,36,40),0)/100)),0)</f>
        <v/>
      </c>
      <c r="R2784">
        <f>IF(AND(Inputs!$B$38&lt;&gt;"pvp",Inputs!$B$43&gt;0),IF(MAX(0,Inputs!$B$43-B2809)&lt;=0,0,(INT(MAX(0,Inputs!$B$43-B2809)/(IF(Inputs!$B$38="pvp",15,MAX(0.1,Skills!D11-IF(TRUE=TRUE,1.5,0)))*(1-IF(AND(ArtifactsInput!$M$27,Inputs!$B$4="Chapter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$20+0+Skills!P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Inputs!$B$38&lt;&gt;"pvp",Inputs!$B$43=0),1,IF(IF(Inputs!$B$38="pvp",15,Inputs!$B$43)-(B2809)&lt;=0,1,MAX(0,IF(Inputs!$B$38="pvp",15,Inputs!$B$43)-MAX(5,B2809))/(IF(Inputs!$B$38="pvp",15,Inputs!$B$43)-(B2809)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TRUE=TRUE,1.5,0)))*(1-IF(AND(ArtifactsInput!$M$27,Inputs!$B$4="Chapter Hunt"),CHOOSE(ArtifactsInput!$N$27+1,20,24,28,32,36,40),0)/100)))))/Skills!H11,1)))/Inputs!$B$43),G2784*Q2784))*IF(Inputs!$B$38="pvp",1,(1+(Inputs!$B$21+Skills!Q11+(((C2789=TRUE)*F2789*(Skills!J16/100)*IF(AND(Inputs!$B$38&lt;&gt;"pvp",Inputs!$B$43&gt;0),(((R2789-1)*MIN((Skills!T16*(1+(Inputs!$B$34+(ArtifactsInput!$M$7-ArtifactsInput!$M$7)*CHOOSE(ArtifactsInput!$N$7+1,6,7.2,8.4,9.6,10.8,12))/100)),(1/Q2789))+MIN((Skills!T16*(1+(Inputs!$B$34+(ArtifactsInput!$M$7-ArtifactsInput!$M$7)*CHOOSE(ArtifactsInput!$N$7+1,6,7.2,8.4,9.6,10.8,12))/100)),MAX(0,Inputs!$B$43-((R2789-1)*(1/Q2789)))))/Inputs!$B$43),IF(Inputs!$B$38="pvp",MIN((Skills!T16*(1+(Inputs!$B$34+(ArtifactsInput!$M$7-ArtifactsInput!$M$7)*CHOOSE(ArtifactsInput!$N$7+1,6,7.2,8.4,9.6,10.8,12))/100)),15)/15,MIN(1,(Skills!T16*(1+(Inputs!$B$34+(ArtifactsInput!$M$7-ArtifactsInput!$M$7)*CHOOSE(ArtifactsInput!$N$7+1,6,7.2,8.4,9.6,10.8,12))/100))/(1/Q2789)))))+((C2781=TRUE)*IF(Inputs!$B$3&gt;=126,10*MIN(1,15*Q2781),0))+((C2778=TRUE)*((100/10)*(INDEX(FactorTable!$B$2:$Y$301,MATCH(ROUND(MIN(300,MAX(1,MAX(0,(Inputs!$B$3-100)*3)+Inputs!$B$28+Inputs!$B$29)),0),FactorTable!$A$2:$A$301,0),22)/1000))*(1+IF(Inputs!$B$3&gt;=134,0.5,0))*MIN(1,10*(1+(Inputs!$B$34+(ArtifactsInput!$M$7-ArtifactsInput!$M$7)*CHOOSE(ArtifactsInput!$N$7+1,6,7.2,8.4,9.6,10.8,12))/100)*Q2778)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Skills!G13*IF(Skills!H13&gt;0,IF(Inputs!$B$38="pvp",MIN(Skills!I13,15),Skills!I13)/Skills!H13,1)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Skills!G14*IF(Skills!H14&gt;0,IF(Inputs!$B$38="pvp",MIN(Skills!I14,15),Skills!I14)/Skills!H14,1)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Skills!G15*IF(Skills!H15&gt;0,IF(Inputs!$B$38="pvp",MIN(Skills!I15,15),Skills!I15)/Skills!H15,1)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IFERROR(1/(IF(Inputs!$B$38="pvp",15,MAX(0.1,Skills!D15-IF(TRUE=TRUE,1.5,0)))*(1-IF(AND(ArtifactsInput!$M$27,Inputs!$B$4="Chapter Hunt"),CHOOSE(ArtifactsInput!$N$27+1,20,24,28,32,36,40),0)/100)),0)</f>
        <v/>
      </c>
      <c r="R2788">
        <f>IF(AND(Inputs!$B$38&lt;&gt;"pvp",Inputs!$B$43&gt;0),IF(Inputs!$B$43&lt;=0,0,(INT(Inputs!$B$43/(IF(Inputs!$B$38="pvp",15,MAX(0.1,Skills!D15-IF(TRUE=TRUE,1.5,0)))*(1-IF(AND(ArtifactsInput!$M$27,Inputs!$B$4="Chapter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Skills!G16*IF(Skills!H16&gt;0,IF(Inputs!$B$38="pvp",MIN(Skills!I16,15),Skills!I16)/Skills!H16,1)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IFERROR(1/(IF(Inputs!$B$38="pvp",15,MAX(0.1,Skills!D16-IF(TRUE=TRUE,1.5,0)))*(1-IF(AND(ArtifactsInput!$M$27,Inputs!$B$4="Chapter Hunt"),CHOOSE(ArtifactsInput!$N$27+1,20,24,28,32,36,40),0)/100)),0)</f>
        <v/>
      </c>
      <c r="R2789">
        <f>IF(AND(Inputs!$B$38&lt;&gt;"pvp",Inputs!$B$43&gt;0),IF(Inputs!$B$43&lt;=0,0,(INT(Inputs!$B$43/(IF(Inputs!$B$38="pvp",15,MAX(0.1,Skills!D16-IF(TRUE=TRUE,1.5,0)))*(1-IF(AND(ArtifactsInput!$M$27,Inputs!$B$4="Chapter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Skills!G17*IF(Skills!H17&gt;0,IF(Inputs!$B$38="pvp",MIN(Skills!I17,15),Skills!I17)/Skills!H17,1)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IFERROR(1/(IF(Inputs!$B$38="pvp",15,MAX(0.1,Skills!D17-IF(TRUE=TRUE,1.5,0)))*(1-IF(AND(ArtifactsInput!$M$27,Inputs!$B$4="Chapter Hunt"),CHOOSE(ArtifactsInput!$N$27+1,20,24,28,32,36,40),0)/100)),0)</f>
        <v/>
      </c>
      <c r="R2790">
        <f>IF(AND(Inputs!$B$38&lt;&gt;"pvp",Inputs!$B$43&gt;0),IF(Inputs!$B$43&lt;=0,0,(INT(Inputs!$B$43/(IF(Inputs!$B$38="pvp",15,MAX(0.1,Skills!D17-IF(TRUE=TRUE,1.5,0)))*(1-IF(AND(ArtifactsInput!$M$27,Inputs!$B$4="Chapter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Skills!G18*IF(Skills!H18&gt;0,IF(Inputs!$B$38="pvp",MIN(Skills!I18,15),Skills!I18)/Skills!H18,1)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IFERROR(1/(IF(Inputs!$B$38="pvp",15,MAX(0.1,Skills!D18-IF(TRUE=TRUE,1.5,0)))*(1-IF(AND(ArtifactsInput!$M$27,Inputs!$B$4="Chapter Hunt"),CHOOSE(ArtifactsInput!$N$27+1,20,24,28,32,36,40),0)/100)),0)</f>
        <v/>
      </c>
      <c r="R2791">
        <f>IF(AND(Inputs!$B$38&lt;&gt;"pvp",Inputs!$B$43&gt;0),IF(Inputs!$B$43&lt;=0,0,(INT(Inputs!$B$43/(IF(Inputs!$B$38="pvp",15,MAX(0.1,Skills!D18-IF(TRUE=TRUE,1.5,0)))*(1-IF(AND(ArtifactsInput!$M$27,Inputs!$B$4="Chapter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Skills!G19*IF(Skills!H19&gt;0,IF(Inputs!$B$38="pvp",MIN(Skills!I19,15),Skills!I19)/Skills!H19,1)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IFERROR(1/(IF(Inputs!$B$38="pvp",15,MAX(0.1,Skills!D19-IF(TRUE=TRUE,1.5,0)))*(1-IF(AND(ArtifactsInput!$M$27,Inputs!$B$4="Chapter Hunt"),CHOOSE(ArtifactsInput!$N$27+1,20,24,28,32,36,40),0)/100)),0)</f>
        <v/>
      </c>
      <c r="R2792">
        <f>IF(AND(Inputs!$B$38&lt;&gt;"pvp",Inputs!$B$43&gt;0),IF(Inputs!$B$43&lt;=0,0,(INT(Inputs!$B$43/(IF(Inputs!$B$38="pvp",15,MAX(0.1,Skills!D19-IF(TRUE=TRUE,1.5,0)))*(1-IF(AND(ArtifactsInput!$M$27,Inputs!$B$4="Chapter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Skills!G20*IF(Skills!H20&gt;0,IF(Inputs!$B$38="pvp",MIN(Skills!I20,15),Skills!I20)/Skills!H20,1)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Skills!G21*IF(Skills!H21&gt;0,IF(Inputs!$B$38="pvp",MIN(Skills!I21,15),Skills!I21)/Skills!H21,1)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Skills!G22*IF(Skills!H22&gt;0,IF(Inputs!$B$38="pvp",MIN(Skills!I22,15),Skills!I22)/Skills!H22,1)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Skills!G23*IF(Skills!H23&gt;0,IF(Inputs!$B$38="pvp",MIN(Skills!I23,15),Skills!I23)/Skills!H23,1)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Skills!G24*IF(Skills!H24&gt;0,IF(Inputs!$B$38="pvp",MIN(Skills!I24,15),Skills!I24)/Skills!H24,1)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Skills!G25*IF(Skills!H25&gt;0,IF(Inputs!$B$38="pvp",MIN(Skills!I25,15),Skills!I25)/Skills!H25,1)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Skills!G26*IF(Skills!H26&gt;0,IF(Inputs!$B$38="pvp",MIN(Skills!I26,15),Skills!I26)/Skills!H26,1)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118,8,IF(Inputs!$B$3&gt;=110,7,5)))+((C2788=TRUE)*F2788*IF(AND(Inputs!$B$38&lt;&gt;"pvp",Inputs!$B$43&gt;0),(((R2788-1)*MIN((Skills!T15*(1+(Inputs!$B$34+(ArtifactsInput!$M$7-ArtifactsInput!$M$7)*CHOOSE(ArtifactsInput!$N$7+1,6,7.2,8.4,9.6,10.8,12))/100)),(1/Q2788))+MIN((Skills!T15*(1+(Inputs!$B$34+(ArtifactsInput!$M$7-ArtifactsInput!$M$7)*CHOOSE(ArtifactsInput!$N$7+1,6,7.2,8.4,9.6,10.8,12))/100)),MAX(0,Inputs!$B$43-((R2788-1)*(1/Q2788)))))/Inputs!$B$43),IF(Inputs!$B$38="pvp",MIN((Skills!T15*(1+(Inputs!$B$34+(ArtifactsInput!$M$7-ArtifactsInput!$M$7)*CHOOSE(ArtifactsInput!$N$7+1,6,7.2,8.4,9.6,10.8,12))/100)),15)/15,MIN(1,(Skills!T15*(1+(Inputs!$B$34+(ArtifactsInput!$M$7-ArtifactsInput!$M$7)*CHOOSE(ArtifactsInput!$N$7+1,6,7.2,8.4,9.6,10.8,12))/100))/(1/Q2788)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MIN((Skills!T19*(1+(Inputs!$B$34+(ArtifactsInput!$M$7-ArtifactsInput!$M$7)*CHOOSE(ArtifactsInput!$N$7+1,6,7.2,8.4,9.6,10.8,12))/100)),(1/Q2792))+MIN((Skills!T19*(1+(Inputs!$B$34+(ArtifactsInput!$M$7-ArtifactsInput!$M$7)*CHOOSE(ArtifactsInput!$N$7+1,6,7.2,8.4,9.6,10.8,12))/100)),MAX(0,Inputs!$B$43-((R2792-1)*(1/Q2792)))))/Inputs!$B$43),IF(Inputs!$B$38="pvp",MIN((Skills!T19*(1+(Inputs!$B$34+(ArtifactsInput!$M$7-ArtifactsInput!$M$7)*CHOOSE(ArtifactsInput!$N$7+1,6,7.2,8.4,9.6,10.8,12))/100)),15)/15,MIN(1,(Skills!T19*(1+(Inputs!$B$34+(ArtifactsInput!$M$7-ArtifactsInput!$M$7)*CHOOSE(ArtifactsInput!$N$7+1,6,7.2,8.4,9.6,10.8,12))/100))/(1/Q2792)))))</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MIN((Skills!T18*(1+(Inputs!$B$34+(ArtifactsInput!$M$7-ArtifactsInput!$M$7)*CHOOSE(ArtifactsInput!$N$7+1,6,7.2,8.4,9.6,10.8,12))/100)),(1/Q2791))+MIN((Skills!T18*(1+(Inputs!$B$34+(ArtifactsInput!$M$7-ArtifactsInput!$M$7)*CHOOSE(ArtifactsInput!$N$7+1,6,7.2,8.4,9.6,10.8,12))/100)),MAX(0,Inputs!$B$43-((R2791-1)*(1/Q2791)))))/Inputs!$B$43),IF(Inputs!$B$38="pvp",MIN((Skills!T18*(1+(Inputs!$B$34+(ArtifactsInput!$M$7-ArtifactsInput!$M$7)*CHOOSE(ArtifactsInput!$N$7+1,6,7.2,8.4,9.6,10.8,12))/100)),15)/15,MIN(1,(Skills!T18*(1+(Inputs!$B$34+(ArtifactsInput!$M$7-ArtifactsInput!$M$7)*CHOOSE(ArtifactsInput!$N$7+1,6,7.2,8.4,9.6,10.8,12))/100))/(1/Q2791)))))</f>
        <v/>
      </c>
    </row>
    <row r="2808">
      <c r="A2808" t="inlineStr">
        <is>
          <t>Global Final Damage Bonus % (Enrage + Combo Synergy)</t>
        </is>
      </c>
      <c r="B2808">
        <f>((C2790=TRUE)*F2790*IF(AND(Inputs!$B$38&lt;&gt;"pvp",Inputs!$B$43&gt;0),(((R2790-1)*MIN((Skills!T17*(1+(Inputs!$B$34+(ArtifactsInput!$M$7-ArtifactsInput!$M$7)*CHOOSE(ArtifactsInput!$N$7+1,6,7.2,8.4,9.6,10.8,12))/100)),(1/Q2790))+MIN((Skills!T17*(1+(Inputs!$B$34+(ArtifactsInput!$M$7-ArtifactsInput!$M$7)*CHOOSE(ArtifactsInput!$N$7+1,6,7.2,8.4,9.6,10.8,12))/100)),MAX(0,Inputs!$B$43-((R2790-1)*(1/Q2790)))))/Inputs!$B$43),IF(Inputs!$B$38="pvp",MIN((Skills!T17*(1+(Inputs!$B$34+(ArtifactsInput!$M$7-ArtifactsInput!$M$7)*CHOOSE(ArtifactsInput!$N$7+1,6,7.2,8.4,9.6,10.8,12))/100)),15)/15,MIN(1,(Skills!T17*(1+(Inputs!$B$34+(ArtifactsInput!$M$7-ArtifactsInput!$M$7)*CHOOSE(ArtifactsInput!$N$7+1,6,7.2,8.4,9.6,10.8,12))/100))/(1/Q2790)))))+((C2787=TRUE)*F2787*IF(Inputs!$B$3&gt;=118,8,IF(Inputs!$B$3&gt;=110,7,5)))+IF(Inputs!$B$3&gt;=98,5,0)</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Skills!G2*IF(Skills!H2&gt;0,IF(Inputs!$B$38="pvp",MIN(Skills!I2,15),Skills!I2)/Skills!H2,1)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Skills!G5*IF(Skills!H5&gt;0,IF(Inputs!$B$38="pvp",MIN(Skills!I5,15),Skills!I5)/Skills!H5,1)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IFERROR(1/(IF(Inputs!$B$38="pvp",15,MAX(0.1,Skills!D5-IF(TRUE=TRUE,2.0,0)))*(1-IF(AND(ArtifactsInput!$M$27,Inputs!$B$4="Chapter Hunt"),CHOOSE(ArtifactsInput!$N$27+1,20,24,28,32,36,40),0)/100)),0)</f>
        <v/>
      </c>
      <c r="R2820">
        <f>IF(AND(Inputs!$B$38&lt;&gt;"pvp",Inputs!$B$43&gt;0),IF(MAX(0,Inputs!$B$43-B2851)&lt;=0,0,(INT(MAX(0,Inputs!$B$43-B2851)/(IF(Inputs!$B$38="pvp",15,MAX(0.1,Skills!D5-IF(TRUE=TRUE,2.0,0)))*(1-IF(AND(ArtifactsInput!$M$27,Inputs!$B$4="Chapter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$20+0+Skills!P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TRUE=TRUE,2.0,0)))*(1-IF(AND(ArtifactsInput!$M$27,Inputs!$B$4="Chapter Hunt"),CHOOSE(ArtifactsInput!$N$27+1,20,24,28,32,36,40),0)/100)))))/Skills!H5,1)))/Inputs!$B$43),G2820*Q2820))*IF(Inputs!$B$38="pvp",1,(1+(Inputs!$B$21+Skills!Q5+(((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Skills!G6*IF(Skills!H6&gt;0,IF(Inputs!$B$38="pvp",MIN(Skills!I6,15),Skills!I6)/Skills!H6,1)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IFERROR(1/(IF(Inputs!$B$38="pvp",15,MAX(0.1,Skills!D6-IF(TRUE=TRUE,2.0,0)))*(1-IF(AND(ArtifactsInput!$M$27,Inputs!$B$4="Chapter Hunt"),CHOOSE(ArtifactsInput!$N$27+1,20,24,28,32,36,40),0)/100)),0)</f>
        <v/>
      </c>
      <c r="R2821">
        <f>IF(AND(Inputs!$B$38&lt;&gt;"pvp",Inputs!$B$43&gt;0),IF(MAX(0,Inputs!$B$43-B2851)&lt;=0,0,(INT(MAX(0,Inputs!$B$43-B2851)/(IF(Inputs!$B$38="pvp",15,MAX(0.1,Skills!D6-IF(TRUE=TRUE,2.0,0)))*(1-IF(AND(ArtifactsInput!$M$27,Inputs!$B$4="Chapter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$20+0+Skills!P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TRUE=TRUE,2.0,0)))*(1-IF(AND(ArtifactsInput!$M$27,Inputs!$B$4="Chapter Hunt"),CHOOSE(ArtifactsInput!$N$27+1,20,24,28,32,36,40),0)/100)))))/Skills!H6,1)))/Inputs!$B$43),G2821*Q2821))*IF(Inputs!$B$38="pvp",1,(1+(Inputs!$B$21+Skills!Q6+(((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Skills!G7*IF(Skills!H7&gt;0,IF(Inputs!$B$38="pvp",MIN(Skills!I7,15),Skills!I7)/Skills!H7,1)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IFERROR(1/(IF(Inputs!$B$38="pvp",15,MAX(0.1,Skills!D7-IF(TRUE=TRUE,2.0,0)))*(1-IF(AND(ArtifactsInput!$M$27,Inputs!$B$4="Chapter Hunt"),CHOOSE(ArtifactsInput!$N$27+1,20,24,28,32,36,40),0)/100)),0)</f>
        <v/>
      </c>
      <c r="R2822">
        <f>IF(AND(Inputs!$B$38&lt;&gt;"pvp",Inputs!$B$43&gt;0),IF(MAX(0,Inputs!$B$43-B2851)&lt;=0,0,(INT(MAX(0,Inputs!$B$43-B2851)/(IF(Inputs!$B$38="pvp",15,MAX(0.1,Skills!D7-IF(TRUE=TRUE,2.0,0)))*(1-IF(AND(ArtifactsInput!$M$27,Inputs!$B$4="Chapter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$20+0+Skills!P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TRUE=TRUE,2.0,0)))*(1-IF(AND(ArtifactsInput!$M$27,Inputs!$B$4="Chapter Hunt"),CHOOSE(ArtifactsInput!$N$27+1,20,24,28,32,36,40),0)/100)))))/Skills!H7,1)))/Inputs!$B$43),G2822*Q2822))*IF(Inputs!$B$38="pvp",1,(1+(Inputs!$B$21+Skills!Q7+(((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Skills!G8*IF(Skills!H8&gt;0,IF(Inputs!$B$38="pvp",MIN(Skills!I8,15),Skills!I8)/Skills!H8,1)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IFERROR(1/(IF(Inputs!$B$38="pvp",15,MAX(0.1,Skills!D8-IF(TRUE=TRUE,2.0,0)))*(1-IF(AND(ArtifactsInput!$M$27,Inputs!$B$4="Chapter Hunt"),CHOOSE(ArtifactsInput!$N$27+1,20,24,28,32,36,40),0)/100)),0)</f>
        <v/>
      </c>
      <c r="R2823">
        <f>IF(AND(Inputs!$B$38&lt;&gt;"pvp",Inputs!$B$43&gt;0),IF(MAX(0,Inputs!$B$43-B2851)&lt;=0,0,(INT(MAX(0,Inputs!$B$43-B2851)/(IF(Inputs!$B$38="pvp",15,MAX(0.1,Skills!D8-IF(TRUE=TRUE,2.0,0)))*(1-IF(AND(ArtifactsInput!$M$27,Inputs!$B$4="Chapter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$20+0+Skills!P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TRUE=TRUE,2.0,0)))*(1-IF(AND(ArtifactsInput!$M$27,Inputs!$B$4="Chapter Hunt"),CHOOSE(ArtifactsInput!$N$27+1,20,24,28,32,36,40),0)/100)))))/Skills!H8,1)))/Inputs!$B$43),G2823*Q2823))*IF(Inputs!$B$38="pvp",1,(1+(Inputs!$B$21+Skills!Q8+(((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Skills!G9*IF(Skills!H9&gt;0,IF(Inputs!$B$38="pvp",MIN(Skills!I9,15),Skills!I9)/Skills!H9,1)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138,MAX(0,IF(Inputs!$B$3&gt;=118,8,IF(Inputs!$B$3&gt;=110,7,5))-5)*50,0),0)/100)*(1+(IF(Skills!A9="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IFERROR(1/(IF(Inputs!$B$38="pvp",15,MAX(0.1,Skills!D9-IF(TRUE=TRUE,2.0,0)))*(1-IF(AND(ArtifactsInput!$M$27,Inputs!$B$4="Chapter Hunt"),CHOOSE(ArtifactsInput!$N$27+1,20,24,28,32,36,40),0)/100)),0)</f>
        <v/>
      </c>
      <c r="R2824">
        <f>IF(AND(Inputs!$B$38&lt;&gt;"pvp",Inputs!$B$43&gt;0),IF(MAX(0,Inputs!$B$43-B2851)&lt;=0,0,(INT(MAX(0,Inputs!$B$43-B2851)/(IF(Inputs!$B$38="pvp",15,MAX(0.1,Skills!D9-IF(TRUE=TRUE,2.0,0)))*(1-IF(AND(ArtifactsInput!$M$27,Inputs!$B$4="Chapter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TRUE=TRUE,2.0,0)))*(1-IF(AND(ArtifactsInput!$M$27,Inputs!$B$4="Chapter Hunt"),CHOOSE(ArtifactsInput!$N$27+1,20,24,28,32,36,40),0)/100)))))/Skills!H9,1)))/Inputs!$B$43),G2824*Q2824))*IF(Inputs!$B$38="pvp",1,1+(Inputs!$B$20+0+Skills!P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TRUE=TRUE,2.0,0)))*(1-IF(AND(ArtifactsInput!$M$27,Inputs!$B$4="Chapter Hunt"),CHOOSE(ArtifactsInput!$N$27+1,20,24,28,32,36,40),0)/100)))))/Skills!H9,1)))/Inputs!$B$43),G2824*Q2824))*IF(Inputs!$B$38="pvp",1,(1+(Inputs!$B$21+Skills!Q9+(((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Skills!G10*IF(Skills!H10&gt;0,IF(Inputs!$B$38="pvp",MIN(Skills!I10,15),Skills!I10)/Skills!H10,1)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138,MAX(0,IF(Inputs!$B$3&gt;=118,8,IF(Inputs!$B$3&gt;=110,7,5))-5)*50,0),0)/100)*(1+(IF(Skills!A10="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IFERROR(1/(IF(Inputs!$B$38="pvp",15,MAX(0.1,Skills!D10-IF(TRUE=TRUE,2.0,0)))*(1-IF(AND(ArtifactsInput!$M$27,Inputs!$B$4="Chapter Hunt"),CHOOSE(ArtifactsInput!$N$27+1,20,24,28,32,36,40),0)/100)),0)</f>
        <v/>
      </c>
      <c r="R2825">
        <f>IF(AND(Inputs!$B$38&lt;&gt;"pvp",Inputs!$B$43&gt;0),IF(MAX(0,Inputs!$B$43-B2851)&lt;=0,0,(INT(MAX(0,Inputs!$B$43-B2851)/(IF(Inputs!$B$38="pvp",15,MAX(0.1,Skills!D10-IF(TRUE=TRUE,2.0,0)))*(1-IF(AND(ArtifactsInput!$M$27,Inputs!$B$4="Chapter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$20+0+Skills!P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TRUE=TRUE,2.0,0)))*(1-IF(AND(ArtifactsInput!$M$27,Inputs!$B$4="Chapter Hunt"),CHOOSE(ArtifactsInput!$N$27+1,20,24,28,32,36,40),0)/100)))))/Skills!H10,1)))/Inputs!$B$43),G2825*Q2825))*IF(Inputs!$B$38="pvp",1,(1+(Inputs!$B$21+Skills!Q10+(((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Skills!G11*IF(Skills!H11&gt;0,IF(Inputs!$B$38="pvp",MIN(Skills!I11,15),Skills!I11)/Skills!H11,1)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(100-(100-((Inputs!$B$19+0)))*(1-IF(Inputs!$B$3&gt;=130,IF(Inputs!$B$3&gt;=118,8,IF(Inputs!$B$3&gt;=110,7,5)),0)/100)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138,MAX(0,IF(Inputs!$B$3&gt;=118,8,IF(Inputs!$B$3&gt;=110,7,5))-5)*50,0),0)/100)*(1+(IF(Skills!A11="RAGING_BLOW",Inputs!$B$17+((C2836=TRUE)*(F2836-Calc!F21))+((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IFERROR(1/(IF(Inputs!$B$38="pvp",15,MAX(0.1,Skills!D11-IF(TRUE=TRUE,2.0,0)))*(1-IF(AND(ArtifactsInput!$M$27,Inputs!$B$4="Chapter Hunt"),CHOOSE(ArtifactsInput!$N$27+1,20,24,28,32,36,40),0)/100)),0)</f>
        <v/>
      </c>
      <c r="R2826">
        <f>IF(AND(Inputs!$B$38&lt;&gt;"pvp",Inputs!$B$43&gt;0),IF(MAX(0,Inputs!$B$43-B2851)&lt;=0,0,(INT(MAX(0,Inputs!$B$43-B2851)/(IF(Inputs!$B$38="pvp",15,MAX(0.1,Skills!D11-IF(TRUE=TRUE,2.0,0)))*(1-IF(AND(ArtifactsInput!$M$27,Inputs!$B$4="Chapter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$20+0+Skills!P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Inputs!$B$38&lt;&gt;"pvp",Inputs!$B$43=0),1,IF(IF(Inputs!$B$38="pvp",15,Inputs!$B$43)-(B2851)&lt;=0,1,MAX(0,IF(Inputs!$B$38="pvp",15,Inputs!$B$43)-MAX(5,B2851))/(IF(Inputs!$B$38="pvp",15,Inputs!$B$43)-(B2851)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TRUE=TRUE,2.0,0)))*(1-IF(AND(ArtifactsInput!$M$27,Inputs!$B$4="Chapter Hunt"),CHOOSE(ArtifactsInput!$N$27+1,20,24,28,32,36,40),0)/100)))))/Skills!H11,1)))/Inputs!$B$43),G2826*Q2826))*IF(Inputs!$B$38="pvp",1,(1+(Inputs!$B$21+Skills!Q11+(((C2831=TRUE)*F2831*(Skills!J16/100)*IF(AND(Inputs!$B$38&lt;&gt;"pvp",Inputs!$B$43&gt;0),(((R2831-1)*MIN((Skills!T16*(1+(Inputs!$B$34+(ArtifactsInput!$M$7-ArtifactsInput!$M$7)*CHOOSE(ArtifactsInput!$N$7+1,6,7.2,8.4,9.6,10.8,12))/100)),(1/Q2831))+MIN((Skills!T16*(1+(Inputs!$B$34+(ArtifactsInput!$M$7-ArtifactsInput!$M$7)*CHOOSE(ArtifactsInput!$N$7+1,6,7.2,8.4,9.6,10.8,12))/100)),MAX(0,Inputs!$B$43-((R2831-1)*(1/Q2831)))))/Inputs!$B$43),IF(Inputs!$B$38="pvp",MIN((Skills!T16*(1+(Inputs!$B$34+(ArtifactsInput!$M$7-ArtifactsInput!$M$7)*CHOOSE(ArtifactsInput!$N$7+1,6,7.2,8.4,9.6,10.8,12))/100)),15)/15,MIN(1,(Skills!T16*(1+(Inputs!$B$34+(ArtifactsInput!$M$7-ArtifactsInput!$M$7)*CHOOSE(ArtifactsInput!$N$7+1,6,7.2,8.4,9.6,10.8,12))/100))/(1/Q2831)))))+((C2823=TRUE)*IF(Inputs!$B$3&gt;=126,10*MIN(1,15*Q2823),0))+((C2820=TRUE)*((100/10)*(INDEX(FactorTable!$B$2:$Y$301,MATCH(ROUND(MIN(300,MAX(1,MAX(0,(Inputs!$B$3-100)*3)+Inputs!$B$28+Inputs!$B$29)),0),FactorTable!$A$2:$A$301,0),22)/1000))*(1+IF(Inputs!$B$3&gt;=134,0.5,0))*MIN(1,10*(1+(Inputs!$B$34+(ArtifactsInput!$M$7-ArtifactsInput!$M$7)*CHOOSE(ArtifactsInput!$N$7+1,6,7.2,8.4,9.6,10.8,12))/100)*Q2820)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Skills!G13*IF(Skills!H13&gt;0,IF(Inputs!$B$38="pvp",MIN(Skills!I13,15),Skills!I13)/Skills!H13,1)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Skills!G14*IF(Skills!H14&gt;0,IF(Inputs!$B$38="pvp",MIN(Skills!I14,15),Skills!I14)/Skills!H14,1)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Skills!G15*IF(Skills!H15&gt;0,IF(Inputs!$B$38="pvp",MIN(Skills!I15,15),Skills!I15)/Skills!H15,1)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IFERROR(1/(IF(Inputs!$B$38="pvp",15,MAX(0.1,Skills!D15-IF(TRUE=TRUE,2.0,0)))*(1-IF(AND(ArtifactsInput!$M$27,Inputs!$B$4="Chapter Hunt"),CHOOSE(ArtifactsInput!$N$27+1,20,24,28,32,36,40),0)/100)),0)</f>
        <v/>
      </c>
      <c r="R2830">
        <f>IF(AND(Inputs!$B$38&lt;&gt;"pvp",Inputs!$B$43&gt;0),IF(Inputs!$B$43&lt;=0,0,(INT(Inputs!$B$43/(IF(Inputs!$B$38="pvp",15,MAX(0.1,Skills!D15-IF(TRUE=TRUE,2.0,0)))*(1-IF(AND(ArtifactsInput!$M$27,Inputs!$B$4="Chapter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Skills!G16*IF(Skills!H16&gt;0,IF(Inputs!$B$38="pvp",MIN(Skills!I16,15),Skills!I16)/Skills!H16,1)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IFERROR(1/(IF(Inputs!$B$38="pvp",15,MAX(0.1,Skills!D16-IF(TRUE=TRUE,2.0,0)))*(1-IF(AND(ArtifactsInput!$M$27,Inputs!$B$4="Chapter Hunt"),CHOOSE(ArtifactsInput!$N$27+1,20,24,28,32,36,40),0)/100)),0)</f>
        <v/>
      </c>
      <c r="R2831">
        <f>IF(AND(Inputs!$B$38&lt;&gt;"pvp",Inputs!$B$43&gt;0),IF(Inputs!$B$43&lt;=0,0,(INT(Inputs!$B$43/(IF(Inputs!$B$38="pvp",15,MAX(0.1,Skills!D16-IF(TRUE=TRUE,2.0,0)))*(1-IF(AND(ArtifactsInput!$M$27,Inputs!$B$4="Chapter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Skills!G17*IF(Skills!H17&gt;0,IF(Inputs!$B$38="pvp",MIN(Skills!I17,15),Skills!I17)/Skills!H17,1)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IFERROR(1/(IF(Inputs!$B$38="pvp",15,MAX(0.1,Skills!D17-IF(TRUE=TRUE,2.0,0)))*(1-IF(AND(ArtifactsInput!$M$27,Inputs!$B$4="Chapter Hunt"),CHOOSE(ArtifactsInput!$N$27+1,20,24,28,32,36,40),0)/100)),0)</f>
        <v/>
      </c>
      <c r="R2832">
        <f>IF(AND(Inputs!$B$38&lt;&gt;"pvp",Inputs!$B$43&gt;0),IF(Inputs!$B$43&lt;=0,0,(INT(Inputs!$B$43/(IF(Inputs!$B$38="pvp",15,MAX(0.1,Skills!D17-IF(TRUE=TRUE,2.0,0)))*(1-IF(AND(ArtifactsInput!$M$27,Inputs!$B$4="Chapter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Skills!G18*IF(Skills!H18&gt;0,IF(Inputs!$B$38="pvp",MIN(Skills!I18,15),Skills!I18)/Skills!H18,1)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IFERROR(1/(IF(Inputs!$B$38="pvp",15,MAX(0.1,Skills!D18-IF(TRUE=TRUE,2.0,0)))*(1-IF(AND(ArtifactsInput!$M$27,Inputs!$B$4="Chapter Hunt"),CHOOSE(ArtifactsInput!$N$27+1,20,24,28,32,36,40),0)/100)),0)</f>
        <v/>
      </c>
      <c r="R2833">
        <f>IF(AND(Inputs!$B$38&lt;&gt;"pvp",Inputs!$B$43&gt;0),IF(Inputs!$B$43&lt;=0,0,(INT(Inputs!$B$43/(IF(Inputs!$B$38="pvp",15,MAX(0.1,Skills!D18-IF(TRUE=TRUE,2.0,0)))*(1-IF(AND(ArtifactsInput!$M$27,Inputs!$B$4="Chapter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Skills!G19*IF(Skills!H19&gt;0,IF(Inputs!$B$38="pvp",MIN(Skills!I19,15),Skills!I19)/Skills!H19,1)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IFERROR(1/(IF(Inputs!$B$38="pvp",15,MAX(0.1,Skills!D19-IF(TRUE=TRUE,2.0,0)))*(1-IF(AND(ArtifactsInput!$M$27,Inputs!$B$4="Chapter Hunt"),CHOOSE(ArtifactsInput!$N$27+1,20,24,28,32,36,40),0)/100)),0)</f>
        <v/>
      </c>
      <c r="R2834">
        <f>IF(AND(Inputs!$B$38&lt;&gt;"pvp",Inputs!$B$43&gt;0),IF(Inputs!$B$43&lt;=0,0,(INT(Inputs!$B$43/(IF(Inputs!$B$38="pvp",15,MAX(0.1,Skills!D19-IF(TRUE=TRUE,2.0,0)))*(1-IF(AND(ArtifactsInput!$M$27,Inputs!$B$4="Chapter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Skills!G20*IF(Skills!H20&gt;0,IF(Inputs!$B$38="pvp",MIN(Skills!I20,15),Skills!I20)/Skills!H20,1)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Skills!G21*IF(Skills!H21&gt;0,IF(Inputs!$B$38="pvp",MIN(Skills!I21,15),Skills!I21)/Skills!H21,1)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Skills!G22*IF(Skills!H22&gt;0,IF(Inputs!$B$38="pvp",MIN(Skills!I22,15),Skills!I22)/Skills!H22,1)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Skills!G23*IF(Skills!H23&gt;0,IF(Inputs!$B$38="pvp",MIN(Skills!I23,15),Skills!I23)/Skills!H23,1)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Skills!G24*IF(Skills!H24&gt;0,IF(Inputs!$B$38="pvp",MIN(Skills!I24,15),Skills!I24)/Skills!H24,1)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Skills!G25*IF(Skills!H25&gt;0,IF(Inputs!$B$38="pvp",MIN(Skills!I25,15),Skills!I25)/Skills!H25,1)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Skills!G26*IF(Skills!H26&gt;0,IF(Inputs!$B$38="pvp",MIN(Skills!I26,15),Skills!I26)/Skills!H26,1)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118,8,IF(Inputs!$B$3&gt;=110,7,5)))+((C2830=TRUE)*F2830*IF(AND(Inputs!$B$38&lt;&gt;"pvp",Inputs!$B$43&gt;0),(((R2830-1)*MIN((Skills!T15*(1+(Inputs!$B$34+(ArtifactsInput!$M$7-ArtifactsInput!$M$7)*CHOOSE(ArtifactsInput!$N$7+1,6,7.2,8.4,9.6,10.8,12))/100)),(1/Q2830))+MIN((Skills!T15*(1+(Inputs!$B$34+(ArtifactsInput!$M$7-ArtifactsInput!$M$7)*CHOOSE(ArtifactsInput!$N$7+1,6,7.2,8.4,9.6,10.8,12))/100)),MAX(0,Inputs!$B$43-((R2830-1)*(1/Q2830)))))/Inputs!$B$43),IF(Inputs!$B$38="pvp",MIN((Skills!T15*(1+(Inputs!$B$34+(ArtifactsInput!$M$7-ArtifactsInput!$M$7)*CHOOSE(ArtifactsInput!$N$7+1,6,7.2,8.4,9.6,10.8,12))/100)),15)/15,MIN(1,(Skills!T15*(1+(Inputs!$B$34+(ArtifactsInput!$M$7-ArtifactsInput!$M$7)*CHOOSE(ArtifactsInput!$N$7+1,6,7.2,8.4,9.6,10.8,12))/100))/(1/Q2830)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MIN((Skills!T19*(1+(Inputs!$B$34+(ArtifactsInput!$M$7-ArtifactsInput!$M$7)*CHOOSE(ArtifactsInput!$N$7+1,6,7.2,8.4,9.6,10.8,12))/100)),(1/Q2834))+MIN((Skills!T19*(1+(Inputs!$B$34+(ArtifactsInput!$M$7-ArtifactsInput!$M$7)*CHOOSE(ArtifactsInput!$N$7+1,6,7.2,8.4,9.6,10.8,12))/100)),MAX(0,Inputs!$B$43-((R2834-1)*(1/Q2834)))))/Inputs!$B$43),IF(Inputs!$B$38="pvp",MIN((Skills!T19*(1+(Inputs!$B$34+(ArtifactsInput!$M$7-ArtifactsInput!$M$7)*CHOOSE(ArtifactsInput!$N$7+1,6,7.2,8.4,9.6,10.8,12))/100)),15)/15,MIN(1,(Skills!T19*(1+(Inputs!$B$34+(ArtifactsInput!$M$7-ArtifactsInput!$M$7)*CHOOSE(ArtifactsInput!$N$7+1,6,7.2,8.4,9.6,10.8,12))/100))/(1/Q2834)))))</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MIN((Skills!T18*(1+(Inputs!$B$34+(ArtifactsInput!$M$7-ArtifactsInput!$M$7)*CHOOSE(ArtifactsInput!$N$7+1,6,7.2,8.4,9.6,10.8,12))/100)),(1/Q2833))+MIN((Skills!T18*(1+(Inputs!$B$34+(ArtifactsInput!$M$7-ArtifactsInput!$M$7)*CHOOSE(ArtifactsInput!$N$7+1,6,7.2,8.4,9.6,10.8,12))/100)),MAX(0,Inputs!$B$43-((R2833-1)*(1/Q2833)))))/Inputs!$B$43),IF(Inputs!$B$38="pvp",MIN((Skills!T18*(1+(Inputs!$B$34+(ArtifactsInput!$M$7-ArtifactsInput!$M$7)*CHOOSE(ArtifactsInput!$N$7+1,6,7.2,8.4,9.6,10.8,12))/100)),15)/15,MIN(1,(Skills!T18*(1+(Inputs!$B$34+(ArtifactsInput!$M$7-ArtifactsInput!$M$7)*CHOOSE(ArtifactsInput!$N$7+1,6,7.2,8.4,9.6,10.8,12))/100))/(1/Q2833)))))</f>
        <v/>
      </c>
    </row>
    <row r="2850">
      <c r="A2850" t="inlineStr">
        <is>
          <t>Global Final Damage Bonus % (Enrage + Combo Synergy)</t>
        </is>
      </c>
      <c r="B2850">
        <f>((C2832=TRUE)*F2832*IF(AND(Inputs!$B$38&lt;&gt;"pvp",Inputs!$B$43&gt;0),(((R2832-1)*MIN((Skills!T17*(1+(Inputs!$B$34+(ArtifactsInput!$M$7-ArtifactsInput!$M$7)*CHOOSE(ArtifactsInput!$N$7+1,6,7.2,8.4,9.6,10.8,12))/100)),(1/Q2832))+MIN((Skills!T17*(1+(Inputs!$B$34+(ArtifactsInput!$M$7-ArtifactsInput!$M$7)*CHOOSE(ArtifactsInput!$N$7+1,6,7.2,8.4,9.6,10.8,12))/100)),MAX(0,Inputs!$B$43-((R2832-1)*(1/Q2832)))))/Inputs!$B$43),IF(Inputs!$B$38="pvp",MIN((Skills!T17*(1+(Inputs!$B$34+(ArtifactsInput!$M$7-ArtifactsInput!$M$7)*CHOOSE(ArtifactsInput!$N$7+1,6,7.2,8.4,9.6,10.8,12))/100)),15)/15,MIN(1,(Skills!T17*(1+(Inputs!$B$34+(ArtifactsInput!$M$7-ArtifactsInput!$M$7)*CHOOSE(ArtifactsInput!$N$7+1,6,7.2,8.4,9.6,10.8,12))/100))/(1/Q2832)))))+((C2829=TRUE)*F2829*IF(Inputs!$B$3&gt;=118,8,IF(Inputs!$B$3&gt;=110,7,5)))+IF(Inputs!$B$3&gt;=98,5,0)</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Skills!G2*IF(Skills!H2&gt;0,IF(Inputs!$B$38="pvp",MIN(Skills!I2,15),Skills!I2)/Skills!H2,1)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Skills!G5*IF(Skills!H5&gt;0,IF(Inputs!$B$38="pvp",MIN(Skills!I5,15),Skills!I5)/Skills!H5,1)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IFERROR(1/(IF(Inputs!$B$38="pvp",15,MAX(0.1,Skills!D5-IF(TRUE=TRUE,2.5,0)))*(1-IF(AND(ArtifactsInput!$M$27,Inputs!$B$4="Chapter Hunt"),CHOOSE(ArtifactsInput!$N$27+1,20,24,28,32,36,40),0)/100)),0)</f>
        <v/>
      </c>
      <c r="R2862">
        <f>IF(AND(Inputs!$B$38&lt;&gt;"pvp",Inputs!$B$43&gt;0),IF(MAX(0,Inputs!$B$43-B2893)&lt;=0,0,(INT(MAX(0,Inputs!$B$43-B2893)/(IF(Inputs!$B$38="pvp",15,MAX(0.1,Skills!D5-IF(TRUE=TRUE,2.5,0)))*(1-IF(AND(ArtifactsInput!$M$27,Inputs!$B$4="Chapter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$20+0+Skills!P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TRUE=TRUE,2.5,0)))*(1-IF(AND(ArtifactsInput!$M$27,Inputs!$B$4="Chapter Hunt"),CHOOSE(ArtifactsInput!$N$27+1,20,24,28,32,36,40),0)/100)))))/Skills!H5,1)))/Inputs!$B$43),G2862*Q2862))*IF(Inputs!$B$38="pvp",1,(1+(Inputs!$B$21+Skills!Q5+(((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Skills!G6*IF(Skills!H6&gt;0,IF(Inputs!$B$38="pvp",MIN(Skills!I6,15),Skills!I6)/Skills!H6,1)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IFERROR(1/(IF(Inputs!$B$38="pvp",15,MAX(0.1,Skills!D6-IF(TRUE=TRUE,2.5,0)))*(1-IF(AND(ArtifactsInput!$M$27,Inputs!$B$4="Chapter Hunt"),CHOOSE(ArtifactsInput!$N$27+1,20,24,28,32,36,40),0)/100)),0)</f>
        <v/>
      </c>
      <c r="R2863">
        <f>IF(AND(Inputs!$B$38&lt;&gt;"pvp",Inputs!$B$43&gt;0),IF(MAX(0,Inputs!$B$43-B2893)&lt;=0,0,(INT(MAX(0,Inputs!$B$43-B2893)/(IF(Inputs!$B$38="pvp",15,MAX(0.1,Skills!D6-IF(TRUE=TRUE,2.5,0)))*(1-IF(AND(ArtifactsInput!$M$27,Inputs!$B$4="Chapter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$20+0+Skills!P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TRUE=TRUE,2.5,0)))*(1-IF(AND(ArtifactsInput!$M$27,Inputs!$B$4="Chapter Hunt"),CHOOSE(ArtifactsInput!$N$27+1,20,24,28,32,36,40),0)/100)))))/Skills!H6,1)))/Inputs!$B$43),G2863*Q2863))*IF(Inputs!$B$38="pvp",1,(1+(Inputs!$B$21+Skills!Q6+(((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Skills!G7*IF(Skills!H7&gt;0,IF(Inputs!$B$38="pvp",MIN(Skills!I7,15),Skills!I7)/Skills!H7,1)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IFERROR(1/(IF(Inputs!$B$38="pvp",15,MAX(0.1,Skills!D7-IF(TRUE=TRUE,2.5,0)))*(1-IF(AND(ArtifactsInput!$M$27,Inputs!$B$4="Chapter Hunt"),CHOOSE(ArtifactsInput!$N$27+1,20,24,28,32,36,40),0)/100)),0)</f>
        <v/>
      </c>
      <c r="R2864">
        <f>IF(AND(Inputs!$B$38&lt;&gt;"pvp",Inputs!$B$43&gt;0),IF(MAX(0,Inputs!$B$43-B2893)&lt;=0,0,(INT(MAX(0,Inputs!$B$43-B2893)/(IF(Inputs!$B$38="pvp",15,MAX(0.1,Skills!D7-IF(TRUE=TRUE,2.5,0)))*(1-IF(AND(ArtifactsInput!$M$27,Inputs!$B$4="Chapter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$20+0+Skills!P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TRUE=TRUE,2.5,0)))*(1-IF(AND(ArtifactsInput!$M$27,Inputs!$B$4="Chapter Hunt"),CHOOSE(ArtifactsInput!$N$27+1,20,24,28,32,36,40),0)/100)))))/Skills!H7,1)))/Inputs!$B$43),G2864*Q2864))*IF(Inputs!$B$38="pvp",1,(1+(Inputs!$B$21+Skills!Q7+(((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Skills!G8*IF(Skills!H8&gt;0,IF(Inputs!$B$38="pvp",MIN(Skills!I8,15),Skills!I8)/Skills!H8,1)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IFERROR(1/(IF(Inputs!$B$38="pvp",15,MAX(0.1,Skills!D8-IF(TRUE=TRUE,2.5,0)))*(1-IF(AND(ArtifactsInput!$M$27,Inputs!$B$4="Chapter Hunt"),CHOOSE(ArtifactsInput!$N$27+1,20,24,28,32,36,40),0)/100)),0)</f>
        <v/>
      </c>
      <c r="R2865">
        <f>IF(AND(Inputs!$B$38&lt;&gt;"pvp",Inputs!$B$43&gt;0),IF(MAX(0,Inputs!$B$43-B2893)&lt;=0,0,(INT(MAX(0,Inputs!$B$43-B2893)/(IF(Inputs!$B$38="pvp",15,MAX(0.1,Skills!D8-IF(TRUE=TRUE,2.5,0)))*(1-IF(AND(ArtifactsInput!$M$27,Inputs!$B$4="Chapter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$20+0+Skills!P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TRUE=TRUE,2.5,0)))*(1-IF(AND(ArtifactsInput!$M$27,Inputs!$B$4="Chapter Hunt"),CHOOSE(ArtifactsInput!$N$27+1,20,24,28,32,36,40),0)/100)))))/Skills!H8,1)))/Inputs!$B$43),G2865*Q2865))*IF(Inputs!$B$38="pvp",1,(1+(Inputs!$B$21+Skills!Q8+(((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Skills!G9*IF(Skills!H9&gt;0,IF(Inputs!$B$38="pvp",MIN(Skills!I9,15),Skills!I9)/Skills!H9,1)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138,MAX(0,IF(Inputs!$B$3&gt;=118,8,IF(Inputs!$B$3&gt;=110,7,5))-5)*50,0),0)/100)*(1+(IF(Skills!A9="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IFERROR(1/(IF(Inputs!$B$38="pvp",15,MAX(0.1,Skills!D9-IF(TRUE=TRUE,2.5,0)))*(1-IF(AND(ArtifactsInput!$M$27,Inputs!$B$4="Chapter Hunt"),CHOOSE(ArtifactsInput!$N$27+1,20,24,28,32,36,40),0)/100)),0)</f>
        <v/>
      </c>
      <c r="R2866">
        <f>IF(AND(Inputs!$B$38&lt;&gt;"pvp",Inputs!$B$43&gt;0),IF(MAX(0,Inputs!$B$43-B2893)&lt;=0,0,(INT(MAX(0,Inputs!$B$43-B2893)/(IF(Inputs!$B$38="pvp",15,MAX(0.1,Skills!D9-IF(TRUE=TRUE,2.5,0)))*(1-IF(AND(ArtifactsInput!$M$27,Inputs!$B$4="Chapter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TRUE=TRUE,2.5,0)))*(1-IF(AND(ArtifactsInput!$M$27,Inputs!$B$4="Chapter Hunt"),CHOOSE(ArtifactsInput!$N$27+1,20,24,28,32,36,40),0)/100)))))/Skills!H9,1)))/Inputs!$B$43),G2866*Q2866))*IF(Inputs!$B$38="pvp",1,1+(Inputs!$B$20+0+Skills!P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TRUE=TRUE,2.5,0)))*(1-IF(AND(ArtifactsInput!$M$27,Inputs!$B$4="Chapter Hunt"),CHOOSE(ArtifactsInput!$N$27+1,20,24,28,32,36,40),0)/100)))))/Skills!H9,1)))/Inputs!$B$43),G2866*Q2866))*IF(Inputs!$B$38="pvp",1,(1+(Inputs!$B$21+Skills!Q9+(((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Skills!G10*IF(Skills!H10&gt;0,IF(Inputs!$B$38="pvp",MIN(Skills!I10,15),Skills!I10)/Skills!H10,1)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138,MAX(0,IF(Inputs!$B$3&gt;=118,8,IF(Inputs!$B$3&gt;=110,7,5))-5)*50,0),0)/100)*(1+(IF(Skills!A10="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IFERROR(1/(IF(Inputs!$B$38="pvp",15,MAX(0.1,Skills!D10-IF(TRUE=TRUE,2.5,0)))*(1-IF(AND(ArtifactsInput!$M$27,Inputs!$B$4="Chapter Hunt"),CHOOSE(ArtifactsInput!$N$27+1,20,24,28,32,36,40),0)/100)),0)</f>
        <v/>
      </c>
      <c r="R2867">
        <f>IF(AND(Inputs!$B$38&lt;&gt;"pvp",Inputs!$B$43&gt;0),IF(MAX(0,Inputs!$B$43-B2893)&lt;=0,0,(INT(MAX(0,Inputs!$B$43-B2893)/(IF(Inputs!$B$38="pvp",15,MAX(0.1,Skills!D10-IF(TRUE=TRUE,2.5,0)))*(1-IF(AND(ArtifactsInput!$M$27,Inputs!$B$4="Chapter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$20+0+Skills!P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TRUE=TRUE,2.5,0)))*(1-IF(AND(ArtifactsInput!$M$27,Inputs!$B$4="Chapter Hunt"),CHOOSE(ArtifactsInput!$N$27+1,20,24,28,32,36,40),0)/100)))))/Skills!H10,1)))/Inputs!$B$43),G2867*Q2867))*IF(Inputs!$B$38="pvp",1,(1+(Inputs!$B$21+Skills!Q10+(((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Skills!G11*IF(Skills!H11&gt;0,IF(Inputs!$B$38="pvp",MIN(Skills!I11,15),Skills!I11)/Skills!H11,1)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(100-(100-((Inputs!$B$19+0)))*(1-IF(Inputs!$B$3&gt;=130,IF(Inputs!$B$3&gt;=118,8,IF(Inputs!$B$3&gt;=110,7,5)),0)/100)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138,MAX(0,IF(Inputs!$B$3&gt;=118,8,IF(Inputs!$B$3&gt;=110,7,5))-5)*50,0),0)/100)*(1+(IF(Skills!A11="RAGING_BLOW",Inputs!$B$17+((C2878=TRUE)*(F2878-Calc!F21))+((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IFERROR(1/(IF(Inputs!$B$38="pvp",15,MAX(0.1,Skills!D11-IF(TRUE=TRUE,2.5,0)))*(1-IF(AND(ArtifactsInput!$M$27,Inputs!$B$4="Chapter Hunt"),CHOOSE(ArtifactsInput!$N$27+1,20,24,28,32,36,40),0)/100)),0)</f>
        <v/>
      </c>
      <c r="R2868">
        <f>IF(AND(Inputs!$B$38&lt;&gt;"pvp",Inputs!$B$43&gt;0),IF(MAX(0,Inputs!$B$43-B2893)&lt;=0,0,(INT(MAX(0,Inputs!$B$43-B2893)/(IF(Inputs!$B$38="pvp",15,MAX(0.1,Skills!D11-IF(TRUE=TRUE,2.5,0)))*(1-IF(AND(ArtifactsInput!$M$27,Inputs!$B$4="Chapter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$20+0+Skills!P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Inputs!$B$38&lt;&gt;"pvp",Inputs!$B$43=0),1,IF(IF(Inputs!$B$38="pvp",15,Inputs!$B$43)-(B2893)&lt;=0,1,MAX(0,IF(Inputs!$B$38="pvp",15,Inputs!$B$43)-MAX(5,B2893))/(IF(Inputs!$B$38="pvp",15,Inputs!$B$43)-(B2893)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TRUE=TRUE,2.5,0)))*(1-IF(AND(ArtifactsInput!$M$27,Inputs!$B$4="Chapter Hunt"),CHOOSE(ArtifactsInput!$N$27+1,20,24,28,32,36,40),0)/100)))))/Skills!H11,1)))/Inputs!$B$43),G2868*Q2868))*IF(Inputs!$B$38="pvp",1,(1+(Inputs!$B$21+Skills!Q11+(((C2873=TRUE)*F2873*(Skills!J16/100)*IF(AND(Inputs!$B$38&lt;&gt;"pvp",Inputs!$B$43&gt;0),(((R2873-1)*MIN((Skills!T16*(1+(Inputs!$B$34+(ArtifactsInput!$M$7-ArtifactsInput!$M$7)*CHOOSE(ArtifactsInput!$N$7+1,6,7.2,8.4,9.6,10.8,12))/100)),(1/Q2873))+MIN((Skills!T16*(1+(Inputs!$B$34+(ArtifactsInput!$M$7-ArtifactsInput!$M$7)*CHOOSE(ArtifactsInput!$N$7+1,6,7.2,8.4,9.6,10.8,12))/100)),MAX(0,Inputs!$B$43-((R2873-1)*(1/Q2873)))))/Inputs!$B$43),IF(Inputs!$B$38="pvp",MIN((Skills!T16*(1+(Inputs!$B$34+(ArtifactsInput!$M$7-ArtifactsInput!$M$7)*CHOOSE(ArtifactsInput!$N$7+1,6,7.2,8.4,9.6,10.8,12))/100)),15)/15,MIN(1,(Skills!T16*(1+(Inputs!$B$34+(ArtifactsInput!$M$7-ArtifactsInput!$M$7)*CHOOSE(ArtifactsInput!$N$7+1,6,7.2,8.4,9.6,10.8,12))/100))/(1/Q2873)))))+((C2865=TRUE)*IF(Inputs!$B$3&gt;=126,10*MIN(1,15*Q2865),0))+((C2862=TRUE)*((100/10)*(INDEX(FactorTable!$B$2:$Y$301,MATCH(ROUND(MIN(300,MAX(1,MAX(0,(Inputs!$B$3-100)*3)+Inputs!$B$28+Inputs!$B$29)),0),FactorTable!$A$2:$A$301,0),22)/1000))*(1+IF(Inputs!$B$3&gt;=134,0.5,0))*MIN(1,10*(1+(Inputs!$B$34+(ArtifactsInput!$M$7-ArtifactsInput!$M$7)*CHOOSE(ArtifactsInput!$N$7+1,6,7.2,8.4,9.6,10.8,12))/100)*Q2862)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Skills!G13*IF(Skills!H13&gt;0,IF(Inputs!$B$38="pvp",MIN(Skills!I13,15),Skills!I13)/Skills!H13,1)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Skills!G14*IF(Skills!H14&gt;0,IF(Inputs!$B$38="pvp",MIN(Skills!I14,15),Skills!I14)/Skills!H14,1)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Skills!G15*IF(Skills!H15&gt;0,IF(Inputs!$B$38="pvp",MIN(Skills!I15,15),Skills!I15)/Skills!H15,1)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IFERROR(1/(IF(Inputs!$B$38="pvp",15,MAX(0.1,Skills!D15-IF(TRUE=TRUE,2.5,0)))*(1-IF(AND(ArtifactsInput!$M$27,Inputs!$B$4="Chapter Hunt"),CHOOSE(ArtifactsInput!$N$27+1,20,24,28,32,36,40),0)/100)),0)</f>
        <v/>
      </c>
      <c r="R2872">
        <f>IF(AND(Inputs!$B$38&lt;&gt;"pvp",Inputs!$B$43&gt;0),IF(Inputs!$B$43&lt;=0,0,(INT(Inputs!$B$43/(IF(Inputs!$B$38="pvp",15,MAX(0.1,Skills!D15-IF(TRUE=TRUE,2.5,0)))*(1-IF(AND(ArtifactsInput!$M$27,Inputs!$B$4="Chapter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Skills!G16*IF(Skills!H16&gt;0,IF(Inputs!$B$38="pvp",MIN(Skills!I16,15),Skills!I16)/Skills!H16,1)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IFERROR(1/(IF(Inputs!$B$38="pvp",15,MAX(0.1,Skills!D16-IF(TRUE=TRUE,2.5,0)))*(1-IF(AND(ArtifactsInput!$M$27,Inputs!$B$4="Chapter Hunt"),CHOOSE(ArtifactsInput!$N$27+1,20,24,28,32,36,40),0)/100)),0)</f>
        <v/>
      </c>
      <c r="R2873">
        <f>IF(AND(Inputs!$B$38&lt;&gt;"pvp",Inputs!$B$43&gt;0),IF(Inputs!$B$43&lt;=0,0,(INT(Inputs!$B$43/(IF(Inputs!$B$38="pvp",15,MAX(0.1,Skills!D16-IF(TRUE=TRUE,2.5,0)))*(1-IF(AND(ArtifactsInput!$M$27,Inputs!$B$4="Chapter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Skills!G17*IF(Skills!H17&gt;0,IF(Inputs!$B$38="pvp",MIN(Skills!I17,15),Skills!I17)/Skills!H17,1)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IFERROR(1/(IF(Inputs!$B$38="pvp",15,MAX(0.1,Skills!D17-IF(TRUE=TRUE,2.5,0)))*(1-IF(AND(ArtifactsInput!$M$27,Inputs!$B$4="Chapter Hunt"),CHOOSE(ArtifactsInput!$N$27+1,20,24,28,32,36,40),0)/100)),0)</f>
        <v/>
      </c>
      <c r="R2874">
        <f>IF(AND(Inputs!$B$38&lt;&gt;"pvp",Inputs!$B$43&gt;0),IF(Inputs!$B$43&lt;=0,0,(INT(Inputs!$B$43/(IF(Inputs!$B$38="pvp",15,MAX(0.1,Skills!D17-IF(TRUE=TRUE,2.5,0)))*(1-IF(AND(ArtifactsInput!$M$27,Inputs!$B$4="Chapter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Skills!G18*IF(Skills!H18&gt;0,IF(Inputs!$B$38="pvp",MIN(Skills!I18,15),Skills!I18)/Skills!H18,1)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IFERROR(1/(IF(Inputs!$B$38="pvp",15,MAX(0.1,Skills!D18-IF(TRUE=TRUE,2.5,0)))*(1-IF(AND(ArtifactsInput!$M$27,Inputs!$B$4="Chapter Hunt"),CHOOSE(ArtifactsInput!$N$27+1,20,24,28,32,36,40),0)/100)),0)</f>
        <v/>
      </c>
      <c r="R2875">
        <f>IF(AND(Inputs!$B$38&lt;&gt;"pvp",Inputs!$B$43&gt;0),IF(Inputs!$B$43&lt;=0,0,(INT(Inputs!$B$43/(IF(Inputs!$B$38="pvp",15,MAX(0.1,Skills!D18-IF(TRUE=TRUE,2.5,0)))*(1-IF(AND(ArtifactsInput!$M$27,Inputs!$B$4="Chapter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Skills!G19*IF(Skills!H19&gt;0,IF(Inputs!$B$38="pvp",MIN(Skills!I19,15),Skills!I19)/Skills!H19,1)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IFERROR(1/(IF(Inputs!$B$38="pvp",15,MAX(0.1,Skills!D19-IF(TRUE=TRUE,2.5,0)))*(1-IF(AND(ArtifactsInput!$M$27,Inputs!$B$4="Chapter Hunt"),CHOOSE(ArtifactsInput!$N$27+1,20,24,28,32,36,40),0)/100)),0)</f>
        <v/>
      </c>
      <c r="R2876">
        <f>IF(AND(Inputs!$B$38&lt;&gt;"pvp",Inputs!$B$43&gt;0),IF(Inputs!$B$43&lt;=0,0,(INT(Inputs!$B$43/(IF(Inputs!$B$38="pvp",15,MAX(0.1,Skills!D19-IF(TRUE=TRUE,2.5,0)))*(1-IF(AND(ArtifactsInput!$M$27,Inputs!$B$4="Chapter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Skills!G20*IF(Skills!H20&gt;0,IF(Inputs!$B$38="pvp",MIN(Skills!I20,15),Skills!I20)/Skills!H20,1)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Skills!G21*IF(Skills!H21&gt;0,IF(Inputs!$B$38="pvp",MIN(Skills!I21,15),Skills!I21)/Skills!H21,1)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Skills!G22*IF(Skills!H22&gt;0,IF(Inputs!$B$38="pvp",MIN(Skills!I22,15),Skills!I22)/Skills!H22,1)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Skills!G23*IF(Skills!H23&gt;0,IF(Inputs!$B$38="pvp",MIN(Skills!I23,15),Skills!I23)/Skills!H23,1)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Skills!G24*IF(Skills!H24&gt;0,IF(Inputs!$B$38="pvp",MIN(Skills!I24,15),Skills!I24)/Skills!H24,1)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Skills!G25*IF(Skills!H25&gt;0,IF(Inputs!$B$38="pvp",MIN(Skills!I25,15),Skills!I25)/Skills!H25,1)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Skills!G26*IF(Skills!H26&gt;0,IF(Inputs!$B$38="pvp",MIN(Skills!I26,15),Skills!I26)/Skills!H26,1)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118,8,IF(Inputs!$B$3&gt;=110,7,5)))+((C2872=TRUE)*F2872*IF(AND(Inputs!$B$38&lt;&gt;"pvp",Inputs!$B$43&gt;0),(((R2872-1)*MIN((Skills!T15*(1+(Inputs!$B$34+(ArtifactsInput!$M$7-ArtifactsInput!$M$7)*CHOOSE(ArtifactsInput!$N$7+1,6,7.2,8.4,9.6,10.8,12))/100)),(1/Q2872))+MIN((Skills!T15*(1+(Inputs!$B$34+(ArtifactsInput!$M$7-ArtifactsInput!$M$7)*CHOOSE(ArtifactsInput!$N$7+1,6,7.2,8.4,9.6,10.8,12))/100)),MAX(0,Inputs!$B$43-((R2872-1)*(1/Q2872)))))/Inputs!$B$43),IF(Inputs!$B$38="pvp",MIN((Skills!T15*(1+(Inputs!$B$34+(ArtifactsInput!$M$7-ArtifactsInput!$M$7)*CHOOSE(ArtifactsInput!$N$7+1,6,7.2,8.4,9.6,10.8,12))/100)),15)/15,MIN(1,(Skills!T15*(1+(Inputs!$B$34+(ArtifactsInput!$M$7-ArtifactsInput!$M$7)*CHOOSE(ArtifactsInput!$N$7+1,6,7.2,8.4,9.6,10.8,12))/100))/(1/Q2872)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MIN((Skills!T19*(1+(Inputs!$B$34+(ArtifactsInput!$M$7-ArtifactsInput!$M$7)*CHOOSE(ArtifactsInput!$N$7+1,6,7.2,8.4,9.6,10.8,12))/100)),(1/Q2876))+MIN((Skills!T19*(1+(Inputs!$B$34+(ArtifactsInput!$M$7-ArtifactsInput!$M$7)*CHOOSE(ArtifactsInput!$N$7+1,6,7.2,8.4,9.6,10.8,12))/100)),MAX(0,Inputs!$B$43-((R2876-1)*(1/Q2876)))))/Inputs!$B$43),IF(Inputs!$B$38="pvp",MIN((Skills!T19*(1+(Inputs!$B$34+(ArtifactsInput!$M$7-ArtifactsInput!$M$7)*CHOOSE(ArtifactsInput!$N$7+1,6,7.2,8.4,9.6,10.8,12))/100)),15)/15,MIN(1,(Skills!T19*(1+(Inputs!$B$34+(ArtifactsInput!$M$7-ArtifactsInput!$M$7)*CHOOSE(ArtifactsInput!$N$7+1,6,7.2,8.4,9.6,10.8,12))/100))/(1/Q2876)))))</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MIN((Skills!T18*(1+(Inputs!$B$34+(ArtifactsInput!$M$7-ArtifactsInput!$M$7)*CHOOSE(ArtifactsInput!$N$7+1,6,7.2,8.4,9.6,10.8,12))/100)),(1/Q2875))+MIN((Skills!T18*(1+(Inputs!$B$34+(ArtifactsInput!$M$7-ArtifactsInput!$M$7)*CHOOSE(ArtifactsInput!$N$7+1,6,7.2,8.4,9.6,10.8,12))/100)),MAX(0,Inputs!$B$43-((R2875-1)*(1/Q2875)))))/Inputs!$B$43),IF(Inputs!$B$38="pvp",MIN((Skills!T18*(1+(Inputs!$B$34+(ArtifactsInput!$M$7-ArtifactsInput!$M$7)*CHOOSE(ArtifactsInput!$N$7+1,6,7.2,8.4,9.6,10.8,12))/100)),15)/15,MIN(1,(Skills!T18*(1+(Inputs!$B$34+(ArtifactsInput!$M$7-ArtifactsInput!$M$7)*CHOOSE(ArtifactsInput!$N$7+1,6,7.2,8.4,9.6,10.8,12))/100))/(1/Q2875)))))</f>
        <v/>
      </c>
    </row>
    <row r="2892">
      <c r="A2892" t="inlineStr">
        <is>
          <t>Global Final Damage Bonus % (Enrage + Combo Synergy)</t>
        </is>
      </c>
      <c r="B2892">
        <f>((C2874=TRUE)*F2874*IF(AND(Inputs!$B$38&lt;&gt;"pvp",Inputs!$B$43&gt;0),(((R2874-1)*MIN((Skills!T17*(1+(Inputs!$B$34+(ArtifactsInput!$M$7-ArtifactsInput!$M$7)*CHOOSE(ArtifactsInput!$N$7+1,6,7.2,8.4,9.6,10.8,12))/100)),(1/Q2874))+MIN((Skills!T17*(1+(Inputs!$B$34+(ArtifactsInput!$M$7-ArtifactsInput!$M$7)*CHOOSE(ArtifactsInput!$N$7+1,6,7.2,8.4,9.6,10.8,12))/100)),MAX(0,Inputs!$B$43-((R2874-1)*(1/Q2874)))))/Inputs!$B$43),IF(Inputs!$B$38="pvp",MIN((Skills!T17*(1+(Inputs!$B$34+(ArtifactsInput!$M$7-ArtifactsInput!$M$7)*CHOOSE(ArtifactsInput!$N$7+1,6,7.2,8.4,9.6,10.8,12))/100)),15)/15,MIN(1,(Skills!T17*(1+(Inputs!$B$34+(ArtifactsInput!$M$7-ArtifactsInput!$M$7)*CHOOSE(ArtifactsInput!$N$7+1,6,7.2,8.4,9.6,10.8,12))/100))/(1/Q2874)))))+((C2871=TRUE)*F2871*IF(Inputs!$B$3&gt;=118,8,IF(Inputs!$B$3&gt;=110,7,5)))+IF(Inputs!$B$3&gt;=98,5,0)</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Skills!G2*IF(Skills!H2&gt;0,IF(Inputs!$B$38="pvp",MIN(Skills!I2,15),Skills!I2)/Skills!H2,1)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Skills!G5*IF(Skills!H5&gt;0,IF(Inputs!$B$38="pvp",MIN(Skills!I5,15),Skills!I5)/Skills!H5,1)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IFERROR(1/(IF(Inputs!$B$38="pvp",15,MAX(0.1,Skills!D5-IF(TRUE=TRUE,3.0,0)))*(1-IF(AND(ArtifactsInput!$M$27,Inputs!$B$4="Chapter Hunt"),CHOOSE(ArtifactsInput!$N$27+1,20,24,28,32,36,40),0)/100)),0)</f>
        <v/>
      </c>
      <c r="R2904">
        <f>IF(AND(Inputs!$B$38&lt;&gt;"pvp",Inputs!$B$43&gt;0),IF(MAX(0,Inputs!$B$43-B2935)&lt;=0,0,(INT(MAX(0,Inputs!$B$43-B2935)/(IF(Inputs!$B$38="pvp",15,MAX(0.1,Skills!D5-IF(TRUE=TRUE,3.0,0)))*(1-IF(AND(ArtifactsInput!$M$27,Inputs!$B$4="Chapter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$20+0+Skills!P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TRUE=TRUE,3.0,0)))*(1-IF(AND(ArtifactsInput!$M$27,Inputs!$B$4="Chapter Hunt"),CHOOSE(ArtifactsInput!$N$27+1,20,24,28,32,36,40),0)/100)))))/Skills!H5,1)))/Inputs!$B$43),G2904*Q2904))*IF(Inputs!$B$38="pvp",1,(1+(Inputs!$B$21+Skills!Q5+(((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Skills!G6*IF(Skills!H6&gt;0,IF(Inputs!$B$38="pvp",MIN(Skills!I6,15),Skills!I6)/Skills!H6,1)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IFERROR(1/(IF(Inputs!$B$38="pvp",15,MAX(0.1,Skills!D6-IF(TRUE=TRUE,3.0,0)))*(1-IF(AND(ArtifactsInput!$M$27,Inputs!$B$4="Chapter Hunt"),CHOOSE(ArtifactsInput!$N$27+1,20,24,28,32,36,40),0)/100)),0)</f>
        <v/>
      </c>
      <c r="R2905">
        <f>IF(AND(Inputs!$B$38&lt;&gt;"pvp",Inputs!$B$43&gt;0),IF(MAX(0,Inputs!$B$43-B2935)&lt;=0,0,(INT(MAX(0,Inputs!$B$43-B2935)/(IF(Inputs!$B$38="pvp",15,MAX(0.1,Skills!D6-IF(TRUE=TRUE,3.0,0)))*(1-IF(AND(ArtifactsInput!$M$27,Inputs!$B$4="Chapter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$20+0+Skills!P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TRUE=TRUE,3.0,0)))*(1-IF(AND(ArtifactsInput!$M$27,Inputs!$B$4="Chapter Hunt"),CHOOSE(ArtifactsInput!$N$27+1,20,24,28,32,36,40),0)/100)))))/Skills!H6,1)))/Inputs!$B$43),G2905*Q2905))*IF(Inputs!$B$38="pvp",1,(1+(Inputs!$B$21+Skills!Q6+(((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Skills!G7*IF(Skills!H7&gt;0,IF(Inputs!$B$38="pvp",MIN(Skills!I7,15),Skills!I7)/Skills!H7,1)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IFERROR(1/(IF(Inputs!$B$38="pvp",15,MAX(0.1,Skills!D7-IF(TRUE=TRUE,3.0,0)))*(1-IF(AND(ArtifactsInput!$M$27,Inputs!$B$4="Chapter Hunt"),CHOOSE(ArtifactsInput!$N$27+1,20,24,28,32,36,40),0)/100)),0)</f>
        <v/>
      </c>
      <c r="R2906">
        <f>IF(AND(Inputs!$B$38&lt;&gt;"pvp",Inputs!$B$43&gt;0),IF(MAX(0,Inputs!$B$43-B2935)&lt;=0,0,(INT(MAX(0,Inputs!$B$43-B2935)/(IF(Inputs!$B$38="pvp",15,MAX(0.1,Skills!D7-IF(TRUE=TRUE,3.0,0)))*(1-IF(AND(ArtifactsInput!$M$27,Inputs!$B$4="Chapter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$20+0+Skills!P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TRUE=TRUE,3.0,0)))*(1-IF(AND(ArtifactsInput!$M$27,Inputs!$B$4="Chapter Hunt"),CHOOSE(ArtifactsInput!$N$27+1,20,24,28,32,36,40),0)/100)))))/Skills!H7,1)))/Inputs!$B$43),G2906*Q2906))*IF(Inputs!$B$38="pvp",1,(1+(Inputs!$B$21+Skills!Q7+(((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Skills!G8*IF(Skills!H8&gt;0,IF(Inputs!$B$38="pvp",MIN(Skills!I8,15),Skills!I8)/Skills!H8,1)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IFERROR(1/(IF(Inputs!$B$38="pvp",15,MAX(0.1,Skills!D8-IF(TRUE=TRUE,3.0,0)))*(1-IF(AND(ArtifactsInput!$M$27,Inputs!$B$4="Chapter Hunt"),CHOOSE(ArtifactsInput!$N$27+1,20,24,28,32,36,40),0)/100)),0)</f>
        <v/>
      </c>
      <c r="R2907">
        <f>IF(AND(Inputs!$B$38&lt;&gt;"pvp",Inputs!$B$43&gt;0),IF(MAX(0,Inputs!$B$43-B2935)&lt;=0,0,(INT(MAX(0,Inputs!$B$43-B2935)/(IF(Inputs!$B$38="pvp",15,MAX(0.1,Skills!D8-IF(TRUE=TRUE,3.0,0)))*(1-IF(AND(ArtifactsInput!$M$27,Inputs!$B$4="Chapter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$20+0+Skills!P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TRUE=TRUE,3.0,0)))*(1-IF(AND(ArtifactsInput!$M$27,Inputs!$B$4="Chapter Hunt"),CHOOSE(ArtifactsInput!$N$27+1,20,24,28,32,36,40),0)/100)))))/Skills!H8,1)))/Inputs!$B$43),G2907*Q2907))*IF(Inputs!$B$38="pvp",1,(1+(Inputs!$B$21+Skills!Q8+(((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Skills!G9*IF(Skills!H9&gt;0,IF(Inputs!$B$38="pvp",MIN(Skills!I9,15),Skills!I9)/Skills!H9,1)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138,MAX(0,IF(Inputs!$B$3&gt;=118,8,IF(Inputs!$B$3&gt;=110,7,5))-5)*50,0),0)/100)*(1+(IF(Skills!A9="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IFERROR(1/(IF(Inputs!$B$38="pvp",15,MAX(0.1,Skills!D9-IF(TRUE=TRUE,3.0,0)))*(1-IF(AND(ArtifactsInput!$M$27,Inputs!$B$4="Chapter Hunt"),CHOOSE(ArtifactsInput!$N$27+1,20,24,28,32,36,40),0)/100)),0)</f>
        <v/>
      </c>
      <c r="R2908">
        <f>IF(AND(Inputs!$B$38&lt;&gt;"pvp",Inputs!$B$43&gt;0),IF(MAX(0,Inputs!$B$43-B2935)&lt;=0,0,(INT(MAX(0,Inputs!$B$43-B2935)/(IF(Inputs!$B$38="pvp",15,MAX(0.1,Skills!D9-IF(TRUE=TRUE,3.0,0)))*(1-IF(AND(ArtifactsInput!$M$27,Inputs!$B$4="Chapter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TRUE=TRUE,3.0,0)))*(1-IF(AND(ArtifactsInput!$M$27,Inputs!$B$4="Chapter Hunt"),CHOOSE(ArtifactsInput!$N$27+1,20,24,28,32,36,40),0)/100)))))/Skills!H9,1)))/Inputs!$B$43),G2908*Q2908))*IF(Inputs!$B$38="pvp",1,1+(Inputs!$B$20+0+Skills!P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TRUE=TRUE,3.0,0)))*(1-IF(AND(ArtifactsInput!$M$27,Inputs!$B$4="Chapter Hunt"),CHOOSE(ArtifactsInput!$N$27+1,20,24,28,32,36,40),0)/100)))))/Skills!H9,1)))/Inputs!$B$43),G2908*Q2908))*IF(Inputs!$B$38="pvp",1,(1+(Inputs!$B$21+Skills!Q9+(((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Skills!G10*IF(Skills!H10&gt;0,IF(Inputs!$B$38="pvp",MIN(Skills!I10,15),Skills!I10)/Skills!H10,1)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138,MAX(0,IF(Inputs!$B$3&gt;=118,8,IF(Inputs!$B$3&gt;=110,7,5))-5)*50,0),0)/100)*(1+(IF(Skills!A10="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IFERROR(1/(IF(Inputs!$B$38="pvp",15,MAX(0.1,Skills!D10-IF(TRUE=TRUE,3.0,0)))*(1-IF(AND(ArtifactsInput!$M$27,Inputs!$B$4="Chapter Hunt"),CHOOSE(ArtifactsInput!$N$27+1,20,24,28,32,36,40),0)/100)),0)</f>
        <v/>
      </c>
      <c r="R2909">
        <f>IF(AND(Inputs!$B$38&lt;&gt;"pvp",Inputs!$B$43&gt;0),IF(MAX(0,Inputs!$B$43-B2935)&lt;=0,0,(INT(MAX(0,Inputs!$B$43-B2935)/(IF(Inputs!$B$38="pvp",15,MAX(0.1,Skills!D10-IF(TRUE=TRUE,3.0,0)))*(1-IF(AND(ArtifactsInput!$M$27,Inputs!$B$4="Chapter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$20+0+Skills!P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TRUE=TRUE,3.0,0)))*(1-IF(AND(ArtifactsInput!$M$27,Inputs!$B$4="Chapter Hunt"),CHOOSE(ArtifactsInput!$N$27+1,20,24,28,32,36,40),0)/100)))))/Skills!H10,1)))/Inputs!$B$43),G2909*Q2909))*IF(Inputs!$B$38="pvp",1,(1+(Inputs!$B$21+Skills!Q10+(((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Skills!G11*IF(Skills!H11&gt;0,IF(Inputs!$B$38="pvp",MIN(Skills!I11,15),Skills!I11)/Skills!H11,1)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(100-(100-((Inputs!$B$19+0)))*(1-IF(Inputs!$B$3&gt;=130,IF(Inputs!$B$3&gt;=118,8,IF(Inputs!$B$3&gt;=110,7,5)),0)/100)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138,MAX(0,IF(Inputs!$B$3&gt;=118,8,IF(Inputs!$B$3&gt;=110,7,5))-5)*50,0),0)/100)*(1+(IF(Skills!A11="RAGING_BLOW",Inputs!$B$17+((C2920=TRUE)*(F2920-Calc!F21))+((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IFERROR(1/(IF(Inputs!$B$38="pvp",15,MAX(0.1,Skills!D11-IF(TRUE=TRUE,3.0,0)))*(1-IF(AND(ArtifactsInput!$M$27,Inputs!$B$4="Chapter Hunt"),CHOOSE(ArtifactsInput!$N$27+1,20,24,28,32,36,40),0)/100)),0)</f>
        <v/>
      </c>
      <c r="R2910">
        <f>IF(AND(Inputs!$B$38&lt;&gt;"pvp",Inputs!$B$43&gt;0),IF(MAX(0,Inputs!$B$43-B2935)&lt;=0,0,(INT(MAX(0,Inputs!$B$43-B2935)/(IF(Inputs!$B$38="pvp",15,MAX(0.1,Skills!D11-IF(TRUE=TRUE,3.0,0)))*(1-IF(AND(ArtifactsInput!$M$27,Inputs!$B$4="Chapter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$20+0+Skills!P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Inputs!$B$38&lt;&gt;"pvp",Inputs!$B$43=0),1,IF(IF(Inputs!$B$38="pvp",15,Inputs!$B$43)-(B2935)&lt;=0,1,MAX(0,IF(Inputs!$B$38="pvp",15,Inputs!$B$43)-MAX(5,B2935))/(IF(Inputs!$B$38="pvp",15,Inputs!$B$43)-(B2935)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TRUE=TRUE,3.0,0)))*(1-IF(AND(ArtifactsInput!$M$27,Inputs!$B$4="Chapter Hunt"),CHOOSE(ArtifactsInput!$N$27+1,20,24,28,32,36,40),0)/100)))))/Skills!H11,1)))/Inputs!$B$43),G2910*Q2910))*IF(Inputs!$B$38="pvp",1,(1+(Inputs!$B$21+Skills!Q11+(((C2915=TRUE)*F2915*(Skills!J16/100)*IF(AND(Inputs!$B$38&lt;&gt;"pvp",Inputs!$B$43&gt;0),(((R2915-1)*MIN((Skills!T16*(1+(Inputs!$B$34+(ArtifactsInput!$M$7-ArtifactsInput!$M$7)*CHOOSE(ArtifactsInput!$N$7+1,6,7.2,8.4,9.6,10.8,12))/100)),(1/Q2915))+MIN((Skills!T16*(1+(Inputs!$B$34+(ArtifactsInput!$M$7-ArtifactsInput!$M$7)*CHOOSE(ArtifactsInput!$N$7+1,6,7.2,8.4,9.6,10.8,12))/100)),MAX(0,Inputs!$B$43-((R2915-1)*(1/Q2915)))))/Inputs!$B$43),IF(Inputs!$B$38="pvp",MIN((Skills!T16*(1+(Inputs!$B$34+(ArtifactsInput!$M$7-ArtifactsInput!$M$7)*CHOOSE(ArtifactsInput!$N$7+1,6,7.2,8.4,9.6,10.8,12))/100)),15)/15,MIN(1,(Skills!T16*(1+(Inputs!$B$34+(ArtifactsInput!$M$7-ArtifactsInput!$M$7)*CHOOSE(ArtifactsInput!$N$7+1,6,7.2,8.4,9.6,10.8,12))/100))/(1/Q2915)))))+((C2907=TRUE)*IF(Inputs!$B$3&gt;=126,10*MIN(1,15*Q2907),0))+((C2904=TRUE)*((100/10)*(INDEX(FactorTable!$B$2:$Y$301,MATCH(ROUND(MIN(300,MAX(1,MAX(0,(Inputs!$B$3-100)*3)+Inputs!$B$28+Inputs!$B$29)),0),FactorTable!$A$2:$A$301,0),22)/1000))*(1+IF(Inputs!$B$3&gt;=134,0.5,0))*MIN(1,10*(1+(Inputs!$B$34+(ArtifactsInput!$M$7-ArtifactsInput!$M$7)*CHOOSE(ArtifactsInput!$N$7+1,6,7.2,8.4,9.6,10.8,12))/100)*Q2904)))+(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Skills!G13*IF(Skills!H13&gt;0,IF(Inputs!$B$38="pvp",MIN(Skills!I13,15),Skills!I13)/Skills!H13,1)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Skills!G14*IF(Skills!H14&gt;0,IF(Inputs!$B$38="pvp",MIN(Skills!I14,15),Skills!I14)/Skills!H14,1)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Skills!G15*IF(Skills!H15&gt;0,IF(Inputs!$B$38="pvp",MIN(Skills!I15,15),Skills!I15)/Skills!H15,1)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IFERROR(1/(IF(Inputs!$B$38="pvp",15,MAX(0.1,Skills!D15-IF(TRUE=TRUE,3.0,0)))*(1-IF(AND(ArtifactsInput!$M$27,Inputs!$B$4="Chapter Hunt"),CHOOSE(ArtifactsInput!$N$27+1,20,24,28,32,36,40),0)/100)),0)</f>
        <v/>
      </c>
      <c r="R2914">
        <f>IF(AND(Inputs!$B$38&lt;&gt;"pvp",Inputs!$B$43&gt;0),IF(Inputs!$B$43&lt;=0,0,(INT(Inputs!$B$43/(IF(Inputs!$B$38="pvp",15,MAX(0.1,Skills!D15-IF(TRUE=TRUE,3.0,0)))*(1-IF(AND(ArtifactsInput!$M$27,Inputs!$B$4="Chapter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Skills!G16*IF(Skills!H16&gt;0,IF(Inputs!$B$38="pvp",MIN(Skills!I16,15),Skills!I16)/Skills!H16,1)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IFERROR(1/(IF(Inputs!$B$38="pvp",15,MAX(0.1,Skills!D16-IF(TRUE=TRUE,3.0,0)))*(1-IF(AND(ArtifactsInput!$M$27,Inputs!$B$4="Chapter Hunt"),CHOOSE(ArtifactsInput!$N$27+1,20,24,28,32,36,40),0)/100)),0)</f>
        <v/>
      </c>
      <c r="R2915">
        <f>IF(AND(Inputs!$B$38&lt;&gt;"pvp",Inputs!$B$43&gt;0),IF(Inputs!$B$43&lt;=0,0,(INT(Inputs!$B$43/(IF(Inputs!$B$38="pvp",15,MAX(0.1,Skills!D16-IF(TRUE=TRUE,3.0,0)))*(1-IF(AND(ArtifactsInput!$M$27,Inputs!$B$4="Chapter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Skills!G17*IF(Skills!H17&gt;0,IF(Inputs!$B$38="pvp",MIN(Skills!I17,15),Skills!I17)/Skills!H17,1)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IFERROR(1/(IF(Inputs!$B$38="pvp",15,MAX(0.1,Skills!D17-IF(TRUE=TRUE,3.0,0)))*(1-IF(AND(ArtifactsInput!$M$27,Inputs!$B$4="Chapter Hunt"),CHOOSE(ArtifactsInput!$N$27+1,20,24,28,32,36,40),0)/100)),0)</f>
        <v/>
      </c>
      <c r="R2916">
        <f>IF(AND(Inputs!$B$38&lt;&gt;"pvp",Inputs!$B$43&gt;0),IF(Inputs!$B$43&lt;=0,0,(INT(Inputs!$B$43/(IF(Inputs!$B$38="pvp",15,MAX(0.1,Skills!D17-IF(TRUE=TRUE,3.0,0)))*(1-IF(AND(ArtifactsInput!$M$27,Inputs!$B$4="Chapter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Skills!G18*IF(Skills!H18&gt;0,IF(Inputs!$B$38="pvp",MIN(Skills!I18,15),Skills!I18)/Skills!H18,1)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IFERROR(1/(IF(Inputs!$B$38="pvp",15,MAX(0.1,Skills!D18-IF(TRUE=TRUE,3.0,0)))*(1-IF(AND(ArtifactsInput!$M$27,Inputs!$B$4="Chapter Hunt"),CHOOSE(ArtifactsInput!$N$27+1,20,24,28,32,36,40),0)/100)),0)</f>
        <v/>
      </c>
      <c r="R2917">
        <f>IF(AND(Inputs!$B$38&lt;&gt;"pvp",Inputs!$B$43&gt;0),IF(Inputs!$B$43&lt;=0,0,(INT(Inputs!$B$43/(IF(Inputs!$B$38="pvp",15,MAX(0.1,Skills!D18-IF(TRUE=TRUE,3.0,0)))*(1-IF(AND(ArtifactsInput!$M$27,Inputs!$B$4="Chapter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Skills!G19*IF(Skills!H19&gt;0,IF(Inputs!$B$38="pvp",MIN(Skills!I19,15),Skills!I19)/Skills!H19,1)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IFERROR(1/(IF(Inputs!$B$38="pvp",15,MAX(0.1,Skills!D19-IF(TRUE=TRUE,3.0,0)))*(1-IF(AND(ArtifactsInput!$M$27,Inputs!$B$4="Chapter Hunt"),CHOOSE(ArtifactsInput!$N$27+1,20,24,28,32,36,40),0)/100)),0)</f>
        <v/>
      </c>
      <c r="R2918">
        <f>IF(AND(Inputs!$B$38&lt;&gt;"pvp",Inputs!$B$43&gt;0),IF(Inputs!$B$43&lt;=0,0,(INT(Inputs!$B$43/(IF(Inputs!$B$38="pvp",15,MAX(0.1,Skills!D19-IF(TRUE=TRUE,3.0,0)))*(1-IF(AND(ArtifactsInput!$M$27,Inputs!$B$4="Chapter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Skills!G20*IF(Skills!H20&gt;0,IF(Inputs!$B$38="pvp",MIN(Skills!I20,15),Skills!I20)/Skills!H20,1)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Skills!G21*IF(Skills!H21&gt;0,IF(Inputs!$B$38="pvp",MIN(Skills!I21,15),Skills!I21)/Skills!H21,1)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Skills!G22*IF(Skills!H22&gt;0,IF(Inputs!$B$38="pvp",MIN(Skills!I22,15),Skills!I22)/Skills!H22,1)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Skills!G23*IF(Skills!H23&gt;0,IF(Inputs!$B$38="pvp",MIN(Skills!I23,15),Skills!I23)/Skills!H23,1)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Skills!G24*IF(Skills!H24&gt;0,IF(Inputs!$B$38="pvp",MIN(Skills!I24,15),Skills!I24)/Skills!H24,1)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Skills!G25*IF(Skills!H25&gt;0,IF(Inputs!$B$38="pvp",MIN(Skills!I25,15),Skills!I25)/Skills!H25,1)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Skills!G26*IF(Skills!H26&gt;0,IF(Inputs!$B$38="pvp",MIN(Skills!I26,15),Skills!I26)/Skills!H26,1)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118,8,IF(Inputs!$B$3&gt;=110,7,5)))+((C2914=TRUE)*F2914*IF(AND(Inputs!$B$38&lt;&gt;"pvp",Inputs!$B$43&gt;0),(((R2914-1)*MIN((Skills!T15*(1+(Inputs!$B$34+(ArtifactsInput!$M$7-ArtifactsInput!$M$7)*CHOOSE(ArtifactsInput!$N$7+1,6,7.2,8.4,9.6,10.8,12))/100)),(1/Q2914))+MIN((Skills!T15*(1+(Inputs!$B$34+(ArtifactsInput!$M$7-ArtifactsInput!$M$7)*CHOOSE(ArtifactsInput!$N$7+1,6,7.2,8.4,9.6,10.8,12))/100)),MAX(0,Inputs!$B$43-((R2914-1)*(1/Q2914)))))/Inputs!$B$43),IF(Inputs!$B$38="pvp",MIN((Skills!T15*(1+(Inputs!$B$34+(ArtifactsInput!$M$7-ArtifactsInput!$M$7)*CHOOSE(ArtifactsInput!$N$7+1,6,7.2,8.4,9.6,10.8,12))/100)),15)/15,MIN(1,(Skills!T15*(1+(Inputs!$B$34+(ArtifactsInput!$M$7-ArtifactsInput!$M$7)*CHOOSE(ArtifactsInput!$N$7+1,6,7.2,8.4,9.6,10.8,12))/100))/(1/Q2914)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MIN((Skills!T19*(1+(Inputs!$B$34+(ArtifactsInput!$M$7-ArtifactsInput!$M$7)*CHOOSE(ArtifactsInput!$N$7+1,6,7.2,8.4,9.6,10.8,12))/100)),(1/Q2918))+MIN((Skills!T19*(1+(Inputs!$B$34+(ArtifactsInput!$M$7-ArtifactsInput!$M$7)*CHOOSE(ArtifactsInput!$N$7+1,6,7.2,8.4,9.6,10.8,12))/100)),MAX(0,Inputs!$B$43-((R2918-1)*(1/Q2918)))))/Inputs!$B$43),IF(Inputs!$B$38="pvp",MIN((Skills!T19*(1+(Inputs!$B$34+(ArtifactsInput!$M$7-ArtifactsInput!$M$7)*CHOOSE(ArtifactsInput!$N$7+1,6,7.2,8.4,9.6,10.8,12))/100)),15)/15,MIN(1,(Skills!T19*(1+(Inputs!$B$34+(ArtifactsInput!$M$7-ArtifactsInput!$M$7)*CHOOSE(ArtifactsInput!$N$7+1,6,7.2,8.4,9.6,10.8,12))/100))/(1/Q2918)))))</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MIN((Skills!T18*(1+(Inputs!$B$34+(ArtifactsInput!$M$7-ArtifactsInput!$M$7)*CHOOSE(ArtifactsInput!$N$7+1,6,7.2,8.4,9.6,10.8,12))/100)),(1/Q2917))+MIN((Skills!T18*(1+(Inputs!$B$34+(ArtifactsInput!$M$7-ArtifactsInput!$M$7)*CHOOSE(ArtifactsInput!$N$7+1,6,7.2,8.4,9.6,10.8,12))/100)),MAX(0,Inputs!$B$43-((R2917-1)*(1/Q2917)))))/Inputs!$B$43),IF(Inputs!$B$38="pvp",MIN((Skills!T18*(1+(Inputs!$B$34+(ArtifactsInput!$M$7-ArtifactsInput!$M$7)*CHOOSE(ArtifactsInput!$N$7+1,6,7.2,8.4,9.6,10.8,12))/100)),15)/15,MIN(1,(Skills!T18*(1+(Inputs!$B$34+(ArtifactsInput!$M$7-ArtifactsInput!$M$7)*CHOOSE(ArtifactsInput!$N$7+1,6,7.2,8.4,9.6,10.8,12))/100))/(1/Q2917)))))</f>
        <v/>
      </c>
    </row>
    <row r="2934">
      <c r="A2934" t="inlineStr">
        <is>
          <t>Global Final Damage Bonus % (Enrage + Combo Synergy)</t>
        </is>
      </c>
      <c r="B2934">
        <f>((C2916=TRUE)*F2916*IF(AND(Inputs!$B$38&lt;&gt;"pvp",Inputs!$B$43&gt;0),(((R2916-1)*MIN((Skills!T17*(1+(Inputs!$B$34+(ArtifactsInput!$M$7-ArtifactsInput!$M$7)*CHOOSE(ArtifactsInput!$N$7+1,6,7.2,8.4,9.6,10.8,12))/100)),(1/Q2916))+MIN((Skills!T17*(1+(Inputs!$B$34+(ArtifactsInput!$M$7-ArtifactsInput!$M$7)*CHOOSE(ArtifactsInput!$N$7+1,6,7.2,8.4,9.6,10.8,12))/100)),MAX(0,Inputs!$B$43-((R2916-1)*(1/Q2916)))))/Inputs!$B$43),IF(Inputs!$B$38="pvp",MIN((Skills!T17*(1+(Inputs!$B$34+(ArtifactsInput!$M$7-ArtifactsInput!$M$7)*CHOOSE(ArtifactsInput!$N$7+1,6,7.2,8.4,9.6,10.8,12))/100)),15)/15,MIN(1,(Skills!T17*(1+(Inputs!$B$34+(ArtifactsInput!$M$7-ArtifactsInput!$M$7)*CHOOSE(ArtifactsInput!$N$7+1,6,7.2,8.4,9.6,10.8,12))/100))/(1/Q2916)))))+((C2913=TRUE)*F2913*IF(Inputs!$B$3&gt;=118,8,IF(Inputs!$B$3&gt;=110,7,5)))+IF(Inputs!$B$3&gt;=98,5,0)</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Skills!G2*IF(Skills!H2&gt;0,IF(Inputs!$B$38="pvp",MIN(Skills!I2,15),Skills!I2)/Skills!H2,1)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Skills!G5*IF(Skills!H5&gt;0,IF(Inputs!$B$38="pvp",MIN(Skills!I5,15),Skills!I5)/Skills!H5,1)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IFERROR(1/(IF(Inputs!$B$38="pvp",15,MAX(0.1,Skills!D5-IF(TRUE=TRUE,3.5,0)))*(1-IF(AND(ArtifactsInput!$M$27,Inputs!$B$4="Chapter Hunt"),CHOOSE(ArtifactsInput!$N$27+1,20,24,28,32,36,40),0)/100)),0)</f>
        <v/>
      </c>
      <c r="R2946">
        <f>IF(AND(Inputs!$B$38&lt;&gt;"pvp",Inputs!$B$43&gt;0),IF(MAX(0,Inputs!$B$43-B2977)&lt;=0,0,(INT(MAX(0,Inputs!$B$43-B2977)/(IF(Inputs!$B$38="pvp",15,MAX(0.1,Skills!D5-IF(TRUE=TRUE,3.5,0)))*(1-IF(AND(ArtifactsInput!$M$27,Inputs!$B$4="Chapter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$20+0+Skills!P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TRUE=TRUE,3.5,0)))*(1-IF(AND(ArtifactsInput!$M$27,Inputs!$B$4="Chapter Hunt"),CHOOSE(ArtifactsInput!$N$27+1,20,24,28,32,36,40),0)/100)))))/Skills!H5,1)))/Inputs!$B$43),G2946*Q2946))*IF(Inputs!$B$38="pvp",1,(1+(Inputs!$B$21+Skills!Q5+(((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Skills!G6*IF(Skills!H6&gt;0,IF(Inputs!$B$38="pvp",MIN(Skills!I6,15),Skills!I6)/Skills!H6,1)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IFERROR(1/(IF(Inputs!$B$38="pvp",15,MAX(0.1,Skills!D6-IF(TRUE=TRUE,3.5,0)))*(1-IF(AND(ArtifactsInput!$M$27,Inputs!$B$4="Chapter Hunt"),CHOOSE(ArtifactsInput!$N$27+1,20,24,28,32,36,40),0)/100)),0)</f>
        <v/>
      </c>
      <c r="R2947">
        <f>IF(AND(Inputs!$B$38&lt;&gt;"pvp",Inputs!$B$43&gt;0),IF(MAX(0,Inputs!$B$43-B2977)&lt;=0,0,(INT(MAX(0,Inputs!$B$43-B2977)/(IF(Inputs!$B$38="pvp",15,MAX(0.1,Skills!D6-IF(TRUE=TRUE,3.5,0)))*(1-IF(AND(ArtifactsInput!$M$27,Inputs!$B$4="Chapter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$20+0+Skills!P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TRUE=TRUE,3.5,0)))*(1-IF(AND(ArtifactsInput!$M$27,Inputs!$B$4="Chapter Hunt"),CHOOSE(ArtifactsInput!$N$27+1,20,24,28,32,36,40),0)/100)))))/Skills!H6,1)))/Inputs!$B$43),G2947*Q2947))*IF(Inputs!$B$38="pvp",1,(1+(Inputs!$B$21+Skills!Q6+(((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Skills!G7*IF(Skills!H7&gt;0,IF(Inputs!$B$38="pvp",MIN(Skills!I7,15),Skills!I7)/Skills!H7,1)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IFERROR(1/(IF(Inputs!$B$38="pvp",15,MAX(0.1,Skills!D7-IF(TRUE=TRUE,3.5,0)))*(1-IF(AND(ArtifactsInput!$M$27,Inputs!$B$4="Chapter Hunt"),CHOOSE(ArtifactsInput!$N$27+1,20,24,28,32,36,40),0)/100)),0)</f>
        <v/>
      </c>
      <c r="R2948">
        <f>IF(AND(Inputs!$B$38&lt;&gt;"pvp",Inputs!$B$43&gt;0),IF(MAX(0,Inputs!$B$43-B2977)&lt;=0,0,(INT(MAX(0,Inputs!$B$43-B2977)/(IF(Inputs!$B$38="pvp",15,MAX(0.1,Skills!D7-IF(TRUE=TRUE,3.5,0)))*(1-IF(AND(ArtifactsInput!$M$27,Inputs!$B$4="Chapter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$20+0+Skills!P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TRUE=TRUE,3.5,0)))*(1-IF(AND(ArtifactsInput!$M$27,Inputs!$B$4="Chapter Hunt"),CHOOSE(ArtifactsInput!$N$27+1,20,24,28,32,36,40),0)/100)))))/Skills!H7,1)))/Inputs!$B$43),G2948*Q2948))*IF(Inputs!$B$38="pvp",1,(1+(Inputs!$B$21+Skills!Q7+(((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Skills!G8*IF(Skills!H8&gt;0,IF(Inputs!$B$38="pvp",MIN(Skills!I8,15),Skills!I8)/Skills!H8,1)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IFERROR(1/(IF(Inputs!$B$38="pvp",15,MAX(0.1,Skills!D8-IF(TRUE=TRUE,3.5,0)))*(1-IF(AND(ArtifactsInput!$M$27,Inputs!$B$4="Chapter Hunt"),CHOOSE(ArtifactsInput!$N$27+1,20,24,28,32,36,40),0)/100)),0)</f>
        <v/>
      </c>
      <c r="R2949">
        <f>IF(AND(Inputs!$B$38&lt;&gt;"pvp",Inputs!$B$43&gt;0),IF(MAX(0,Inputs!$B$43-B2977)&lt;=0,0,(INT(MAX(0,Inputs!$B$43-B2977)/(IF(Inputs!$B$38="pvp",15,MAX(0.1,Skills!D8-IF(TRUE=TRUE,3.5,0)))*(1-IF(AND(ArtifactsInput!$M$27,Inputs!$B$4="Chapter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$20+0+Skills!P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TRUE=TRUE,3.5,0)))*(1-IF(AND(ArtifactsInput!$M$27,Inputs!$B$4="Chapter Hunt"),CHOOSE(ArtifactsInput!$N$27+1,20,24,28,32,36,40),0)/100)))))/Skills!H8,1)))/Inputs!$B$43),G2949*Q2949))*IF(Inputs!$B$38="pvp",1,(1+(Inputs!$B$21+Skills!Q8+(((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Skills!G9*IF(Skills!H9&gt;0,IF(Inputs!$B$38="pvp",MIN(Skills!I9,15),Skills!I9)/Skills!H9,1)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138,MAX(0,IF(Inputs!$B$3&gt;=118,8,IF(Inputs!$B$3&gt;=110,7,5))-5)*50,0),0)/100)*(1+(IF(Skills!A9="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IFERROR(1/(IF(Inputs!$B$38="pvp",15,MAX(0.1,Skills!D9-IF(TRUE=TRUE,3.5,0)))*(1-IF(AND(ArtifactsInput!$M$27,Inputs!$B$4="Chapter Hunt"),CHOOSE(ArtifactsInput!$N$27+1,20,24,28,32,36,40),0)/100)),0)</f>
        <v/>
      </c>
      <c r="R2950">
        <f>IF(AND(Inputs!$B$38&lt;&gt;"pvp",Inputs!$B$43&gt;0),IF(MAX(0,Inputs!$B$43-B2977)&lt;=0,0,(INT(MAX(0,Inputs!$B$43-B2977)/(IF(Inputs!$B$38="pvp",15,MAX(0.1,Skills!D9-IF(TRUE=TRUE,3.5,0)))*(1-IF(AND(ArtifactsInput!$M$27,Inputs!$B$4="Chapter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TRUE=TRUE,3.5,0)))*(1-IF(AND(ArtifactsInput!$M$27,Inputs!$B$4="Chapter Hunt"),CHOOSE(ArtifactsInput!$N$27+1,20,24,28,32,36,40),0)/100)))))/Skills!H9,1)))/Inputs!$B$43),G2950*Q2950))*IF(Inputs!$B$38="pvp",1,1+(Inputs!$B$20+0+Skills!P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TRUE=TRUE,3.5,0)))*(1-IF(AND(ArtifactsInput!$M$27,Inputs!$B$4="Chapter Hunt"),CHOOSE(ArtifactsInput!$N$27+1,20,24,28,32,36,40),0)/100)))))/Skills!H9,1)))/Inputs!$B$43),G2950*Q2950))*IF(Inputs!$B$38="pvp",1,(1+(Inputs!$B$21+Skills!Q9+(((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Skills!G10*IF(Skills!H10&gt;0,IF(Inputs!$B$38="pvp",MIN(Skills!I10,15),Skills!I10)/Skills!H10,1)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138,MAX(0,IF(Inputs!$B$3&gt;=118,8,IF(Inputs!$B$3&gt;=110,7,5))-5)*50,0),0)/100)*(1+(IF(Skills!A10="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IFERROR(1/(IF(Inputs!$B$38="pvp",15,MAX(0.1,Skills!D10-IF(TRUE=TRUE,3.5,0)))*(1-IF(AND(ArtifactsInput!$M$27,Inputs!$B$4="Chapter Hunt"),CHOOSE(ArtifactsInput!$N$27+1,20,24,28,32,36,40),0)/100)),0)</f>
        <v/>
      </c>
      <c r="R2951">
        <f>IF(AND(Inputs!$B$38&lt;&gt;"pvp",Inputs!$B$43&gt;0),IF(MAX(0,Inputs!$B$43-B2977)&lt;=0,0,(INT(MAX(0,Inputs!$B$43-B2977)/(IF(Inputs!$B$38="pvp",15,MAX(0.1,Skills!D10-IF(TRUE=TRUE,3.5,0)))*(1-IF(AND(ArtifactsInput!$M$27,Inputs!$B$4="Chapter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$20+0+Skills!P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TRUE=TRUE,3.5,0)))*(1-IF(AND(ArtifactsInput!$M$27,Inputs!$B$4="Chapter Hunt"),CHOOSE(ArtifactsInput!$N$27+1,20,24,28,32,36,40),0)/100)))))/Skills!H10,1)))/Inputs!$B$43),G2951*Q2951))*IF(Inputs!$B$38="pvp",1,(1+(Inputs!$B$21+Skills!Q10+(((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Skills!G11*IF(Skills!H11&gt;0,IF(Inputs!$B$38="pvp",MIN(Skills!I11,15),Skills!I11)/Skills!H11,1)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(100-(100-((Inputs!$B$19+0)))*(1-IF(Inputs!$B$3&gt;=130,IF(Inputs!$B$3&gt;=118,8,IF(Inputs!$B$3&gt;=110,7,5)),0)/100)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138,MAX(0,IF(Inputs!$B$3&gt;=118,8,IF(Inputs!$B$3&gt;=110,7,5))-5)*50,0),0)/100)*(1+(IF(Skills!A11="RAGING_BLOW",Inputs!$B$17+((C2962=TRUE)*(F2962-Calc!F21))+((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IFERROR(1/(IF(Inputs!$B$38="pvp",15,MAX(0.1,Skills!D11-IF(TRUE=TRUE,3.5,0)))*(1-IF(AND(ArtifactsInput!$M$27,Inputs!$B$4="Chapter Hunt"),CHOOSE(ArtifactsInput!$N$27+1,20,24,28,32,36,40),0)/100)),0)</f>
        <v/>
      </c>
      <c r="R2952">
        <f>IF(AND(Inputs!$B$38&lt;&gt;"pvp",Inputs!$B$43&gt;0),IF(MAX(0,Inputs!$B$43-B2977)&lt;=0,0,(INT(MAX(0,Inputs!$B$43-B2977)/(IF(Inputs!$B$38="pvp",15,MAX(0.1,Skills!D11-IF(TRUE=TRUE,3.5,0)))*(1-IF(AND(ArtifactsInput!$M$27,Inputs!$B$4="Chapter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$20+0+Skills!P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Inputs!$B$38&lt;&gt;"pvp",Inputs!$B$43=0),1,IF(IF(Inputs!$B$38="pvp",15,Inputs!$B$43)-(B2977)&lt;=0,1,MAX(0,IF(Inputs!$B$38="pvp",15,Inputs!$B$43)-MAX(5,B2977))/(IF(Inputs!$B$38="pvp",15,Inputs!$B$43)-(B2977)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TRUE=TRUE,3.5,0)))*(1-IF(AND(ArtifactsInput!$M$27,Inputs!$B$4="Chapter Hunt"),CHOOSE(ArtifactsInput!$N$27+1,20,24,28,32,36,40),0)/100)))))/Skills!H11,1)))/Inputs!$B$43),G2952*Q2952))*IF(Inputs!$B$38="pvp",1,(1+(Inputs!$B$21+Skills!Q11+(((C2957=TRUE)*F2957*(Skills!J16/100)*IF(AND(Inputs!$B$38&lt;&gt;"pvp",Inputs!$B$43&gt;0),(((R2957-1)*MIN((Skills!T16*(1+(Inputs!$B$34+(ArtifactsInput!$M$7-ArtifactsInput!$M$7)*CHOOSE(ArtifactsInput!$N$7+1,6,7.2,8.4,9.6,10.8,12))/100)),(1/Q2957))+MIN((Skills!T16*(1+(Inputs!$B$34+(ArtifactsInput!$M$7-ArtifactsInput!$M$7)*CHOOSE(ArtifactsInput!$N$7+1,6,7.2,8.4,9.6,10.8,12))/100)),MAX(0,Inputs!$B$43-((R2957-1)*(1/Q2957)))))/Inputs!$B$43),IF(Inputs!$B$38="pvp",MIN((Skills!T16*(1+(Inputs!$B$34+(ArtifactsInput!$M$7-ArtifactsInput!$M$7)*CHOOSE(ArtifactsInput!$N$7+1,6,7.2,8.4,9.6,10.8,12))/100)),15)/15,MIN(1,(Skills!T16*(1+(Inputs!$B$34+(ArtifactsInput!$M$7-ArtifactsInput!$M$7)*CHOOSE(ArtifactsInput!$N$7+1,6,7.2,8.4,9.6,10.8,12))/100))/(1/Q2957)))))+((C2949=TRUE)*IF(Inputs!$B$3&gt;=126,10*MIN(1,15*Q2949),0))+((C2946=TRUE)*((100/10)*(INDEX(FactorTable!$B$2:$Y$301,MATCH(ROUND(MIN(300,MAX(1,MAX(0,(Inputs!$B$3-100)*3)+Inputs!$B$28+Inputs!$B$29)),0),FactorTable!$A$2:$A$301,0),22)/1000))*(1+IF(Inputs!$B$3&gt;=134,0.5,0))*MIN(1,10*(1+(Inputs!$B$34+(ArtifactsInput!$M$7-ArtifactsInput!$M$7)*CHOOSE(ArtifactsInput!$N$7+1,6,7.2,8.4,9.6,10.8,12))/100)*Q2946)))+(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Skills!G13*IF(Skills!H13&gt;0,IF(Inputs!$B$38="pvp",MIN(Skills!I13,15),Skills!I13)/Skills!H13,1)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Skills!G14*IF(Skills!H14&gt;0,IF(Inputs!$B$38="pvp",MIN(Skills!I14,15),Skills!I14)/Skills!H14,1)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Skills!G15*IF(Skills!H15&gt;0,IF(Inputs!$B$38="pvp",MIN(Skills!I15,15),Skills!I15)/Skills!H15,1)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IFERROR(1/(IF(Inputs!$B$38="pvp",15,MAX(0.1,Skills!D15-IF(TRUE=TRUE,3.5,0)))*(1-IF(AND(ArtifactsInput!$M$27,Inputs!$B$4="Chapter Hunt"),CHOOSE(ArtifactsInput!$N$27+1,20,24,28,32,36,40),0)/100)),0)</f>
        <v/>
      </c>
      <c r="R2956">
        <f>IF(AND(Inputs!$B$38&lt;&gt;"pvp",Inputs!$B$43&gt;0),IF(Inputs!$B$43&lt;=0,0,(INT(Inputs!$B$43/(IF(Inputs!$B$38="pvp",15,MAX(0.1,Skills!D15-IF(TRUE=TRUE,3.5,0)))*(1-IF(AND(ArtifactsInput!$M$27,Inputs!$B$4="Chapter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Skills!G16*IF(Skills!H16&gt;0,IF(Inputs!$B$38="pvp",MIN(Skills!I16,15),Skills!I16)/Skills!H16,1)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IFERROR(1/(IF(Inputs!$B$38="pvp",15,MAX(0.1,Skills!D16-IF(TRUE=TRUE,3.5,0)))*(1-IF(AND(ArtifactsInput!$M$27,Inputs!$B$4="Chapter Hunt"),CHOOSE(ArtifactsInput!$N$27+1,20,24,28,32,36,40),0)/100)),0)</f>
        <v/>
      </c>
      <c r="R2957">
        <f>IF(AND(Inputs!$B$38&lt;&gt;"pvp",Inputs!$B$43&gt;0),IF(Inputs!$B$43&lt;=0,0,(INT(Inputs!$B$43/(IF(Inputs!$B$38="pvp",15,MAX(0.1,Skills!D16-IF(TRUE=TRUE,3.5,0)))*(1-IF(AND(ArtifactsInput!$M$27,Inputs!$B$4="Chapter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Skills!G17*IF(Skills!H17&gt;0,IF(Inputs!$B$38="pvp",MIN(Skills!I17,15),Skills!I17)/Skills!H17,1)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IFERROR(1/(IF(Inputs!$B$38="pvp",15,MAX(0.1,Skills!D17-IF(TRUE=TRUE,3.5,0)))*(1-IF(AND(ArtifactsInput!$M$27,Inputs!$B$4="Chapter Hunt"),CHOOSE(ArtifactsInput!$N$27+1,20,24,28,32,36,40),0)/100)),0)</f>
        <v/>
      </c>
      <c r="R2958">
        <f>IF(AND(Inputs!$B$38&lt;&gt;"pvp",Inputs!$B$43&gt;0),IF(Inputs!$B$43&lt;=0,0,(INT(Inputs!$B$43/(IF(Inputs!$B$38="pvp",15,MAX(0.1,Skills!D17-IF(TRUE=TRUE,3.5,0)))*(1-IF(AND(ArtifactsInput!$M$27,Inputs!$B$4="Chapter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Skills!G18*IF(Skills!H18&gt;0,IF(Inputs!$B$38="pvp",MIN(Skills!I18,15),Skills!I18)/Skills!H18,1)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IFERROR(1/(IF(Inputs!$B$38="pvp",15,MAX(0.1,Skills!D18-IF(TRUE=TRUE,3.5,0)))*(1-IF(AND(ArtifactsInput!$M$27,Inputs!$B$4="Chapter Hunt"),CHOOSE(ArtifactsInput!$N$27+1,20,24,28,32,36,40),0)/100)),0)</f>
        <v/>
      </c>
      <c r="R2959">
        <f>IF(AND(Inputs!$B$38&lt;&gt;"pvp",Inputs!$B$43&gt;0),IF(Inputs!$B$43&lt;=0,0,(INT(Inputs!$B$43/(IF(Inputs!$B$38="pvp",15,MAX(0.1,Skills!D18-IF(TRUE=TRUE,3.5,0)))*(1-IF(AND(ArtifactsInput!$M$27,Inputs!$B$4="Chapter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Skills!G19*IF(Skills!H19&gt;0,IF(Inputs!$B$38="pvp",MIN(Skills!I19,15),Skills!I19)/Skills!H19,1)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IFERROR(1/(IF(Inputs!$B$38="pvp",15,MAX(0.1,Skills!D19-IF(TRUE=TRUE,3.5,0)))*(1-IF(AND(ArtifactsInput!$M$27,Inputs!$B$4="Chapter Hunt"),CHOOSE(ArtifactsInput!$N$27+1,20,24,28,32,36,40),0)/100)),0)</f>
        <v/>
      </c>
      <c r="R2960">
        <f>IF(AND(Inputs!$B$38&lt;&gt;"pvp",Inputs!$B$43&gt;0),IF(Inputs!$B$43&lt;=0,0,(INT(Inputs!$B$43/(IF(Inputs!$B$38="pvp",15,MAX(0.1,Skills!D19-IF(TRUE=TRUE,3.5,0)))*(1-IF(AND(ArtifactsInput!$M$27,Inputs!$B$4="Chapter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Skills!G20*IF(Skills!H20&gt;0,IF(Inputs!$B$38="pvp",MIN(Skills!I20,15),Skills!I20)/Skills!H20,1)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Skills!G21*IF(Skills!H21&gt;0,IF(Inputs!$B$38="pvp",MIN(Skills!I21,15),Skills!I21)/Skills!H21,1)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Skills!G22*IF(Skills!H22&gt;0,IF(Inputs!$B$38="pvp",MIN(Skills!I22,15),Skills!I22)/Skills!H22,1)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Skills!G23*IF(Skills!H23&gt;0,IF(Inputs!$B$38="pvp",MIN(Skills!I23,15),Skills!I23)/Skills!H23,1)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Skills!G24*IF(Skills!H24&gt;0,IF(Inputs!$B$38="pvp",MIN(Skills!I24,15),Skills!I24)/Skills!H24,1)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Skills!G25*IF(Skills!H25&gt;0,IF(Inputs!$B$38="pvp",MIN(Skills!I25,15),Skills!I25)/Skills!H25,1)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Skills!G26*IF(Skills!H26&gt;0,IF(Inputs!$B$38="pvp",MIN(Skills!I26,15),Skills!I26)/Skills!H26,1)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118,8,IF(Inputs!$B$3&gt;=110,7,5)))+((C2956=TRUE)*F2956*IF(AND(Inputs!$B$38&lt;&gt;"pvp",Inputs!$B$43&gt;0),(((R2956-1)*MIN((Skills!T15*(1+(Inputs!$B$34+(ArtifactsInput!$M$7-ArtifactsInput!$M$7)*CHOOSE(ArtifactsInput!$N$7+1,6,7.2,8.4,9.6,10.8,12))/100)),(1/Q2956))+MIN((Skills!T15*(1+(Inputs!$B$34+(ArtifactsInput!$M$7-ArtifactsInput!$M$7)*CHOOSE(ArtifactsInput!$N$7+1,6,7.2,8.4,9.6,10.8,12))/100)),MAX(0,Inputs!$B$43-((R2956-1)*(1/Q2956)))))/Inputs!$B$43),IF(Inputs!$B$38="pvp",MIN((Skills!T15*(1+(Inputs!$B$34+(ArtifactsInput!$M$7-ArtifactsInput!$M$7)*CHOOSE(ArtifactsInput!$N$7+1,6,7.2,8.4,9.6,10.8,12))/100)),15)/15,MIN(1,(Skills!T15*(1+(Inputs!$B$34+(ArtifactsInput!$M$7-ArtifactsInput!$M$7)*CHOOSE(ArtifactsInput!$N$7+1,6,7.2,8.4,9.6,10.8,12))/100))/(1/Q2956)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MIN((Skills!T19*(1+(Inputs!$B$34+(ArtifactsInput!$M$7-ArtifactsInput!$M$7)*CHOOSE(ArtifactsInput!$N$7+1,6,7.2,8.4,9.6,10.8,12))/100)),(1/Q2960))+MIN((Skills!T19*(1+(Inputs!$B$34+(ArtifactsInput!$M$7-ArtifactsInput!$M$7)*CHOOSE(ArtifactsInput!$N$7+1,6,7.2,8.4,9.6,10.8,12))/100)),MAX(0,Inputs!$B$43-((R2960-1)*(1/Q2960)))))/Inputs!$B$43),IF(Inputs!$B$38="pvp",MIN((Skills!T19*(1+(Inputs!$B$34+(ArtifactsInput!$M$7-ArtifactsInput!$M$7)*CHOOSE(ArtifactsInput!$N$7+1,6,7.2,8.4,9.6,10.8,12))/100)),15)/15,MIN(1,(Skills!T19*(1+(Inputs!$B$34+(ArtifactsInput!$M$7-ArtifactsInput!$M$7)*CHOOSE(ArtifactsInput!$N$7+1,6,7.2,8.4,9.6,10.8,12))/100))/(1/Q2960)))))</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MIN((Skills!T18*(1+(Inputs!$B$34+(ArtifactsInput!$M$7-ArtifactsInput!$M$7)*CHOOSE(ArtifactsInput!$N$7+1,6,7.2,8.4,9.6,10.8,12))/100)),(1/Q2959))+MIN((Skills!T18*(1+(Inputs!$B$34+(ArtifactsInput!$M$7-ArtifactsInput!$M$7)*CHOOSE(ArtifactsInput!$N$7+1,6,7.2,8.4,9.6,10.8,12))/100)),MAX(0,Inputs!$B$43-((R2959-1)*(1/Q2959)))))/Inputs!$B$43),IF(Inputs!$B$38="pvp",MIN((Skills!T18*(1+(Inputs!$B$34+(ArtifactsInput!$M$7-ArtifactsInput!$M$7)*CHOOSE(ArtifactsInput!$N$7+1,6,7.2,8.4,9.6,10.8,12))/100)),15)/15,MIN(1,(Skills!T18*(1+(Inputs!$B$34+(ArtifactsInput!$M$7-ArtifactsInput!$M$7)*CHOOSE(ArtifactsInput!$N$7+1,6,7.2,8.4,9.6,10.8,12))/100))/(1/Q2959)))))</f>
        <v/>
      </c>
    </row>
    <row r="2976">
      <c r="A2976" t="inlineStr">
        <is>
          <t>Global Final Damage Bonus % (Enrage + Combo Synergy)</t>
        </is>
      </c>
      <c r="B2976">
        <f>((C2958=TRUE)*F2958*IF(AND(Inputs!$B$38&lt;&gt;"pvp",Inputs!$B$43&gt;0),(((R2958-1)*MIN((Skills!T17*(1+(Inputs!$B$34+(ArtifactsInput!$M$7-ArtifactsInput!$M$7)*CHOOSE(ArtifactsInput!$N$7+1,6,7.2,8.4,9.6,10.8,12))/100)),(1/Q2958))+MIN((Skills!T17*(1+(Inputs!$B$34+(ArtifactsInput!$M$7-ArtifactsInput!$M$7)*CHOOSE(ArtifactsInput!$N$7+1,6,7.2,8.4,9.6,10.8,12))/100)),MAX(0,Inputs!$B$43-((R2958-1)*(1/Q2958)))))/Inputs!$B$43),IF(Inputs!$B$38="pvp",MIN((Skills!T17*(1+(Inputs!$B$34+(ArtifactsInput!$M$7-ArtifactsInput!$M$7)*CHOOSE(ArtifactsInput!$N$7+1,6,7.2,8.4,9.6,10.8,12))/100)),15)/15,MIN(1,(Skills!T17*(1+(Inputs!$B$34+(ArtifactsInput!$M$7-ArtifactsInput!$M$7)*CHOOSE(ArtifactsInput!$N$7+1,6,7.2,8.4,9.6,10.8,12))/100))/(1/Q2958)))))+((C2955=TRUE)*F2955*IF(Inputs!$B$3&gt;=118,8,IF(Inputs!$B$3&gt;=110,7,5)))+IF(Inputs!$B$3&gt;=98,5,0)</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Skills!G2*IF(Skills!H2&gt;0,IF(Inputs!$B$38="pvp",MIN(Skills!I2,15),Skills!I2)/Skills!H2,1)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Skills!G5*IF(Skills!H5&gt;0,IF(Inputs!$B$38="pvp",MIN(Skills!I5,15),Skills!I5)/Skills!H5,1)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IFERROR(1/(IF(Inputs!$B$38="pvp",15,MAX(0.1,Skills!D5-IF(TRUE=TRUE,4.0,0)))*(1-IF(AND(ArtifactsInput!$M$27,Inputs!$B$4="Chapter Hunt"),CHOOSE(ArtifactsInput!$N$27+1,20,24,28,32,36,40),0)/100)),0)</f>
        <v/>
      </c>
      <c r="R2988">
        <f>IF(AND(Inputs!$B$38&lt;&gt;"pvp",Inputs!$B$43&gt;0),IF(MAX(0,Inputs!$B$43-B3019)&lt;=0,0,(INT(MAX(0,Inputs!$B$43-B3019)/(IF(Inputs!$B$38="pvp",15,MAX(0.1,Skills!D5-IF(TRUE=TRUE,4.0,0)))*(1-IF(AND(ArtifactsInput!$M$27,Inputs!$B$4="Chapter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$20+0+Skills!P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TRUE=TRUE,4.0,0)))*(1-IF(AND(ArtifactsInput!$M$27,Inputs!$B$4="Chapter Hunt"),CHOOSE(ArtifactsInput!$N$27+1,20,24,28,32,36,40),0)/100)))))/Skills!H5,1)))/Inputs!$B$43),G2988*Q2988))*IF(Inputs!$B$38="pvp",1,(1+(Inputs!$B$21+Skills!Q5+(((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Skills!G6*IF(Skills!H6&gt;0,IF(Inputs!$B$38="pvp",MIN(Skills!I6,15),Skills!I6)/Skills!H6,1)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IFERROR(1/(IF(Inputs!$B$38="pvp",15,MAX(0.1,Skills!D6-IF(TRUE=TRUE,4.0,0)))*(1-IF(AND(ArtifactsInput!$M$27,Inputs!$B$4="Chapter Hunt"),CHOOSE(ArtifactsInput!$N$27+1,20,24,28,32,36,40),0)/100)),0)</f>
        <v/>
      </c>
      <c r="R2989">
        <f>IF(AND(Inputs!$B$38&lt;&gt;"pvp",Inputs!$B$43&gt;0),IF(MAX(0,Inputs!$B$43-B3019)&lt;=0,0,(INT(MAX(0,Inputs!$B$43-B3019)/(IF(Inputs!$B$38="pvp",15,MAX(0.1,Skills!D6-IF(TRUE=TRUE,4.0,0)))*(1-IF(AND(ArtifactsInput!$M$27,Inputs!$B$4="Chapter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$20+0+Skills!P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TRUE=TRUE,4.0,0)))*(1-IF(AND(ArtifactsInput!$M$27,Inputs!$B$4="Chapter Hunt"),CHOOSE(ArtifactsInput!$N$27+1,20,24,28,32,36,40),0)/100)))))/Skills!H6,1)))/Inputs!$B$43),G2989*Q2989))*IF(Inputs!$B$38="pvp",1,(1+(Inputs!$B$21+Skills!Q6+(((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Skills!G7*IF(Skills!H7&gt;0,IF(Inputs!$B$38="pvp",MIN(Skills!I7,15),Skills!I7)/Skills!H7,1)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IFERROR(1/(IF(Inputs!$B$38="pvp",15,MAX(0.1,Skills!D7-IF(TRUE=TRUE,4.0,0)))*(1-IF(AND(ArtifactsInput!$M$27,Inputs!$B$4="Chapter Hunt"),CHOOSE(ArtifactsInput!$N$27+1,20,24,28,32,36,40),0)/100)),0)</f>
        <v/>
      </c>
      <c r="R2990">
        <f>IF(AND(Inputs!$B$38&lt;&gt;"pvp",Inputs!$B$43&gt;0),IF(MAX(0,Inputs!$B$43-B3019)&lt;=0,0,(INT(MAX(0,Inputs!$B$43-B3019)/(IF(Inputs!$B$38="pvp",15,MAX(0.1,Skills!D7-IF(TRUE=TRUE,4.0,0)))*(1-IF(AND(ArtifactsInput!$M$27,Inputs!$B$4="Chapter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$20+0+Skills!P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TRUE=TRUE,4.0,0)))*(1-IF(AND(ArtifactsInput!$M$27,Inputs!$B$4="Chapter Hunt"),CHOOSE(ArtifactsInput!$N$27+1,20,24,28,32,36,40),0)/100)))))/Skills!H7,1)))/Inputs!$B$43),G2990*Q2990))*IF(Inputs!$B$38="pvp",1,(1+(Inputs!$B$21+Skills!Q7+(((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Skills!G8*IF(Skills!H8&gt;0,IF(Inputs!$B$38="pvp",MIN(Skills!I8,15),Skills!I8)/Skills!H8,1)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IFERROR(1/(IF(Inputs!$B$38="pvp",15,MAX(0.1,Skills!D8-IF(TRUE=TRUE,4.0,0)))*(1-IF(AND(ArtifactsInput!$M$27,Inputs!$B$4="Chapter Hunt"),CHOOSE(ArtifactsInput!$N$27+1,20,24,28,32,36,40),0)/100)),0)</f>
        <v/>
      </c>
      <c r="R2991">
        <f>IF(AND(Inputs!$B$38&lt;&gt;"pvp",Inputs!$B$43&gt;0),IF(MAX(0,Inputs!$B$43-B3019)&lt;=0,0,(INT(MAX(0,Inputs!$B$43-B3019)/(IF(Inputs!$B$38="pvp",15,MAX(0.1,Skills!D8-IF(TRUE=TRUE,4.0,0)))*(1-IF(AND(ArtifactsInput!$M$27,Inputs!$B$4="Chapter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$20+0+Skills!P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TRUE=TRUE,4.0,0)))*(1-IF(AND(ArtifactsInput!$M$27,Inputs!$B$4="Chapter Hunt"),CHOOSE(ArtifactsInput!$N$27+1,20,24,28,32,36,40),0)/100)))))/Skills!H8,1)))/Inputs!$B$43),G2991*Q2991))*IF(Inputs!$B$38="pvp",1,(1+(Inputs!$B$21+Skills!Q8+(((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Skills!G9*IF(Skills!H9&gt;0,IF(Inputs!$B$38="pvp",MIN(Skills!I9,15),Skills!I9)/Skills!H9,1)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138,MAX(0,IF(Inputs!$B$3&gt;=118,8,IF(Inputs!$B$3&gt;=110,7,5))-5)*50,0),0)/100)*(1+(IF(Skills!A9="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IFERROR(1/(IF(Inputs!$B$38="pvp",15,MAX(0.1,Skills!D9-IF(TRUE=TRUE,4.0,0)))*(1-IF(AND(ArtifactsInput!$M$27,Inputs!$B$4="Chapter Hunt"),CHOOSE(ArtifactsInput!$N$27+1,20,24,28,32,36,40),0)/100)),0)</f>
        <v/>
      </c>
      <c r="R2992">
        <f>IF(AND(Inputs!$B$38&lt;&gt;"pvp",Inputs!$B$43&gt;0),IF(MAX(0,Inputs!$B$43-B3019)&lt;=0,0,(INT(MAX(0,Inputs!$B$43-B3019)/(IF(Inputs!$B$38="pvp",15,MAX(0.1,Skills!D9-IF(TRUE=TRUE,4.0,0)))*(1-IF(AND(ArtifactsInput!$M$27,Inputs!$B$4="Chapter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TRUE=TRUE,4.0,0)))*(1-IF(AND(ArtifactsInput!$M$27,Inputs!$B$4="Chapter Hunt"),CHOOSE(ArtifactsInput!$N$27+1,20,24,28,32,36,40),0)/100)))))/Skills!H9,1)))/Inputs!$B$43),G2992*Q2992))*IF(Inputs!$B$38="pvp",1,1+(Inputs!$B$20+0+Skills!P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TRUE=TRUE,4.0,0)))*(1-IF(AND(ArtifactsInput!$M$27,Inputs!$B$4="Chapter Hunt"),CHOOSE(ArtifactsInput!$N$27+1,20,24,28,32,36,40),0)/100)))))/Skills!H9,1)))/Inputs!$B$43),G2992*Q2992))*IF(Inputs!$B$38="pvp",1,(1+(Inputs!$B$21+Skills!Q9+(((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Skills!G10*IF(Skills!H10&gt;0,IF(Inputs!$B$38="pvp",MIN(Skills!I10,15),Skills!I10)/Skills!H10,1)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138,MAX(0,IF(Inputs!$B$3&gt;=118,8,IF(Inputs!$B$3&gt;=110,7,5))-5)*50,0),0)/100)*(1+(IF(Skills!A10="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IFERROR(1/(IF(Inputs!$B$38="pvp",15,MAX(0.1,Skills!D10-IF(TRUE=TRUE,4.0,0)))*(1-IF(AND(ArtifactsInput!$M$27,Inputs!$B$4="Chapter Hunt"),CHOOSE(ArtifactsInput!$N$27+1,20,24,28,32,36,40),0)/100)),0)</f>
        <v/>
      </c>
      <c r="R2993">
        <f>IF(AND(Inputs!$B$38&lt;&gt;"pvp",Inputs!$B$43&gt;0),IF(MAX(0,Inputs!$B$43-B3019)&lt;=0,0,(INT(MAX(0,Inputs!$B$43-B3019)/(IF(Inputs!$B$38="pvp",15,MAX(0.1,Skills!D10-IF(TRUE=TRUE,4.0,0)))*(1-IF(AND(ArtifactsInput!$M$27,Inputs!$B$4="Chapter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$20+0+Skills!P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TRUE=TRUE,4.0,0)))*(1-IF(AND(ArtifactsInput!$M$27,Inputs!$B$4="Chapter Hunt"),CHOOSE(ArtifactsInput!$N$27+1,20,24,28,32,36,40),0)/100)))))/Skills!H10,1)))/Inputs!$B$43),G2993*Q2993))*IF(Inputs!$B$38="pvp",1,(1+(Inputs!$B$21+Skills!Q10+(((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Skills!G11*IF(Skills!H11&gt;0,IF(Inputs!$B$38="pvp",MIN(Skills!I11,15),Skills!I11)/Skills!H11,1)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(100-(100-((Inputs!$B$19+0)))*(1-IF(Inputs!$B$3&gt;=130,IF(Inputs!$B$3&gt;=118,8,IF(Inputs!$B$3&gt;=110,7,5)),0)/100)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138,MAX(0,IF(Inputs!$B$3&gt;=118,8,IF(Inputs!$B$3&gt;=110,7,5))-5)*50,0),0)/100)*(1+(IF(Skills!A11="RAGING_BLOW",Inputs!$B$17+((C3004=TRUE)*(F3004-Calc!F21))+((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IFERROR(1/(IF(Inputs!$B$38="pvp",15,MAX(0.1,Skills!D11-IF(TRUE=TRUE,4.0,0)))*(1-IF(AND(ArtifactsInput!$M$27,Inputs!$B$4="Chapter Hunt"),CHOOSE(ArtifactsInput!$N$27+1,20,24,28,32,36,40),0)/100)),0)</f>
        <v/>
      </c>
      <c r="R2994">
        <f>IF(AND(Inputs!$B$38&lt;&gt;"pvp",Inputs!$B$43&gt;0),IF(MAX(0,Inputs!$B$43-B3019)&lt;=0,0,(INT(MAX(0,Inputs!$B$43-B3019)/(IF(Inputs!$B$38="pvp",15,MAX(0.1,Skills!D11-IF(TRUE=TRUE,4.0,0)))*(1-IF(AND(ArtifactsInput!$M$27,Inputs!$B$4="Chapter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$20+0+Skills!P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Inputs!$B$38&lt;&gt;"pvp",Inputs!$B$43=0),1,IF(IF(Inputs!$B$38="pvp",15,Inputs!$B$43)-(B3019)&lt;=0,1,MAX(0,IF(Inputs!$B$38="pvp",15,Inputs!$B$43)-MAX(5,B3019))/(IF(Inputs!$B$38="pvp",15,Inputs!$B$43)-(B3019)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TRUE=TRUE,4.0,0)))*(1-IF(AND(ArtifactsInput!$M$27,Inputs!$B$4="Chapter Hunt"),CHOOSE(ArtifactsInput!$N$27+1,20,24,28,32,36,40),0)/100)))))/Skills!H11,1)))/Inputs!$B$43),G2994*Q2994))*IF(Inputs!$B$38="pvp",1,(1+(Inputs!$B$21+Skills!Q11+(((C2999=TRUE)*F2999*(Skills!J16/100)*IF(AND(Inputs!$B$38&lt;&gt;"pvp",Inputs!$B$43&gt;0),(((R2999-1)*MIN((Skills!T16*(1+(Inputs!$B$34+(ArtifactsInput!$M$7-ArtifactsInput!$M$7)*CHOOSE(ArtifactsInput!$N$7+1,6,7.2,8.4,9.6,10.8,12))/100)),(1/Q2999))+MIN((Skills!T16*(1+(Inputs!$B$34+(ArtifactsInput!$M$7-ArtifactsInput!$M$7)*CHOOSE(ArtifactsInput!$N$7+1,6,7.2,8.4,9.6,10.8,12))/100)),MAX(0,Inputs!$B$43-((R2999-1)*(1/Q2999)))))/Inputs!$B$43),IF(Inputs!$B$38="pvp",MIN((Skills!T16*(1+(Inputs!$B$34+(ArtifactsInput!$M$7-ArtifactsInput!$M$7)*CHOOSE(ArtifactsInput!$N$7+1,6,7.2,8.4,9.6,10.8,12))/100)),15)/15,MIN(1,(Skills!T16*(1+(Inputs!$B$34+(ArtifactsInput!$M$7-ArtifactsInput!$M$7)*CHOOSE(ArtifactsInput!$N$7+1,6,7.2,8.4,9.6,10.8,12))/100))/(1/Q2999)))))+((C2991=TRUE)*IF(Inputs!$B$3&gt;=126,10*MIN(1,15*Q2991),0))+((C2988=TRUE)*((100/10)*(INDEX(FactorTable!$B$2:$Y$301,MATCH(ROUND(MIN(300,MAX(1,MAX(0,(Inputs!$B$3-100)*3)+Inputs!$B$28+Inputs!$B$29)),0),FactorTable!$A$2:$A$301,0),22)/1000))*(1+IF(Inputs!$B$3&gt;=134,0.5,0))*MIN(1,10*(1+(Inputs!$B$34+(ArtifactsInput!$M$7-ArtifactsInput!$M$7)*CHOOSE(ArtifactsInput!$N$7+1,6,7.2,8.4,9.6,10.8,12))/100)*Q2988)))+(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Skills!G13*IF(Skills!H13&gt;0,IF(Inputs!$B$38="pvp",MIN(Skills!I13,15),Skills!I13)/Skills!H13,1)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Skills!G14*IF(Skills!H14&gt;0,IF(Inputs!$B$38="pvp",MIN(Skills!I14,15),Skills!I14)/Skills!H14,1)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Skills!G15*IF(Skills!H15&gt;0,IF(Inputs!$B$38="pvp",MIN(Skills!I15,15),Skills!I15)/Skills!H15,1)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IFERROR(1/(IF(Inputs!$B$38="pvp",15,MAX(0.1,Skills!D15-IF(TRUE=TRUE,4.0,0)))*(1-IF(AND(ArtifactsInput!$M$27,Inputs!$B$4="Chapter Hunt"),CHOOSE(ArtifactsInput!$N$27+1,20,24,28,32,36,40),0)/100)),0)</f>
        <v/>
      </c>
      <c r="R2998">
        <f>IF(AND(Inputs!$B$38&lt;&gt;"pvp",Inputs!$B$43&gt;0),IF(Inputs!$B$43&lt;=0,0,(INT(Inputs!$B$43/(IF(Inputs!$B$38="pvp",15,MAX(0.1,Skills!D15-IF(TRUE=TRUE,4.0,0)))*(1-IF(AND(ArtifactsInput!$M$27,Inputs!$B$4="Chapter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Skills!G16*IF(Skills!H16&gt;0,IF(Inputs!$B$38="pvp",MIN(Skills!I16,15),Skills!I16)/Skills!H16,1)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IFERROR(1/(IF(Inputs!$B$38="pvp",15,MAX(0.1,Skills!D16-IF(TRUE=TRUE,4.0,0)))*(1-IF(AND(ArtifactsInput!$M$27,Inputs!$B$4="Chapter Hunt"),CHOOSE(ArtifactsInput!$N$27+1,20,24,28,32,36,40),0)/100)),0)</f>
        <v/>
      </c>
      <c r="R2999">
        <f>IF(AND(Inputs!$B$38&lt;&gt;"pvp",Inputs!$B$43&gt;0),IF(Inputs!$B$43&lt;=0,0,(INT(Inputs!$B$43/(IF(Inputs!$B$38="pvp",15,MAX(0.1,Skills!D16-IF(TRUE=TRUE,4.0,0)))*(1-IF(AND(ArtifactsInput!$M$27,Inputs!$B$4="Chapter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Skills!G17*IF(Skills!H17&gt;0,IF(Inputs!$B$38="pvp",MIN(Skills!I17,15),Skills!I17)/Skills!H17,1)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IFERROR(1/(IF(Inputs!$B$38="pvp",15,MAX(0.1,Skills!D17-IF(TRUE=TRUE,4.0,0)))*(1-IF(AND(ArtifactsInput!$M$27,Inputs!$B$4="Chapter Hunt"),CHOOSE(ArtifactsInput!$N$27+1,20,24,28,32,36,40),0)/100)),0)</f>
        <v/>
      </c>
      <c r="R3000">
        <f>IF(AND(Inputs!$B$38&lt;&gt;"pvp",Inputs!$B$43&gt;0),IF(Inputs!$B$43&lt;=0,0,(INT(Inputs!$B$43/(IF(Inputs!$B$38="pvp",15,MAX(0.1,Skills!D17-IF(TRUE=TRUE,4.0,0)))*(1-IF(AND(ArtifactsInput!$M$27,Inputs!$B$4="Chapter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Skills!G18*IF(Skills!H18&gt;0,IF(Inputs!$B$38="pvp",MIN(Skills!I18,15),Skills!I18)/Skills!H18,1)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IFERROR(1/(IF(Inputs!$B$38="pvp",15,MAX(0.1,Skills!D18-IF(TRUE=TRUE,4.0,0)))*(1-IF(AND(ArtifactsInput!$M$27,Inputs!$B$4="Chapter Hunt"),CHOOSE(ArtifactsInput!$N$27+1,20,24,28,32,36,40),0)/100)),0)</f>
        <v/>
      </c>
      <c r="R3001">
        <f>IF(AND(Inputs!$B$38&lt;&gt;"pvp",Inputs!$B$43&gt;0),IF(Inputs!$B$43&lt;=0,0,(INT(Inputs!$B$43/(IF(Inputs!$B$38="pvp",15,MAX(0.1,Skills!D18-IF(TRUE=TRUE,4.0,0)))*(1-IF(AND(ArtifactsInput!$M$27,Inputs!$B$4="Chapter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Skills!G19*IF(Skills!H19&gt;0,IF(Inputs!$B$38="pvp",MIN(Skills!I19,15),Skills!I19)/Skills!H19,1)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IFERROR(1/(IF(Inputs!$B$38="pvp",15,MAX(0.1,Skills!D19-IF(TRUE=TRUE,4.0,0)))*(1-IF(AND(ArtifactsInput!$M$27,Inputs!$B$4="Chapter Hunt"),CHOOSE(ArtifactsInput!$N$27+1,20,24,28,32,36,40),0)/100)),0)</f>
        <v/>
      </c>
      <c r="R3002">
        <f>IF(AND(Inputs!$B$38&lt;&gt;"pvp",Inputs!$B$43&gt;0),IF(Inputs!$B$43&lt;=0,0,(INT(Inputs!$B$43/(IF(Inputs!$B$38="pvp",15,MAX(0.1,Skills!D19-IF(TRUE=TRUE,4.0,0)))*(1-IF(AND(ArtifactsInput!$M$27,Inputs!$B$4="Chapter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Skills!G20*IF(Skills!H20&gt;0,IF(Inputs!$B$38="pvp",MIN(Skills!I20,15),Skills!I20)/Skills!H20,1)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Skills!G21*IF(Skills!H21&gt;0,IF(Inputs!$B$38="pvp",MIN(Skills!I21,15),Skills!I21)/Skills!H21,1)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Skills!G22*IF(Skills!H22&gt;0,IF(Inputs!$B$38="pvp",MIN(Skills!I22,15),Skills!I22)/Skills!H22,1)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Skills!G23*IF(Skills!H23&gt;0,IF(Inputs!$B$38="pvp",MIN(Skills!I23,15),Skills!I23)/Skills!H23,1)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Skills!G24*IF(Skills!H24&gt;0,IF(Inputs!$B$38="pvp",MIN(Skills!I24,15),Skills!I24)/Skills!H24,1)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Skills!G25*IF(Skills!H25&gt;0,IF(Inputs!$B$38="pvp",MIN(Skills!I25,15),Skills!I25)/Skills!H25,1)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Skills!G26*IF(Skills!H26&gt;0,IF(Inputs!$B$38="pvp",MIN(Skills!I26,15),Skills!I26)/Skills!H26,1)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118,8,IF(Inputs!$B$3&gt;=110,7,5)))+((C2998=TRUE)*F2998*IF(AND(Inputs!$B$38&lt;&gt;"pvp",Inputs!$B$43&gt;0),(((R2998-1)*MIN((Skills!T15*(1+(Inputs!$B$34+(ArtifactsInput!$M$7-ArtifactsInput!$M$7)*CHOOSE(ArtifactsInput!$N$7+1,6,7.2,8.4,9.6,10.8,12))/100)),(1/Q2998))+MIN((Skills!T15*(1+(Inputs!$B$34+(ArtifactsInput!$M$7-ArtifactsInput!$M$7)*CHOOSE(ArtifactsInput!$N$7+1,6,7.2,8.4,9.6,10.8,12))/100)),MAX(0,Inputs!$B$43-((R2998-1)*(1/Q2998)))))/Inputs!$B$43),IF(Inputs!$B$38="pvp",MIN((Skills!T15*(1+(Inputs!$B$34+(ArtifactsInput!$M$7-ArtifactsInput!$M$7)*CHOOSE(ArtifactsInput!$N$7+1,6,7.2,8.4,9.6,10.8,12))/100)),15)/15,MIN(1,(Skills!T15*(1+(Inputs!$B$34+(ArtifactsInput!$M$7-ArtifactsInput!$M$7)*CHOOSE(ArtifactsInput!$N$7+1,6,7.2,8.4,9.6,10.8,12))/100))/(1/Q2998)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MIN((Skills!T19*(1+(Inputs!$B$34+(ArtifactsInput!$M$7-ArtifactsInput!$M$7)*CHOOSE(ArtifactsInput!$N$7+1,6,7.2,8.4,9.6,10.8,12))/100)),(1/Q3002))+MIN((Skills!T19*(1+(Inputs!$B$34+(ArtifactsInput!$M$7-ArtifactsInput!$M$7)*CHOOSE(ArtifactsInput!$N$7+1,6,7.2,8.4,9.6,10.8,12))/100)),MAX(0,Inputs!$B$43-((R3002-1)*(1/Q3002)))))/Inputs!$B$43),IF(Inputs!$B$38="pvp",MIN((Skills!T19*(1+(Inputs!$B$34+(ArtifactsInput!$M$7-ArtifactsInput!$M$7)*CHOOSE(ArtifactsInput!$N$7+1,6,7.2,8.4,9.6,10.8,12))/100)),15)/15,MIN(1,(Skills!T19*(1+(Inputs!$B$34+(ArtifactsInput!$M$7-ArtifactsInput!$M$7)*CHOOSE(ArtifactsInput!$N$7+1,6,7.2,8.4,9.6,10.8,12))/100))/(1/Q3002)))))</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MIN((Skills!T18*(1+(Inputs!$B$34+(ArtifactsInput!$M$7-ArtifactsInput!$M$7)*CHOOSE(ArtifactsInput!$N$7+1,6,7.2,8.4,9.6,10.8,12))/100)),(1/Q3001))+MIN((Skills!T18*(1+(Inputs!$B$34+(ArtifactsInput!$M$7-ArtifactsInput!$M$7)*CHOOSE(ArtifactsInput!$N$7+1,6,7.2,8.4,9.6,10.8,12))/100)),MAX(0,Inputs!$B$43-((R3001-1)*(1/Q3001)))))/Inputs!$B$43),IF(Inputs!$B$38="pvp",MIN((Skills!T18*(1+(Inputs!$B$34+(ArtifactsInput!$M$7-ArtifactsInput!$M$7)*CHOOSE(ArtifactsInput!$N$7+1,6,7.2,8.4,9.6,10.8,12))/100)),15)/15,MIN(1,(Skills!T18*(1+(Inputs!$B$34+(ArtifactsInput!$M$7-ArtifactsInput!$M$7)*CHOOSE(ArtifactsInput!$N$7+1,6,7.2,8.4,9.6,10.8,12))/100))/(1/Q3001)))))</f>
        <v/>
      </c>
    </row>
    <row r="3018">
      <c r="A3018" t="inlineStr">
        <is>
          <t>Global Final Damage Bonus % (Enrage + Combo Synergy)</t>
        </is>
      </c>
      <c r="B3018">
        <f>((C3000=TRUE)*F3000*IF(AND(Inputs!$B$38&lt;&gt;"pvp",Inputs!$B$43&gt;0),(((R3000-1)*MIN((Skills!T17*(1+(Inputs!$B$34+(ArtifactsInput!$M$7-ArtifactsInput!$M$7)*CHOOSE(ArtifactsInput!$N$7+1,6,7.2,8.4,9.6,10.8,12))/100)),(1/Q3000))+MIN((Skills!T17*(1+(Inputs!$B$34+(ArtifactsInput!$M$7-ArtifactsInput!$M$7)*CHOOSE(ArtifactsInput!$N$7+1,6,7.2,8.4,9.6,10.8,12))/100)),MAX(0,Inputs!$B$43-((R3000-1)*(1/Q3000)))))/Inputs!$B$43),IF(Inputs!$B$38="pvp",MIN((Skills!T17*(1+(Inputs!$B$34+(ArtifactsInput!$M$7-ArtifactsInput!$M$7)*CHOOSE(ArtifactsInput!$N$7+1,6,7.2,8.4,9.6,10.8,12))/100)),15)/15,MIN(1,(Skills!T17*(1+(Inputs!$B$34+(ArtifactsInput!$M$7-ArtifactsInput!$M$7)*CHOOSE(ArtifactsInput!$N$7+1,6,7.2,8.4,9.6,10.8,12))/100))/(1/Q3000)))))+((C2997=TRUE)*F2997*IF(Inputs!$B$3&gt;=118,8,IF(Inputs!$B$3&gt;=110,7,5)))+IF(Inputs!$B$3&gt;=98,5,0)</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Skills!G2*IF(Skills!H2&gt;0,IF(Inputs!$B$38="pvp",MIN(Skills!I2,15),Skills!I2)/Skills!H2,1)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Skills!G5*IF(Skills!H5&gt;0,IF(Inputs!$B$38="pvp",MIN(Skills!I5,15),Skills!I5)/Skills!H5,1)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IFERROR(1/(IF(Inputs!$B$38="pvp",15,MAX(0.1,Skills!D5-IF(TRUE=TRUE,4.5,0)))*(1-IF(AND(ArtifactsInput!$M$27,Inputs!$B$4="Chapter Hunt"),CHOOSE(ArtifactsInput!$N$27+1,20,24,28,32,36,40),0)/100)),0)</f>
        <v/>
      </c>
      <c r="R3030">
        <f>IF(AND(Inputs!$B$38&lt;&gt;"pvp",Inputs!$B$43&gt;0),IF(MAX(0,Inputs!$B$43-B3061)&lt;=0,0,(INT(MAX(0,Inputs!$B$43-B3061)/(IF(Inputs!$B$38="pvp",15,MAX(0.1,Skills!D5-IF(TRUE=TRUE,4.5,0)))*(1-IF(AND(ArtifactsInput!$M$27,Inputs!$B$4="Chapter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$20+0+Skills!P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TRUE=TRUE,4.5,0)))*(1-IF(AND(ArtifactsInput!$M$27,Inputs!$B$4="Chapter Hunt"),CHOOSE(ArtifactsInput!$N$27+1,20,24,28,32,36,40),0)/100)))))/Skills!H5,1)))/Inputs!$B$43),G3030*Q3030))*IF(Inputs!$B$38="pvp",1,(1+(Inputs!$B$21+Skills!Q5+(((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Skills!G6*IF(Skills!H6&gt;0,IF(Inputs!$B$38="pvp",MIN(Skills!I6,15),Skills!I6)/Skills!H6,1)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IFERROR(1/(IF(Inputs!$B$38="pvp",15,MAX(0.1,Skills!D6-IF(TRUE=TRUE,4.5,0)))*(1-IF(AND(ArtifactsInput!$M$27,Inputs!$B$4="Chapter Hunt"),CHOOSE(ArtifactsInput!$N$27+1,20,24,28,32,36,40),0)/100)),0)</f>
        <v/>
      </c>
      <c r="R3031">
        <f>IF(AND(Inputs!$B$38&lt;&gt;"pvp",Inputs!$B$43&gt;0),IF(MAX(0,Inputs!$B$43-B3061)&lt;=0,0,(INT(MAX(0,Inputs!$B$43-B3061)/(IF(Inputs!$B$38="pvp",15,MAX(0.1,Skills!D6-IF(TRUE=TRUE,4.5,0)))*(1-IF(AND(ArtifactsInput!$M$27,Inputs!$B$4="Chapter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$20+0+Skills!P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TRUE=TRUE,4.5,0)))*(1-IF(AND(ArtifactsInput!$M$27,Inputs!$B$4="Chapter Hunt"),CHOOSE(ArtifactsInput!$N$27+1,20,24,28,32,36,40),0)/100)))))/Skills!H6,1)))/Inputs!$B$43),G3031*Q3031))*IF(Inputs!$B$38="pvp",1,(1+(Inputs!$B$21+Skills!Q6+(((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Skills!G7*IF(Skills!H7&gt;0,IF(Inputs!$B$38="pvp",MIN(Skills!I7,15),Skills!I7)/Skills!H7,1)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IFERROR(1/(IF(Inputs!$B$38="pvp",15,MAX(0.1,Skills!D7-IF(TRUE=TRUE,4.5,0)))*(1-IF(AND(ArtifactsInput!$M$27,Inputs!$B$4="Chapter Hunt"),CHOOSE(ArtifactsInput!$N$27+1,20,24,28,32,36,40),0)/100)),0)</f>
        <v/>
      </c>
      <c r="R3032">
        <f>IF(AND(Inputs!$B$38&lt;&gt;"pvp",Inputs!$B$43&gt;0),IF(MAX(0,Inputs!$B$43-B3061)&lt;=0,0,(INT(MAX(0,Inputs!$B$43-B3061)/(IF(Inputs!$B$38="pvp",15,MAX(0.1,Skills!D7-IF(TRUE=TRUE,4.5,0)))*(1-IF(AND(ArtifactsInput!$M$27,Inputs!$B$4="Chapter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$20+0+Skills!P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TRUE=TRUE,4.5,0)))*(1-IF(AND(ArtifactsInput!$M$27,Inputs!$B$4="Chapter Hunt"),CHOOSE(ArtifactsInput!$N$27+1,20,24,28,32,36,40),0)/100)))))/Skills!H7,1)))/Inputs!$B$43),G3032*Q3032))*IF(Inputs!$B$38="pvp",1,(1+(Inputs!$B$21+Skills!Q7+(((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Skills!G8*IF(Skills!H8&gt;0,IF(Inputs!$B$38="pvp",MIN(Skills!I8,15),Skills!I8)/Skills!H8,1)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IFERROR(1/(IF(Inputs!$B$38="pvp",15,MAX(0.1,Skills!D8-IF(TRUE=TRUE,4.5,0)))*(1-IF(AND(ArtifactsInput!$M$27,Inputs!$B$4="Chapter Hunt"),CHOOSE(ArtifactsInput!$N$27+1,20,24,28,32,36,40),0)/100)),0)</f>
        <v/>
      </c>
      <c r="R3033">
        <f>IF(AND(Inputs!$B$38&lt;&gt;"pvp",Inputs!$B$43&gt;0),IF(MAX(0,Inputs!$B$43-B3061)&lt;=0,0,(INT(MAX(0,Inputs!$B$43-B3061)/(IF(Inputs!$B$38="pvp",15,MAX(0.1,Skills!D8-IF(TRUE=TRUE,4.5,0)))*(1-IF(AND(ArtifactsInput!$M$27,Inputs!$B$4="Chapter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$20+0+Skills!P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TRUE=TRUE,4.5,0)))*(1-IF(AND(ArtifactsInput!$M$27,Inputs!$B$4="Chapter Hunt"),CHOOSE(ArtifactsInput!$N$27+1,20,24,28,32,36,40),0)/100)))))/Skills!H8,1)))/Inputs!$B$43),G3033*Q3033))*IF(Inputs!$B$38="pvp",1,(1+(Inputs!$B$21+Skills!Q8+(((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Skills!G9*IF(Skills!H9&gt;0,IF(Inputs!$B$38="pvp",MIN(Skills!I9,15),Skills!I9)/Skills!H9,1)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138,MAX(0,IF(Inputs!$B$3&gt;=118,8,IF(Inputs!$B$3&gt;=110,7,5))-5)*50,0),0)/100)*(1+(IF(Skills!A9="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IFERROR(1/(IF(Inputs!$B$38="pvp",15,MAX(0.1,Skills!D9-IF(TRUE=TRUE,4.5,0)))*(1-IF(AND(ArtifactsInput!$M$27,Inputs!$B$4="Chapter Hunt"),CHOOSE(ArtifactsInput!$N$27+1,20,24,28,32,36,40),0)/100)),0)</f>
        <v/>
      </c>
      <c r="R3034">
        <f>IF(AND(Inputs!$B$38&lt;&gt;"pvp",Inputs!$B$43&gt;0),IF(MAX(0,Inputs!$B$43-B3061)&lt;=0,0,(INT(MAX(0,Inputs!$B$43-B3061)/(IF(Inputs!$B$38="pvp",15,MAX(0.1,Skills!D9-IF(TRUE=TRUE,4.5,0)))*(1-IF(AND(ArtifactsInput!$M$27,Inputs!$B$4="Chapter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TRUE=TRUE,4.5,0)))*(1-IF(AND(ArtifactsInput!$M$27,Inputs!$B$4="Chapter Hunt"),CHOOSE(ArtifactsInput!$N$27+1,20,24,28,32,36,40),0)/100)))))/Skills!H9,1)))/Inputs!$B$43),G3034*Q3034))*IF(Inputs!$B$38="pvp",1,1+(Inputs!$B$20+0+Skills!P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TRUE=TRUE,4.5,0)))*(1-IF(AND(ArtifactsInput!$M$27,Inputs!$B$4="Chapter Hunt"),CHOOSE(ArtifactsInput!$N$27+1,20,24,28,32,36,40),0)/100)))))/Skills!H9,1)))/Inputs!$B$43),G3034*Q3034))*IF(Inputs!$B$38="pvp",1,(1+(Inputs!$B$21+Skills!Q9+(((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Skills!G10*IF(Skills!H10&gt;0,IF(Inputs!$B$38="pvp",MIN(Skills!I10,15),Skills!I10)/Skills!H10,1)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138,MAX(0,IF(Inputs!$B$3&gt;=118,8,IF(Inputs!$B$3&gt;=110,7,5))-5)*50,0),0)/100)*(1+(IF(Skills!A10="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IFERROR(1/(IF(Inputs!$B$38="pvp",15,MAX(0.1,Skills!D10-IF(TRUE=TRUE,4.5,0)))*(1-IF(AND(ArtifactsInput!$M$27,Inputs!$B$4="Chapter Hunt"),CHOOSE(ArtifactsInput!$N$27+1,20,24,28,32,36,40),0)/100)),0)</f>
        <v/>
      </c>
      <c r="R3035">
        <f>IF(AND(Inputs!$B$38&lt;&gt;"pvp",Inputs!$B$43&gt;0),IF(MAX(0,Inputs!$B$43-B3061)&lt;=0,0,(INT(MAX(0,Inputs!$B$43-B3061)/(IF(Inputs!$B$38="pvp",15,MAX(0.1,Skills!D10-IF(TRUE=TRUE,4.5,0)))*(1-IF(AND(ArtifactsInput!$M$27,Inputs!$B$4="Chapter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$20+0+Skills!P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TRUE=TRUE,4.5,0)))*(1-IF(AND(ArtifactsInput!$M$27,Inputs!$B$4="Chapter Hunt"),CHOOSE(ArtifactsInput!$N$27+1,20,24,28,32,36,40),0)/100)))))/Skills!H10,1)))/Inputs!$B$43),G3035*Q3035))*IF(Inputs!$B$38="pvp",1,(1+(Inputs!$B$21+Skills!Q10+(((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Skills!G11*IF(Skills!H11&gt;0,IF(Inputs!$B$38="pvp",MIN(Skills!I11,15),Skills!I11)/Skills!H11,1)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(100-(100-((Inputs!$B$19+0)))*(1-IF(Inputs!$B$3&gt;=130,IF(Inputs!$B$3&gt;=118,8,IF(Inputs!$B$3&gt;=110,7,5)),0)/100)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138,MAX(0,IF(Inputs!$B$3&gt;=118,8,IF(Inputs!$B$3&gt;=110,7,5))-5)*50,0),0)/100)*(1+(IF(Skills!A11="RAGING_BLOW",Inputs!$B$17+((C3046=TRUE)*(F3046-Calc!F21))+((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IFERROR(1/(IF(Inputs!$B$38="pvp",15,MAX(0.1,Skills!D11-IF(TRUE=TRUE,4.5,0)))*(1-IF(AND(ArtifactsInput!$M$27,Inputs!$B$4="Chapter Hunt"),CHOOSE(ArtifactsInput!$N$27+1,20,24,28,32,36,40),0)/100)),0)</f>
        <v/>
      </c>
      <c r="R3036">
        <f>IF(AND(Inputs!$B$38&lt;&gt;"pvp",Inputs!$B$43&gt;0),IF(MAX(0,Inputs!$B$43-B3061)&lt;=0,0,(INT(MAX(0,Inputs!$B$43-B3061)/(IF(Inputs!$B$38="pvp",15,MAX(0.1,Skills!D11-IF(TRUE=TRUE,4.5,0)))*(1-IF(AND(ArtifactsInput!$M$27,Inputs!$B$4="Chapter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$20+0+Skills!P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Inputs!$B$38&lt;&gt;"pvp",Inputs!$B$43=0),1,IF(IF(Inputs!$B$38="pvp",15,Inputs!$B$43)-(B3061)&lt;=0,1,MAX(0,IF(Inputs!$B$38="pvp",15,Inputs!$B$43)-MAX(5,B3061))/(IF(Inputs!$B$38="pvp",15,Inputs!$B$43)-(B3061)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TRUE=TRUE,4.5,0)))*(1-IF(AND(ArtifactsInput!$M$27,Inputs!$B$4="Chapter Hunt"),CHOOSE(ArtifactsInput!$N$27+1,20,24,28,32,36,40),0)/100)))))/Skills!H11,1)))/Inputs!$B$43),G3036*Q3036))*IF(Inputs!$B$38="pvp",1,(1+(Inputs!$B$21+Skills!Q11+(((C3041=TRUE)*F3041*(Skills!J16/100)*IF(AND(Inputs!$B$38&lt;&gt;"pvp",Inputs!$B$43&gt;0),(((R3041-1)*MIN((Skills!T16*(1+(Inputs!$B$34+(ArtifactsInput!$M$7-ArtifactsInput!$M$7)*CHOOSE(ArtifactsInput!$N$7+1,6,7.2,8.4,9.6,10.8,12))/100)),(1/Q3041))+MIN((Skills!T16*(1+(Inputs!$B$34+(ArtifactsInput!$M$7-ArtifactsInput!$M$7)*CHOOSE(ArtifactsInput!$N$7+1,6,7.2,8.4,9.6,10.8,12))/100)),MAX(0,Inputs!$B$43-((R3041-1)*(1/Q3041)))))/Inputs!$B$43),IF(Inputs!$B$38="pvp",MIN((Skills!T16*(1+(Inputs!$B$34+(ArtifactsInput!$M$7-ArtifactsInput!$M$7)*CHOOSE(ArtifactsInput!$N$7+1,6,7.2,8.4,9.6,10.8,12))/100)),15)/15,MIN(1,(Skills!T16*(1+(Inputs!$B$34+(ArtifactsInput!$M$7-ArtifactsInput!$M$7)*CHOOSE(ArtifactsInput!$N$7+1,6,7.2,8.4,9.6,10.8,12))/100))/(1/Q3041)))))+((C3033=TRUE)*IF(Inputs!$B$3&gt;=126,10*MIN(1,15*Q3033),0))+((C3030=TRUE)*((100/10)*(INDEX(FactorTable!$B$2:$Y$301,MATCH(ROUND(MIN(300,MAX(1,MAX(0,(Inputs!$B$3-100)*3)+Inputs!$B$28+Inputs!$B$29)),0),FactorTable!$A$2:$A$301,0),22)/1000))*(1+IF(Inputs!$B$3&gt;=134,0.5,0))*MIN(1,10*(1+(Inputs!$B$34+(ArtifactsInput!$M$7-ArtifactsInput!$M$7)*CHOOSE(ArtifactsInput!$N$7+1,6,7.2,8.4,9.6,10.8,12))/100)*Q3030)))+(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Skills!G13*IF(Skills!H13&gt;0,IF(Inputs!$B$38="pvp",MIN(Skills!I13,15),Skills!I13)/Skills!H13,1)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Skills!G14*IF(Skills!H14&gt;0,IF(Inputs!$B$38="pvp",MIN(Skills!I14,15),Skills!I14)/Skills!H14,1)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Skills!G15*IF(Skills!H15&gt;0,IF(Inputs!$B$38="pvp",MIN(Skills!I15,15),Skills!I15)/Skills!H15,1)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IFERROR(1/(IF(Inputs!$B$38="pvp",15,MAX(0.1,Skills!D15-IF(TRUE=TRUE,4.5,0)))*(1-IF(AND(ArtifactsInput!$M$27,Inputs!$B$4="Chapter Hunt"),CHOOSE(ArtifactsInput!$N$27+1,20,24,28,32,36,40),0)/100)),0)</f>
        <v/>
      </c>
      <c r="R3040">
        <f>IF(AND(Inputs!$B$38&lt;&gt;"pvp",Inputs!$B$43&gt;0),IF(Inputs!$B$43&lt;=0,0,(INT(Inputs!$B$43/(IF(Inputs!$B$38="pvp",15,MAX(0.1,Skills!D15-IF(TRUE=TRUE,4.5,0)))*(1-IF(AND(ArtifactsInput!$M$27,Inputs!$B$4="Chapter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Skills!G16*IF(Skills!H16&gt;0,IF(Inputs!$B$38="pvp",MIN(Skills!I16,15),Skills!I16)/Skills!H16,1)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IFERROR(1/(IF(Inputs!$B$38="pvp",15,MAX(0.1,Skills!D16-IF(TRUE=TRUE,4.5,0)))*(1-IF(AND(ArtifactsInput!$M$27,Inputs!$B$4="Chapter Hunt"),CHOOSE(ArtifactsInput!$N$27+1,20,24,28,32,36,40),0)/100)),0)</f>
        <v/>
      </c>
      <c r="R3041">
        <f>IF(AND(Inputs!$B$38&lt;&gt;"pvp",Inputs!$B$43&gt;0),IF(Inputs!$B$43&lt;=0,0,(INT(Inputs!$B$43/(IF(Inputs!$B$38="pvp",15,MAX(0.1,Skills!D16-IF(TRUE=TRUE,4.5,0)))*(1-IF(AND(ArtifactsInput!$M$27,Inputs!$B$4="Chapter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Skills!G17*IF(Skills!H17&gt;0,IF(Inputs!$B$38="pvp",MIN(Skills!I17,15),Skills!I17)/Skills!H17,1)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IFERROR(1/(IF(Inputs!$B$38="pvp",15,MAX(0.1,Skills!D17-IF(TRUE=TRUE,4.5,0)))*(1-IF(AND(ArtifactsInput!$M$27,Inputs!$B$4="Chapter Hunt"),CHOOSE(ArtifactsInput!$N$27+1,20,24,28,32,36,40),0)/100)),0)</f>
        <v/>
      </c>
      <c r="R3042">
        <f>IF(AND(Inputs!$B$38&lt;&gt;"pvp",Inputs!$B$43&gt;0),IF(Inputs!$B$43&lt;=0,0,(INT(Inputs!$B$43/(IF(Inputs!$B$38="pvp",15,MAX(0.1,Skills!D17-IF(TRUE=TRUE,4.5,0)))*(1-IF(AND(ArtifactsInput!$M$27,Inputs!$B$4="Chapter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Skills!G18*IF(Skills!H18&gt;0,IF(Inputs!$B$38="pvp",MIN(Skills!I18,15),Skills!I18)/Skills!H18,1)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IFERROR(1/(IF(Inputs!$B$38="pvp",15,MAX(0.1,Skills!D18-IF(TRUE=TRUE,4.5,0)))*(1-IF(AND(ArtifactsInput!$M$27,Inputs!$B$4="Chapter Hunt"),CHOOSE(ArtifactsInput!$N$27+1,20,24,28,32,36,40),0)/100)),0)</f>
        <v/>
      </c>
      <c r="R3043">
        <f>IF(AND(Inputs!$B$38&lt;&gt;"pvp",Inputs!$B$43&gt;0),IF(Inputs!$B$43&lt;=0,0,(INT(Inputs!$B$43/(IF(Inputs!$B$38="pvp",15,MAX(0.1,Skills!D18-IF(TRUE=TRUE,4.5,0)))*(1-IF(AND(ArtifactsInput!$M$27,Inputs!$B$4="Chapter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Skills!G19*IF(Skills!H19&gt;0,IF(Inputs!$B$38="pvp",MIN(Skills!I19,15),Skills!I19)/Skills!H19,1)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IFERROR(1/(IF(Inputs!$B$38="pvp",15,MAX(0.1,Skills!D19-IF(TRUE=TRUE,4.5,0)))*(1-IF(AND(ArtifactsInput!$M$27,Inputs!$B$4="Chapter Hunt"),CHOOSE(ArtifactsInput!$N$27+1,20,24,28,32,36,40),0)/100)),0)</f>
        <v/>
      </c>
      <c r="R3044">
        <f>IF(AND(Inputs!$B$38&lt;&gt;"pvp",Inputs!$B$43&gt;0),IF(Inputs!$B$43&lt;=0,0,(INT(Inputs!$B$43/(IF(Inputs!$B$38="pvp",15,MAX(0.1,Skills!D19-IF(TRUE=TRUE,4.5,0)))*(1-IF(AND(ArtifactsInput!$M$27,Inputs!$B$4="Chapter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Skills!G20*IF(Skills!H20&gt;0,IF(Inputs!$B$38="pvp",MIN(Skills!I20,15),Skills!I20)/Skills!H20,1)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Skills!G21*IF(Skills!H21&gt;0,IF(Inputs!$B$38="pvp",MIN(Skills!I21,15),Skills!I21)/Skills!H21,1)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Skills!G22*IF(Skills!H22&gt;0,IF(Inputs!$B$38="pvp",MIN(Skills!I22,15),Skills!I22)/Skills!H22,1)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Skills!G23*IF(Skills!H23&gt;0,IF(Inputs!$B$38="pvp",MIN(Skills!I23,15),Skills!I23)/Skills!H23,1)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Skills!G24*IF(Skills!H24&gt;0,IF(Inputs!$B$38="pvp",MIN(Skills!I24,15),Skills!I24)/Skills!H24,1)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Skills!G25*IF(Skills!H25&gt;0,IF(Inputs!$B$38="pvp",MIN(Skills!I25,15),Skills!I25)/Skills!H25,1)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Skills!G26*IF(Skills!H26&gt;0,IF(Inputs!$B$38="pvp",MIN(Skills!I26,15),Skills!I26)/Skills!H26,1)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118,8,IF(Inputs!$B$3&gt;=110,7,5)))+((C3040=TRUE)*F3040*IF(AND(Inputs!$B$38&lt;&gt;"pvp",Inputs!$B$43&gt;0),(((R3040-1)*MIN((Skills!T15*(1+(Inputs!$B$34+(ArtifactsInput!$M$7-ArtifactsInput!$M$7)*CHOOSE(ArtifactsInput!$N$7+1,6,7.2,8.4,9.6,10.8,12))/100)),(1/Q3040))+MIN((Skills!T15*(1+(Inputs!$B$34+(ArtifactsInput!$M$7-ArtifactsInput!$M$7)*CHOOSE(ArtifactsInput!$N$7+1,6,7.2,8.4,9.6,10.8,12))/100)),MAX(0,Inputs!$B$43-((R3040-1)*(1/Q3040)))))/Inputs!$B$43),IF(Inputs!$B$38="pvp",MIN((Skills!T15*(1+(Inputs!$B$34+(ArtifactsInput!$M$7-ArtifactsInput!$M$7)*CHOOSE(ArtifactsInput!$N$7+1,6,7.2,8.4,9.6,10.8,12))/100)),15)/15,MIN(1,(Skills!T15*(1+(Inputs!$B$34+(ArtifactsInput!$M$7-ArtifactsInput!$M$7)*CHOOSE(ArtifactsInput!$N$7+1,6,7.2,8.4,9.6,10.8,12))/100))/(1/Q3040)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MIN((Skills!T19*(1+(Inputs!$B$34+(ArtifactsInput!$M$7-ArtifactsInput!$M$7)*CHOOSE(ArtifactsInput!$N$7+1,6,7.2,8.4,9.6,10.8,12))/100)),(1/Q3044))+MIN((Skills!T19*(1+(Inputs!$B$34+(ArtifactsInput!$M$7-ArtifactsInput!$M$7)*CHOOSE(ArtifactsInput!$N$7+1,6,7.2,8.4,9.6,10.8,12))/100)),MAX(0,Inputs!$B$43-((R3044-1)*(1/Q3044)))))/Inputs!$B$43),IF(Inputs!$B$38="pvp",MIN((Skills!T19*(1+(Inputs!$B$34+(ArtifactsInput!$M$7-ArtifactsInput!$M$7)*CHOOSE(ArtifactsInput!$N$7+1,6,7.2,8.4,9.6,10.8,12))/100)),15)/15,MIN(1,(Skills!T19*(1+(Inputs!$B$34+(ArtifactsInput!$M$7-ArtifactsInput!$M$7)*CHOOSE(ArtifactsInput!$N$7+1,6,7.2,8.4,9.6,10.8,12))/100))/(1/Q3044)))))</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MIN((Skills!T18*(1+(Inputs!$B$34+(ArtifactsInput!$M$7-ArtifactsInput!$M$7)*CHOOSE(ArtifactsInput!$N$7+1,6,7.2,8.4,9.6,10.8,12))/100)),(1/Q3043))+MIN((Skills!T18*(1+(Inputs!$B$34+(ArtifactsInput!$M$7-ArtifactsInput!$M$7)*CHOOSE(ArtifactsInput!$N$7+1,6,7.2,8.4,9.6,10.8,12))/100)),MAX(0,Inputs!$B$43-((R3043-1)*(1/Q3043)))))/Inputs!$B$43),IF(Inputs!$B$38="pvp",MIN((Skills!T18*(1+(Inputs!$B$34+(ArtifactsInput!$M$7-ArtifactsInput!$M$7)*CHOOSE(ArtifactsInput!$N$7+1,6,7.2,8.4,9.6,10.8,12))/100)),15)/15,MIN(1,(Skills!T18*(1+(Inputs!$B$34+(ArtifactsInput!$M$7-ArtifactsInput!$M$7)*CHOOSE(ArtifactsInput!$N$7+1,6,7.2,8.4,9.6,10.8,12))/100))/(1/Q3043)))))</f>
        <v/>
      </c>
    </row>
    <row r="3060">
      <c r="A3060" t="inlineStr">
        <is>
          <t>Global Final Damage Bonus % (Enrage + Combo Synergy)</t>
        </is>
      </c>
      <c r="B3060">
        <f>((C3042=TRUE)*F3042*IF(AND(Inputs!$B$38&lt;&gt;"pvp",Inputs!$B$43&gt;0),(((R3042-1)*MIN((Skills!T17*(1+(Inputs!$B$34+(ArtifactsInput!$M$7-ArtifactsInput!$M$7)*CHOOSE(ArtifactsInput!$N$7+1,6,7.2,8.4,9.6,10.8,12))/100)),(1/Q3042))+MIN((Skills!T17*(1+(Inputs!$B$34+(ArtifactsInput!$M$7-ArtifactsInput!$M$7)*CHOOSE(ArtifactsInput!$N$7+1,6,7.2,8.4,9.6,10.8,12))/100)),MAX(0,Inputs!$B$43-((R3042-1)*(1/Q3042)))))/Inputs!$B$43),IF(Inputs!$B$38="pvp",MIN((Skills!T17*(1+(Inputs!$B$34+(ArtifactsInput!$M$7-ArtifactsInput!$M$7)*CHOOSE(ArtifactsInput!$N$7+1,6,7.2,8.4,9.6,10.8,12))/100)),15)/15,MIN(1,(Skills!T17*(1+(Inputs!$B$34+(ArtifactsInput!$M$7-ArtifactsInput!$M$7)*CHOOSE(ArtifactsInput!$N$7+1,6,7.2,8.4,9.6,10.8,12))/100))/(1/Q3042)))))+((C3039=TRUE)*F3039*IF(Inputs!$B$3&gt;=118,8,IF(Inputs!$B$3&gt;=110,7,5)))+IF(Inputs!$B$3&gt;=98,5,0)</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Skills!G2*IF(Skills!H2&gt;0,IF(Inputs!$B$38="pvp",MIN(Skills!I2,15),Skills!I2)/Skills!H2,1)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138,MAX(0,IF(Inputs!$B$3&gt;=118,8,IF(Inputs!$B$3&gt;=110,7,5))-5)*50,0),0)/100)*(1+(IF(Skills!A2="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Skills!G5*IF(Skills!H5&gt;0,IF(Inputs!$B$38="pvp",MIN(Skills!I5,15),Skills!I5)/Skills!H5,1)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138,MAX(0,IF(Inputs!$B$3&gt;=118,8,IF(Inputs!$B$3&gt;=110,7,5))-5)*50,0),0)/100)*(1+(IF(Skills!A5="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IFERROR(1/(IF(Inputs!$B$38="pvp",15,MAX(0.1,Skills!D5-IF(TRUE=TRUE,5.0,0)))*(1-IF(AND(ArtifactsInput!$M$27,Inputs!$B$4="Chapter Hunt"),CHOOSE(ArtifactsInput!$N$27+1,20,24,28,32,36,40),0)/100)),0)</f>
        <v/>
      </c>
      <c r="R3072">
        <f>IF(AND(Inputs!$B$38&lt;&gt;"pvp",Inputs!$B$43&gt;0),IF(MAX(0,Inputs!$B$43-B3103)&lt;=0,0,(INT(MAX(0,Inputs!$B$43-B3103)/(IF(Inputs!$B$38="pvp",15,MAX(0.1,Skills!D5-IF(TRUE=TRUE,5.0,0)))*(1-IF(AND(ArtifactsInput!$M$27,Inputs!$B$4="Chapter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$20+0+Skills!P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TRUE=TRUE,5.0,0)))*(1-IF(AND(ArtifactsInput!$M$27,Inputs!$B$4="Chapter Hunt"),CHOOSE(ArtifactsInput!$N$27+1,20,24,28,32,36,40),0)/100)))))/Skills!H5,1)))/Inputs!$B$43),G3072*Q3072))*IF(Inputs!$B$38="pvp",1,(1+(Inputs!$B$21+Skills!Q5+(((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Skills!G6*IF(Skills!H6&gt;0,IF(Inputs!$B$38="pvp",MIN(Skills!I6,15),Skills!I6)/Skills!H6,1)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138,MAX(0,IF(Inputs!$B$3&gt;=118,8,IF(Inputs!$B$3&gt;=110,7,5))-5)*50,0),0)/100)*(1+(IF(Skills!A6="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IFERROR(1/(IF(Inputs!$B$38="pvp",15,MAX(0.1,Skills!D6-IF(TRUE=TRUE,5.0,0)))*(1-IF(AND(ArtifactsInput!$M$27,Inputs!$B$4="Chapter Hunt"),CHOOSE(ArtifactsInput!$N$27+1,20,24,28,32,36,40),0)/100)),0)</f>
        <v/>
      </c>
      <c r="R3073">
        <f>IF(AND(Inputs!$B$38&lt;&gt;"pvp",Inputs!$B$43&gt;0),IF(MAX(0,Inputs!$B$43-B3103)&lt;=0,0,(INT(MAX(0,Inputs!$B$43-B3103)/(IF(Inputs!$B$38="pvp",15,MAX(0.1,Skills!D6-IF(TRUE=TRUE,5.0,0)))*(1-IF(AND(ArtifactsInput!$M$27,Inputs!$B$4="Chapter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$20+0+Skills!P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TRUE=TRUE,5.0,0)))*(1-IF(AND(ArtifactsInput!$M$27,Inputs!$B$4="Chapter Hunt"),CHOOSE(ArtifactsInput!$N$27+1,20,24,28,32,36,40),0)/100)))))/Skills!H6,1)))/Inputs!$B$43),G3073*Q3073))*IF(Inputs!$B$38="pvp",1,(1+(Inputs!$B$21+Skills!Q6+(((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Skills!G7*IF(Skills!H7&gt;0,IF(Inputs!$B$38="pvp",MIN(Skills!I7,15),Skills!I7)/Skills!H7,1)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138,MAX(0,IF(Inputs!$B$3&gt;=118,8,IF(Inputs!$B$3&gt;=110,7,5))-5)*50,0),0)/100)*(1+(IF(Skills!A7="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IFERROR(1/(IF(Inputs!$B$38="pvp",15,MAX(0.1,Skills!D7-IF(TRUE=TRUE,5.0,0)))*(1-IF(AND(ArtifactsInput!$M$27,Inputs!$B$4="Chapter Hunt"),CHOOSE(ArtifactsInput!$N$27+1,20,24,28,32,36,40),0)/100)),0)</f>
        <v/>
      </c>
      <c r="R3074">
        <f>IF(AND(Inputs!$B$38&lt;&gt;"pvp",Inputs!$B$43&gt;0),IF(MAX(0,Inputs!$B$43-B3103)&lt;=0,0,(INT(MAX(0,Inputs!$B$43-B3103)/(IF(Inputs!$B$38="pvp",15,MAX(0.1,Skills!D7-IF(TRUE=TRUE,5.0,0)))*(1-IF(AND(ArtifactsInput!$M$27,Inputs!$B$4="Chapter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$20+0+Skills!P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TRUE=TRUE,5.0,0)))*(1-IF(AND(ArtifactsInput!$M$27,Inputs!$B$4="Chapter Hunt"),CHOOSE(ArtifactsInput!$N$27+1,20,24,28,32,36,40),0)/100)))))/Skills!H7,1)))/Inputs!$B$43),G3074*Q3074))*IF(Inputs!$B$38="pvp",1,(1+(Inputs!$B$21+Skills!Q7+(((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Skills!G8*IF(Skills!H8&gt;0,IF(Inputs!$B$38="pvp",MIN(Skills!I8,15),Skills!I8)/Skills!H8,1)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138,MAX(0,IF(Inputs!$B$3&gt;=118,8,IF(Inputs!$B$3&gt;=110,7,5))-5)*50,0),0)/100)*(1+(IF(Skills!A8="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IFERROR(1/(IF(Inputs!$B$38="pvp",15,MAX(0.1,Skills!D8-IF(TRUE=TRUE,5.0,0)))*(1-IF(AND(ArtifactsInput!$M$27,Inputs!$B$4="Chapter Hunt"),CHOOSE(ArtifactsInput!$N$27+1,20,24,28,32,36,40),0)/100)),0)</f>
        <v/>
      </c>
      <c r="R3075">
        <f>IF(AND(Inputs!$B$38&lt;&gt;"pvp",Inputs!$B$43&gt;0),IF(MAX(0,Inputs!$B$43-B3103)&lt;=0,0,(INT(MAX(0,Inputs!$B$43-B3103)/(IF(Inputs!$B$38="pvp",15,MAX(0.1,Skills!D8-IF(TRUE=TRUE,5.0,0)))*(1-IF(AND(ArtifactsInput!$M$27,Inputs!$B$4="Chapter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$20+0+Skills!P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TRUE=TRUE,5.0,0)))*(1-IF(AND(ArtifactsInput!$M$27,Inputs!$B$4="Chapter Hunt"),CHOOSE(ArtifactsInput!$N$27+1,20,24,28,32,36,40),0)/100)))))/Skills!H8,1)))/Inputs!$B$43),G3075*Q3075))*IF(Inputs!$B$38="pvp",1,(1+(Inputs!$B$21+Skills!Q8+(((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Skills!G9*IF(Skills!H9&gt;0,IF(Inputs!$B$38="pvp",MIN(Skills!I9,15),Skills!I9)/Skills!H9,1)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138,MAX(0,IF(Inputs!$B$3&gt;=118,8,IF(Inputs!$B$3&gt;=110,7,5))-5)*50,0),0)/100)*(1+(IF(Skills!A9="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IFERROR(1/(IF(Inputs!$B$38="pvp",15,MAX(0.1,Skills!D9-IF(TRUE=TRUE,5.0,0)))*(1-IF(AND(ArtifactsInput!$M$27,Inputs!$B$4="Chapter Hunt"),CHOOSE(ArtifactsInput!$N$27+1,20,24,28,32,36,40),0)/100)),0)</f>
        <v/>
      </c>
      <c r="R3076">
        <f>IF(AND(Inputs!$B$38&lt;&gt;"pvp",Inputs!$B$43&gt;0),IF(MAX(0,Inputs!$B$43-B3103)&lt;=0,0,(INT(MAX(0,Inputs!$B$43-B3103)/(IF(Inputs!$B$38="pvp",15,MAX(0.1,Skills!D9-IF(TRUE=TRUE,5.0,0)))*(1-IF(AND(ArtifactsInput!$M$27,Inputs!$B$4="Chapter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TRUE=TRUE,5.0,0)))*(1-IF(AND(ArtifactsInput!$M$27,Inputs!$B$4="Chapter Hunt"),CHOOSE(ArtifactsInput!$N$27+1,20,24,28,32,36,40),0)/100)))))/Skills!H9,1)))/Inputs!$B$43),G3076*Q3076))*IF(Inputs!$B$38="pvp",1,1+(Inputs!$B$20+0+Skills!P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TRUE=TRUE,5.0,0)))*(1-IF(AND(ArtifactsInput!$M$27,Inputs!$B$4="Chapter Hunt"),CHOOSE(ArtifactsInput!$N$27+1,20,24,28,32,36,40),0)/100)))))/Skills!H9,1)))/Inputs!$B$43),G3076*Q3076))*IF(Inputs!$B$38="pvp",1,(1+(Inputs!$B$21+Skills!Q9+(((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Skills!G10*IF(Skills!H10&gt;0,IF(Inputs!$B$38="pvp",MIN(Skills!I10,15),Skills!I10)/Skills!H10,1)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138,MAX(0,IF(Inputs!$B$3&gt;=118,8,IF(Inputs!$B$3&gt;=110,7,5))-5)*50,0),0)/100)*(1+(IF(Skills!A10="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IFERROR(1/(IF(Inputs!$B$38="pvp",15,MAX(0.1,Skills!D10-IF(TRUE=TRUE,5.0,0)))*(1-IF(AND(ArtifactsInput!$M$27,Inputs!$B$4="Chapter Hunt"),CHOOSE(ArtifactsInput!$N$27+1,20,24,28,32,36,40),0)/100)),0)</f>
        <v/>
      </c>
      <c r="R3077">
        <f>IF(AND(Inputs!$B$38&lt;&gt;"pvp",Inputs!$B$43&gt;0),IF(MAX(0,Inputs!$B$43-B3103)&lt;=0,0,(INT(MAX(0,Inputs!$B$43-B3103)/(IF(Inputs!$B$38="pvp",15,MAX(0.1,Skills!D10-IF(TRUE=TRUE,5.0,0)))*(1-IF(AND(ArtifactsInput!$M$27,Inputs!$B$4="Chapter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$20+0+Skills!P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TRUE=TRUE,5.0,0)))*(1-IF(AND(ArtifactsInput!$M$27,Inputs!$B$4="Chapter Hunt"),CHOOSE(ArtifactsInput!$N$27+1,20,24,28,32,36,40),0)/100)))))/Skills!H10,1)))/Inputs!$B$43),G3077*Q3077))*IF(Inputs!$B$38="pvp",1,(1+(Inputs!$B$21+Skills!Q10+(((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Skills!G11*IF(Skills!H11&gt;0,IF(Inputs!$B$38="pvp",MIN(Skills!I11,15),Skills!I11)/Skills!H11,1)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(100-(100-((Inputs!$B$19+0)))*(1-IF(Inputs!$B$3&gt;=130,IF(Inputs!$B$3&gt;=118,8,IF(Inputs!$B$3&gt;=110,7,5)),0)/100)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138,MAX(0,IF(Inputs!$B$3&gt;=118,8,IF(Inputs!$B$3&gt;=110,7,5))-5)*50,0),0)/100)*(1+(IF(Skills!A11="RAGING_BLOW",Inputs!$B$17+((C3088=TRUE)*(F3088-Calc!F21))+((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IFERROR(1/(IF(Inputs!$B$38="pvp",15,MAX(0.1,Skills!D11-IF(TRUE=TRUE,5.0,0)))*(1-IF(AND(ArtifactsInput!$M$27,Inputs!$B$4="Chapter Hunt"),CHOOSE(ArtifactsInput!$N$27+1,20,24,28,32,36,40),0)/100)),0)</f>
        <v/>
      </c>
      <c r="R3078">
        <f>IF(AND(Inputs!$B$38&lt;&gt;"pvp",Inputs!$B$43&gt;0),IF(MAX(0,Inputs!$B$43-B3103)&lt;=0,0,(INT(MAX(0,Inputs!$B$43-B3103)/(IF(Inputs!$B$38="pvp",15,MAX(0.1,Skills!D11-IF(TRUE=TRUE,5.0,0)))*(1-IF(AND(ArtifactsInput!$M$27,Inputs!$B$4="Chapter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$20+0+Skills!P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(100-(100-((Inputs!$B$19+0)))*(1-IF(Inputs!$B$3&gt;=130,IF(Inputs!$B$3&gt;=118,8,IF(Inputs!$B$3&gt;=110,7,5)),0)/100))/100)*(1-CHOOSE(ArtifactsInput!$N$40+1,5,6,7,8,9,10)/100)^(ArtifactsInput!$M$40-ArtifactsInput!$M$40)))/100)*(1-IF(ArtifactsInput!$M$40,CHOOSE(ArtifactsInput!$N$40+1,5,6,7,8,9,10),0)/100)^IF(Inputs!$B$38="pvp",1,2)))/100)))/(5000/(6000+Inputs!$B$42*(1-(100*(1-(1-(100-(100-((Inputs!$B$19+0)))*(1-IF(Inputs!$B$3&gt;=130,IF(Inputs!$B$3&gt;=118,8,IF(Inputs!$B$3&gt;=110,7,5)),0)/100))/100)*(1-CHOOSE(ArtifactsInput!$N$40+1,5,6,7,8,9,10)/100)^(ArtifactsInput!$M$40-ArtifactsInput!$M$40)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Inputs!$B$38&lt;&gt;"pvp",Inputs!$B$43=0),1,IF(IF(Inputs!$B$38="pvp",15,Inputs!$B$43)-(B3103)&lt;=0,1,MAX(0,IF(Inputs!$B$38="pvp",15,Inputs!$B$43)-MAX(5,B3103))/(IF(Inputs!$B$38="pvp",15,Inputs!$B$43)-(B3103)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TRUE=TRUE,5.0,0)))*(1-IF(AND(ArtifactsInput!$M$27,Inputs!$B$4="Chapter Hunt"),CHOOSE(ArtifactsInput!$N$27+1,20,24,28,32,36,40),0)/100)))))/Skills!H11,1)))/Inputs!$B$43),G3078*Q3078))*IF(Inputs!$B$38="pvp",1,(1+(Inputs!$B$21+Skills!Q11+(((C3083=TRUE)*F3083*(Skills!J16/100)*IF(AND(Inputs!$B$38&lt;&gt;"pvp",Inputs!$B$43&gt;0),(((R3083-1)*MIN((Skills!T16*(1+(Inputs!$B$34+(ArtifactsInput!$M$7-ArtifactsInput!$M$7)*CHOOSE(ArtifactsInput!$N$7+1,6,7.2,8.4,9.6,10.8,12))/100)),(1/Q3083))+MIN((Skills!T16*(1+(Inputs!$B$34+(ArtifactsInput!$M$7-ArtifactsInput!$M$7)*CHOOSE(ArtifactsInput!$N$7+1,6,7.2,8.4,9.6,10.8,12))/100)),MAX(0,Inputs!$B$43-((R3083-1)*(1/Q3083)))))/Inputs!$B$43),IF(Inputs!$B$38="pvp",MIN((Skills!T16*(1+(Inputs!$B$34+(ArtifactsInput!$M$7-ArtifactsInput!$M$7)*CHOOSE(ArtifactsInput!$N$7+1,6,7.2,8.4,9.6,10.8,12))/100)),15)/15,MIN(1,(Skills!T16*(1+(Inputs!$B$34+(ArtifactsInput!$M$7-ArtifactsInput!$M$7)*CHOOSE(ArtifactsInput!$N$7+1,6,7.2,8.4,9.6,10.8,12))/100))/(1/Q3083)))))+((C3075=TRUE)*IF(Inputs!$B$3&gt;=126,10*MIN(1,15*Q3075),0))+((C3072=TRUE)*((100/10)*(INDEX(FactorTable!$B$2:$Y$301,MATCH(ROUND(MIN(300,MAX(1,MAX(0,(Inputs!$B$3-100)*3)+Inputs!$B$28+Inputs!$B$29)),0),FactorTable!$A$2:$A$301,0),22)/1000))*(1+IF(Inputs!$B$3&gt;=134,0.5,0))*MIN(1,10*(1+(Inputs!$B$34+(ArtifactsInput!$M$7-ArtifactsInput!$M$7)*CHOOSE(ArtifactsInput!$N$7+1,6,7.2,8.4,9.6,10.8,12))/100)*Q3072)))+(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Skills!G13*IF(Skills!H13&gt;0,IF(Inputs!$B$38="pvp",MIN(Skills!I13,15),Skills!I13)/Skills!H13,1)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Skills!G14*IF(Skills!H14&gt;0,IF(Inputs!$B$38="pvp",MIN(Skills!I14,15),Skills!I14)/Skills!H14,1)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Skills!G15*IF(Skills!H15&gt;0,IF(Inputs!$B$38="pvp",MIN(Skills!I15,15),Skills!I15)/Skills!H15,1)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IFERROR(1/(IF(Inputs!$B$38="pvp",15,MAX(0.1,Skills!D15-IF(TRUE=TRUE,5.0,0)))*(1-IF(AND(ArtifactsInput!$M$27,Inputs!$B$4="Chapter Hunt"),CHOOSE(ArtifactsInput!$N$27+1,20,24,28,32,36,40),0)/100)),0)</f>
        <v/>
      </c>
      <c r="R3082">
        <f>IF(AND(Inputs!$B$38&lt;&gt;"pvp",Inputs!$B$43&gt;0),IF(Inputs!$B$43&lt;=0,0,(INT(Inputs!$B$43/(IF(Inputs!$B$38="pvp",15,MAX(0.1,Skills!D15-IF(TRUE=TRUE,5.0,0)))*(1-IF(AND(ArtifactsInput!$M$27,Inputs!$B$4="Chapter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Skills!G16*IF(Skills!H16&gt;0,IF(Inputs!$B$38="pvp",MIN(Skills!I16,15),Skills!I16)/Skills!H16,1)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IFERROR(1/(IF(Inputs!$B$38="pvp",15,MAX(0.1,Skills!D16-IF(TRUE=TRUE,5.0,0)))*(1-IF(AND(ArtifactsInput!$M$27,Inputs!$B$4="Chapter Hunt"),CHOOSE(ArtifactsInput!$N$27+1,20,24,28,32,36,40),0)/100)),0)</f>
        <v/>
      </c>
      <c r="R3083">
        <f>IF(AND(Inputs!$B$38&lt;&gt;"pvp",Inputs!$B$43&gt;0),IF(Inputs!$B$43&lt;=0,0,(INT(Inputs!$B$43/(IF(Inputs!$B$38="pvp",15,MAX(0.1,Skills!D16-IF(TRUE=TRUE,5.0,0)))*(1-IF(AND(ArtifactsInput!$M$27,Inputs!$B$4="Chapter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Skills!G17*IF(Skills!H17&gt;0,IF(Inputs!$B$38="pvp",MIN(Skills!I17,15),Skills!I17)/Skills!H17,1)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IFERROR(1/(IF(Inputs!$B$38="pvp",15,MAX(0.1,Skills!D17-IF(TRUE=TRUE,5.0,0)))*(1-IF(AND(ArtifactsInput!$M$27,Inputs!$B$4="Chapter Hunt"),CHOOSE(ArtifactsInput!$N$27+1,20,24,28,32,36,40),0)/100)),0)</f>
        <v/>
      </c>
      <c r="R3084">
        <f>IF(AND(Inputs!$B$38&lt;&gt;"pvp",Inputs!$B$43&gt;0),IF(Inputs!$B$43&lt;=0,0,(INT(Inputs!$B$43/(IF(Inputs!$B$38="pvp",15,MAX(0.1,Skills!D17-IF(TRUE=TRUE,5.0,0)))*(1-IF(AND(ArtifactsInput!$M$27,Inputs!$B$4="Chapter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Skills!G18*IF(Skills!H18&gt;0,IF(Inputs!$B$38="pvp",MIN(Skills!I18,15),Skills!I18)/Skills!H18,1)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IFERROR(1/(IF(Inputs!$B$38="pvp",15,MAX(0.1,Skills!D18-IF(TRUE=TRUE,5.0,0)))*(1-IF(AND(ArtifactsInput!$M$27,Inputs!$B$4="Chapter Hunt"),CHOOSE(ArtifactsInput!$N$27+1,20,24,28,32,36,40),0)/100)),0)</f>
        <v/>
      </c>
      <c r="R3085">
        <f>IF(AND(Inputs!$B$38&lt;&gt;"pvp",Inputs!$B$43&gt;0),IF(Inputs!$B$43&lt;=0,0,(INT(Inputs!$B$43/(IF(Inputs!$B$38="pvp",15,MAX(0.1,Skills!D18-IF(TRUE=TRUE,5.0,0)))*(1-IF(AND(ArtifactsInput!$M$27,Inputs!$B$4="Chapter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Skills!G19*IF(Skills!H19&gt;0,IF(Inputs!$B$38="pvp",MIN(Skills!I19,15),Skills!I19)/Skills!H19,1)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IFERROR(1/(IF(Inputs!$B$38="pvp",15,MAX(0.1,Skills!D19-IF(TRUE=TRUE,5.0,0)))*(1-IF(AND(ArtifactsInput!$M$27,Inputs!$B$4="Chapter Hunt"),CHOOSE(ArtifactsInput!$N$27+1,20,24,28,32,36,40),0)/100)),0)</f>
        <v/>
      </c>
      <c r="R3086">
        <f>IF(AND(Inputs!$B$38&lt;&gt;"pvp",Inputs!$B$43&gt;0),IF(Inputs!$B$43&lt;=0,0,(INT(Inputs!$B$43/(IF(Inputs!$B$38="pvp",15,MAX(0.1,Skills!D19-IF(TRUE=TRUE,5.0,0)))*(1-IF(AND(ArtifactsInput!$M$27,Inputs!$B$4="Chapter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Skills!G20*IF(Skills!H20&gt;0,IF(Inputs!$B$38="pvp",MIN(Skills!I20,15),Skills!I20)/Skills!H20,1)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Skills!G21*IF(Skills!H21&gt;0,IF(Inputs!$B$38="pvp",MIN(Skills!I21,15),Skills!I21)/Skills!H21,1)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Skills!G22*IF(Skills!H22&gt;0,IF(Inputs!$B$38="pvp",MIN(Skills!I22,15),Skills!I22)/Skills!H22,1)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Skills!G23*IF(Skills!H23&gt;0,IF(Inputs!$B$38="pvp",MIN(Skills!I23,15),Skills!I23)/Skills!H23,1)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Skills!G24*IF(Skills!H24&gt;0,IF(Inputs!$B$38="pvp",MIN(Skills!I24,15),Skills!I24)/Skills!H24,1)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Skills!G25*IF(Skills!H25&gt;0,IF(Inputs!$B$38="pvp",MIN(Skills!I25,15),Skills!I25)/Skills!H25,1)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Skills!G26*IF(Skills!H26&gt;0,IF(Inputs!$B$38="pvp",MIN(Skills!I26,15),Skills!I26)/Skills!H26,1)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118,8,IF(Inputs!$B$3&gt;=110,7,5)))+((C3082=TRUE)*F3082*IF(AND(Inputs!$B$38&lt;&gt;"pvp",Inputs!$B$43&gt;0),(((R3082-1)*MIN((Skills!T15*(1+(Inputs!$B$34+(ArtifactsInput!$M$7-ArtifactsInput!$M$7)*CHOOSE(ArtifactsInput!$N$7+1,6,7.2,8.4,9.6,10.8,12))/100)),(1/Q3082))+MIN((Skills!T15*(1+(Inputs!$B$34+(ArtifactsInput!$M$7-ArtifactsInput!$M$7)*CHOOSE(ArtifactsInput!$N$7+1,6,7.2,8.4,9.6,10.8,12))/100)),MAX(0,Inputs!$B$43-((R3082-1)*(1/Q3082)))))/Inputs!$B$43),IF(Inputs!$B$38="pvp",MIN((Skills!T15*(1+(Inputs!$B$34+(ArtifactsInput!$M$7-ArtifactsInput!$M$7)*CHOOSE(ArtifactsInput!$N$7+1,6,7.2,8.4,9.6,10.8,12))/100)),15)/15,MIN(1,(Skills!T15*(1+(Inputs!$B$34+(ArtifactsInput!$M$7-ArtifactsInput!$M$7)*CHOOSE(ArtifactsInput!$N$7+1,6,7.2,8.4,9.6,10.8,12))/100))/(1/Q3082)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MIN((Skills!T19*(1+(Inputs!$B$34+(ArtifactsInput!$M$7-ArtifactsInput!$M$7)*CHOOSE(ArtifactsInput!$N$7+1,6,7.2,8.4,9.6,10.8,12))/100)),(1/Q3086))+MIN((Skills!T19*(1+(Inputs!$B$34+(ArtifactsInput!$M$7-ArtifactsInput!$M$7)*CHOOSE(ArtifactsInput!$N$7+1,6,7.2,8.4,9.6,10.8,12))/100)),MAX(0,Inputs!$B$43-((R3086-1)*(1/Q3086)))))/Inputs!$B$43),IF(Inputs!$B$38="pvp",MIN((Skills!T19*(1+(Inputs!$B$34+(ArtifactsInput!$M$7-ArtifactsInput!$M$7)*CHOOSE(ArtifactsInput!$N$7+1,6,7.2,8.4,9.6,10.8,12))/100)),15)/15,MIN(1,(Skills!T19*(1+(Inputs!$B$34+(ArtifactsInput!$M$7-ArtifactsInput!$M$7)*CHOOSE(ArtifactsInput!$N$7+1,6,7.2,8.4,9.6,10.8,12))/100))/(1/Q3086)))))</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MIN((Skills!T18*(1+(Inputs!$B$34+(ArtifactsInput!$M$7-ArtifactsInput!$M$7)*CHOOSE(ArtifactsInput!$N$7+1,6,7.2,8.4,9.6,10.8,12))/100)),(1/Q3085))+MIN((Skills!T18*(1+(Inputs!$B$34+(ArtifactsInput!$M$7-ArtifactsInput!$M$7)*CHOOSE(ArtifactsInput!$N$7+1,6,7.2,8.4,9.6,10.8,12))/100)),MAX(0,Inputs!$B$43-((R3085-1)*(1/Q3085)))))/Inputs!$B$43),IF(Inputs!$B$38="pvp",MIN((Skills!T18*(1+(Inputs!$B$34+(ArtifactsInput!$M$7-ArtifactsInput!$M$7)*CHOOSE(ArtifactsInput!$N$7+1,6,7.2,8.4,9.6,10.8,12))/100)),15)/15,MIN(1,(Skills!T18*(1+(Inputs!$B$34+(ArtifactsInput!$M$7-ArtifactsInput!$M$7)*CHOOSE(ArtifactsInput!$N$7+1,6,7.2,8.4,9.6,10.8,12))/100))/(1/Q3085)))))</f>
        <v/>
      </c>
    </row>
    <row r="3102">
      <c r="A3102" t="inlineStr">
        <is>
          <t>Global Final Damage Bonus % (Enrage + Combo Synergy)</t>
        </is>
      </c>
      <c r="B3102">
        <f>((C3084=TRUE)*F3084*IF(AND(Inputs!$B$38&lt;&gt;"pvp",Inputs!$B$43&gt;0),(((R3084-1)*MIN((Skills!T17*(1+(Inputs!$B$34+(ArtifactsInput!$M$7-ArtifactsInput!$M$7)*CHOOSE(ArtifactsInput!$N$7+1,6,7.2,8.4,9.6,10.8,12))/100)),(1/Q3084))+MIN((Skills!T17*(1+(Inputs!$B$34+(ArtifactsInput!$M$7-ArtifactsInput!$M$7)*CHOOSE(ArtifactsInput!$N$7+1,6,7.2,8.4,9.6,10.8,12))/100)),MAX(0,Inputs!$B$43-((R3084-1)*(1/Q3084)))))/Inputs!$B$43),IF(Inputs!$B$38="pvp",MIN((Skills!T17*(1+(Inputs!$B$34+(ArtifactsInput!$M$7-ArtifactsInput!$M$7)*CHOOSE(ArtifactsInput!$N$7+1,6,7.2,8.4,9.6,10.8,12))/100)),15)/15,MIN(1,(Skills!T17*(1+(Inputs!$B$34+(ArtifactsInput!$M$7-ArtifactsInput!$M$7)*CHOOSE(ArtifactsInput!$N$7+1,6,7.2,8.4,9.6,10.8,12))/100))/(1/Q3084)))))+((C3081=TRUE)*F3081*IF(Inputs!$B$3&gt;=118,8,IF(Inputs!$B$3&gt;=110,7,5)))+IF(Inputs!$B$3&gt;=98,5,0)</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IF(AND(Inputs!$B$9+Summary!$B$14+Artifacts!$B$32&gt;=100,NOT(ArtifactsInput!$M$42),NOT(ArtifactsInput!$M$24)),Sensitivity!H16,Sensitivity!H15)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2026-10-22T15:47:12Z</dcterms:created>
  <dcterms:modified xsi:type="dcterms:W3CDTF">2026-10-22T15:47:13Z</dcterms:modified>
</cp:coreProperties>
</file>