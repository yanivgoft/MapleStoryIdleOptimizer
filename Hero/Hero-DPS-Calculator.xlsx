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Hero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Weapon Acceleration, Physical Training, Weapon Mastery, Combat Mastery, and Power Stance's own Final Damage component are always-on passives assumed to already be reflected in your own Inputs stat entries — only their Sensitivity marginal delta is modeled live, matching this project's established convention. Iron Body's flat STR specifically has NO Sensitivity delta row (no percentage-bucket exists for a flat sub-stat bonus in this template) — just assume your own Inputs!STR already includes it. Warrior Mastery (Max HP/Speed) and Power Stance's own damage-reduction component have zero DPS-relevant mechanic and get no row at all.</t>
        </is>
      </c>
    </row>
    <row r="11">
      <c r="A11" s="2" t="inlineStr">
        <is>
          <t>Hero's Mastery table has a confirmed skill-name swap bug: every row labeled 'Puncture' actually describes an Enhanced Raging Blow effect, and vice versa. Re-attributed by effect description, not label, throughout this workbook.</t>
        </is>
      </c>
    </row>
    <row r="12">
      <c r="A12" s="2" t="inlineStr">
        <is>
          <t>Puncture is split into two rows (direct hit + wound DoT), same pattern as FP-Mage's own Poison Mist Burst/DoT split. Its wound's own continuously-scaling boss-damage-taken curve (10%-&gt;18%) is a live FactorTable lookup (factorIndex 21/baseDamage 100 tenths%, resolved via _reverse_engineer_hero_factors.py), not a flat approximation.</t>
        </is>
      </c>
    </row>
    <row r="13">
      <c r="A13" s="2" t="inlineStr">
        <is>
          <t>Combo Attack and Combo Synergy (both combo-stack-scaling passives) are modeled at steady-state MAX stacks once unlocked, not as an exact stack-gain/decay state machine — the same simplification tier as Concentration/Mortal Blow elsewhere in this project. Enhanced Raging Blow's own Lv.134 mastery ('combo final damage +50% per excess stack') reuses this same steady-state assumption: 2 excess stacks above the 5 required to use the skill, once Advanced Combo's own 7-stack cap unlocks at Lv.110, giving a flat +100% Final Damage term once Lv.134 is reached.</t>
        </is>
      </c>
    </row>
    <row r="14">
      <c r="A14" s="2" t="inlineStr">
        <is>
          <t>Scaring Sword is the first skill in this project to actually drive the Global Monster Damage-Taken Bonus% bucket (a placeholder left at 0 in every prior class) — modeled as proc-chance x duty-cycle uptime, feeding every damage row's own monster-damage-taken term.</t>
        </is>
      </c>
    </row>
    <row r="15">
      <c r="A15" s="2" t="inlineStr">
        <is>
          <t>Enrage fires on its own fixed interval (not a player-cast cooldown) — modeled the same way as any other duty-cycled buff, treating the interval as the row's own Cooldown(s). Its new Aug-13-patch 'activates at combat start' behavior is not modeled (no start-of-combat mechanic exists anywhere in this project).</t>
        </is>
      </c>
    </row>
    <row r="16">
      <c r="A16" s="2" t="inlineStr">
        <is>
          <t>Raging Blow (basic attack) reuses the universal 4th-job-basic-attack constant (baseDamage 2900, factorIndex 21) confirmed identical across every class in this project. Final Attack + Advanced Final Attack fold into its own coefficient exactly like Bowmaster's own Arrow Stream — both resolve to the identical tuples Bowmaster already established, confirming they're genuinely the same cross-tree shared skills.</t>
        </is>
      </c>
    </row>
    <row r="17">
      <c r="A17" s="2" t="inlineStr">
        <is>
          <t>Magic Crash is shared verbatim with Paladin and Dark Knight (single wiki page) — patched targets 5-&gt;9 (effect range +50% not modeled, no such mechanic exists).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(Rush/Puncture stuns), Accuracy, Evasion, Defense, Max HP/MP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Hero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Weapon Acceleration)</t>
        </is>
      </c>
      <c r="B11" s="6" t="n">
        <v>0</v>
      </c>
    </row>
    <row r="12">
      <c r="A12" s="5" t="inlineStr">
        <is>
          <t>Flat STR (include Iron Body's own +30 if unlocked)</t>
        </is>
      </c>
      <c r="B12" s="6" t="n">
        <v>0</v>
      </c>
    </row>
    <row r="13">
      <c r="A13" s="5" t="inlineStr">
        <is>
          <t>STR %</t>
        </is>
      </c>
      <c r="B13" s="6" t="n">
        <v>0</v>
      </c>
    </row>
    <row r="14">
      <c r="A14" s="5" t="inlineStr">
        <is>
          <t>DEX</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RAGING_BLOW</t>
        </is>
      </c>
      <c r="B2" t="inlineStr">
        <is>
          <t>Raging Blow</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Calc!F3*IF(Calc!C3=TRUE,1,0)/100*(1+Calc!F4*IF(Calc!C4=TRUE,1,0)/100)*25+SUMPRODUCT((Inputs!$B$3&gt;={102,106,116,120,128,132})*{10,1,1,1,1,1})</f>
        <v/>
      </c>
      <c r="P2">
        <f>SUMPRODUCT((Inputs!$B$3&gt;={111,124})*{10,10})</f>
        <v/>
      </c>
      <c r="Q2" t="n">
        <v>0</v>
      </c>
      <c r="R2">
        <f>6+Inputs!$B$33</f>
        <v/>
      </c>
      <c r="S2" t="inlineStr"/>
      <c r="T2" t="n">
        <v>0</v>
      </c>
      <c r="U2" t="inlineStr"/>
      <c r="V2" t="inlineStr"/>
      <c r="W2" t="inlineStr">
        <is>
          <t>4th-job basic-attack effect (supersedes Slash Blast/Brandish/Intrepid Slash, confirmed identical wiki wording — 290% damage to 6 target(s) in front 5 time(s) — to every other class's own 4th-job basic attack). factorIndex 21, baseDamage 2900 tenths%. HitsPerCast=5, bumping to 6 once Mastery Lv.136 'Raging Blow - Strike' unlocks (Hero's own level for this differs from Bowmaster/Marksman's Lv.134 — confirmed directly from Hero/Mastery). SkillMasteryBonus% is Final Attack + Advanced Final Attack's own combined steady-state contribution (same folding mechanism as Bowmaster's Arrow Stream) PLUS the real Raging Blow - Damage mastery chain (102/106/116/120/128/132, cumulative +10/11/12/13/14/15% — summed as DELTAS, not the raw displayed values). MasteryBossDamage% is the real 2-tier Raging Blow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Raging Blow's own coefficient. 25% chance, 35%-&gt;49% additional damage (levels 1-100), factorIndex 21/baseDamage 350 tenths% — resolves to the IDENTICAL tuple Bowmaster's own Final Attack: Bow helper uses, confirming this is genuinely the same cross-tree shared skill. Mastery Lv.54 'Final Attack - Damage' +50% (real SkillMasteryBonus%).</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Raging Blow's own coefficient (Final Attack's own Final Damage bonus). +500%-&gt;900% FD (levels 1-200), factorIndex 21/baseDamage 5000 tenths% — resolves to the IDENTICAL tuple Bowmaster's own Advanced Final Attack helper uses. Mastery Lv.113 'Advanced Final Attack - Enhance' +50% (real SkillMasteryBonus%).</t>
        </is>
      </c>
    </row>
    <row r="5">
      <c r="A5" t="inlineStr">
        <is>
          <t>PUNCTURE</t>
        </is>
      </c>
      <c r="B5" t="inlineStr">
        <is>
          <t>Puncture</t>
        </is>
      </c>
      <c r="C5" t="n">
        <v>4</v>
      </c>
      <c r="D5" t="n">
        <v>17</v>
      </c>
      <c r="E5" t="b">
        <v>1</v>
      </c>
      <c r="F5" t="n">
        <v>1</v>
      </c>
      <c r="G5" t="n">
        <v>3</v>
      </c>
      <c r="H5" t="n">
        <v>0</v>
      </c>
      <c r="I5" t="n">
        <v>0</v>
      </c>
      <c r="J5" t="n">
        <v>100</v>
      </c>
      <c r="K5" t="n">
        <v>1</v>
      </c>
      <c r="L5" t="n">
        <v>9000</v>
      </c>
      <c r="M5" t="n">
        <v>12</v>
      </c>
      <c r="N5" t="b">
        <v>1</v>
      </c>
      <c r="O5">
        <f>SUMPRODUCT((Inputs!$B$3&gt;={122})*{50})</f>
        <v/>
      </c>
      <c r="P5">
        <f>(100/10)*(INDEX(FactorTable!$B$2:$Y$301,MATCH(ROUND(MIN(300,MAX(1,MAX(0,(Inputs!$B$3-100)*3)+Inputs!$B$28+Inputs!$B$29)),0),FactorTable!$A$2:$A$301,0),22)/1000)+IF(Inputs!$B$3&gt;=138,20,0)</f>
        <v/>
      </c>
      <c r="Q5" t="n">
        <v>0</v>
      </c>
      <c r="R5">
        <f>5+IF(Inputs!$B$3&gt;=100,5,0)</f>
        <v/>
      </c>
      <c r="S5" t="inlineStr"/>
      <c r="T5" t="n">
        <v>0</v>
      </c>
      <c r="U5" t="inlineStr"/>
      <c r="V5" t="inlineStr"/>
      <c r="W5" t="inlineStr">
        <is>
          <t>Drives a sword into the target's location: 900%-&gt;1800% damage to 5 nearby target(s), 3 times, leaving a 10-sec wound (see PUNCTURE_WOUND for the DoT half). factorIndex 12, baseDamage 9000 tenths%. PATCHED: targets 5-&gt;10 (modeled as base 5 +5 once Raging Blow's own Lv.100 unlock, a simplification standing in for 'always 10 once 4th job' since the patch made this unconditional — cooldown 19-&gt;17s. MasteryBossDamage% is the wound's own continuously-scaling boss-damage-taken bonus, resolved via _reverse_engineer_hero_factors.py to factorIndex 21/baseDamage 100 tenths% (10%-&gt;18% across levels 1-200, 0% residual) — computed live via its own FactorTable lookup at Puncture's own job-step-4 input level (this row's own factorIndex is 12, a different curve shape, so the wound's own 21 lookup can't reuse Calc!E{row} and is inlined here instead), plus the Lv.138 mastery's own +20 on top (that mastery is mislabeled 'Enhanced Raging Blow' on the wiki's own Mastery table — a confirmed skill-name swap bug, re-attributed here to Puncture by effect description). An earlier version of this row approximated the wound bonus as a flat level-200 ceiling (18) instead of this live curve — fixed. The patch's 'wound bonus expands to all targets, not just bosses' behavioral change has no per-target-type mechanic to hook into, so it stays boss-only here, documented as unmodeled. Mastery Lv.122 'Puncture - Damage' +50% (mislabeled 'Enhanced Raging Blow' on the wiki, re-attributed here — same swap bug).</t>
        </is>
      </c>
    </row>
    <row r="6">
      <c r="A6" t="inlineStr">
        <is>
          <t>PUNCTURE_WOUND</t>
        </is>
      </c>
      <c r="B6" t="inlineStr">
        <is>
          <t>Puncture (wound DoT)</t>
        </is>
      </c>
      <c r="C6" t="n">
        <v>4</v>
      </c>
      <c r="D6" t="n">
        <v>17</v>
      </c>
      <c r="E6" t="b">
        <v>0</v>
      </c>
      <c r="F6" t="n">
        <v>1</v>
      </c>
      <c r="G6" t="n">
        <v>1</v>
      </c>
      <c r="H6" t="n">
        <v>1</v>
      </c>
      <c r="I6" t="n">
        <v>10</v>
      </c>
      <c r="J6" t="n">
        <v>100</v>
      </c>
      <c r="K6" t="n">
        <v>1</v>
      </c>
      <c r="L6" t="n">
        <v>1500</v>
      </c>
      <c r="M6" t="n">
        <v>12</v>
      </c>
      <c r="N6" t="b">
        <v>1</v>
      </c>
      <c r="O6" t="n">
        <v>0</v>
      </c>
      <c r="P6" t="n">
        <v>0</v>
      </c>
      <c r="Q6" t="n">
        <v>0</v>
      </c>
      <c r="R6">
        <f>5+IF(Inputs!$B$3&gt;=100,5,0)</f>
        <v/>
      </c>
      <c r="S6" t="inlineStr"/>
      <c r="T6" t="n">
        <v>0</v>
      </c>
      <c r="U6" t="inlineStr"/>
      <c r="V6" t="inlineStr"/>
      <c r="W6" t="inlineStr">
        <is>
          <t>Wound DoT half of Puncture — 150%-&gt;300% damage/sec for 10 sec (EffectiveHits = ActiveWindow/ICD = 10 ticks/cast). Shares Puncture's own cooldown/targets (same cast, same patch). factorIndex 12, baseDamage 1500 tenths%. No own Skill/Boss Mastery — those sit on PUNCTURE's own row (the wound's damage-taken-increase mastery affects the *boss taking* more damage during the wound, not the wound's own base damage).</t>
        </is>
      </c>
    </row>
    <row r="7">
      <c r="A7" t="inlineStr">
        <is>
          <t>ENHANCED_RAGING_BLOW</t>
        </is>
      </c>
      <c r="B7" t="inlineStr">
        <is>
          <t>Enhanced Raging Blow</t>
        </is>
      </c>
      <c r="C7" t="n">
        <v>4</v>
      </c>
      <c r="D7" t="n">
        <v>17</v>
      </c>
      <c r="E7" t="b">
        <v>1</v>
      </c>
      <c r="F7" t="n">
        <v>1</v>
      </c>
      <c r="G7" t="n">
        <v>6</v>
      </c>
      <c r="H7" t="n">
        <v>0</v>
      </c>
      <c r="I7" t="n">
        <v>0</v>
      </c>
      <c r="J7" t="n">
        <v>100</v>
      </c>
      <c r="K7" t="n">
        <v>1</v>
      </c>
      <c r="L7" t="n">
        <v>6105</v>
      </c>
      <c r="M7" t="n">
        <v>12</v>
      </c>
      <c r="N7" t="b">
        <v>1</v>
      </c>
      <c r="O7">
        <f>SUMPRODUCT((Inputs!$B$3&gt;={108})*{50})</f>
        <v/>
      </c>
      <c r="P7" t="n">
        <v>100</v>
      </c>
      <c r="Q7" t="n">
        <v>0</v>
      </c>
      <c r="R7">
        <f>9+IF(Inputs!$B$3&gt;=100,3,0)</f>
        <v/>
      </c>
      <c r="S7" t="inlineStr"/>
      <c r="T7" t="n">
        <v>0</v>
      </c>
      <c r="U7" t="inlineStr"/>
      <c r="V7" t="inlineStr"/>
      <c r="W7" t="inlineStr">
        <is>
          <t>Quickly slashes target(s) in front multiple times: 550%-&gt;1100% damage (pre-patch curve), 6 times, usable at combo stack &gt;=5. factorIndex 12, baseDamage 5500 tenths% pre-patch, PATCHED base damage 550%-&gt;610% (curve rescaled 610/550=1.1091x, giving the 6105 stored here), targets 9-&gt;12, cooldown 19-&gt;17s. +100% Boss Monster Damage baked into MasteryBossDamage% (own skill effect, not a mastery tier). Mastery Lv.108 'Enhanced Raging Blow - Damage' +50% (mislabeled 'Puncture' on the wiki's own Mastery table — confirmed skill-name swap bug, re-attributed here by effect description). Mastery Lv.134's own 'combo final damage +50% per excess stack' (also mislabeled 'Puncture' on the wiki) is modeled directly in this row's own K-column as an extra Final-Damage-style multiplicative term: excess stacks = MAX(0, steady-state max combo stacks - 5 required to use this skill) = 2 once Advanced Combo (Lv.110) is unlocked, so the term is a flat +100% FD once Lv.134 is reached (since Lv.134 already implies Lv.110). An earlier version of this row left this completely unmodeled ('no combo-stack-distribution tracking exists') — fixed, reusing the same steady-state-max-stacks convention Combo Attack/Combo Synergy already use elsewhere in this file rather than inventing new state tracking.</t>
        </is>
      </c>
    </row>
    <row r="8">
      <c r="A8" t="inlineStr">
        <is>
          <t>MAGIC_CRASH</t>
        </is>
      </c>
      <c r="B8" t="inlineStr">
        <is>
          <t>Magic Crash</t>
        </is>
      </c>
      <c r="C8" t="n">
        <v>4</v>
      </c>
      <c r="D8" t="n">
        <v>28</v>
      </c>
      <c r="E8" t="b">
        <v>1</v>
      </c>
      <c r="F8" t="n">
        <v>1</v>
      </c>
      <c r="G8" t="n">
        <v>1</v>
      </c>
      <c r="H8" t="n">
        <v>0</v>
      </c>
      <c r="I8" t="n">
        <v>0</v>
      </c>
      <c r="J8" t="n">
        <v>100</v>
      </c>
      <c r="K8" t="n">
        <v>1</v>
      </c>
      <c r="L8" t="n">
        <v>48000</v>
      </c>
      <c r="M8" t="n">
        <v>12</v>
      </c>
      <c r="N8" t="b">
        <v>1</v>
      </c>
      <c r="O8" t="n">
        <v>0</v>
      </c>
      <c r="P8" t="n">
        <v>0</v>
      </c>
      <c r="Q8" t="n">
        <v>0</v>
      </c>
      <c r="R8">
        <f>5+IF(Inputs!$B$3&gt;=100,4,0)</f>
        <v/>
      </c>
      <c r="S8" t="inlineStr"/>
      <c r="T8" t="n">
        <v>0</v>
      </c>
      <c r="U8" t="inlineStr"/>
      <c r="V8" t="inlineStr"/>
      <c r="W8" t="inlineStr">
        <is>
          <t>Summons a rock at the target's location, removing 1 buff and dealing 4800%-&gt;9600% damage to 5 nearby target(s), 1 time. factorIndex 12, baseDamage 48000 tenths%. Shared verbatim with Dark Knight and Paladin (single wiki page, /w/Magic_Crash) — cross-check their own builds resolve to the identical tuple. PATCHED: targets 5-&gt;9 (effect range +50% not modeled, no such mechanic exists in this project).</t>
        </is>
      </c>
    </row>
    <row r="9">
      <c r="A9" t="inlineStr">
        <is>
          <t>BEAM_BLADE</t>
        </is>
      </c>
      <c r="B9" t="inlineStr">
        <is>
          <t>Beam Blade</t>
        </is>
      </c>
      <c r="C9" t="n">
        <v>3</v>
      </c>
      <c r="D9" t="n">
        <v>16</v>
      </c>
      <c r="E9" t="b">
        <v>1</v>
      </c>
      <c r="F9" t="n">
        <v>1</v>
      </c>
      <c r="G9" t="n">
        <v>4</v>
      </c>
      <c r="H9" t="n">
        <v>0</v>
      </c>
      <c r="I9" t="n">
        <v>0</v>
      </c>
      <c r="J9" t="n">
        <v>100</v>
      </c>
      <c r="K9" t="n">
        <v>1</v>
      </c>
      <c r="L9" t="n">
        <v>2500</v>
      </c>
      <c r="M9" t="n">
        <v>12</v>
      </c>
      <c r="N9" t="b">
        <v>1</v>
      </c>
      <c r="O9" t="n">
        <v>0</v>
      </c>
      <c r="P9" t="n">
        <v>0</v>
      </c>
      <c r="Q9" t="n">
        <v>0</v>
      </c>
      <c r="R9" t="n">
        <v>8</v>
      </c>
      <c r="S9" t="inlineStr"/>
      <c r="T9" t="n">
        <v>0</v>
      </c>
      <c r="U9" t="n">
        <v>200</v>
      </c>
      <c r="V9" t="n">
        <v>23</v>
      </c>
      <c r="W9" t="inlineStr">
        <is>
          <t>Releases sword energy: 250%-&gt;500% damage to 8 target(s) in front, 4 times. factorIndex 12, baseDamage 2500 tenths%, 16s cooldown. Not patched. Maple Hero target (own 1x share) — see MAPLE_HERO_RATIOS.</t>
        </is>
      </c>
    </row>
    <row r="10">
      <c r="A10" t="inlineStr">
        <is>
          <t>RUSH</t>
        </is>
      </c>
      <c r="B10" t="inlineStr">
        <is>
          <t>Rush</t>
        </is>
      </c>
      <c r="C10" t="n">
        <v>3</v>
      </c>
      <c r="D10" t="n">
        <v>22</v>
      </c>
      <c r="E10" t="b">
        <v>1</v>
      </c>
      <c r="F10" t="n">
        <v>1</v>
      </c>
      <c r="G10" t="n">
        <v>1</v>
      </c>
      <c r="H10" t="n">
        <v>0</v>
      </c>
      <c r="I10" t="n">
        <v>0</v>
      </c>
      <c r="J10" t="n">
        <v>100</v>
      </c>
      <c r="K10" t="n">
        <v>1</v>
      </c>
      <c r="L10" t="n">
        <v>6000</v>
      </c>
      <c r="M10" t="n">
        <v>12</v>
      </c>
      <c r="N10" t="b">
        <v>1</v>
      </c>
      <c r="O10" t="n">
        <v>0</v>
      </c>
      <c r="P10" t="n">
        <v>0</v>
      </c>
      <c r="Q10" t="n">
        <v>0</v>
      </c>
      <c r="R10" t="n">
        <v>12</v>
      </c>
      <c r="S10" t="inlineStr"/>
      <c r="T10" t="n">
        <v>0</v>
      </c>
      <c r="U10" t="n">
        <v>300</v>
      </c>
      <c r="V10" t="n">
        <v>23</v>
      </c>
      <c r="W10" t="inlineStr">
        <is>
          <t>Charges to the front to deal 600%-&gt;1200% damage to 12 target(s) (stun 2.5s not modeled). factorIndex 12, baseDamage 6000 tenths%, 22s cooldown. Shared verbatim with Dark Knight (and, per this session's own Paladin/Dark Knight research, Paladin too). Not patched (Mastery Lv.68/90 own cooldown/damage tiers not separately modeled here — folded into the base curve/cooldown already). Maple Hero target (1.5x share) — see MAPLE_HERO_RATIOS.</t>
        </is>
      </c>
    </row>
    <row r="11">
      <c r="A11" t="inlineStr">
        <is>
          <t>FLASH_SLASH</t>
        </is>
      </c>
      <c r="B11" t="inlineStr">
        <is>
          <t>Flash Slash</t>
        </is>
      </c>
      <c r="C11" t="n">
        <v>2</v>
      </c>
      <c r="D11" t="n">
        <v>16</v>
      </c>
      <c r="E11" t="b">
        <v>1</v>
      </c>
      <c r="F11" t="n">
        <v>1</v>
      </c>
      <c r="G11" t="n">
        <v>1</v>
      </c>
      <c r="H11" t="n">
        <v>0</v>
      </c>
      <c r="I11" t="n">
        <v>0</v>
      </c>
      <c r="J11" t="n">
        <v>100</v>
      </c>
      <c r="K11" t="n">
        <v>1</v>
      </c>
      <c r="L11" t="n">
        <v>3500</v>
      </c>
      <c r="M11" t="n">
        <v>0</v>
      </c>
      <c r="N11" t="b">
        <v>0</v>
      </c>
      <c r="O11">
        <f>SUMPRODUCT((Inputs!$B$3&gt;={39})*{50})</f>
        <v/>
      </c>
      <c r="P11" t="n">
        <v>0</v>
      </c>
      <c r="Q11" t="n">
        <v>0</v>
      </c>
      <c r="R11" t="n">
        <v>7</v>
      </c>
      <c r="S11" t="inlineStr"/>
      <c r="T11" t="n">
        <v>0</v>
      </c>
      <c r="U11" t="n">
        <v>800</v>
      </c>
      <c r="V11" t="n">
        <v>23</v>
      </c>
      <c r="W11" t="inlineStr">
        <is>
          <t>Deals a flat, non-scaling 350% damage to 7 target(s) in front (own wiki page's prose claims '+5%/level' but the actual level 1-200 table shows a constant 350% at every sampled level — a wiki content bug, trust the table). If combo stack &gt;=3, damage +50% — assumed always active once Combo Attack is unlocked (Lv.45), per this project's steady-state convention (folded directly into baseDamage: 350*1.5=525 tenths%-&gt;3500... actually kept at the raw 350% here with the +50% combo condition applied via the SAME steady-state assumption as Combo Attack/Combo Synergy elsewhere, not double-counted — see COMBO_ATTACK row). factorIndex 0 (non-scaling placeholder), baseDamage 3500 tenths% (=350%), 16s cooldown. Mastery Lv.39 'Flash Slash - Damage' +50% real SkillMasteryBonus% is captured via the level_gated_sum below.</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Shared ratio-feeder row (see MAPLE_HERO_RATIOS) for Beam Blade/Rush/Flash Slash's own Final Damage chains — mirrors Shadower/Bowmaster's own Maple Hero mechanism. Confirmed via idle.maplestorywiki.net/w/Maple_Hero_(Hero) (full level 1-200 curve, resolves cleanly to factorIndex 23/baseDamage 200 tenths%, same '80%-growth-reduction after Lv.120' kink already confirmed on Bowmaster/Dark Knight's own Maple Hero curves). No independent DPS row of its own (Calc columns J-N blank/0, only D/E/F computed, read directly by each target row's own K-column formula).</t>
        </is>
      </c>
    </row>
    <row r="13">
      <c r="A13" t="inlineStr">
        <is>
          <t>COMBO_ATTACK</t>
        </is>
      </c>
      <c r="B13" t="inlineStr">
        <is>
          <t>Combo Attack (Attack%)</t>
        </is>
      </c>
      <c r="C13" t="n">
        <v>2</v>
      </c>
      <c r="D13" t="inlineStr"/>
      <c r="E13" t="b">
        <v>0</v>
      </c>
      <c r="F13" t="n">
        <v>1</v>
      </c>
      <c r="G13" t="n">
        <v>1</v>
      </c>
      <c r="H13" t="n">
        <v>0</v>
      </c>
      <c r="I13" t="n">
        <v>0</v>
      </c>
      <c r="J13" t="n">
        <v>100</v>
      </c>
      <c r="K13" t="n">
        <v>1</v>
      </c>
      <c r="L13" t="n">
        <v>40</v>
      </c>
      <c r="M13" t="n">
        <v>22</v>
      </c>
      <c r="N13" t="b">
        <v>1</v>
      </c>
      <c r="O13" t="n">
        <v>0</v>
      </c>
      <c r="P13" t="n">
        <v>0</v>
      </c>
      <c r="Q13" t="n">
        <v>0</v>
      </c>
      <c r="R13" t="n">
        <v>0</v>
      </c>
      <c r="S13" t="inlineStr">
        <is>
          <t>ATTACK</t>
        </is>
      </c>
      <c r="T13" t="n">
        <v>0</v>
      </c>
      <c r="U13" t="inlineStr"/>
      <c r="V13" t="inlineStr"/>
      <c r="W13" t="inlineStr">
        <is>
          <t>On attack, 40% chance to gain a combo stack (+4%-&gt;5.2% Attack for 10s each, max 5 stacks, +2 more once Advanced Combo unlocks at Lv.110). Modeled at steady-state MAX stacks (5, or 7 once Lv.110) once unlocked, not an exact stack-gain/decay state machine — same simplification tier as Concentration/Mortal Blow elsewhere. factorIndex 22, baseDamage 40 tenths% (per-stack value); the x5/x7 stack multiplier is applied via the SkillMasteryBonus% field below using a level-gated multiplier trick.</t>
        </is>
      </c>
    </row>
    <row r="14">
      <c r="A14" t="inlineStr">
        <is>
          <t>COMBO_SYNERGY</t>
        </is>
      </c>
      <c r="B14" t="inlineStr">
        <is>
          <t>Combo Synergy (Final Damage per stack)</t>
        </is>
      </c>
      <c r="C14" t="n">
        <v>3</v>
      </c>
      <c r="D14" t="inlineStr"/>
      <c r="E14" t="b">
        <v>0</v>
      </c>
      <c r="F14" t="n">
        <v>1</v>
      </c>
      <c r="G14" t="n">
        <v>1</v>
      </c>
      <c r="H14" t="n">
        <v>0</v>
      </c>
      <c r="I14" t="n">
        <v>0</v>
      </c>
      <c r="J14" t="n">
        <v>100</v>
      </c>
      <c r="K14" t="n">
        <v>1</v>
      </c>
      <c r="L14" t="n">
        <v>50</v>
      </c>
      <c r="M14" t="n">
        <v>22</v>
      </c>
      <c r="N14" t="b">
        <v>1</v>
      </c>
      <c r="O14" t="n">
        <v>0</v>
      </c>
      <c r="P14" t="n">
        <v>0</v>
      </c>
      <c r="Q14" t="n">
        <v>0</v>
      </c>
      <c r="R14" t="n">
        <v>0</v>
      </c>
      <c r="S14" t="inlineStr">
        <is>
          <t>FINAL_DAMAGE</t>
        </is>
      </c>
      <c r="T14" t="n">
        <v>0</v>
      </c>
      <c r="U14" t="inlineStr"/>
      <c r="V14" t="inlineStr"/>
      <c r="W14" t="inlineStr">
        <is>
          <t>+5%-&gt;8% Final Damage per combo stack, +10%p combo-stack-chance (not modeled, folded into the steady-state max-stacks assumption already used for Combo Attack). Modeled at steady-state MAX stacks (5, or 7 once Lv.110's Advanced Combo unlocks) — factorIndex 22, baseDamage 50 tenths% (per-stack value).</t>
        </is>
      </c>
    </row>
    <row r="15">
      <c r="A15" t="inlineStr">
        <is>
          <t>SPIRIT_BLADE</t>
        </is>
      </c>
      <c r="B15" t="inlineStr">
        <is>
          <t>Spirit Blade</t>
        </is>
      </c>
      <c r="C15" t="n">
        <v>2</v>
      </c>
      <c r="D15" t="n">
        <v>45</v>
      </c>
      <c r="E15" t="b">
        <v>1</v>
      </c>
      <c r="F15" t="n">
        <v>1</v>
      </c>
      <c r="G15" t="n">
        <v>1</v>
      </c>
      <c r="H15" t="n">
        <v>0</v>
      </c>
      <c r="I15" t="n">
        <v>0</v>
      </c>
      <c r="J15" t="n">
        <v>100</v>
      </c>
      <c r="K15" t="n">
        <v>1</v>
      </c>
      <c r="L15" t="n">
        <v>100</v>
      </c>
      <c r="M15" t="n">
        <v>21</v>
      </c>
      <c r="N15" t="b">
        <v>1</v>
      </c>
      <c r="O15" t="n">
        <v>0</v>
      </c>
      <c r="P15" t="n">
        <v>0</v>
      </c>
      <c r="Q15" t="n">
        <v>0</v>
      </c>
      <c r="R15" t="n">
        <v>0</v>
      </c>
      <c r="S15" t="inlineStr">
        <is>
          <t>ATTACK</t>
        </is>
      </c>
      <c r="T15" t="n">
        <v>20</v>
      </c>
      <c r="U15" t="inlineStr"/>
      <c r="V15" t="inlineStr"/>
      <c r="W15" t="inlineStr">
        <is>
          <t>Self-inclusive ally buff (matches Bishop's own 'allied players' precedent) — +10%-&gt;14% Attack for 20s, 45s cooldown. Own damage-taken-reduction component (8%-&gt;11.2%) not modeled (no such mechanic for the character's own damage-taken exists). factorIndex 21, baseDamage 100 tenths%. Not patched.</t>
        </is>
      </c>
    </row>
    <row r="16">
      <c r="A16" t="inlineStr">
        <is>
          <t>SCARING_SWORD</t>
        </is>
      </c>
      <c r="B16" t="inlineStr">
        <is>
          <t>Scaring Sword</t>
        </is>
      </c>
      <c r="C16" t="n">
        <v>3</v>
      </c>
      <c r="D16" t="n">
        <v>30</v>
      </c>
      <c r="E16" t="b">
        <v>1</v>
      </c>
      <c r="F16" t="n">
        <v>1</v>
      </c>
      <c r="G16" t="n">
        <v>1</v>
      </c>
      <c r="H16" t="n">
        <v>0</v>
      </c>
      <c r="I16" t="n">
        <v>0</v>
      </c>
      <c r="J16" t="n">
        <v>35</v>
      </c>
      <c r="K16" t="n">
        <v>1</v>
      </c>
      <c r="L16" t="n">
        <v>200</v>
      </c>
      <c r="M16" t="n">
        <v>21</v>
      </c>
      <c r="N16" t="b">
        <v>1</v>
      </c>
      <c r="O16">
        <f>SUMPRODUCT((Inputs!$B$3&gt;={78})*{8})</f>
        <v/>
      </c>
      <c r="P16" t="n">
        <v>0</v>
      </c>
      <c r="Q16" t="n">
        <v>0</v>
      </c>
      <c r="R16" t="n">
        <v>0</v>
      </c>
      <c r="S16" t="inlineStr">
        <is>
          <t>MONSTER_DMG</t>
        </is>
      </c>
      <c r="T16" t="n">
        <v>10</v>
      </c>
      <c r="U16" t="inlineStr"/>
      <c r="V16" t="inlineStr"/>
      <c r="W16" t="inlineStr">
        <is>
          <t>On-attack proc (35% chance) that increases the target's damage taken by 20%-&gt;36% for 10s (own Attack-down component, 10%-&gt;18%, not modeled — no such mechanic exists). First skill in this project to actually drive the Global Monster Damage-Taken Bonus% bucket (a placeholder left at 0 in every prior class) — modeled as ProcChance% x duty-cycle uptime (BuffDuration/Cooldown), feeding every damage row's own monster-damage-taken term. factorIndex 21, baseDamage 200 tenths%. Mastery Lv.78 'Scaring Sword - Weaken' +8 (percentage points, real SkillMasteryBonus%). Not patched.</t>
        </is>
      </c>
    </row>
    <row r="17">
      <c r="A17" t="inlineStr">
        <is>
          <t>ENRAGE_FD</t>
        </is>
      </c>
      <c r="B17" t="inlineStr">
        <is>
          <t>Enrage (Final Damage half)</t>
        </is>
      </c>
      <c r="C17" t="n">
        <v>4</v>
      </c>
      <c r="D17" t="n">
        <v>12</v>
      </c>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7</v>
      </c>
      <c r="U17" t="inlineStr"/>
      <c r="V17" t="inlineStr"/>
      <c r="W17" t="inlineStr">
        <is>
          <t>Fires on its own fixed interval (not a player-cast cooldown — modeled the same way as any other duty-cycled buff, treating the interval as this row's own Cooldown(s)): +12%-&gt;19.2% Final Damage for 5s-&gt;7s (patched duration), interval 10s-&gt;12s (patched). factorIndex 22, baseDamage 120 tenths%. PATCHED: duration 5-&gt;7s (baked into BuffDuration(s)), interval 10-&gt;12s (baked into Cooldown(s)), new 'activates at combat start' behavior not modeled (no such mechanic exists).</t>
        </is>
      </c>
    </row>
    <row r="18">
      <c r="A18" t="inlineStr">
        <is>
          <t>ENRAGE_CRITDMG</t>
        </is>
      </c>
      <c r="B18" t="inlineStr">
        <is>
          <t>Enrage (Crit Damage half)</t>
        </is>
      </c>
      <c r="C18" t="n">
        <v>4</v>
      </c>
      <c r="D18" t="n">
        <v>12</v>
      </c>
      <c r="E18" t="b">
        <v>0</v>
      </c>
      <c r="F18" t="n">
        <v>1</v>
      </c>
      <c r="G18" t="n">
        <v>1</v>
      </c>
      <c r="H18" t="n">
        <v>0</v>
      </c>
      <c r="I18" t="n">
        <v>0</v>
      </c>
      <c r="J18" t="n">
        <v>100</v>
      </c>
      <c r="K18" t="n">
        <v>1</v>
      </c>
      <c r="L18" t="n">
        <v>150</v>
      </c>
      <c r="M18" t="n">
        <v>22</v>
      </c>
      <c r="N18" t="b">
        <v>1</v>
      </c>
      <c r="O18" t="n">
        <v>0</v>
      </c>
      <c r="P18" t="n">
        <v>0</v>
      </c>
      <c r="Q18" t="n">
        <v>0</v>
      </c>
      <c r="R18" t="n">
        <v>0</v>
      </c>
      <c r="S18" t="inlineStr">
        <is>
          <t>CRIT_DAMAGE</t>
        </is>
      </c>
      <c r="T18" t="n">
        <v>7</v>
      </c>
      <c r="U18" t="inlineStr"/>
      <c r="V18" t="inlineStr"/>
      <c r="W18" t="inlineStr">
        <is>
          <t>Crit Damage half of Enrage — same interval/duration as ENRAGE_FD (+15%-&gt;24% Crit Damage). factorIndex 22, baseDamage 150 tenths%. Split into its own row since this schema's BuffTargetStat column only holds one stat per row.</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Bowmaster's own Bow Acceleration tuple directly (shared-value-different-key,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Bowmaster's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COMBAT_MASTERY_SKILL</t>
        </is>
      </c>
      <c r="B23" t="inlineStr">
        <is>
          <t>Combat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factorIndex 22, baseDamage 150 tenths% (15%-&gt;24%, levels 1-200).</t>
        </is>
      </c>
    </row>
    <row r="24">
      <c r="A24" t="inlineStr">
        <is>
          <t>COMBAT_MASTERY_MAXDMG</t>
        </is>
      </c>
      <c r="B24" t="inlineStr">
        <is>
          <t>Combat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Combat Mastery (Skill Damage) above, +20%-&gt;32% Max Damage Multiplier.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Magic Critical pattern — already baked into Inputs!FINAL_DAMAGE%; feeds the 4th-Job Skill Level Bonus delta. factorIndex 22, baseDamage 150 tenths% (15%-&gt;24%, levels 1-200).</t>
        </is>
      </c>
    </row>
    <row r="26">
      <c r="A26" t="inlineStr">
        <is>
          <t>CHANCE_ATTACK_CRIT</t>
        </is>
      </c>
      <c r="B26" t="inlineStr">
        <is>
          <t>Chance Attack (Crit Rate)</t>
        </is>
      </c>
      <c r="C26" t="n">
        <v>3</v>
      </c>
      <c r="D26" t="inlineStr"/>
      <c r="E26" t="b">
        <v>0</v>
      </c>
      <c r="F26" t="n">
        <v>1</v>
      </c>
      <c r="G26" t="n">
        <v>1</v>
      </c>
      <c r="H26" t="n">
        <v>0</v>
      </c>
      <c r="I26" t="n">
        <v>0</v>
      </c>
      <c r="J26" t="n">
        <v>100</v>
      </c>
      <c r="K26" t="n">
        <v>1</v>
      </c>
      <c r="L26" t="n">
        <v>80</v>
      </c>
      <c r="M26" t="n">
        <v>22</v>
      </c>
      <c r="N26" t="b">
        <v>1</v>
      </c>
      <c r="O26" t="n">
        <v>0</v>
      </c>
      <c r="P26" t="n">
        <v>0</v>
      </c>
      <c r="Q26" t="n">
        <v>0</v>
      </c>
      <c r="R26" t="n">
        <v>0</v>
      </c>
      <c r="S26" t="inlineStr">
        <is>
          <t>CRIT_RATE</t>
        </is>
      </c>
      <c r="T26" t="n">
        <v>0</v>
      </c>
      <c r="U26" t="inlineStr"/>
      <c r="V26" t="inlineStr"/>
      <c r="W26" t="inlineStr">
        <is>
          <t>Own Status Effect Damage component (12%-&gt;19.2%) not modeled (no such mechanic exists). Magic Critical pattern — already baked into Inputs!CRIT_RATE%; feeds the 3rd-Job Skill Level Bonus delta. factorIndex 22, baseDamage 80 tenths% (8%-&gt;12.8%, levels 1-200).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c r="T1" t="inlineStr">
        <is>
          <t>BossOnlyDPS</t>
        </is>
      </c>
      <c r="V1" t="inlineStr">
        <is>
          <t>NormalOnlyDPS</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nputs!$B$16/100)*(5000/(6000+Inputs!$B$42*(1-Inputs!$B$19/100)))*(1+(Inputs!$B$24+Summary!$B$65)/100)*(1+IF(Skills!A2="ENHANCED_RAGING_BLOW",IF(Inputs!$B$3&gt;=134,MAX(0,IF(Inputs!$B$3&gt;=110,7,5)-5)*50,0),0)/100)*(1+(IF(Skills!A2="RAGING_BLOW",Inputs!$B$17,Inputs!$B$18))/100)*(Summary!$B$57*I2)</f>
        <v/>
      </c>
      <c r="L2">
        <f>K2*(MIN(Inputs!$B$22,Inputs!$B$23)/100+Inputs!$B$23/100)/2</f>
        <v/>
      </c>
      <c r="M2">
        <f>L2*(1+(Inputs!$B$10+Summary!$B$64)/100)</f>
        <v/>
      </c>
      <c r="N2">
        <f>L2*(1-MIN((Inputs!$B$9+Summary!$B$58),100)/100)+M2*(MIN((Inputs!$B$9+Summary!$B$58),100)/100)</f>
        <v/>
      </c>
      <c r="O2">
        <f>(1-Summary!$B$55)*T2+Summary!$B$55*V2</f>
        <v/>
      </c>
      <c r="P2">
        <f>IF(Summary!$B$3=0,0,O2/Summary!$B$3)</f>
        <v/>
      </c>
      <c r="Q2" t="n">
        <v>0</v>
      </c>
      <c r="R2" t="n">
        <v>0</v>
      </c>
      <c r="S2">
        <f>IFERROR(O2/N2,0)</f>
        <v/>
      </c>
      <c r="T2">
        <f>IF(C2,(Skills!G2*N2*Summary!$B$63)*IF(Inputs!$B$38="pvp",1,1+(Inputs!$B$20+Skills!P2+Summary!$B$59)/100),0)</f>
        <v/>
      </c>
      <c r="V2">
        <f>IF(C2,(Skills!G2*N2*Summary!$B$63)*IF(Inputs!$B$38="pvp",1,(1+(Inputs!$B$21+Skills!Q2+Summary!$B$59)/100)*(MIN(Skills!R2,Inputs!$B$37))),0)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Inputs!$B$3&gt;=103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nputs!$B$16/100)*(5000/(6000+Inputs!$B$42*(1-Inputs!$B$19/100)))*(1+(Inputs!$B$24+Summary!$B$65)/100)*(1+IF(Skills!A5="ENHANCED_RAGING_BLOW",IF(Inputs!$B$3&gt;=134,MAX(0,IF(Inputs!$B$3&gt;=110,7,5)-5)*50,0),0)/100)*(1+(IF(Skills!A5="RAGING_BLOW",Inputs!$B$17,Inputs!$B$18))/100)*(Summary!$B$57*I5)</f>
        <v/>
      </c>
      <c r="L5">
        <f>K5*(MIN(Inputs!$B$22,Inputs!$B$23)/100+Inputs!$B$23/100)/2</f>
        <v/>
      </c>
      <c r="M5">
        <f>L5*(1+(Inputs!$B$10+Summary!$B$64)/100)</f>
        <v/>
      </c>
      <c r="N5">
        <f>L5*(1-MIN((Inputs!$B$9+Summary!$B$58),100)/100)+M5*(MIN((Inputs!$B$9+Summary!$B$58),100)/100)</f>
        <v/>
      </c>
      <c r="O5">
        <f>(1-Summary!$B$55)*T5+Summary!$B$55*V5</f>
        <v/>
      </c>
      <c r="P5">
        <f>IF(Summary!$B$3=0,0,O5/Summary!$B$3)</f>
        <v/>
      </c>
      <c r="Q5">
        <f>IFERROR(1/IF(Inputs!$B$38="pvp",15,MAX(0.1,Skills!D5-IF(Skills!E5=TRUE,Inputs!$B$32,0))),0)</f>
        <v/>
      </c>
      <c r="R5">
        <f>IF(AND(Inputs!$B$38&lt;&gt;"pvp",Inputs!$B$43&gt;0),IF(MAX(0,Inputs!$B$43-Summary!$B$67)&lt;=0,0,(INT(MAX(0,Inputs!$B$43-Summary!$B$67)/IF(Inputs!$B$38="pvp",15,MAX(0.1,Skills!D5-IF(Skills!E5=TRUE,Inputs!$B$32,0))))+1)),0)</f>
        <v/>
      </c>
      <c r="S5">
        <f>IFERROR(O5/N5,0)</f>
        <v/>
      </c>
      <c r="T5">
        <f>IF(C5,(H5*N5*IF(AND(Inputs!$B$38&lt;&gt;"pvp",Inputs!$B$43&gt;0),((Skills!G5*((R5-1)*IF(Skills!H5&gt;0,Skills!I5/Skills!H5,1)+IF(Skills!H5&gt;0,MIN(Skills!I5,MAX(0,MAX(0,Inputs!$B$43-Summary!$B$67)-((R5-1)*IF(Inputs!$B$38="pvp",15,MAX(0.1,Skills!D5-IF(Skills!E5=TRUE,Inputs!$B$32,0))))))/Skills!H5,1)))/Inputs!$B$43),G5*Q5))*IF(Inputs!$B$38="pvp",1,1+(Inputs!$B$20+Skills!P5+Summary!$B$59)/100),0)</f>
        <v/>
      </c>
      <c r="V5">
        <f>IF(C5,(H5*N5*IF(AND(Inputs!$B$38&lt;&gt;"pvp",Inputs!$B$43&gt;0),((Skills!G5*((R5-1)*IF(Skills!H5&gt;0,Skills!I5/Skills!H5,1)+IF(Skills!H5&gt;0,MIN(Skills!I5,MAX(0,MAX(0,Inputs!$B$43-Summary!$B$67)-((R5-1)*IF(Inputs!$B$38="pvp",15,MAX(0.1,Skills!D5-IF(Skills!E5=TRUE,Inputs!$B$32,0))))))/Skills!H5,1)))/Inputs!$B$43),G5*Q5))*IF(Inputs!$B$38="pvp",1,(1+(Inputs!$B$21+Skills!Q5+Summary!$B$59)/100)*(MIN(Skills!R5,Inputs!$B$37))),0)</f>
        <v/>
      </c>
    </row>
    <row r="6">
      <c r="A6">
        <f>Skills!A6</f>
        <v/>
      </c>
      <c r="B6">
        <f>Skills!B6</f>
        <v/>
      </c>
      <c r="C6">
        <f>Inputs!$B$3&gt;=103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nputs!$B$16/100)*(5000/(6000+Inputs!$B$42*(1-Inputs!$B$19/100)))*(1+(Inputs!$B$24+Summary!$B$65)/100)*(1+IF(Skills!A6="ENHANCED_RAGING_BLOW",IF(Inputs!$B$3&gt;=134,MAX(0,IF(Inputs!$B$3&gt;=110,7,5)-5)*50,0),0)/100)*(1+(IF(Skills!A6="RAGING_BLOW",Inputs!$B$17,Inputs!$B$18))/100)*(Summary!$B$57*I6)</f>
        <v/>
      </c>
      <c r="L6">
        <f>K6*(MIN(Inputs!$B$22,Inputs!$B$23)/100+Inputs!$B$23/100)/2</f>
        <v/>
      </c>
      <c r="M6">
        <f>L6*(1+(Inputs!$B$10+Summary!$B$64)/100)</f>
        <v/>
      </c>
      <c r="N6">
        <f>L6*(1-MIN((Inputs!$B$9+Summary!$B$58),100)/100)+M6*(MIN((Inputs!$B$9+Summary!$B$58),100)/100)</f>
        <v/>
      </c>
      <c r="O6">
        <f>(1-Summary!$B$55)*T6+Summary!$B$55*V6</f>
        <v/>
      </c>
      <c r="P6">
        <f>IF(Summary!$B$3=0,0,O6/Summary!$B$3)</f>
        <v/>
      </c>
      <c r="Q6">
        <f>IFERROR(1/IF(Inputs!$B$38="pvp",15,MAX(0.1,Skills!D6-IF(Skills!E6=TRUE,Inputs!$B$32,0))),0)</f>
        <v/>
      </c>
      <c r="R6">
        <f>IF(AND(Inputs!$B$38&lt;&gt;"pvp",Inputs!$B$43&gt;0),IF(MAX(0,Inputs!$B$43-Summary!$B$67)&lt;=0,0,(INT(MAX(0,Inputs!$B$43-Summary!$B$67)/IF(Inputs!$B$38="pvp",15,MAX(0.1,Skills!D6-IF(Skills!E6=TRUE,Inputs!$B$32,0))))+1)),0)</f>
        <v/>
      </c>
      <c r="S6">
        <f>IFERROR(O6/N6,0)</f>
        <v/>
      </c>
      <c r="T6">
        <f>IF(C6,(H6*N6*IF(AND(Inputs!$B$38&lt;&gt;"pvp",Inputs!$B$43&gt;0),((Skills!G6*((R6-1)*IF(Skills!H6&gt;0,Skills!I6/Skills!H6,1)+IF(Skills!H6&gt;0,MIN(Skills!I6,MAX(0,MAX(0,Inputs!$B$43-Summary!$B$67)-((R6-1)*IF(Inputs!$B$38="pvp",15,MAX(0.1,Skills!D6-IF(Skills!E6=TRUE,Inputs!$B$32,0))))))/Skills!H6,1)))/Inputs!$B$43),G6*Q6))*IF(Inputs!$B$38="pvp",1,1+(Inputs!$B$20+Skills!P6+Summary!$B$59)/100),0)</f>
        <v/>
      </c>
      <c r="V6">
        <f>IF(C6,(H6*N6*IF(AND(Inputs!$B$38&lt;&gt;"pvp",Inputs!$B$43&gt;0),((Skills!G6*((R6-1)*IF(Skills!H6&gt;0,Skills!I6/Skills!H6,1)+IF(Skills!H6&gt;0,MIN(Skills!I6,MAX(0,MAX(0,Inputs!$B$43-Summary!$B$67)-((R6-1)*IF(Inputs!$B$38="pvp",15,MAX(0.1,Skills!D6-IF(Skills!E6=TRUE,Inputs!$B$32,0))))))/Skills!H6,1)))/Inputs!$B$43),G6*Q6))*IF(Inputs!$B$38="pvp",1,(1+(Inputs!$B$21+Skills!Q6+Summary!$B$59)/100)*(MIN(Skills!R6,Inputs!$B$37))),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$15/100)*(1+Inputs!$B$16/100)*(5000/(6000+Inputs!$B$42*(1-Inputs!$B$19/100)))*(1+(Inputs!$B$24+Summary!$B$65)/100)*(1+IF(Skills!A7="ENHANCED_RAGING_BLOW",IF(Inputs!$B$3&gt;=134,MAX(0,IF(Inputs!$B$3&gt;=110,7,5)-5)*50,0),0)/100)*(1+(IF(Skills!A7="RAGING_BLOW",Inputs!$B$17,Inputs!$B$18))/100)*(Summary!$B$57*I7)</f>
        <v/>
      </c>
      <c r="L7">
        <f>K7*(MIN(Inputs!$B$22,Inputs!$B$23)/100+Inputs!$B$23/100)/2</f>
        <v/>
      </c>
      <c r="M7">
        <f>L7*(1+(Inputs!$B$10+Summary!$B$64)/100)</f>
        <v/>
      </c>
      <c r="N7">
        <f>L7*(1-MIN((Inputs!$B$9+Summary!$B$58),100)/100)+M7*(MIN((Inputs!$B$9+Summary!$B$58),100)/100)</f>
        <v/>
      </c>
      <c r="O7">
        <f>(1-Summary!$B$55)*T7+Summary!$B$55*V7</f>
        <v/>
      </c>
      <c r="P7">
        <f>IF(Summary!$B$3=0,0,O7/Summary!$B$3)</f>
        <v/>
      </c>
      <c r="Q7">
        <f>IFERROR(1/IF(Inputs!$B$38="pvp",15,MAX(0.1,Skills!D7-IF(Skills!E7=TRUE,Inputs!$B$32,0))),0)</f>
        <v/>
      </c>
      <c r="R7">
        <f>IF(AND(Inputs!$B$38&lt;&gt;"pvp",Inputs!$B$43&gt;0),IF(MAX(0,Inputs!$B$43-Summary!$B$67)&lt;=0,0,(INT(MAX(0,Inputs!$B$43-Summary!$B$67)/IF(Inputs!$B$38="pvp",15,MAX(0.1,Skills!D7-IF(Skills!E7=TRUE,Inputs!$B$32,0))))+1)),0)</f>
        <v/>
      </c>
      <c r="S7">
        <f>IFERROR(O7/N7,0)</f>
        <v/>
      </c>
      <c r="T7">
        <f>IF(C7,(H7*N7*IF(AND(Inputs!$B$38&lt;&gt;"pvp",Inputs!$B$43&gt;0),((Skills!G7*((R7-1)*IF(Skills!H7&gt;0,Skills!I7/Skills!H7,1)+IF(Skills!H7&gt;0,MIN(Skills!I7,MAX(0,MAX(0,Inputs!$B$43-Summary!$B$67)-((R7-1)*IF(Inputs!$B$38="pvp",15,MAX(0.1,Skills!D7-IF(Skills!E7=TRUE,Inputs!$B$32,0))))))/Skills!H7,1)))/Inputs!$B$43),G7*Q7))*IF(Inputs!$B$38="pvp",1,1+(Inputs!$B$20+Skills!P7+Summary!$B$59)/100),0)</f>
        <v/>
      </c>
      <c r="V7">
        <f>IF(C7,(H7*N7*IF(AND(Inputs!$B$38&lt;&gt;"pvp",Inputs!$B$43&gt;0),((Skills!G7*((R7-1)*IF(Skills!H7&gt;0,Skills!I7/Skills!H7,1)+IF(Skills!H7&gt;0,MIN(Skills!I7,MAX(0,MAX(0,Inputs!$B$43-Summary!$B$67)-((R7-1)*IF(Inputs!$B$38="pvp",15,MAX(0.1,Skills!D7-IF(Skills!E7=TRUE,Inputs!$B$32,0))))))/Skills!H7,1)))/Inputs!$B$43),G7*Q7))*IF(Inputs!$B$38="pvp",1,(1+(Inputs!$B$21+Skills!Q7+Summary!$B$59)/100)*(MIN(Skills!R7,Inputs!$B$37))),0)</f>
        <v/>
      </c>
    </row>
    <row r="8">
      <c r="A8">
        <f>Skills!A8</f>
        <v/>
      </c>
      <c r="B8">
        <f>Skills!B8</f>
        <v/>
      </c>
      <c r="C8">
        <f>Inputs!$B$3&gt;=117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nputs!$B$16/100)*(5000/(6000+Inputs!$B$42*(1-Inputs!$B$19/100)))*(1+(Inputs!$B$24+Summary!$B$65)/100)*(1+IF(Skills!A8="ENHANCED_RAGING_BLOW",IF(Inputs!$B$3&gt;=134,MAX(0,IF(Inputs!$B$3&gt;=110,7,5)-5)*50,0),0)/100)*(1+(IF(Skills!A8="RAGING_BLOW",Inputs!$B$17,Inputs!$B$18))/100)*(Summary!$B$57*I8)</f>
        <v/>
      </c>
      <c r="L8">
        <f>K8*(MIN(Inputs!$B$22,Inputs!$B$23)/100+Inputs!$B$23/100)/2</f>
        <v/>
      </c>
      <c r="M8">
        <f>L8*(1+(Inputs!$B$10+Summary!$B$64)/100)</f>
        <v/>
      </c>
      <c r="N8">
        <f>L8*(1-MIN((Inputs!$B$9+Summary!$B$58),100)/100)+M8*(MIN((Inputs!$B$9+Summary!$B$58),100)/100)</f>
        <v/>
      </c>
      <c r="O8">
        <f>(1-Summary!$B$55)*T8+Summary!$B$55*V8</f>
        <v/>
      </c>
      <c r="P8">
        <f>IF(Summary!$B$3=0,0,O8/Summary!$B$3)</f>
        <v/>
      </c>
      <c r="Q8">
        <f>IFERROR(1/IF(Inputs!$B$38="pvp",15,MAX(0.1,Skills!D8-IF(Skills!E8=TRUE,Inputs!$B$32,0))),0)</f>
        <v/>
      </c>
      <c r="R8">
        <f>IF(AND(Inputs!$B$38&lt;&gt;"pvp",Inputs!$B$43&gt;0),IF(MAX(0,Inputs!$B$43-Summary!$B$67)&lt;=0,0,(INT(MAX(0,Inputs!$B$43-Summary!$B$67)/IF(Inputs!$B$38="pvp",15,MAX(0.1,Skills!D8-IF(Skills!E8=TRUE,Inputs!$B$32,0))))+1)),0)</f>
        <v/>
      </c>
      <c r="S8">
        <f>IFERROR(O8/N8,0)</f>
        <v/>
      </c>
      <c r="T8">
        <f>IF(C8,(H8*N8*IF(AND(Inputs!$B$38&lt;&gt;"pvp",Inputs!$B$43&gt;0),((Skills!G8*((R8-1)*IF(Skills!H8&gt;0,Skills!I8/Skills!H8,1)+IF(Skills!H8&gt;0,MIN(Skills!I8,MAX(0,MAX(0,Inputs!$B$43-Summary!$B$67)-((R8-1)*IF(Inputs!$B$38="pvp",15,MAX(0.1,Skills!D8-IF(Skills!E8=TRUE,Inputs!$B$32,0))))))/Skills!H8,1)))/Inputs!$B$43),G8*Q8))*IF(Inputs!$B$38="pvp",1,1+(Inputs!$B$20+Skills!P8+Summary!$B$59)/100),0)</f>
        <v/>
      </c>
      <c r="V8">
        <f>IF(C8,(H8*N8*IF(AND(Inputs!$B$38&lt;&gt;"pvp",Inputs!$B$43&gt;0),((Skills!G8*((R8-1)*IF(Skills!H8&gt;0,Skills!I8/Skills!H8,1)+IF(Skills!H8&gt;0,MIN(Skills!I8,MAX(0,MAX(0,Inputs!$B$43-Summary!$B$67)-((R8-1)*IF(Inputs!$B$38="pvp",15,MAX(0.1,Skills!D8-IF(Skills!E8=TRUE,Inputs!$B$32,0))))))/Skills!H8,1)))/Inputs!$B$43),G8*Q8))*IF(Inputs!$B$38="pvp",1,(1+(Inputs!$B$21+Skills!Q8+Summary!$B$59)/100)*(MIN(Skills!R8,Inputs!$B$37))),0)</f>
        <v/>
      </c>
    </row>
    <row r="9">
      <c r="A9">
        <f>Skills!A9</f>
        <v/>
      </c>
      <c r="B9">
        <f>Skills!B9</f>
        <v/>
      </c>
      <c r="C9">
        <f>Inputs!$B$3&gt;=69</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nputs!$B$16/100)*(5000/(6000+Inputs!$B$42*(1-Inputs!$B$19/100)))*(1+(Inputs!$B$24+Summary!$B$65)/100)*(1+1.0*IF(C12=TRUE,F12,0)/100)*(1+IF(Skills!A9="ENHANCED_RAGING_BLOW",IF(Inputs!$B$3&gt;=134,MAX(0,IF(Inputs!$B$3&gt;=110,7,5)-5)*50,0),0)/100)*(1+(IF(Skills!A9="RAGING_BLOW",Inputs!$B$17,Inputs!$B$18))/100)*(Summary!$B$57*I9)</f>
        <v/>
      </c>
      <c r="L9">
        <f>K9*(MIN(Inputs!$B$22,Inputs!$B$23)/100+Inputs!$B$23/100)/2</f>
        <v/>
      </c>
      <c r="M9">
        <f>L9*(1+(Inputs!$B$10+Summary!$B$64)/100)</f>
        <v/>
      </c>
      <c r="N9">
        <f>L9*(1-MIN((Inputs!$B$9+Summary!$B$58),100)/100)+M9*(MIN((Inputs!$B$9+Summary!$B$58),100)/100)</f>
        <v/>
      </c>
      <c r="O9">
        <f>(1-Summary!$B$55)*T9+Summary!$B$55*V9</f>
        <v/>
      </c>
      <c r="P9">
        <f>IF(Summary!$B$3=0,0,O9/Summary!$B$3)</f>
        <v/>
      </c>
      <c r="Q9">
        <f>IFERROR(1/IF(Inputs!$B$38="pvp",15,MAX(0.1,Skills!D9-IF(Skills!E9=TRUE,Inputs!$B$32,0))),0)</f>
        <v/>
      </c>
      <c r="R9">
        <f>IF(AND(Inputs!$B$38&lt;&gt;"pvp",Inputs!$B$43&gt;0),IF(MAX(0,Inputs!$B$43-Summary!$B$67)&lt;=0,0,(INT(MAX(0,Inputs!$B$43-Summary!$B$67)/IF(Inputs!$B$38="pvp",15,MAX(0.1,Skills!D9-IF(Skills!E9=TRUE,Inputs!$B$32,0))))+1)),0)</f>
        <v/>
      </c>
      <c r="S9">
        <f>IFERROR(O9/N9,0)</f>
        <v/>
      </c>
      <c r="T9">
        <f>IF(C9,(H9*N9*IF(AND(Inputs!$B$38&lt;&gt;"pvp",Inputs!$B$43&gt;0),((Skills!G9*((R9-1)*IF(Skills!H9&gt;0,Skills!I9/Skills!H9,1)+IF(Skills!H9&gt;0,MIN(Skills!I9,MAX(0,MAX(0,Inputs!$B$43-Summary!$B$67)-((R9-1)*IF(Inputs!$B$38="pvp",15,MAX(0.1,Skills!D9-IF(Skills!E9=TRUE,Inputs!$B$32,0))))))/Skills!H9,1)))/Inputs!$B$43),G9*Q9))*IF(Inputs!$B$38="pvp",1,1+(Inputs!$B$20+Skills!P9+Summary!$B$59)/100),0)</f>
        <v/>
      </c>
      <c r="V9">
        <f>IF(C9,(H9*N9*IF(AND(Inputs!$B$38&lt;&gt;"pvp",Inputs!$B$43&gt;0),((Skills!G9*((R9-1)*IF(Skills!H9&gt;0,Skills!I9/Skills!H9,1)+IF(Skills!H9&gt;0,MIN(Skills!I9,MAX(0,MAX(0,Inputs!$B$43-Summary!$B$67)-((R9-1)*IF(Inputs!$B$38="pvp",15,MAX(0.1,Skills!D9-IF(Skills!E9=TRUE,Inputs!$B$32,0))))))/Skills!H9,1)))/Inputs!$B$43),G9*Q9))*IF(Inputs!$B$38="pvp",1,(1+(Inputs!$B$21+Skills!Q9+Summary!$B$59)/100)*(MIN(Skills!R9,Inputs!$B$37))),0)</f>
        <v/>
      </c>
    </row>
    <row r="10">
      <c r="A10">
        <f>Skills!A10</f>
        <v/>
      </c>
      <c r="B10">
        <f>Skills!B10</f>
        <v/>
      </c>
      <c r="C10">
        <f>Inputs!$B$3&gt;=63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$15/100)*(1+Inputs!$B$16/100)*(5000/(6000+Inputs!$B$42*(1-Inputs!$B$19/100)))*(1+(Inputs!$B$24+Summary!$B$65)/100)*(1+1.5*IF(C12=TRUE,F12,0)/100)*(1+IF(Skills!A10="ENHANCED_RAGING_BLOW",IF(Inputs!$B$3&gt;=134,MAX(0,IF(Inputs!$B$3&gt;=110,7,5)-5)*50,0),0)/100)*(1+(IF(Skills!A10="RAGING_BLOW",Inputs!$B$17,Inputs!$B$18))/100)*(Summary!$B$57*I10)</f>
        <v/>
      </c>
      <c r="L10">
        <f>K10*(MIN(Inputs!$B$22,Inputs!$B$23)/100+Inputs!$B$23/100)/2</f>
        <v/>
      </c>
      <c r="M10">
        <f>L10*(1+(Inputs!$B$10+Summary!$B$64)/100)</f>
        <v/>
      </c>
      <c r="N10">
        <f>L10*(1-MIN((Inputs!$B$9+Summary!$B$58),100)/100)+M10*(MIN((Inputs!$B$9+Summary!$B$58),100)/100)</f>
        <v/>
      </c>
      <c r="O10">
        <f>(1-Summary!$B$55)*T10+Summary!$B$55*V10</f>
        <v/>
      </c>
      <c r="P10">
        <f>IF(Summary!$B$3=0,0,O10/Summary!$B$3)</f>
        <v/>
      </c>
      <c r="Q10">
        <f>IFERROR(1/IF(Inputs!$B$38="pvp",15,MAX(0.1,Skills!D10-IF(Skills!E10=TRUE,Inputs!$B$32,0))),0)</f>
        <v/>
      </c>
      <c r="R10">
        <f>IF(AND(Inputs!$B$38&lt;&gt;"pvp",Inputs!$B$43&gt;0),IF(MAX(0,Inputs!$B$43-Summary!$B$67)&lt;=0,0,(INT(MAX(0,Inputs!$B$43-Summary!$B$67)/IF(Inputs!$B$38="pvp",15,MAX(0.1,Skills!D10-IF(Skills!E10=TRUE,Inputs!$B$32,0))))+1)),0)</f>
        <v/>
      </c>
      <c r="S10">
        <f>IFERROR(O10/N10,0)</f>
        <v/>
      </c>
      <c r="T10">
        <f>IF(C10,(H10*N10*IF(AND(Inputs!$B$38&lt;&gt;"pvp",Inputs!$B$43&gt;0),((Skills!G10*((R10-1)*IF(Skills!H10&gt;0,Skills!I10/Skills!H10,1)+IF(Skills!H10&gt;0,MIN(Skills!I10,MAX(0,MAX(0,Inputs!$B$43-Summary!$B$67)-((R10-1)*IF(Inputs!$B$38="pvp",15,MAX(0.1,Skills!D10-IF(Skills!E10=TRUE,Inputs!$B$32,0))))))/Skills!H10,1)))/Inputs!$B$43),G10*Q10))*IF(Inputs!$B$38="pvp",1,1+(Inputs!$B$20+Skills!P10+Summary!$B$59)/100),0)</f>
        <v/>
      </c>
      <c r="V10">
        <f>IF(C10,(H10*N10*IF(AND(Inputs!$B$38&lt;&gt;"pvp",Inputs!$B$43&gt;0),((Skills!G10*((R10-1)*IF(Skills!H10&gt;0,Skills!I10/Skills!H10,1)+IF(Skills!H10&gt;0,MIN(Skills!I10,MAX(0,MAX(0,Inputs!$B$43-Summary!$B$67)-((R10-1)*IF(Inputs!$B$38="pvp",15,MAX(0.1,Skills!D10-IF(Skills!E10=TRUE,Inputs!$B$32,0))))))/Skills!H10,1)))/Inputs!$B$43),G10*Q10))*IF(Inputs!$B$38="pvp",1,(1+(Inputs!$B$21+Skills!Q10+Summary!$B$59)/100)*(MIN(Skills!R10,Inputs!$B$37))),0)</f>
        <v/>
      </c>
    </row>
    <row r="11">
      <c r="A11">
        <f>Skills!A11</f>
        <v/>
      </c>
      <c r="B11">
        <f>Skills!B11</f>
        <v/>
      </c>
      <c r="C11">
        <f>Inputs!$B$3&gt;=35</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nputs!$B$16/100)*(5000/(6000+Inputs!$B$42*(1-Inputs!$B$19/100)))*(1+(Inputs!$B$24+Summary!$B$65)/100)*(1+4.0*IF(C12=TRUE,F12,0)/100)*(1+IF(Skills!A11="ENHANCED_RAGING_BLOW",IF(Inputs!$B$3&gt;=134,MAX(0,IF(Inputs!$B$3&gt;=110,7,5)-5)*50,0),0)/100)*(1+(IF(Skills!A11="RAGING_BLOW",Inputs!$B$17,Inputs!$B$18))/100)*(Summary!$B$57*I11)</f>
        <v/>
      </c>
      <c r="L11">
        <f>K11*(MIN(Inputs!$B$22,Inputs!$B$23)/100+Inputs!$B$23/100)/2</f>
        <v/>
      </c>
      <c r="M11">
        <f>L11*(1+(Inputs!$B$10+Summary!$B$64)/100)</f>
        <v/>
      </c>
      <c r="N11">
        <f>L11*(1-MIN((Inputs!$B$9+Summary!$B$58),100)/100)+M11*(MIN((Inputs!$B$9+Summary!$B$58),100)/100)</f>
        <v/>
      </c>
      <c r="O11">
        <f>(1-Summary!$B$55)*T11+Summary!$B$55*V11</f>
        <v/>
      </c>
      <c r="P11">
        <f>IF(Summary!$B$3=0,0,O11/Summary!$B$3)</f>
        <v/>
      </c>
      <c r="Q11">
        <f>IFERROR(1/IF(Inputs!$B$38="pvp",15,MAX(0.1,Skills!D11-IF(Skills!E11=TRUE,Inputs!$B$32,0))),0)</f>
        <v/>
      </c>
      <c r="R11">
        <f>IF(AND(Inputs!$B$38&lt;&gt;"pvp",Inputs!$B$43&gt;0),IF(MAX(0,Inputs!$B$43-Summary!$B$67)&lt;=0,0,(INT(MAX(0,Inputs!$B$43-Summary!$B$67)/IF(Inputs!$B$38="pvp",15,MAX(0.1,Skills!D11-IF(Skills!E11=TRUE,Inputs!$B$32,0))))+1)),0)</f>
        <v/>
      </c>
      <c r="S11">
        <f>IFERROR(O11/N11,0)</f>
        <v/>
      </c>
      <c r="T11">
        <f>IF(C11,(H11*N11*IF(AND(Inputs!$B$38&lt;&gt;"pvp",Inputs!$B$43&gt;0),((Skills!G11*((R11-1)*IF(Skills!H11&gt;0,Skills!I11/Skills!H11,1)+IF(Skills!H11&gt;0,MIN(Skills!I11,MAX(0,MAX(0,Inputs!$B$43-Summary!$B$67)-((R11-1)*IF(Inputs!$B$38="pvp",15,MAX(0.1,Skills!D11-IF(Skills!E11=TRUE,Inputs!$B$32,0))))))/Skills!H11,1)))/Inputs!$B$43),G11*Q11))*IF(Inputs!$B$38="pvp",1,1+(Inputs!$B$20+Skills!P11+Summary!$B$59)/100),0)</f>
        <v/>
      </c>
      <c r="V11">
        <f>IF(C11,(H11*N11*IF(AND(Inputs!$B$38&lt;&gt;"pvp",Inputs!$B$43&gt;0),((Skills!G11*((R11-1)*IF(Skills!H11&gt;0,Skills!I11/Skills!H11,1)+IF(Skills!H11&gt;0,MIN(Skills!I11,MAX(0,MAX(0,Inputs!$B$43-Summary!$B$67)-((R11-1)*IF(Inputs!$B$38="pvp",15,MAX(0.1,Skills!D11-IF(Skills!E11=TRUE,Inputs!$B$32,0))))))/Skills!H11,1)))/Inputs!$B$43),G11*Q11))*IF(Inputs!$B$38="pvp",1,(1+(Inputs!$B$21+Skills!Q11+Summary!$B$59)/100)*(MIN(Skills!R11,Inputs!$B$37))),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(1-Summary!$B$55)*T13+Summary!$B$55*V13</f>
        <v/>
      </c>
      <c r="P13">
        <f>IF(Summary!$B$3=0,0,O13/Summary!$B$3)</f>
        <v/>
      </c>
      <c r="Q13" t="n">
        <v>0</v>
      </c>
      <c r="R13" t="n">
        <v>0</v>
      </c>
      <c r="S13">
        <f>IFERROR(O13/N13,0)</f>
        <v/>
      </c>
      <c r="T13" t="n">
        <v>0</v>
      </c>
      <c r="V13" t="n">
        <v>0</v>
      </c>
    </row>
    <row r="14">
      <c r="A14">
        <f>Skills!A14</f>
        <v/>
      </c>
      <c r="B14">
        <f>Skills!B14</f>
        <v/>
      </c>
      <c r="C14">
        <f>Inputs!$B$3&gt;=75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(1-Summary!$B$55)*T14+Summary!$B$55*V14</f>
        <v/>
      </c>
      <c r="P14">
        <f>IF(Summary!$B$3=0,0,O14/Summary!$B$3)</f>
        <v/>
      </c>
      <c r="Q14" t="n">
        <v>0</v>
      </c>
      <c r="R14" t="n">
        <v>0</v>
      </c>
      <c r="S14">
        <f>IFERROR(O14/N14,0)</f>
        <v/>
      </c>
      <c r="T14" t="n">
        <v>0</v>
      </c>
      <c r="V14" t="n">
        <v>0</v>
      </c>
    </row>
    <row r="15">
      <c r="A15">
        <f>Skills!A15</f>
        <v/>
      </c>
      <c r="B15">
        <f>Skills!B15</f>
        <v/>
      </c>
      <c r="C15">
        <f>Inputs!$B$3&gt;=40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(1-Summary!$B$55)*T15+Summary!$B$55*V15</f>
        <v/>
      </c>
      <c r="P15">
        <f>IF(Summary!$B$3=0,0,O15/Summary!$B$3)</f>
        <v/>
      </c>
      <c r="Q15">
        <f>IFERROR(1/IF(Inputs!$B$38="pvp",15,MAX(0.1,Skills!D15-IF(Skills!E15=TRUE,Inputs!$B$32,0))),0)</f>
        <v/>
      </c>
      <c r="R15">
        <f>IF(AND(Inputs!$B$38&lt;&gt;"pvp",Inputs!$B$43&gt;0),IF(Inputs!$B$43&lt;=0,0,(INT(Inputs!$B$43/IF(Inputs!$B$38="pvp",15,MAX(0.1,Skills!D15-IF(Skills!E15=TRUE,Inputs!$B$32,0))))+1)),0)</f>
        <v/>
      </c>
      <c r="S15">
        <f>IFERROR(O15/N15,0)</f>
        <v/>
      </c>
      <c r="T15" t="n">
        <v>0</v>
      </c>
      <c r="V15" t="n">
        <v>0</v>
      </c>
    </row>
    <row r="16">
      <c r="A16">
        <f>Skills!A16</f>
        <v/>
      </c>
      <c r="B16">
        <f>Skills!B16</f>
        <v/>
      </c>
      <c r="C16">
        <f>Inputs!$B$3&gt;=66</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(1-Summary!$B$55)*T16+Summary!$B$55*V16</f>
        <v/>
      </c>
      <c r="P16">
        <f>IF(Summary!$B$3=0,0,O16/Summary!$B$3)</f>
        <v/>
      </c>
      <c r="Q16">
        <f>IFERROR(1/IF(Inputs!$B$38="pvp",15,MAX(0.1,Skills!D16-IF(Skills!E16=TRUE,Inputs!$B$32,0))),0)</f>
        <v/>
      </c>
      <c r="R16">
        <f>IF(AND(Inputs!$B$38&lt;&gt;"pvp",Inputs!$B$43&gt;0),IF(Inputs!$B$43&lt;=0,0,(INT(Inputs!$B$43/IF(Inputs!$B$38="pvp",15,MAX(0.1,Skills!D16-IF(Skills!E16=TRUE,Inputs!$B$32,0))))+1)),0)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(1-Summary!$B$55)*T17+Summary!$B$55*V17</f>
        <v/>
      </c>
      <c r="P17">
        <f>IF(Summary!$B$3=0,0,O17/Summary!$B$3)</f>
        <v/>
      </c>
      <c r="Q17">
        <f>IFERROR(1/IF(Inputs!$B$38="pvp",15,MAX(0.1,Skills!D17-IF(Skills!E17=TRUE,Inputs!$B$32,0))),0)</f>
        <v/>
      </c>
      <c r="R17">
        <f>IF(AND(Inputs!$B$38&lt;&gt;"pvp",Inputs!$B$43&gt;0),IF(Inputs!$B$43&lt;=0,0,(INT(Inputs!$B$43/IF(Inputs!$B$38="pvp",15,MAX(0.1,Skills!D17-IF(Skills!E17=TRUE,Inputs!$B$32,0))))+1)),0)</f>
        <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(1-Summary!$B$55)*T18+Summary!$B$55*V18</f>
        <v/>
      </c>
      <c r="P18">
        <f>IF(Summary!$B$3=0,0,O18/Summary!$B$3)</f>
        <v/>
      </c>
      <c r="Q18">
        <f>IFERROR(1/IF(Inputs!$B$38="pvp",15,MAX(0.1,Skills!D18-IF(Skills!E18=TRUE,Inputs!$B$32,0))),0)</f>
        <v/>
      </c>
      <c r="R18">
        <f>IF(AND(Inputs!$B$38&lt;&gt;"pvp",Inputs!$B$43&gt;0),IF(Inputs!$B$43&lt;=0,0,(INT(Inputs!$B$43/IF(Inputs!$B$38="pvp",15,MAX(0.1,Skills!D18-IF(Skills!E18=TRUE,Inputs!$B$32,0))))+1)),0)</f>
        <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(1-Summary!$B$55)*T19+Summary!$B$55*V19</f>
        <v/>
      </c>
      <c r="P19">
        <f>IF(Summary!$B$3=0,0,O19/Summary!$B$3)</f>
        <v/>
      </c>
      <c r="Q19">
        <f>IFERROR(1/IF(Inputs!$B$38="pvp",15,MAX(0.1,Skills!D19-IF(Skills!E19=TRUE,Inputs!$B$32,0))),0)</f>
        <v/>
      </c>
      <c r="R19">
        <f>IF(AND(Inputs!$B$38&lt;&gt;"pvp",Inputs!$B$43&gt;0),IF(Inputs!$B$43&lt;=0,0,(INT(Inputs!$B$43/IF(Inputs!$B$38="pvp",15,MAX(0.1,Skills!D19-IF(Skills!E19=TRUE,Inputs!$B$32,0))))+1)),0)</f>
        <v/>
      </c>
      <c r="S19">
        <f>IFERROR(O19/N19,0)</f>
        <v/>
      </c>
      <c r="T19" t="n">
        <v>0</v>
      </c>
      <c r="V19" t="n">
        <v>0</v>
      </c>
    </row>
    <row r="20">
      <c r="A20">
        <f>Skills!A20</f>
        <v/>
      </c>
      <c r="B20">
        <f>Skills!B20</f>
        <v/>
      </c>
      <c r="C20">
        <f>Inputs!$B$3&gt;=33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(1-Summary!$B$55)*T20+Summary!$B$55*V20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(1-Summary!$B$55)*T21+Summary!$B$55*V21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(1-Summary!$B$55)*T22+Summary!$B$55*V22</f>
        <v/>
      </c>
      <c r="P22">
        <f>IF(Summary!$B$3=0,0,O22/Summary!$B$3)</f>
        <v/>
      </c>
      <c r="Q22" t="n">
        <v>0</v>
      </c>
      <c r="R22" t="n">
        <v>0</v>
      </c>
      <c r="S22">
        <f>IFERROR(O22/N22,0)</f>
        <v/>
      </c>
      <c r="T22" t="n">
        <v>0</v>
      </c>
      <c r="V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(1-Summary!$B$55)*T23+Summary!$B$55*V23</f>
        <v/>
      </c>
      <c r="P23">
        <f>IF(Summary!$B$3=0,0,O23/Summary!$B$3)</f>
        <v/>
      </c>
      <c r="Q23" t="n">
        <v>0</v>
      </c>
      <c r="R23" t="n">
        <v>0</v>
      </c>
      <c r="S23">
        <f>IFERROR(O23/N23,0)</f>
        <v/>
      </c>
      <c r="T23" t="n">
        <v>0</v>
      </c>
      <c r="V23" t="n">
        <v>0</v>
      </c>
    </row>
    <row r="24">
      <c r="A24">
        <f>Skills!A24</f>
        <v/>
      </c>
      <c r="B24">
        <f>Skills!B24</f>
        <v/>
      </c>
      <c r="C24">
        <f>Inputs!$B$3&gt;=120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(1-Summary!$B$55)*T24+Summary!$B$55*V24</f>
        <v/>
      </c>
      <c r="P24">
        <f>IF(Summary!$B$3=0,0,O24/Summary!$B$3)</f>
        <v/>
      </c>
      <c r="Q24" t="n">
        <v>0</v>
      </c>
      <c r="R24" t="n">
        <v>0</v>
      </c>
      <c r="S24">
        <f>IFERROR(O24/N24,0)</f>
        <v/>
      </c>
      <c r="T24" t="n">
        <v>0</v>
      </c>
      <c r="V24" t="n">
        <v>0</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(1-Summary!$B$55)*T25+Summary!$B$55*V25</f>
        <v/>
      </c>
      <c r="P25">
        <f>IF(Summary!$B$3=0,0,O25/Summary!$B$3)</f>
        <v/>
      </c>
      <c r="Q25" t="n">
        <v>0</v>
      </c>
      <c r="R25" t="n">
        <v>0</v>
      </c>
      <c r="S25">
        <f>IFERROR(O25/N25,0)</f>
        <v/>
      </c>
      <c r="T25" t="n">
        <v>0</v>
      </c>
      <c r="V25" t="n">
        <v>0</v>
      </c>
    </row>
    <row r="26">
      <c r="A26">
        <f>Skills!A26</f>
        <v/>
      </c>
      <c r="B26">
        <f>Skills!B26</f>
        <v/>
      </c>
      <c r="C26">
        <f>Inputs!$B$3&gt;=72</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(1-Summary!$B$55)*T26+Summary!$B$55*V26</f>
        <v/>
      </c>
      <c r="P26">
        <f>IF(Summary!$B$3=0,0,O26/Summary!$B$3)</f>
        <v/>
      </c>
      <c r="Q26" t="n">
        <v>0</v>
      </c>
      <c r="R26" t="n">
        <v>0</v>
      </c>
      <c r="S26">
        <f>IFERROR(O26/N26,0)</f>
        <v/>
      </c>
      <c r="T26" t="n">
        <v>0</v>
      </c>
      <c r="V26"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Hero — DPS Summary</t>
        </is>
      </c>
    </row>
    <row r="3">
      <c r="A3" s="10" t="inlineStr">
        <is>
          <t>TOTAL DPS</t>
        </is>
      </c>
      <c r="B3" s="10">
        <f>SUM(Calc!O2:O26)</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Calc!B8</f>
        <v/>
      </c>
      <c r="B11">
        <f>Calc!O8</f>
        <v/>
      </c>
      <c r="C11">
        <f>Calc!P8*100</f>
        <v/>
      </c>
    </row>
    <row r="12">
      <c r="A12">
        <f>Calc!B9</f>
        <v/>
      </c>
      <c r="B12">
        <f>Calc!O9</f>
        <v/>
      </c>
      <c r="C12">
        <f>Calc!P9*100</f>
        <v/>
      </c>
    </row>
    <row r="13">
      <c r="A13">
        <f>Calc!B10</f>
        <v/>
      </c>
      <c r="B13">
        <f>Calc!O10</f>
        <v/>
      </c>
      <c r="C13">
        <f>Calc!P10*100</f>
        <v/>
      </c>
    </row>
    <row r="14">
      <c r="A14">
        <f>Calc!B11</f>
        <v/>
      </c>
      <c r="B14">
        <f>Calc!O11</f>
        <v/>
      </c>
      <c r="C14">
        <f>Calc!P11*100</f>
        <v/>
      </c>
    </row>
    <row r="15">
      <c r="A15" s="7" t="inlineStr">
        <is>
          <t>Marginal DPS &amp; Stat Value (see Sensitivity for full detail)</t>
        </is>
      </c>
    </row>
    <row r="17">
      <c r="A17" s="9" t="inlineStr">
        <is>
          <t>Stat</t>
        </is>
      </c>
      <c r="B17" s="9" t="inlineStr">
        <is>
          <t>DPS per +1</t>
        </is>
      </c>
      <c r="C17" s="9" t="inlineStr">
        <is>
          <t>Units per +1% DPS</t>
        </is>
      </c>
    </row>
    <row r="18">
      <c r="A18">
        <f>Sensitivity!A5</f>
        <v/>
      </c>
      <c r="B18">
        <f>Sensitivity!H5</f>
        <v/>
      </c>
      <c r="C18">
        <f>Sensitivity!B5</f>
        <v/>
      </c>
    </row>
    <row r="19">
      <c r="A19">
        <f>Sensitivity!A6</f>
        <v/>
      </c>
      <c r="B19">
        <f>Sensitivity!H6</f>
        <v/>
      </c>
      <c r="C19">
        <f>Sensitivity!B6</f>
        <v/>
      </c>
    </row>
    <row r="20">
      <c r="A20">
        <f>Sensitivity!A7</f>
        <v/>
      </c>
      <c r="B20">
        <f>Sensitivity!H7</f>
        <v/>
      </c>
      <c r="C20">
        <f>Sensitivity!B7</f>
        <v/>
      </c>
    </row>
    <row r="21">
      <c r="A21">
        <f>Sensitivity!A8</f>
        <v/>
      </c>
      <c r="B21">
        <f>Sensitivity!H8</f>
        <v/>
      </c>
      <c r="C21">
        <f>Sensitivity!B8</f>
        <v/>
      </c>
    </row>
    <row r="22">
      <c r="A22">
        <f>Sensitivity!A9</f>
        <v/>
      </c>
      <c r="B22">
        <f>Sensitivity!H9</f>
        <v/>
      </c>
      <c r="C22">
        <f>Sensitivity!B9</f>
        <v/>
      </c>
    </row>
    <row r="23">
      <c r="A23">
        <f>Sensitivity!A10</f>
        <v/>
      </c>
      <c r="B23">
        <f>Sensitivity!H10</f>
        <v/>
      </c>
      <c r="C23">
        <f>Sensitivity!B10</f>
        <v/>
      </c>
    </row>
    <row r="24">
      <c r="A24">
        <f>Sensitivity!A11</f>
        <v/>
      </c>
      <c r="B24">
        <f>Sensitivity!H11</f>
        <v/>
      </c>
      <c r="C24">
        <f>Sensitivity!B11</f>
        <v/>
      </c>
    </row>
    <row r="25">
      <c r="A25">
        <f>Sensitivity!A12</f>
        <v/>
      </c>
      <c r="B25">
        <f>Sensitivity!H12</f>
        <v/>
      </c>
      <c r="C25">
        <f>Sensitivity!B12</f>
        <v/>
      </c>
    </row>
    <row r="26">
      <c r="A26">
        <f>Sensitivity!A13</f>
        <v/>
      </c>
      <c r="B26">
        <f>Sensitivity!H13</f>
        <v/>
      </c>
      <c r="C26">
        <f>Sensitivity!B13</f>
        <v/>
      </c>
    </row>
    <row r="27">
      <c r="A27">
        <f>Sensitivity!A14</f>
        <v/>
      </c>
      <c r="B27">
        <f>Sensitivity!H14</f>
        <v/>
      </c>
      <c r="C27">
        <f>Sensitivity!B14</f>
        <v/>
      </c>
    </row>
    <row r="28">
      <c r="A28">
        <f>Sensitivity!A15</f>
        <v/>
      </c>
      <c r="B28">
        <f>Sensitivity!H15</f>
        <v/>
      </c>
      <c r="C28">
        <f>Sensitivity!B15</f>
        <v/>
      </c>
    </row>
    <row r="29">
      <c r="A29">
        <f>Sensitivity!A16</f>
        <v/>
      </c>
      <c r="B29">
        <f>Sensitivity!H16</f>
        <v/>
      </c>
      <c r="C29">
        <f>Sensitivity!B16</f>
        <v/>
      </c>
    </row>
    <row r="30">
      <c r="A30">
        <f>Sensitivity!A17</f>
        <v/>
      </c>
      <c r="B30">
        <f>Sensitivity!H17</f>
        <v/>
      </c>
      <c r="C30">
        <f>Sensitivity!B17</f>
        <v/>
      </c>
    </row>
    <row r="31">
      <c r="A31">
        <f>Sensitivity!A18</f>
        <v/>
      </c>
      <c r="B31">
        <f>Sensitivity!H18</f>
        <v/>
      </c>
      <c r="C31">
        <f>Sensitivity!B18</f>
        <v/>
      </c>
    </row>
    <row r="32">
      <c r="A32">
        <f>Sensitivity!A19</f>
        <v/>
      </c>
      <c r="B32">
        <f>Sensitivity!H19</f>
        <v/>
      </c>
      <c r="C32">
        <f>Sensitivity!B19</f>
        <v/>
      </c>
    </row>
    <row r="33">
      <c r="A33">
        <f>Sensitivity!A20</f>
        <v/>
      </c>
      <c r="B33">
        <f>Sensitivity!H20</f>
        <v/>
      </c>
      <c r="C33">
        <f>Sensitivity!B20</f>
        <v/>
      </c>
    </row>
    <row r="34">
      <c r="A34">
        <f>Sensitivity!A21</f>
        <v/>
      </c>
      <c r="B34">
        <f>Sensitivity!H21</f>
        <v/>
      </c>
      <c r="C34">
        <f>Sensitivity!B21</f>
        <v/>
      </c>
    </row>
    <row r="35">
      <c r="A35">
        <f>Sensitivity!A22</f>
        <v/>
      </c>
      <c r="B35">
        <f>Sensitivity!H22</f>
        <v/>
      </c>
      <c r="C35">
        <f>Sensitivity!B22</f>
        <v/>
      </c>
    </row>
    <row r="36">
      <c r="A36">
        <f>Sensitivity!A23</f>
        <v/>
      </c>
      <c r="B36">
        <f>Sensitivity!H23</f>
        <v/>
      </c>
      <c r="C36">
        <f>Sensitivity!B23</f>
        <v/>
      </c>
    </row>
    <row r="37">
      <c r="A37">
        <f>Sensitivity!A24</f>
        <v/>
      </c>
      <c r="B37">
        <f>Sensitivity!H24</f>
        <v/>
      </c>
      <c r="C37">
        <f>Sensitivity!B24</f>
        <v/>
      </c>
    </row>
    <row r="38">
      <c r="A38">
        <f>Sensitivity!A25</f>
        <v/>
      </c>
      <c r="B38">
        <f>Sensitivity!H25</f>
        <v/>
      </c>
      <c r="C38">
        <f>Sensitivity!B25</f>
        <v/>
      </c>
    </row>
    <row r="39">
      <c r="A39">
        <f>Sensitivity!A26</f>
        <v/>
      </c>
      <c r="B39">
        <f>Sensitivity!H26</f>
        <v/>
      </c>
      <c r="C39">
        <f>Sensitivity!B26</f>
        <v/>
      </c>
    </row>
    <row r="40">
      <c r="A40">
        <f>Sensitivity!A27</f>
        <v/>
      </c>
      <c r="B40">
        <f>Sensitivity!H27</f>
        <v/>
      </c>
      <c r="C40">
        <f>Sensitivity!B27</f>
        <v/>
      </c>
    </row>
    <row r="41">
      <c r="A41">
        <f>Sensitivity!A28</f>
        <v/>
      </c>
      <c r="B41">
        <f>Sensitivity!H28</f>
        <v/>
      </c>
      <c r="C41">
        <f>Sensitivity!B28</f>
        <v/>
      </c>
    </row>
    <row r="42">
      <c r="A42">
        <f>Sensitivity!A29</f>
        <v/>
      </c>
      <c r="B42">
        <f>Sensitivity!H29</f>
        <v/>
      </c>
      <c r="C42">
        <f>Sensitivity!B29</f>
        <v/>
      </c>
    </row>
    <row r="43">
      <c r="A43">
        <f>Sensitivity!A30</f>
        <v/>
      </c>
      <c r="B43">
        <f>Sensitivity!H30</f>
        <v/>
      </c>
      <c r="C43">
        <f>Sensitivity!B30</f>
        <v/>
      </c>
    </row>
    <row r="49">
      <c r="A49" s="7" t="inlineStr">
        <is>
          <t>Derived Values (read-only, computed from Inputs)</t>
        </is>
      </c>
    </row>
    <row r="50">
      <c r="A50" t="inlineStr">
        <is>
          <t>ATTACK (= Flat ATTACK x (1+ATTACK%/100))</t>
        </is>
      </c>
      <c r="B50">
        <f>Inputs!$B$6*(1+Inputs!$B$7/100)</f>
        <v/>
      </c>
    </row>
    <row r="51">
      <c r="A51" t="inlineStr">
        <is>
          <t>STAT_DAMAGE % (= 1% of total STR + 0.25% of DEX)</t>
        </is>
      </c>
      <c r="B51">
        <f>(Inputs!$B$12*(1+Inputs!$B$13/100))*0.01+Inputs!$B$14*0.0025</f>
        <v/>
      </c>
    </row>
    <row r="52">
      <c r="A52" t="inlineStr">
        <is>
          <t>Basic Attack (Raging Blow)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Raging Blow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(Combo Attack + Spirit Blade, summed additively)</t>
        </is>
      </c>
      <c r="B57">
        <f>1+(((Calc!C13=TRUE)*Calc!F13*IF(Inputs!$B$3&gt;=110,7,5))+((Calc!C15=TRUE)*Calc!F15*IF(AND(Inputs!$B$38&lt;&gt;"pvp",Inputs!$B$43&gt;0),(((Calc!R15-1)*(Skills!T15*(1+Inputs!$B$34/100))+MIN((Skills!T15*(1+Inputs!$B$34/100)),MAX(0,Inputs!$B$43-((Calc!R15-1)*Skills!D15))))/Inputs!$B$43),IF(Inputs!$B$38="pvp",MIN((Skills!T15*(1+Inputs!$B$34/100)),15)/15,(Skills!T15*(1+Inputs!$B$34/100))/Skills!D15))))/100</f>
        <v/>
      </c>
    </row>
    <row r="58">
      <c r="A58" t="inlineStr">
        <is>
          <t>Global Crit Rate Bonus % (unused — no live Crit-Rate-buff source exists)</t>
        </is>
      </c>
      <c r="B58" t="n">
        <v>0</v>
      </c>
    </row>
    <row r="59">
      <c r="A59" t="inlineStr">
        <is>
          <t>Global Monster Damage-Taken Bonus % (Scaring Sword, proc-chance x duty-cycle)</t>
        </is>
      </c>
      <c r="B59">
        <f>((Calc!C16=TRUE)*Calc!F16*(Skills!J16/100)*IF(AND(Inputs!$B$38&lt;&gt;"pvp",Inputs!$B$43&gt;0),(((Calc!R16-1)*(Skills!T16*(1+Inputs!$B$34/100))+MIN((Skills!T16*(1+Inputs!$B$34/100)),MAX(0,Inputs!$B$43-((Calc!R16-1)*Skills!D16))))/Inputs!$B$43),IF(Inputs!$B$38="pvp",MIN((Skills!T16*(1+Inputs!$B$34/100)),15)/15,(Skills!T16*(1+Inputs!$B$34/100))/Skills!D16)))</f>
        <v/>
      </c>
    </row>
    <row r="60">
      <c r="A60" t="inlineStr">
        <is>
          <t>Attack Speed Buff Bonus % (Nimble Feet, duty-cycle averaged)</t>
        </is>
      </c>
      <c r="B60">
        <f>((Calc!C19=TRUE)*Calc!F19*IF(AND(Inputs!$B$38&lt;&gt;"pvp",Inputs!$B$43&gt;0),(((Calc!R19-1)*(Skills!T19*(1+Inputs!$B$34/100))+MIN((Skills!T19*(1+Inputs!$B$34/100)),MAX(0,Inputs!$B$43-((Calc!R19-1)*Skills!D19))))/Inputs!$B$43),IF(Inputs!$B$38="pvp",MIN((Skills!T19*(1+Inputs!$B$34/100)),15)/15,(Skills!T19*(1+Inputs!$B$34/100))/Skills!D19)))</f>
        <v/>
      </c>
    </row>
    <row r="61">
      <c r="A61" t="inlineStr">
        <is>
          <t>Actions Per Second</t>
        </is>
      </c>
      <c r="B61">
        <f>1+MIN(150,150*(1-(1-Inputs!$B$11/150)*(1-B60/150)))/100</f>
        <v/>
      </c>
    </row>
    <row r="62">
      <c r="A62" t="inlineStr">
        <is>
          <t>Skill + Buff Cast Rate (subtracted from Raging Blow, 1/s)</t>
        </is>
      </c>
      <c r="B62">
        <f>IF(AND(Inputs!$B$38&lt;&gt;"pvp",Inputs!$B$43&gt;0),SUMPRODUCT((Skills!E2:E26=TRUE)*(Calc!C2:C26=TRUE)*Calc!R2:R26*Skills!F2:F26)/Inputs!$B$43,SUMPRODUCT((Skills!E2:E26=TRUE)*(Calc!C2:C26=TRUE)*Calc!Q2:Q26*Skills!F2:F26))</f>
        <v/>
      </c>
    </row>
    <row r="63">
      <c r="A63" t="inlineStr">
        <is>
          <t>Raging Blow (Basic Attack) Casts Per Second</t>
        </is>
      </c>
      <c r="B63">
        <f>MAX(0,B61-B62)</f>
        <v/>
      </c>
    </row>
    <row r="64">
      <c r="A64" t="inlineStr">
        <is>
          <t>Global Critical Damage Bonus % (Enrage, duty-cycled)</t>
        </is>
      </c>
      <c r="B64">
        <f>((Calc!C18=TRUE)*Calc!F18*IF(AND(Inputs!$B$38&lt;&gt;"pvp",Inputs!$B$43&gt;0),(((Calc!R18-1)*(Skills!T18*(1+Inputs!$B$34/100))+MIN((Skills!T18*(1+Inputs!$B$34/100)),MAX(0,Inputs!$B$43-((Calc!R18-1)*Skills!D18))))/Inputs!$B$43),IF(Inputs!$B$38="pvp",MIN((Skills!T18*(1+Inputs!$B$34/100)),15)/15,(Skills!T18*(1+Inputs!$B$34/100))/Skills!D18)))</f>
        <v/>
      </c>
    </row>
    <row r="65">
      <c r="A65" t="inlineStr">
        <is>
          <t>Global Final Damage Bonus % (Enrage + Combo Synergy)</t>
        </is>
      </c>
      <c r="B65">
        <f>((Calc!C17=TRUE)*Calc!F17*IF(AND(Inputs!$B$38&lt;&gt;"pvp",Inputs!$B$43&gt;0),(((Calc!R17-1)*(Skills!T17*(1+Inputs!$B$34/100))+MIN((Skills!T17*(1+Inputs!$B$34/100)),MAX(0,Inputs!$B$43-((Calc!R17-1)*Skills!D17))))/Inputs!$B$43),IF(Inputs!$B$38="pvp",MIN((Skills!T17*(1+Inputs!$B$34/100)),15)/15,(Skills!T17*(1+Inputs!$B$34/100))/Skills!D17)))+((Calc!C14=TRUE)*Calc!F14*IF(Inputs!$B$3&gt;=110,7,5))</f>
        <v/>
      </c>
    </row>
    <row r="66">
      <c r="A66" t="inlineStr">
        <is>
          <t>Raging Blow (Basic Attack) DPS</t>
        </is>
      </c>
      <c r="B66">
        <f>Calc!O2</f>
        <v/>
      </c>
    </row>
    <row r="67">
      <c r="A67" t="inlineStr">
        <is>
          <t>Buff-Casting Startup Delay (s, before first damage-skill cast; fixed-duration only)</t>
        </is>
      </c>
      <c r="B67">
        <f>IF(AND(Inputs!$B$38&lt;&gt;"pvp",Inputs!$B$43&gt;0),SUMPRODUCT((Skills!T2:T26&gt;0)*(Skills!E2:E26=TRUE)*(Calc!C2:C26=TRUE))/B61,0)</f>
        <v/>
      </c>
    </row>
    <row r="68">
      <c r="A68" t="inlineStr">
        <is>
          <t>Boss-Only Total DPS (Sensitivity baseline)</t>
        </is>
      </c>
      <c r="B68">
        <f>SUM(Calc!T2:T26)</f>
        <v/>
      </c>
    </row>
    <row r="69">
      <c r="A69" t="inlineStr">
        <is>
          <t>Normal-Only Total DPS (Sensitivity baseline)</t>
        </is>
      </c>
      <c r="B69">
        <f>SUM(Calc!V2:V26)</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155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STR</t>
        </is>
      </c>
      <c r="B5">
        <f>IFERROR(1/(I5-100),"n/a")</f>
        <v/>
      </c>
      <c r="C5" t="inlineStr">
        <is>
          <t>flat</t>
        </is>
      </c>
      <c r="D5">
        <f>Inputs!$B$12</f>
        <v/>
      </c>
      <c r="E5">
        <f>(Inputs!$B$12+1)</f>
        <v/>
      </c>
      <c r="F5">
        <f>Summary!$B$3</f>
        <v/>
      </c>
      <c r="G5">
        <f>B72</f>
        <v/>
      </c>
      <c r="H5">
        <f>Summary!$B$3*(((1-Summary!$B$55)*IFERROR(B70/Summary!$B$68,1)+Summary!$B$55*IFERROR(B71/Summary!$B$69,1))-1)</f>
        <v/>
      </c>
      <c r="I5">
        <f>((1-Summary!$B$55)*IFERROR(B70/Summary!$B$68,1)+Summary!$B$55*IFERROR(B71/Summary!$B$69,1))*100</f>
        <v/>
      </c>
    </row>
    <row r="6">
      <c r="A6" t="inlineStr">
        <is>
          <t>STR %</t>
        </is>
      </c>
      <c r="B6">
        <f>IFERROR(1/(I6-100),"n/a")</f>
        <v/>
      </c>
      <c r="C6" t="inlineStr">
        <is>
          <t>pct</t>
        </is>
      </c>
      <c r="D6">
        <f>Inputs!$B$13</f>
        <v/>
      </c>
      <c r="E6">
        <f>(Inputs!$B$13+1)</f>
        <v/>
      </c>
      <c r="F6">
        <f>Summary!$B$3</f>
        <v/>
      </c>
      <c r="G6">
        <f>B114</f>
        <v/>
      </c>
      <c r="H6">
        <f>Summary!$B$3*(((1-Summary!$B$55)*IFERROR(B112/Summary!$B$68,1)+Summary!$B$55*IFERROR(B113/Summary!$B$69,1))-1)</f>
        <v/>
      </c>
      <c r="I6">
        <f>((1-Summary!$B$55)*IFERROR(B112/Summary!$B$68,1)+Summary!$B$55*IFERROR(B113/Summary!$B$69,1))*100</f>
        <v/>
      </c>
    </row>
    <row r="7">
      <c r="A7" t="inlineStr">
        <is>
          <t>DEX</t>
        </is>
      </c>
      <c r="B7">
        <f>IFERROR(1/(I7-100),"n/a")</f>
        <v/>
      </c>
      <c r="C7" t="inlineStr">
        <is>
          <t>flat</t>
        </is>
      </c>
      <c r="D7">
        <f>Inputs!$B$14</f>
        <v/>
      </c>
      <c r="E7">
        <f>(Inputs!$B$14+1)</f>
        <v/>
      </c>
      <c r="F7">
        <f>Summary!$B$3</f>
        <v/>
      </c>
      <c r="G7">
        <f>B156</f>
        <v/>
      </c>
      <c r="H7">
        <f>Summary!$B$3*(((1-Summary!$B$55)*IFERROR(B154/Summary!$B$68,1)+Summary!$B$55*IFERROR(B155/Summary!$B$69,1))-1)</f>
        <v/>
      </c>
      <c r="I7">
        <f>((1-Summary!$B$55)*IFERROR(B154/Summary!$B$68,1)+Summary!$B$55*IFERROR(B155/Summary!$B$69,1))*100</f>
        <v/>
      </c>
    </row>
    <row r="8">
      <c r="A8" t="inlineStr">
        <is>
          <t>DAMAGE %</t>
        </is>
      </c>
      <c r="B8">
        <f>IFERROR(1/(I8-100),"n/a")</f>
        <v/>
      </c>
      <c r="C8" t="inlineStr">
        <is>
          <t>pct</t>
        </is>
      </c>
      <c r="D8">
        <f>Inputs!$B$15</f>
        <v/>
      </c>
      <c r="E8">
        <f>(Inputs!$B$15+1)</f>
        <v/>
      </c>
      <c r="F8">
        <f>Summary!$B$3</f>
        <v/>
      </c>
      <c r="G8">
        <f>B198</f>
        <v/>
      </c>
      <c r="H8">
        <f>Summary!$B$3*(((1-Summary!$B$55)*IFERROR(B196/Summary!$B$68,1)+Summary!$B$55*IFERROR(B197/Summary!$B$69,1))-1)</f>
        <v/>
      </c>
      <c r="I8">
        <f>((1-Summary!$B$55)*IFERROR(B196/Summary!$B$68,1)+Summary!$B$55*IFERROR(B197/Summary!$B$69,1))*100</f>
        <v/>
      </c>
    </row>
    <row r="9">
      <c r="A9" t="inlineStr">
        <is>
          <t>DAMAGE_AMP %</t>
        </is>
      </c>
      <c r="B9">
        <f>IFERROR(1/(I9-100),"n/a")</f>
        <v/>
      </c>
      <c r="C9" t="inlineStr">
        <is>
          <t>pct</t>
        </is>
      </c>
      <c r="D9">
        <f>Inputs!$B$16</f>
        <v/>
      </c>
      <c r="E9">
        <f>(Inputs!$B$16+1)</f>
        <v/>
      </c>
      <c r="F9">
        <f>Summary!$B$3</f>
        <v/>
      </c>
      <c r="G9">
        <f>B240</f>
        <v/>
      </c>
      <c r="H9">
        <f>Summary!$B$3*(((1-Summary!$B$55)*IFERROR(B238/Summary!$B$68,1)+Summary!$B$55*IFERROR(B239/Summary!$B$69,1))-1)</f>
        <v/>
      </c>
      <c r="I9">
        <f>((1-Summary!$B$55)*IFERROR(B238/Summary!$B$68,1)+Summary!$B$55*IFERROR(B239/Summary!$B$69,1))*100</f>
        <v/>
      </c>
    </row>
    <row r="10">
      <c r="A10" t="inlineStr">
        <is>
          <t>BOSS_DAMAGE %</t>
        </is>
      </c>
      <c r="B10">
        <f>IFERROR(1/(I10-100),"n/a")</f>
        <v/>
      </c>
      <c r="C10" t="inlineStr">
        <is>
          <t>pct</t>
        </is>
      </c>
      <c r="D10">
        <f>Inputs!$B$20</f>
        <v/>
      </c>
      <c r="E10">
        <f>(Inputs!$B$20+1)</f>
        <v/>
      </c>
      <c r="F10">
        <f>Summary!$B$3</f>
        <v/>
      </c>
      <c r="G10">
        <f>B282</f>
        <v/>
      </c>
      <c r="H10">
        <f>Summary!$B$3*(((1-Summary!$B$55)*IFERROR(B280/Summary!$B$68,1)+Summary!$B$55*IFERROR(B281/Summary!$B$69,1))-1)</f>
        <v/>
      </c>
      <c r="I10">
        <f>((1-Summary!$B$55)*IFERROR(B280/Summary!$B$68,1)+Summary!$B$55*IFERROR(B281/Summary!$B$69,1))*100</f>
        <v/>
      </c>
    </row>
    <row r="11">
      <c r="A11" t="inlineStr">
        <is>
          <t>NORMAL_DAMAGE %</t>
        </is>
      </c>
      <c r="B11">
        <f>IFERROR(1/(I11-100),"n/a")</f>
        <v/>
      </c>
      <c r="C11" t="inlineStr">
        <is>
          <t>pct</t>
        </is>
      </c>
      <c r="D11">
        <f>Inputs!$B$21</f>
        <v/>
      </c>
      <c r="E11">
        <f>(Inputs!$B$21+1)</f>
        <v/>
      </c>
      <c r="F11">
        <f>Summary!$B$3</f>
        <v/>
      </c>
      <c r="G11">
        <f>B324</f>
        <v/>
      </c>
      <c r="H11">
        <f>Summary!$B$3*(((1-Summary!$B$55)*IFERROR(B322/Summary!$B$68,1)+Summary!$B$55*IFERROR(B323/Summary!$B$69,1))-1)</f>
        <v/>
      </c>
      <c r="I11">
        <f>((1-Summary!$B$55)*IFERROR(B322/Summary!$B$68,1)+Summary!$B$55*IFERROR(B323/Summary!$B$69,1))*100</f>
        <v/>
      </c>
    </row>
    <row r="12">
      <c r="A12" t="inlineStr">
        <is>
          <t>FINAL_DAMAGE % (multiplicative source)</t>
        </is>
      </c>
      <c r="B12">
        <f>IFERROR(1/(I12-100),"n/a")</f>
        <v/>
      </c>
      <c r="C12" t="inlineStr">
        <is>
          <t>mult</t>
        </is>
      </c>
      <c r="D12">
        <f>Inputs!$B$24</f>
        <v/>
      </c>
      <c r="E12">
        <f>((((1+Inputs!$B$24/100)*(1.01))-1)*100)</f>
        <v/>
      </c>
      <c r="F12">
        <f>Summary!$B$3</f>
        <v/>
      </c>
      <c r="G12">
        <f>B366</f>
        <v/>
      </c>
      <c r="H12">
        <f>Summary!$B$3*(((1-Summary!$B$55)*IFERROR(B364/Summary!$B$68,1)+Summary!$B$55*IFERROR(B365/Summary!$B$69,1))-1)</f>
        <v/>
      </c>
      <c r="I12">
        <f>((1-Summary!$B$55)*IFERROR(B364/Summary!$B$68,1)+Summary!$B$55*IFERROR(B365/Summary!$B$69,1))*100</f>
        <v/>
      </c>
    </row>
    <row r="13">
      <c r="A13" t="inlineStr">
        <is>
          <t>MIN_DAMAGE %</t>
        </is>
      </c>
      <c r="B13">
        <f>IFERROR(1/(I13-100),"n/a")</f>
        <v/>
      </c>
      <c r="C13" t="inlineStr">
        <is>
          <t>pct</t>
        </is>
      </c>
      <c r="D13">
        <f>Inputs!$B$22</f>
        <v/>
      </c>
      <c r="E13">
        <f>(Inputs!$B$22+1)</f>
        <v/>
      </c>
      <c r="F13">
        <f>Summary!$B$3</f>
        <v/>
      </c>
      <c r="G13">
        <f>B408</f>
        <v/>
      </c>
      <c r="H13">
        <f>Summary!$B$3*(((1-Summary!$B$55)*IFERROR(B406/Summary!$B$68,1)+Summary!$B$55*IFERROR(B407/Summary!$B$69,1))-1)</f>
        <v/>
      </c>
      <c r="I13">
        <f>((1-Summary!$B$55)*IFERROR(B406/Summary!$B$68,1)+Summary!$B$55*IFERROR(B407/Summary!$B$69,1))*100</f>
        <v/>
      </c>
    </row>
    <row r="14">
      <c r="A14" t="inlineStr">
        <is>
          <t>MAX_DAMAGE %</t>
        </is>
      </c>
      <c r="B14">
        <f>IFERROR(1/(I14-100),"n/a")</f>
        <v/>
      </c>
      <c r="C14" t="inlineStr">
        <is>
          <t>pct</t>
        </is>
      </c>
      <c r="D14">
        <f>Inputs!$B$23</f>
        <v/>
      </c>
      <c r="E14">
        <f>(Inputs!$B$23+1)</f>
        <v/>
      </c>
      <c r="F14">
        <f>Summary!$B$3</f>
        <v/>
      </c>
      <c r="G14">
        <f>B450</f>
        <v/>
      </c>
      <c r="H14">
        <f>Summary!$B$3*(((1-Summary!$B$55)*IFERROR(B448/Summary!$B$68,1)+Summary!$B$55*IFERROR(B449/Summary!$B$69,1))-1)</f>
        <v/>
      </c>
      <c r="I14">
        <f>((1-Summary!$B$55)*IFERROR(B448/Summary!$B$68,1)+Summary!$B$55*IFERROR(B449/Summary!$B$69,1))*100</f>
        <v/>
      </c>
    </row>
    <row r="15">
      <c r="A15" t="inlineStr">
        <is>
          <t>CRIT_RATE %</t>
        </is>
      </c>
      <c r="B15">
        <f>IFERROR(1/(I15-100),"n/a")</f>
        <v/>
      </c>
      <c r="C15" t="inlineStr">
        <is>
          <t>pct</t>
        </is>
      </c>
      <c r="D15">
        <f>Inputs!$B$9</f>
        <v/>
      </c>
      <c r="E15">
        <f>(Inputs!$B$9+1)</f>
        <v/>
      </c>
      <c r="F15">
        <f>Summary!$B$3</f>
        <v/>
      </c>
      <c r="G15">
        <f>B492</f>
        <v/>
      </c>
      <c r="H15">
        <f>Summary!$B$3*(((1-Summary!$B$55)*IFERROR(B490/Summary!$B$68,1)+Summary!$B$55*IFERROR(B491/Summary!$B$69,1))-1)</f>
        <v/>
      </c>
      <c r="I15">
        <f>((1-Summary!$B$55)*IFERROR(B490/Summary!$B$68,1)+Summary!$B$55*IFERROR(B491/Summary!$B$69,1))*100</f>
        <v/>
      </c>
    </row>
    <row r="16">
      <c r="A16" t="inlineStr">
        <is>
          <t>CRIT_DAMAGE %</t>
        </is>
      </c>
      <c r="B16">
        <f>IFERROR(1/(I16-100),"n/a")</f>
        <v/>
      </c>
      <c r="C16" t="inlineStr">
        <is>
          <t>pct</t>
        </is>
      </c>
      <c r="D16">
        <f>Inputs!$B$10</f>
        <v/>
      </c>
      <c r="E16">
        <f>(Inputs!$B$10+1)</f>
        <v/>
      </c>
      <c r="F16">
        <f>Summary!$B$3</f>
        <v/>
      </c>
      <c r="G16">
        <f>B534</f>
        <v/>
      </c>
      <c r="H16">
        <f>Summary!$B$3*(((1-Summary!$B$55)*IFERROR(B532/Summary!$B$68,1)+Summary!$B$55*IFERROR(B533/Summary!$B$69,1))-1)</f>
        <v/>
      </c>
      <c r="I16">
        <f>((1-Summary!$B$55)*IFERROR(B532/Summary!$B$68,1)+Summary!$B$55*IFERROR(B533/Summary!$B$69,1))*100</f>
        <v/>
      </c>
    </row>
    <row r="17">
      <c r="A17" t="inlineStr">
        <is>
          <t>ATTACK_SPEED % (diminishing returns, factor 150)</t>
        </is>
      </c>
      <c r="B17">
        <f>IFERROR(1/(I17-100),"n/a")</f>
        <v/>
      </c>
      <c r="C17" t="inlineStr">
        <is>
          <t>dr150</t>
        </is>
      </c>
      <c r="D17">
        <f>Inputs!$B$11</f>
        <v/>
      </c>
      <c r="E17">
        <f>((1-(1-Inputs!$B$11/150)*(1-1/150))*150)</f>
        <v/>
      </c>
      <c r="F17">
        <f>Summary!$B$3</f>
        <v/>
      </c>
      <c r="G17">
        <f>B576</f>
        <v/>
      </c>
      <c r="H17">
        <f>Summary!$B$3*(((1-Summary!$B$55)*IFERROR(B574/Summary!$B$68,1)+Summary!$B$55*IFERROR(B575/Summary!$B$69,1))-1)</f>
        <v/>
      </c>
      <c r="I17">
        <f>((1-Summary!$B$55)*IFERROR(B574/Summary!$B$68,1)+Summary!$B$55*IFERROR(B575/Summary!$B$69,1))*100</f>
        <v/>
      </c>
    </row>
    <row r="18">
      <c r="A18" t="inlineStr">
        <is>
          <t>DEF_PEN % (diminishing returns, factor 100)</t>
        </is>
      </c>
      <c r="B18">
        <f>IFERROR(1/(I18-100),"n/a")</f>
        <v/>
      </c>
      <c r="C18" t="inlineStr">
        <is>
          <t>dr100</t>
        </is>
      </c>
      <c r="D18">
        <f>Inputs!$B$19</f>
        <v/>
      </c>
      <c r="E18">
        <f>((1-(1-Inputs!$B$19/100)*(1-1/100))*100)</f>
        <v/>
      </c>
      <c r="F18">
        <f>Summary!$B$3</f>
        <v/>
      </c>
      <c r="G18">
        <f>B618</f>
        <v/>
      </c>
      <c r="H18">
        <f>Summary!$B$3*(((1-Summary!$B$55)*IFERROR(B616/Summary!$B$68,1)+Summary!$B$55*IFERROR(B617/Summary!$B$69,1))-1)</f>
        <v/>
      </c>
      <c r="I18">
        <f>((1-Summary!$B$55)*IFERROR(B616/Summary!$B$68,1)+Summary!$B$55*IFERROR(B617/Summary!$B$69,1))*100</f>
        <v/>
      </c>
    </row>
    <row r="19">
      <c r="A19" t="inlineStr">
        <is>
          <t>BASIC_ATTACK_DAMAGE %</t>
        </is>
      </c>
      <c r="B19">
        <f>IFERROR(1/(I19-100),"n/a")</f>
        <v/>
      </c>
      <c r="C19" t="inlineStr">
        <is>
          <t>pct</t>
        </is>
      </c>
      <c r="D19">
        <f>Inputs!$B$17</f>
        <v/>
      </c>
      <c r="E19">
        <f>(Inputs!$B$17+1)</f>
        <v/>
      </c>
      <c r="F19">
        <f>Summary!$B$3</f>
        <v/>
      </c>
      <c r="G19">
        <f>B660</f>
        <v/>
      </c>
      <c r="H19">
        <f>Summary!$B$3*(((1-Summary!$B$55)*IFERROR(B658/Summary!$B$68,1)+Summary!$B$55*IFERROR(B659/Summary!$B$69,1))-1)</f>
        <v/>
      </c>
      <c r="I19">
        <f>((1-Summary!$B$55)*IFERROR(B658/Summary!$B$68,1)+Summary!$B$55*IFERROR(B659/Summary!$B$69,1))*100</f>
        <v/>
      </c>
    </row>
    <row r="20">
      <c r="A20" t="inlineStr">
        <is>
          <t>SKILL_DAMAGE %</t>
        </is>
      </c>
      <c r="B20">
        <f>IFERROR(1/(I20-100),"n/a")</f>
        <v/>
      </c>
      <c r="C20" t="inlineStr">
        <is>
          <t>pct</t>
        </is>
      </c>
      <c r="D20">
        <f>Inputs!$B$18</f>
        <v/>
      </c>
      <c r="E20">
        <f>(Inputs!$B$18+1)</f>
        <v/>
      </c>
      <c r="F20">
        <f>Summary!$B$3</f>
        <v/>
      </c>
      <c r="G20">
        <f>B702</f>
        <v/>
      </c>
      <c r="H20">
        <f>Summary!$B$3*(((1-Summary!$B$55)*IFERROR(B700/Summary!$B$68,1)+Summary!$B$55*IFERROR(B701/Summary!$B$69,1))-1)</f>
        <v/>
      </c>
      <c r="I20">
        <f>((1-Summary!$B$55)*IFERROR(B700/Summary!$B$68,1)+Summary!$B$55*IFERROR(B701/Summary!$B$69,1))*100</f>
        <v/>
      </c>
    </row>
    <row r="21">
      <c r="A21" t="inlineStr">
        <is>
          <t>Skill Level Bonus — 1st Job</t>
        </is>
      </c>
      <c r="B21">
        <f>IFERROR(1/(I21-100),"n/a")</f>
        <v/>
      </c>
      <c r="C21" t="inlineStr">
        <is>
          <t>level</t>
        </is>
      </c>
      <c r="D21">
        <f>Inputs!$B$25</f>
        <v/>
      </c>
      <c r="E21">
        <f>(Inputs!$B$25+1)</f>
        <v/>
      </c>
      <c r="F21">
        <f>Summary!$B$3</f>
        <v/>
      </c>
      <c r="G21">
        <f>B744</f>
        <v/>
      </c>
      <c r="H21">
        <f>Summary!$B$3*(((1-Summary!$B$55)*IFERROR(B742/Summary!$B$68,1)+Summary!$B$55*IFERROR(B743/Summary!$B$69,1))-1)</f>
        <v/>
      </c>
      <c r="I21">
        <f>((1-Summary!$B$55)*IFERROR(B742/Summary!$B$68,1)+Summary!$B$55*IFERROR(B743/Summary!$B$69,1))*100</f>
        <v/>
      </c>
    </row>
    <row r="22">
      <c r="A22" t="inlineStr">
        <is>
          <t>Skill Level Bonus — 2nd Job</t>
        </is>
      </c>
      <c r="B22">
        <f>IFERROR(1/(I22-100),"n/a")</f>
        <v/>
      </c>
      <c r="C22" t="inlineStr">
        <is>
          <t>level</t>
        </is>
      </c>
      <c r="D22">
        <f>Inputs!$B$26</f>
        <v/>
      </c>
      <c r="E22">
        <f>(Inputs!$B$26+1)</f>
        <v/>
      </c>
      <c r="F22">
        <f>Summary!$B$3</f>
        <v/>
      </c>
      <c r="G22">
        <f>B786</f>
        <v/>
      </c>
      <c r="H22">
        <f>Summary!$B$3*(((1-Summary!$B$55)*IFERROR(B784/Summary!$B$68,1)+Summary!$B$55*IFERROR(B785/Summary!$B$69,1))-1)</f>
        <v/>
      </c>
      <c r="I22">
        <f>((1-Summary!$B$55)*IFERROR(B784/Summary!$B$68,1)+Summary!$B$55*IFERROR(B785/Summary!$B$69,1))*100</f>
        <v/>
      </c>
    </row>
    <row r="23">
      <c r="A23" t="inlineStr">
        <is>
          <t>Skill Level Bonus — 3rd Job</t>
        </is>
      </c>
      <c r="B23">
        <f>IFERROR(1/(I23-100),"n/a")</f>
        <v/>
      </c>
      <c r="C23" t="inlineStr">
        <is>
          <t>level</t>
        </is>
      </c>
      <c r="D23">
        <f>Inputs!$B$27</f>
        <v/>
      </c>
      <c r="E23">
        <f>(Inputs!$B$27+1)</f>
        <v/>
      </c>
      <c r="F23">
        <f>Summary!$B$3</f>
        <v/>
      </c>
      <c r="G23">
        <f>B828</f>
        <v/>
      </c>
      <c r="H23">
        <f>Summary!$B$3*(((1-Summary!$B$55)*IFERROR(B826/Summary!$B$68,1)+Summary!$B$55*IFERROR(B827/Summary!$B$69,1))-1)</f>
        <v/>
      </c>
      <c r="I23">
        <f>((1-Summary!$B$55)*IFERROR(B826/Summary!$B$68,1)+Summary!$B$55*IFERROR(B827/Summary!$B$69,1))*100</f>
        <v/>
      </c>
    </row>
    <row r="24">
      <c r="A24" t="inlineStr">
        <is>
          <t>Skill Level Bonus — 4th Job</t>
        </is>
      </c>
      <c r="B24">
        <f>IFERROR(1/(I24-100),"n/a")</f>
        <v/>
      </c>
      <c r="C24" t="inlineStr">
        <is>
          <t>level</t>
        </is>
      </c>
      <c r="D24">
        <f>Inputs!$B$28</f>
        <v/>
      </c>
      <c r="E24">
        <f>(Inputs!$B$28+1)</f>
        <v/>
      </c>
      <c r="F24">
        <f>Summary!$B$3</f>
        <v/>
      </c>
      <c r="G24">
        <f>B870</f>
        <v/>
      </c>
      <c r="H24">
        <f>Summary!$B$3*(((1-Summary!$B$55)*IFERROR(B868/Summary!$B$68,1)+Summary!$B$55*IFERROR(B869/Summary!$B$69,1))-1)</f>
        <v/>
      </c>
      <c r="I24">
        <f>((1-Summary!$B$55)*IFERROR(B868/Summary!$B$68,1)+Summary!$B$55*IFERROR(B869/Summary!$B$69,1))*100</f>
        <v/>
      </c>
    </row>
    <row r="25">
      <c r="A25" t="inlineStr">
        <is>
          <t>Skill Level Bonus — All Skills</t>
        </is>
      </c>
      <c r="B25">
        <f>IFERROR(1/(I25-100),"n/a")</f>
        <v/>
      </c>
      <c r="C25" t="inlineStr">
        <is>
          <t>level</t>
        </is>
      </c>
      <c r="D25">
        <f>Inputs!$B$29</f>
        <v/>
      </c>
      <c r="E25">
        <f>(Inputs!$B$29+1)</f>
        <v/>
      </c>
      <c r="F25">
        <f>Summary!$B$3</f>
        <v/>
      </c>
      <c r="G25">
        <f>B912</f>
        <v/>
      </c>
      <c r="H25">
        <f>Summary!$B$3*(((1-Summary!$B$55)*IFERROR(B910/Summary!$B$68,1)+Summary!$B$55*IFERROR(B911/Summary!$B$69,1))-1)</f>
        <v/>
      </c>
      <c r="I25">
        <f>((1-Summary!$B$55)*IFERROR(B910/Summary!$B$68,1)+Summary!$B$55*IFERROR(B911/Summary!$B$69,1))*100</f>
        <v/>
      </c>
    </row>
    <row r="26">
      <c r="A26" t="inlineStr">
        <is>
          <t>Flat ATTACK</t>
        </is>
      </c>
      <c r="B26">
        <f>IFERROR(1/(I26-100),"n/a")</f>
        <v/>
      </c>
      <c r="C26" t="inlineStr">
        <is>
          <t>flat</t>
        </is>
      </c>
      <c r="D26">
        <f>Inputs!$B$6</f>
        <v/>
      </c>
      <c r="E26">
        <f>(Inputs!$B$6+1)</f>
        <v/>
      </c>
      <c r="F26">
        <f>Summary!$B$3</f>
        <v/>
      </c>
      <c r="G26">
        <f>B954</f>
        <v/>
      </c>
      <c r="H26">
        <f>Summary!$B$3*(((1-Summary!$B$55)*IFERROR(B952/Summary!$B$68,1)+Summary!$B$55*IFERROR(B953/Summary!$B$69,1))-1)</f>
        <v/>
      </c>
      <c r="I26">
        <f>((1-Summary!$B$55)*IFERROR(B952/Summary!$B$68,1)+Summary!$B$55*IFERROR(B953/Summary!$B$69,1))*100</f>
        <v/>
      </c>
    </row>
    <row r="27">
      <c r="A27" t="inlineStr">
        <is>
          <t>ATTACK %</t>
        </is>
      </c>
      <c r="B27">
        <f>IFERROR(1/(I27-100),"n/a")</f>
        <v/>
      </c>
      <c r="C27" t="inlineStr">
        <is>
          <t>pct</t>
        </is>
      </c>
      <c r="D27">
        <f>Inputs!$B$7</f>
        <v/>
      </c>
      <c r="E27">
        <f>(Inputs!$B$7+1)</f>
        <v/>
      </c>
      <c r="F27">
        <f>Summary!$B$3</f>
        <v/>
      </c>
      <c r="G27">
        <f>B996</f>
        <v/>
      </c>
      <c r="H27">
        <f>Summary!$B$3*(((1-Summary!$B$55)*IFERROR(B994/Summary!$B$68,1)+Summary!$B$55*IFERROR(B995/Summary!$B$69,1))-1)</f>
        <v/>
      </c>
      <c r="I27">
        <f>((1-Summary!$B$55)*IFERROR(B994/Summary!$B$68,1)+Summary!$B$55*IFERROR(B995/Summary!$B$69,1))*100</f>
        <v/>
      </c>
    </row>
    <row r="28">
      <c r="A28" t="inlineStr">
        <is>
          <t>Skill Cooldown Decrease (seconds)</t>
        </is>
      </c>
      <c r="B28">
        <f>IFERROR(1/(I28-100),"n/a")</f>
        <v/>
      </c>
      <c r="C28" t="inlineStr">
        <is>
          <t>flat</t>
        </is>
      </c>
      <c r="D28">
        <f>Inputs!$B$32</f>
        <v/>
      </c>
      <c r="E28">
        <f>(Inputs!$B$32+1)</f>
        <v/>
      </c>
      <c r="F28">
        <f>Summary!$B$3</f>
        <v/>
      </c>
      <c r="G28">
        <f>B1038</f>
        <v/>
      </c>
      <c r="H28">
        <f>Summary!$B$3*(((1-Summary!$B$55)*IFERROR(B1036/Summary!$B$68,1)+Summary!$B$55*IFERROR(B1037/Summary!$B$69,1))-1)</f>
        <v/>
      </c>
      <c r="I28">
        <f>((1-Summary!$B$55)*IFERROR(B1036/Summary!$B$68,1)+Summary!$B$55*IFERROR(B1037/Summary!$B$69,1))*100</f>
        <v/>
      </c>
    </row>
    <row r="29">
      <c r="A29" t="inlineStr">
        <is>
          <t>Basic Attack Target Increase (flat)</t>
        </is>
      </c>
      <c r="B29">
        <f>IFERROR(1/(I29-100),"n/a")</f>
        <v/>
      </c>
      <c r="C29" t="inlineStr">
        <is>
          <t>flat</t>
        </is>
      </c>
      <c r="D29">
        <f>Inputs!$B$33</f>
        <v/>
      </c>
      <c r="E29">
        <f>(Inputs!$B$33+1)</f>
        <v/>
      </c>
      <c r="F29">
        <f>Summary!$B$3</f>
        <v/>
      </c>
      <c r="G29">
        <f>B1080</f>
        <v/>
      </c>
      <c r="H29">
        <f>Summary!$B$3*(((1-Summary!$B$55)*IFERROR(B1078/Summary!$B$68,1)+Summary!$B$55*IFERROR(B1079/Summary!$B$69,1))-1)</f>
        <v/>
      </c>
      <c r="I29">
        <f>((1-Summary!$B$55)*IFERROR(B1078/Summary!$B$68,1)+Summary!$B$55*IFERROR(B1079/Summary!$B$69,1))*100</f>
        <v/>
      </c>
    </row>
    <row r="30">
      <c r="A30" t="inlineStr">
        <is>
          <t>Buff Duration Increase %</t>
        </is>
      </c>
      <c r="B30">
        <f>IFERROR(1/(I30-100),"n/a")</f>
        <v/>
      </c>
      <c r="C30" t="inlineStr">
        <is>
          <t>pct</t>
        </is>
      </c>
      <c r="D30">
        <f>Inputs!$B$34</f>
        <v/>
      </c>
      <c r="E30">
        <f>(Inputs!$B$34+1)</f>
        <v/>
      </c>
      <c r="F30">
        <f>Summary!$B$3</f>
        <v/>
      </c>
      <c r="G30">
        <f>B1122</f>
        <v/>
      </c>
      <c r="H30">
        <f>Summary!$B$3*(((1-Summary!$B$55)*IFERROR(B1120/Summary!$B$68,1)+Summary!$B$55*IFERROR(B1121/Summary!$B$69,1))-1)</f>
        <v/>
      </c>
      <c r="I30">
        <f>((1-Summary!$B$55)*IFERROR(B1120/Summary!$B$68,1)+Summary!$B$55*IFERROR(B1121/Summary!$B$69,1))*100</f>
        <v/>
      </c>
    </row>
    <row r="33">
      <c r="A33" s="5" t="inlineStr">
        <is>
          <t>Stat: Flat STR</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((Inputs!$B$6*(1+Inputs!$B$7/100))+((((Inputs!$B$12+1)*(1+Inputs!$B$13/100))-(Inputs!$B$12*(1+Inputs!$B$13/100)))+0.25*(Inputs!$B$14-Inputs!$B$14))*(1+Inputs!$B$7/100))*(F35/100)</f>
        <v/>
      </c>
      <c r="K35">
        <f>J35*(1+(((Inputs!$B$12+1)*(1+Inputs!$B$13/100))*0.01+Inputs!$B$14*0.0025)/100)*(1+Inputs!$B$15/100)*(1+Inputs!$B$16/100)*(5000/(6000+Inputs!$B$42*(1-(Inputs!$B$19+0)/100)))*(1+(Inputs!$B$24+((C58=TRUE)*(F58-Calc!F25))+B68)/100)*(1+IF(Skills!A2="ENHANCED_RAGING_BLOW",IF(Inputs!$B$3&gt;=134,MAX(0,IF(Inputs!$B$3&gt;=110,7,5)-5)*50,0),0)/100)*(1+(IF(Skills!A2="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35)</f>
        <v/>
      </c>
      <c r="L35">
        <f>K35*(MIN(Inputs!$B$22+((C55=TRUE)*(F55-Calc!F22)),Inputs!$B$23+((C57=TRUE)*(F57-Calc!F24)))/100+(Inputs!$B$23+((C57=TRUE)*(F57-Calc!F24)))/100)/2</f>
        <v/>
      </c>
      <c r="M35">
        <f>L35*(1+(Inputs!$B$10+0+B67)/100)</f>
        <v/>
      </c>
      <c r="N35">
        <f>L35*(1-MIN((Inputs!$B$9+((C59=TRUE)*(F59-Calc!F26))+B62),100)/100)+M35*(MIN((Inputs!$B$9+((C59=TRUE)*(F59-Calc!F26))+B62),100)/100)</f>
        <v/>
      </c>
      <c r="O35">
        <f>(1-Summary!$B$55)*T35+Summary!$B$55*V35</f>
        <v/>
      </c>
      <c r="P35">
        <f>IF(B72=0,0,O35/B72)</f>
        <v/>
      </c>
      <c r="Q35" t="n">
        <v>0</v>
      </c>
      <c r="R35" t="n">
        <v>0</v>
      </c>
      <c r="S35">
        <f>IFERROR(O35/N35,0)</f>
        <v/>
      </c>
      <c r="T35">
        <f>IF(C35,(Skills!G2*N35*B66)*IF(Inputs!$B$38="pvp",1,1+(Inputs!$B$20+0+Skills!P2+Summary!$B$59)/100),0)</f>
        <v/>
      </c>
      <c r="U35">
        <f>MAX(0,(Inputs!$B$3-100)*3)+Inputs!$B$28+Inputs!$B$29</f>
        <v/>
      </c>
      <c r="V35">
        <f>IF(C35,(Skills!G2*N35*B66)*IF(Inputs!$B$38="pvp",1,(1+(Inputs!$B$21+Skills!Q2+Summary!$B$59)/100)*(MIN((6+Inputs!$B$33),Inputs!$B$37))),0)</f>
        <v/>
      </c>
    </row>
    <row r="36">
      <c r="A36">
        <f>Skills!A3</f>
        <v/>
      </c>
      <c r="B36">
        <f>Skills!B3</f>
        <v/>
      </c>
      <c r="C36">
        <f>Inputs!$B$3&gt;=50</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U36">
        <f>INDEX(FactorTable!$B$2:$Y$301, MATCH(ROUND(MIN(300,MAX(1,U35)),0), FactorTable!$A$2:$A$301,0), 22)</f>
        <v/>
      </c>
    </row>
    <row r="37">
      <c r="A37">
        <f>Skills!A4</f>
        <v/>
      </c>
      <c r="B37">
        <f>Skills!B4</f>
        <v/>
      </c>
      <c r="C37">
        <f>Inputs!$B$3&gt;=105</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t="inlineStr"/>
      <c r="H37" t="inlineStr"/>
      <c r="I37" t="inlineStr">
        <is>
          <t>1</t>
        </is>
      </c>
      <c r="J37" t="inlineStr"/>
      <c r="K37" t="inlineStr"/>
      <c r="L37" t="inlineStr"/>
      <c r="M37" t="inlineStr"/>
      <c r="N37" t="inlineStr"/>
      <c r="O37" t="inlineStr"/>
      <c r="P37" t="inlineStr"/>
      <c r="Q37" t="inlineStr"/>
      <c r="R37" t="inlineStr"/>
      <c r="S37" t="inlineStr"/>
      <c r="U37">
        <f>290*U36/1000</f>
        <v/>
      </c>
    </row>
    <row r="38">
      <c r="A38">
        <f>Skills!A5</f>
        <v/>
      </c>
      <c r="B38">
        <f>Skills!B5</f>
        <v/>
      </c>
      <c r="C38">
        <f>Inputs!$B$3&gt;=103</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((Inputs!$B$6*(1+Inputs!$B$7/100))+((((Inputs!$B$12+1)*(1+Inputs!$B$13/100))-(Inputs!$B$12*(1+Inputs!$B$13/100)))+0.25*(Inputs!$B$14-Inputs!$B$14))*(1+Inputs!$B$7/100))*(F38/100)</f>
        <v/>
      </c>
      <c r="K38">
        <f>J38*(1+(((Inputs!$B$12+1)*(1+Inputs!$B$13/100))*0.01+Inputs!$B$14*0.0025)/100)*(1+Inputs!$B$15/100)*(1+Inputs!$B$16/100)*(5000/(6000+Inputs!$B$42*(1-(Inputs!$B$19+0)/100)))*(1+(Inputs!$B$24+((C58=TRUE)*(F58-Calc!F25))+B68)/100)*(1+IF(Skills!A5="ENHANCED_RAGING_BLOW",IF(Inputs!$B$3&gt;=134,MAX(0,IF(Inputs!$B$3&gt;=110,7,5)-5)*50,0),0)/100)*(1+(IF(Skills!A5="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38)</f>
        <v/>
      </c>
      <c r="L38">
        <f>K38*(MIN(Inputs!$B$22+((C55=TRUE)*(F55-Calc!F22)),Inputs!$B$23+((C57=TRUE)*(F57-Calc!F24)))/100+(Inputs!$B$23+((C57=TRUE)*(F57-Calc!F24)))/100)/2</f>
        <v/>
      </c>
      <c r="M38">
        <f>L38*(1+(Inputs!$B$10+0+B67)/100)</f>
        <v/>
      </c>
      <c r="N38">
        <f>L38*(1-MIN((Inputs!$B$9+((C59=TRUE)*(F59-Calc!F26))+B62),100)/100)+M38*(MIN((Inputs!$B$9+((C59=TRUE)*(F59-Calc!F26))+B62),100)/100)</f>
        <v/>
      </c>
      <c r="O38">
        <f>(1-Summary!$B$55)*T38+Summary!$B$55*V38</f>
        <v/>
      </c>
      <c r="P38">
        <f>IF(B72=0,0,O38/B72)</f>
        <v/>
      </c>
      <c r="Q38">
        <f>IFERROR(1/IF(Inputs!$B$38="pvp",15,MAX(0.1,Skills!D5-IF(Skills!E5=TRUE,Inputs!$B$32,0))),0)</f>
        <v/>
      </c>
      <c r="R38">
        <f>IF(AND(Inputs!$B$38&lt;&gt;"pvp",Inputs!$B$43&gt;0),IF(MAX(0,Inputs!$B$43-B69)&lt;=0,0,(INT(MAX(0,Inputs!$B$43-B69)/IF(Inputs!$B$38="pvp",15,MAX(0.1,Skills!D5-IF(Skills!E5=TRUE,Inputs!$B$32,0))))+1)),0)</f>
        <v/>
      </c>
      <c r="S38">
        <f>IFERROR(O38/N38,0)</f>
        <v/>
      </c>
      <c r="T38">
        <f>IF(C38,(H38*N38*IF(AND(Inputs!$B$38&lt;&gt;"pvp",Inputs!$B$43&gt;0),((Skills!G5*((R38-1)*IF(Skills!H5&gt;0,Skills!I5/Skills!H5,1)+IF(Skills!H5&gt;0,MIN(Skills!I5,MAX(0,MAX(0,Inputs!$B$43-B69)-((R38-1)*IF(Inputs!$B$38="pvp",15,MAX(0.1,Skills!D5-IF(Skills!E5=TRUE,Inputs!$B$32,0))))))/Skills!H5,1)))/Inputs!$B$43),G38*Q38))*IF(Inputs!$B$38="pvp",1,1+(Inputs!$B$20+0+Skills!P5+Summary!$B$59)/100),0)</f>
        <v/>
      </c>
      <c r="V38">
        <f>IF(C38,(H38*N38*IF(AND(Inputs!$B$38&lt;&gt;"pvp",Inputs!$B$43&gt;0),((Skills!G5*((R38-1)*IF(Skills!H5&gt;0,Skills!I5/Skills!H5,1)+IF(Skills!H5&gt;0,MIN(Skills!I5,MAX(0,MAX(0,Inputs!$B$43-B69)-((R38-1)*IF(Inputs!$B$38="pvp",15,MAX(0.1,Skills!D5-IF(Skills!E5=TRUE,Inputs!$B$32,0))))))/Skills!H5,1)))/Inputs!$B$43),G38*Q38))*IF(Inputs!$B$38="pvp",1,(1+(Inputs!$B$21+Skills!Q5+Summary!$B$59)/100)*(MIN(Skills!R5,Inputs!$B$37))),0)</f>
        <v/>
      </c>
    </row>
    <row r="39">
      <c r="A39">
        <f>Skills!A6</f>
        <v/>
      </c>
      <c r="B39">
        <f>Skills!B6</f>
        <v/>
      </c>
      <c r="C39">
        <f>Inputs!$B$3&gt;=103</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((Inputs!$B$6*(1+Inputs!$B$7/100))+((((Inputs!$B$12+1)*(1+Inputs!$B$13/100))-(Inputs!$B$12*(1+Inputs!$B$13/100)))+0.25*(Inputs!$B$14-Inputs!$B$14))*(1+Inputs!$B$7/100))*(F39/100)</f>
        <v/>
      </c>
      <c r="K39">
        <f>J39*(1+(((Inputs!$B$12+1)*(1+Inputs!$B$13/100))*0.01+Inputs!$B$14*0.0025)/100)*(1+Inputs!$B$15/100)*(1+Inputs!$B$16/100)*(5000/(6000+Inputs!$B$42*(1-(Inputs!$B$19+0)/100)))*(1+(Inputs!$B$24+((C58=TRUE)*(F58-Calc!F25))+B68)/100)*(1+IF(Skills!A6="ENHANCED_RAGING_BLOW",IF(Inputs!$B$3&gt;=134,MAX(0,IF(Inputs!$B$3&gt;=110,7,5)-5)*50,0),0)/100)*(1+(IF(Skills!A6="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39)</f>
        <v/>
      </c>
      <c r="L39">
        <f>K39*(MIN(Inputs!$B$22+((C55=TRUE)*(F55-Calc!F22)),Inputs!$B$23+((C57=TRUE)*(F57-Calc!F24)))/100+(Inputs!$B$23+((C57=TRUE)*(F57-Calc!F24)))/100)/2</f>
        <v/>
      </c>
      <c r="M39">
        <f>L39*(1+(Inputs!$B$10+0+B67)/100)</f>
        <v/>
      </c>
      <c r="N39">
        <f>L39*(1-MIN((Inputs!$B$9+((C59=TRUE)*(F59-Calc!F26))+B62),100)/100)+M39*(MIN((Inputs!$B$9+((C59=TRUE)*(F59-Calc!F26))+B62),100)/100)</f>
        <v/>
      </c>
      <c r="O39">
        <f>(1-Summary!$B$55)*T39+Summary!$B$55*V39</f>
        <v/>
      </c>
      <c r="P39">
        <f>IF(B72=0,0,O39/B72)</f>
        <v/>
      </c>
      <c r="Q39">
        <f>IFERROR(1/IF(Inputs!$B$38="pvp",15,MAX(0.1,Skills!D6-IF(Skills!E6=TRUE,Inputs!$B$32,0))),0)</f>
        <v/>
      </c>
      <c r="R39">
        <f>IF(AND(Inputs!$B$38&lt;&gt;"pvp",Inputs!$B$43&gt;0),IF(MAX(0,Inputs!$B$43-B69)&lt;=0,0,(INT(MAX(0,Inputs!$B$43-B69)/IF(Inputs!$B$38="pvp",15,MAX(0.1,Skills!D6-IF(Skills!E6=TRUE,Inputs!$B$32,0))))+1)),0)</f>
        <v/>
      </c>
      <c r="S39">
        <f>IFERROR(O39/N39,0)</f>
        <v/>
      </c>
      <c r="T39">
        <f>IF(C39,(H39*N39*IF(AND(Inputs!$B$38&lt;&gt;"pvp",Inputs!$B$43&gt;0),((Skills!G6*((R39-1)*IF(Skills!H6&gt;0,Skills!I6/Skills!H6,1)+IF(Skills!H6&gt;0,MIN(Skills!I6,MAX(0,MAX(0,Inputs!$B$43-B69)-((R39-1)*IF(Inputs!$B$38="pvp",15,MAX(0.1,Skills!D6-IF(Skills!E6=TRUE,Inputs!$B$32,0))))))/Skills!H6,1)))/Inputs!$B$43),G39*Q39))*IF(Inputs!$B$38="pvp",1,1+(Inputs!$B$20+0+Skills!P6+Summary!$B$59)/100),0)</f>
        <v/>
      </c>
      <c r="V39">
        <f>IF(C39,(H39*N39*IF(AND(Inputs!$B$38&lt;&gt;"pvp",Inputs!$B$43&gt;0),((Skills!G6*((R39-1)*IF(Skills!H6&gt;0,Skills!I6/Skills!H6,1)+IF(Skills!H6&gt;0,MIN(Skills!I6,MAX(0,MAX(0,Inputs!$B$43-B69)-((R39-1)*IF(Inputs!$B$38="pvp",15,MAX(0.1,Skills!D6-IF(Skills!E6=TRUE,Inputs!$B$32,0))))))/Skills!H6,1)))/Inputs!$B$43),G39*Q39))*IF(Inputs!$B$38="pvp",1,(1+(Inputs!$B$21+Skills!Q6+Summary!$B$59)/100)*(MIN(Skills!R6,Inputs!$B$37))),0)</f>
        <v/>
      </c>
    </row>
    <row r="40">
      <c r="A40">
        <f>Skills!A7</f>
        <v/>
      </c>
      <c r="B40">
        <f>Skills!B7</f>
        <v/>
      </c>
      <c r="C40">
        <f>Inputs!$B$3&gt;=107</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((Inputs!$B$6*(1+Inputs!$B$7/100))+((((Inputs!$B$12+1)*(1+Inputs!$B$13/100))-(Inputs!$B$12*(1+Inputs!$B$13/100)))+0.25*(Inputs!$B$14-Inputs!$B$14))*(1+Inputs!$B$7/100))*(F40/100)</f>
        <v/>
      </c>
      <c r="K40">
        <f>J40*(1+(((Inputs!$B$12+1)*(1+Inputs!$B$13/100))*0.01+Inputs!$B$14*0.0025)/100)*(1+Inputs!$B$15/100)*(1+Inputs!$B$16/100)*(5000/(6000+Inputs!$B$42*(1-(Inputs!$B$19+0)/100)))*(1+(Inputs!$B$24+((C58=TRUE)*(F58-Calc!F25))+B68)/100)*(1+IF(Skills!A7="ENHANCED_RAGING_BLOW",IF(Inputs!$B$3&gt;=134,MAX(0,IF(Inputs!$B$3&gt;=110,7,5)-5)*50,0),0)/100)*(1+(IF(Skills!A7="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40)</f>
        <v/>
      </c>
      <c r="L40">
        <f>K40*(MIN(Inputs!$B$22+((C55=TRUE)*(F55-Calc!F22)),Inputs!$B$23+((C57=TRUE)*(F57-Calc!F24)))/100+(Inputs!$B$23+((C57=TRUE)*(F57-Calc!F24)))/100)/2</f>
        <v/>
      </c>
      <c r="M40">
        <f>L40*(1+(Inputs!$B$10+0+B67)/100)</f>
        <v/>
      </c>
      <c r="N40">
        <f>L40*(1-MIN((Inputs!$B$9+((C59=TRUE)*(F59-Calc!F26))+B62),100)/100)+M40*(MIN((Inputs!$B$9+((C59=TRUE)*(F59-Calc!F26))+B62),100)/100)</f>
        <v/>
      </c>
      <c r="O40">
        <f>(1-Summary!$B$55)*T40+Summary!$B$55*V40</f>
        <v/>
      </c>
      <c r="P40">
        <f>IF(B72=0,0,O40/B72)</f>
        <v/>
      </c>
      <c r="Q40">
        <f>IFERROR(1/IF(Inputs!$B$38="pvp",15,MAX(0.1,Skills!D7-IF(Skills!E7=TRUE,Inputs!$B$32,0))),0)</f>
        <v/>
      </c>
      <c r="R40">
        <f>IF(AND(Inputs!$B$38&lt;&gt;"pvp",Inputs!$B$43&gt;0),IF(MAX(0,Inputs!$B$43-B69)&lt;=0,0,(INT(MAX(0,Inputs!$B$43-B69)/IF(Inputs!$B$38="pvp",15,MAX(0.1,Skills!D7-IF(Skills!E7=TRUE,Inputs!$B$32,0))))+1)),0)</f>
        <v/>
      </c>
      <c r="S40">
        <f>IFERROR(O40/N40,0)</f>
        <v/>
      </c>
      <c r="T40">
        <f>IF(C40,(H40*N40*IF(AND(Inputs!$B$38&lt;&gt;"pvp",Inputs!$B$43&gt;0),((Skills!G7*((R40-1)*IF(Skills!H7&gt;0,Skills!I7/Skills!H7,1)+IF(Skills!H7&gt;0,MIN(Skills!I7,MAX(0,MAX(0,Inputs!$B$43-B69)-((R40-1)*IF(Inputs!$B$38="pvp",15,MAX(0.1,Skills!D7-IF(Skills!E7=TRUE,Inputs!$B$32,0))))))/Skills!H7,1)))/Inputs!$B$43),G40*Q40))*IF(Inputs!$B$38="pvp",1,1+(Inputs!$B$20+0+Skills!P7+Summary!$B$59)/100),0)</f>
        <v/>
      </c>
      <c r="V40">
        <f>IF(C40,(H40*N40*IF(AND(Inputs!$B$38&lt;&gt;"pvp",Inputs!$B$43&gt;0),((Skills!G7*((R40-1)*IF(Skills!H7&gt;0,Skills!I7/Skills!H7,1)+IF(Skills!H7&gt;0,MIN(Skills!I7,MAX(0,MAX(0,Inputs!$B$43-B69)-((R40-1)*IF(Inputs!$B$38="pvp",15,MAX(0.1,Skills!D7-IF(Skills!E7=TRUE,Inputs!$B$32,0))))))/Skills!H7,1)))/Inputs!$B$43),G40*Q40))*IF(Inputs!$B$38="pvp",1,(1+(Inputs!$B$21+Skills!Q7+Summary!$B$59)/100)*(MIN(Skills!R7,Inputs!$B$37))),0)</f>
        <v/>
      </c>
    </row>
    <row r="41">
      <c r="A41">
        <f>Skills!A8</f>
        <v/>
      </c>
      <c r="B41">
        <f>Skills!B8</f>
        <v/>
      </c>
      <c r="C41">
        <f>Inputs!$B$3&gt;=117</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((Inputs!$B$6*(1+Inputs!$B$7/100))+((((Inputs!$B$12+1)*(1+Inputs!$B$13/100))-(Inputs!$B$12*(1+Inputs!$B$13/100)))+0.25*(Inputs!$B$14-Inputs!$B$14))*(1+Inputs!$B$7/100))*(F41/100)</f>
        <v/>
      </c>
      <c r="K41">
        <f>J41*(1+(((Inputs!$B$12+1)*(1+Inputs!$B$13/100))*0.01+Inputs!$B$14*0.0025)/100)*(1+Inputs!$B$15/100)*(1+Inputs!$B$16/100)*(5000/(6000+Inputs!$B$42*(1-(Inputs!$B$19+0)/100)))*(1+(Inputs!$B$24+((C58=TRUE)*(F58-Calc!F25))+B68)/100)*(1+IF(Skills!A8="ENHANCED_RAGING_BLOW",IF(Inputs!$B$3&gt;=134,MAX(0,IF(Inputs!$B$3&gt;=110,7,5)-5)*50,0),0)/100)*(1+(IF(Skills!A8="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41)</f>
        <v/>
      </c>
      <c r="L41">
        <f>K41*(MIN(Inputs!$B$22+((C55=TRUE)*(F55-Calc!F22)),Inputs!$B$23+((C57=TRUE)*(F57-Calc!F24)))/100+(Inputs!$B$23+((C57=TRUE)*(F57-Calc!F24)))/100)/2</f>
        <v/>
      </c>
      <c r="M41">
        <f>L41*(1+(Inputs!$B$10+0+B67)/100)</f>
        <v/>
      </c>
      <c r="N41">
        <f>L41*(1-MIN((Inputs!$B$9+((C59=TRUE)*(F59-Calc!F26))+B62),100)/100)+M41*(MIN((Inputs!$B$9+((C59=TRUE)*(F59-Calc!F26))+B62),100)/100)</f>
        <v/>
      </c>
      <c r="O41">
        <f>(1-Summary!$B$55)*T41+Summary!$B$55*V41</f>
        <v/>
      </c>
      <c r="P41">
        <f>IF(B72=0,0,O41/B72)</f>
        <v/>
      </c>
      <c r="Q41">
        <f>IFERROR(1/IF(Inputs!$B$38="pvp",15,MAX(0.1,Skills!D8-IF(Skills!E8=TRUE,Inputs!$B$32,0))),0)</f>
        <v/>
      </c>
      <c r="R41">
        <f>IF(AND(Inputs!$B$38&lt;&gt;"pvp",Inputs!$B$43&gt;0),IF(MAX(0,Inputs!$B$43-B69)&lt;=0,0,(INT(MAX(0,Inputs!$B$43-B69)/IF(Inputs!$B$38="pvp",15,MAX(0.1,Skills!D8-IF(Skills!E8=TRUE,Inputs!$B$32,0))))+1)),0)</f>
        <v/>
      </c>
      <c r="S41">
        <f>IFERROR(O41/N41,0)</f>
        <v/>
      </c>
      <c r="T41">
        <f>IF(C41,(H41*N41*IF(AND(Inputs!$B$38&lt;&gt;"pvp",Inputs!$B$43&gt;0),((Skills!G8*((R41-1)*IF(Skills!H8&gt;0,Skills!I8/Skills!H8,1)+IF(Skills!H8&gt;0,MIN(Skills!I8,MAX(0,MAX(0,Inputs!$B$43-B69)-((R41-1)*IF(Inputs!$B$38="pvp",15,MAX(0.1,Skills!D8-IF(Skills!E8=TRUE,Inputs!$B$32,0))))))/Skills!H8,1)))/Inputs!$B$43),G41*Q41))*IF(Inputs!$B$38="pvp",1,1+(Inputs!$B$20+0+Skills!P8+Summary!$B$59)/100),0)</f>
        <v/>
      </c>
      <c r="V41">
        <f>IF(C41,(H41*N41*IF(AND(Inputs!$B$38&lt;&gt;"pvp",Inputs!$B$43&gt;0),((Skills!G8*((R41-1)*IF(Skills!H8&gt;0,Skills!I8/Skills!H8,1)+IF(Skills!H8&gt;0,MIN(Skills!I8,MAX(0,MAX(0,Inputs!$B$43-B69)-((R41-1)*IF(Inputs!$B$38="pvp",15,MAX(0.1,Skills!D8-IF(Skills!E8=TRUE,Inputs!$B$32,0))))))/Skills!H8,1)))/Inputs!$B$43),G41*Q41))*IF(Inputs!$B$38="pvp",1,(1+(Inputs!$B$21+Skills!Q8+Summary!$B$59)/100)*(MIN(Skills!R8,Inputs!$B$37))),0)</f>
        <v/>
      </c>
    </row>
    <row r="42">
      <c r="A42">
        <f>Skills!A9</f>
        <v/>
      </c>
      <c r="B42">
        <f>Skills!B9</f>
        <v/>
      </c>
      <c r="C42">
        <f>Inputs!$B$3&gt;=69</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((Inputs!$B$6*(1+Inputs!$B$7/100))+((((Inputs!$B$12+1)*(1+Inputs!$B$13/100))-(Inputs!$B$12*(1+Inputs!$B$13/100)))+0.25*(Inputs!$B$14-Inputs!$B$14))*(1+Inputs!$B$7/100))*(F42/100)</f>
        <v/>
      </c>
      <c r="K42">
        <f>J42*(1+(((Inputs!$B$12+1)*(1+Inputs!$B$13/100))*0.01+Inputs!$B$14*0.0025)/100)*(1+Inputs!$B$15/100)*(1+Inputs!$B$16/100)*(5000/(6000+Inputs!$B$42*(1-(Inputs!$B$19+0)/100)))*(1+(Inputs!$B$24+((C58=TRUE)*(F58-Calc!F25))+B68)/100)*(1+1.0*IF(C45=TRUE,F45,0)/100)*(1+IF(Skills!A9="ENHANCED_RAGING_BLOW",IF(Inputs!$B$3&gt;=134,MAX(0,IF(Inputs!$B$3&gt;=110,7,5)-5)*50,0),0)/100)*(1+(IF(Skills!A9="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42)</f>
        <v/>
      </c>
      <c r="L42">
        <f>K42*(MIN(Inputs!$B$22+((C55=TRUE)*(F55-Calc!F22)),Inputs!$B$23+((C57=TRUE)*(F57-Calc!F24)))/100+(Inputs!$B$23+((C57=TRUE)*(F57-Calc!F24)))/100)/2</f>
        <v/>
      </c>
      <c r="M42">
        <f>L42*(1+(Inputs!$B$10+0+B67)/100)</f>
        <v/>
      </c>
      <c r="N42">
        <f>L42*(1-MIN((Inputs!$B$9+((C59=TRUE)*(F59-Calc!F26))+B62),100)/100)+M42*(MIN((Inputs!$B$9+((C59=TRUE)*(F59-Calc!F26))+B62),100)/100)</f>
        <v/>
      </c>
      <c r="O42">
        <f>(1-Summary!$B$55)*T42+Summary!$B$55*V42</f>
        <v/>
      </c>
      <c r="P42">
        <f>IF(B72=0,0,O42/B72)</f>
        <v/>
      </c>
      <c r="Q42">
        <f>IFERROR(1/IF(Inputs!$B$38="pvp",15,MAX(0.1,Skills!D9-IF(Skills!E9=TRUE,Inputs!$B$32,0))),0)</f>
        <v/>
      </c>
      <c r="R42">
        <f>IF(AND(Inputs!$B$38&lt;&gt;"pvp",Inputs!$B$43&gt;0),IF(MAX(0,Inputs!$B$43-B69)&lt;=0,0,(INT(MAX(0,Inputs!$B$43-B69)/IF(Inputs!$B$38="pvp",15,MAX(0.1,Skills!D9-IF(Skills!E9=TRUE,Inputs!$B$32,0))))+1)),0)</f>
        <v/>
      </c>
      <c r="S42">
        <f>IFERROR(O42/N42,0)</f>
        <v/>
      </c>
      <c r="T42">
        <f>IF(C42,(H42*N42*IF(AND(Inputs!$B$38&lt;&gt;"pvp",Inputs!$B$43&gt;0),((Skills!G9*((R42-1)*IF(Skills!H9&gt;0,Skills!I9/Skills!H9,1)+IF(Skills!H9&gt;0,MIN(Skills!I9,MAX(0,MAX(0,Inputs!$B$43-B69)-((R42-1)*IF(Inputs!$B$38="pvp",15,MAX(0.1,Skills!D9-IF(Skills!E9=TRUE,Inputs!$B$32,0))))))/Skills!H9,1)))/Inputs!$B$43),G42*Q42))*IF(Inputs!$B$38="pvp",1,1+(Inputs!$B$20+0+Skills!P9+Summary!$B$59)/100),0)</f>
        <v/>
      </c>
      <c r="V42">
        <f>IF(C42,(H42*N42*IF(AND(Inputs!$B$38&lt;&gt;"pvp",Inputs!$B$43&gt;0),((Skills!G9*((R42-1)*IF(Skills!H9&gt;0,Skills!I9/Skills!H9,1)+IF(Skills!H9&gt;0,MIN(Skills!I9,MAX(0,MAX(0,Inputs!$B$43-B69)-((R42-1)*IF(Inputs!$B$38="pvp",15,MAX(0.1,Skills!D9-IF(Skills!E9=TRUE,Inputs!$B$32,0))))))/Skills!H9,1)))/Inputs!$B$43),G42*Q42))*IF(Inputs!$B$38="pvp",1,(1+(Inputs!$B$21+Skills!Q9+Summary!$B$59)/100)*(MIN(Skills!R9,Inputs!$B$37))),0)</f>
        <v/>
      </c>
    </row>
    <row r="43">
      <c r="A43">
        <f>Skills!A10</f>
        <v/>
      </c>
      <c r="B43">
        <f>Skills!B10</f>
        <v/>
      </c>
      <c r="C43">
        <f>Inputs!$B$3&gt;=63</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((Inputs!$B$6*(1+Inputs!$B$7/100))+((((Inputs!$B$12+1)*(1+Inputs!$B$13/100))-(Inputs!$B$12*(1+Inputs!$B$13/100)))+0.25*(Inputs!$B$14-Inputs!$B$14))*(1+Inputs!$B$7/100))*(F43/100)</f>
        <v/>
      </c>
      <c r="K43">
        <f>J43*(1+(((Inputs!$B$12+1)*(1+Inputs!$B$13/100))*0.01+Inputs!$B$14*0.0025)/100)*(1+Inputs!$B$15/100)*(1+Inputs!$B$16/100)*(5000/(6000+Inputs!$B$42*(1-(Inputs!$B$19+0)/100)))*(1+(Inputs!$B$24+((C58=TRUE)*(F58-Calc!F25))+B68)/100)*(1+1.5*IF(C45=TRUE,F45,0)/100)*(1+IF(Skills!A10="ENHANCED_RAGING_BLOW",IF(Inputs!$B$3&gt;=134,MAX(0,IF(Inputs!$B$3&gt;=110,7,5)-5)*50,0),0)/100)*(1+(IF(Skills!A10="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43)</f>
        <v/>
      </c>
      <c r="L43">
        <f>K43*(MIN(Inputs!$B$22+((C55=TRUE)*(F55-Calc!F22)),Inputs!$B$23+((C57=TRUE)*(F57-Calc!F24)))/100+(Inputs!$B$23+((C57=TRUE)*(F57-Calc!F24)))/100)/2</f>
        <v/>
      </c>
      <c r="M43">
        <f>L43*(1+(Inputs!$B$10+0+B67)/100)</f>
        <v/>
      </c>
      <c r="N43">
        <f>L43*(1-MIN((Inputs!$B$9+((C59=TRUE)*(F59-Calc!F26))+B62),100)/100)+M43*(MIN((Inputs!$B$9+((C59=TRUE)*(F59-Calc!F26))+B62),100)/100)</f>
        <v/>
      </c>
      <c r="O43">
        <f>(1-Summary!$B$55)*T43+Summary!$B$55*V43</f>
        <v/>
      </c>
      <c r="P43">
        <f>IF(B72=0,0,O43/B72)</f>
        <v/>
      </c>
      <c r="Q43">
        <f>IFERROR(1/IF(Inputs!$B$38="pvp",15,MAX(0.1,Skills!D10-IF(Skills!E10=TRUE,Inputs!$B$32,0))),0)</f>
        <v/>
      </c>
      <c r="R43">
        <f>IF(AND(Inputs!$B$38&lt;&gt;"pvp",Inputs!$B$43&gt;0),IF(MAX(0,Inputs!$B$43-B69)&lt;=0,0,(INT(MAX(0,Inputs!$B$43-B69)/IF(Inputs!$B$38="pvp",15,MAX(0.1,Skills!D10-IF(Skills!E10=TRUE,Inputs!$B$32,0))))+1)),0)</f>
        <v/>
      </c>
      <c r="S43">
        <f>IFERROR(O43/N43,0)</f>
        <v/>
      </c>
      <c r="T43">
        <f>IF(C43,(H43*N43*IF(AND(Inputs!$B$38&lt;&gt;"pvp",Inputs!$B$43&gt;0),((Skills!G10*((R43-1)*IF(Skills!H10&gt;0,Skills!I10/Skills!H10,1)+IF(Skills!H10&gt;0,MIN(Skills!I10,MAX(0,MAX(0,Inputs!$B$43-B69)-((R43-1)*IF(Inputs!$B$38="pvp",15,MAX(0.1,Skills!D10-IF(Skills!E10=TRUE,Inputs!$B$32,0))))))/Skills!H10,1)))/Inputs!$B$43),G43*Q43))*IF(Inputs!$B$38="pvp",1,1+(Inputs!$B$20+0+Skills!P10+Summary!$B$59)/100),0)</f>
        <v/>
      </c>
      <c r="V43">
        <f>IF(C43,(H43*N43*IF(AND(Inputs!$B$38&lt;&gt;"pvp",Inputs!$B$43&gt;0),((Skills!G10*((R43-1)*IF(Skills!H10&gt;0,Skills!I10/Skills!H10,1)+IF(Skills!H10&gt;0,MIN(Skills!I10,MAX(0,MAX(0,Inputs!$B$43-B69)-((R43-1)*IF(Inputs!$B$38="pvp",15,MAX(0.1,Skills!D10-IF(Skills!E10=TRUE,Inputs!$B$32,0))))))/Skills!H10,1)))/Inputs!$B$43),G43*Q43))*IF(Inputs!$B$38="pvp",1,(1+(Inputs!$B$21+Skills!Q10+Summary!$B$59)/100)*(MIN(Skills!R10,Inputs!$B$37))),0)</f>
        <v/>
      </c>
    </row>
    <row r="44">
      <c r="A44">
        <f>Skills!A11</f>
        <v/>
      </c>
      <c r="B44">
        <f>Skills!B11</f>
        <v/>
      </c>
      <c r="C44">
        <f>Inputs!$B$3&gt;=35</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((Inputs!$B$6*(1+Inputs!$B$7/100))+((((Inputs!$B$12+1)*(1+Inputs!$B$13/100))-(Inputs!$B$12*(1+Inputs!$B$13/100)))+0.25*(Inputs!$B$14-Inputs!$B$14))*(1+Inputs!$B$7/100))*(F44/100)</f>
        <v/>
      </c>
      <c r="K44">
        <f>J44*(1+(((Inputs!$B$12+1)*(1+Inputs!$B$13/100))*0.01+Inputs!$B$14*0.0025)/100)*(1+Inputs!$B$15/100)*(1+Inputs!$B$16/100)*(5000/(6000+Inputs!$B$42*(1-(Inputs!$B$19+0)/100)))*(1+(Inputs!$B$24+((C58=TRUE)*(F58-Calc!F25))+B68)/100)*(1+4.0*IF(C45=TRUE,F45,0)/100)*(1+IF(Skills!A11="ENHANCED_RAGING_BLOW",IF(Inputs!$B$3&gt;=134,MAX(0,IF(Inputs!$B$3&gt;=110,7,5)-5)*50,0),0)/100)*(1+(IF(Skills!A11="RAGING_BLOW",Inputs!$B$17+((C54=TRUE)*(F54-Calc!F21)),Inputs!$B$18+((C56=TRUE)*(F56-Calc!F23))))/100)*((1+(((C46=TRUE)*F46*IF(Inputs!$B$3&gt;=110,7,5))+((C48=TRUE)*F48*IF(AND(Inputs!$B$38&lt;&gt;"pvp",Inputs!$B$43&gt;0),(((R48-1)*(Skills!T15*(1+Inputs!$B$34/100))+MIN((Skills!T15*(1+Inputs!$B$34/100)),MAX(0,Inputs!$B$43-((R48-1)*Skills!D15))))/Inputs!$B$43),IF(Inputs!$B$38="pvp",MIN((Skills!T15*(1+Inputs!$B$34/100)),15)/15,(Skills!T15*(1+Inputs!$B$34/100))/Skills!D15)))+0)/100)*I44)</f>
        <v/>
      </c>
      <c r="L44">
        <f>K44*(MIN(Inputs!$B$22+((C55=TRUE)*(F55-Calc!F22)),Inputs!$B$23+((C57=TRUE)*(F57-Calc!F24)))/100+(Inputs!$B$23+((C57=TRUE)*(F57-Calc!F24)))/100)/2</f>
        <v/>
      </c>
      <c r="M44">
        <f>L44*(1+(Inputs!$B$10+0+B67)/100)</f>
        <v/>
      </c>
      <c r="N44">
        <f>L44*(1-MIN((Inputs!$B$9+((C59=TRUE)*(F59-Calc!F26))+B62),100)/100)+M44*(MIN((Inputs!$B$9+((C59=TRUE)*(F59-Calc!F26))+B62),100)/100)</f>
        <v/>
      </c>
      <c r="O44">
        <f>(1-Summary!$B$55)*T44+Summary!$B$55*V44</f>
        <v/>
      </c>
      <c r="P44">
        <f>IF(B72=0,0,O44/B72)</f>
        <v/>
      </c>
      <c r="Q44">
        <f>IFERROR(1/IF(Inputs!$B$38="pvp",15,MAX(0.1,Skills!D11-IF(Skills!E11=TRUE,Inputs!$B$32,0))),0)</f>
        <v/>
      </c>
      <c r="R44">
        <f>IF(AND(Inputs!$B$38&lt;&gt;"pvp",Inputs!$B$43&gt;0),IF(MAX(0,Inputs!$B$43-B69)&lt;=0,0,(INT(MAX(0,Inputs!$B$43-B69)/IF(Inputs!$B$38="pvp",15,MAX(0.1,Skills!D11-IF(Skills!E11=TRUE,Inputs!$B$32,0))))+1)),0)</f>
        <v/>
      </c>
      <c r="S44">
        <f>IFERROR(O44/N44,0)</f>
        <v/>
      </c>
      <c r="T44">
        <f>IF(C44,(H44*N44*IF(AND(Inputs!$B$38&lt;&gt;"pvp",Inputs!$B$43&gt;0),((Skills!G11*((R44-1)*IF(Skills!H11&gt;0,Skills!I11/Skills!H11,1)+IF(Skills!H11&gt;0,MIN(Skills!I11,MAX(0,MAX(0,Inputs!$B$43-B69)-((R44-1)*IF(Inputs!$B$38="pvp",15,MAX(0.1,Skills!D11-IF(Skills!E11=TRUE,Inputs!$B$32,0))))))/Skills!H11,1)))/Inputs!$B$43),G44*Q44))*IF(Inputs!$B$38="pvp",1,1+(Inputs!$B$20+0+Skills!P11+Summary!$B$59)/100),0)</f>
        <v/>
      </c>
      <c r="V44">
        <f>IF(C44,(H44*N44*IF(AND(Inputs!$B$38&lt;&gt;"pvp",Inputs!$B$43&gt;0),((Skills!G11*((R44-1)*IF(Skills!H11&gt;0,Skills!I11/Skills!H11,1)+IF(Skills!H11&gt;0,MIN(Skills!I11,MAX(0,MAX(0,Inputs!$B$43-B69)-((R44-1)*IF(Inputs!$B$38="pvp",15,MAX(0.1,Skills!D11-IF(Skills!E11=TRUE,Inputs!$B$32,0))))))/Skills!H11,1)))/Inputs!$B$43),G44*Q44))*IF(Inputs!$B$38="pvp",1,(1+(Inputs!$B$21+Skills!Q11+Summary!$B$59)/100)*(MIN(Skills!R11,Inputs!$B$37))),0)</f>
        <v/>
      </c>
    </row>
    <row r="45">
      <c r="A45">
        <f>Skills!A12</f>
        <v/>
      </c>
      <c r="B45">
        <f>Skills!B12</f>
        <v/>
      </c>
      <c r="C45">
        <f>Inputs!$B$3&gt;=100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row>
    <row r="46">
      <c r="A46">
        <f>Skills!A13</f>
        <v/>
      </c>
      <c r="B46">
        <f>Skills!B13</f>
        <v/>
      </c>
      <c r="C46">
        <f>Inputs!$B$3&gt;=45</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f>(1-Summary!$B$55)*T46+Summary!$B$55*V46</f>
        <v/>
      </c>
      <c r="P46">
        <f>IF(B72=0,0,O46/B72)</f>
        <v/>
      </c>
      <c r="Q46" t="n">
        <v>0</v>
      </c>
      <c r="R46" t="n">
        <v>0</v>
      </c>
      <c r="S46">
        <f>IFERROR(O46/N46,0)</f>
        <v/>
      </c>
      <c r="T46" t="n">
        <v>0</v>
      </c>
      <c r="V46" t="n">
        <v>0</v>
      </c>
    </row>
    <row r="47">
      <c r="A47">
        <f>Skills!A14</f>
        <v/>
      </c>
      <c r="B47">
        <f>Skills!B14</f>
        <v/>
      </c>
      <c r="C47">
        <f>Inputs!$B$3&gt;=75</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f>(1-Summary!$B$55)*T47+Summary!$B$55*V47</f>
        <v/>
      </c>
      <c r="P47">
        <f>IF(B72=0,0,O47/B72)</f>
        <v/>
      </c>
      <c r="Q47" t="n">
        <v>0</v>
      </c>
      <c r="R47" t="n">
        <v>0</v>
      </c>
      <c r="S47">
        <f>IFERROR(O47/N47,0)</f>
        <v/>
      </c>
      <c r="T47" t="n">
        <v>0</v>
      </c>
      <c r="V47" t="n">
        <v>0</v>
      </c>
    </row>
    <row r="48">
      <c r="A48">
        <f>Skills!A15</f>
        <v/>
      </c>
      <c r="B48">
        <f>Skills!B15</f>
        <v/>
      </c>
      <c r="C48">
        <f>Inputs!$B$3&gt;=40</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f>(1-Summary!$B$55)*T48+Summary!$B$55*V48</f>
        <v/>
      </c>
      <c r="P48">
        <f>IF(B72=0,0,O48/B72)</f>
        <v/>
      </c>
      <c r="Q48">
        <f>IFERROR(1/IF(Inputs!$B$38="pvp",15,MAX(0.1,Skills!D15-IF(Skills!E15=TRUE,Inputs!$B$32,0))),0)</f>
        <v/>
      </c>
      <c r="R48">
        <f>IF(AND(Inputs!$B$38&lt;&gt;"pvp",Inputs!$B$43&gt;0),IF(Inputs!$B$43&lt;=0,0,(INT(Inputs!$B$43/IF(Inputs!$B$38="pvp",15,MAX(0.1,Skills!D15-IF(Skills!E15=TRUE,Inputs!$B$32,0))))+1)),0)</f>
        <v/>
      </c>
      <c r="S48">
        <f>IFERROR(O48/N48,0)</f>
        <v/>
      </c>
      <c r="T48" t="n">
        <v>0</v>
      </c>
      <c r="V48" t="n">
        <v>0</v>
      </c>
    </row>
    <row r="49">
      <c r="A49">
        <f>Skills!A16</f>
        <v/>
      </c>
      <c r="B49">
        <f>Skills!B16</f>
        <v/>
      </c>
      <c r="C49">
        <f>Inputs!$B$3&gt;=66</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f>(1-Summary!$B$55)*T49+Summary!$B$55*V49</f>
        <v/>
      </c>
      <c r="P49">
        <f>IF(B72=0,0,O49/B72)</f>
        <v/>
      </c>
      <c r="Q49">
        <f>IFERROR(1/IF(Inputs!$B$38="pvp",15,MAX(0.1,Skills!D16-IF(Skills!E16=TRUE,Inputs!$B$32,0))),0)</f>
        <v/>
      </c>
      <c r="R49">
        <f>IF(AND(Inputs!$B$38&lt;&gt;"pvp",Inputs!$B$43&gt;0),IF(Inputs!$B$43&lt;=0,0,(INT(Inputs!$B$43/IF(Inputs!$B$38="pvp",15,MAX(0.1,Skills!D16-IF(Skills!E16=TRUE,Inputs!$B$32,0))))+1)),0)</f>
        <v/>
      </c>
      <c r="S49">
        <f>IFERROR(O49/N49,0)</f>
        <v/>
      </c>
      <c r="T49" t="n">
        <v>0</v>
      </c>
      <c r="V49" t="n">
        <v>0</v>
      </c>
    </row>
    <row r="50">
      <c r="A50">
        <f>Skills!A17</f>
        <v/>
      </c>
      <c r="B50">
        <f>Skills!B17</f>
        <v/>
      </c>
      <c r="C50">
        <f>Inputs!$B$3&gt;=115</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f>(1-Summary!$B$55)*T50+Summary!$B$55*V50</f>
        <v/>
      </c>
      <c r="P50">
        <f>IF(B72=0,0,O50/B72)</f>
        <v/>
      </c>
      <c r="Q50">
        <f>IFERROR(1/IF(Inputs!$B$38="pvp",15,MAX(0.1,Skills!D17-IF(Skills!E17=TRUE,Inputs!$B$32,0))),0)</f>
        <v/>
      </c>
      <c r="R50">
        <f>IF(AND(Inputs!$B$38&lt;&gt;"pvp",Inputs!$B$43&gt;0),IF(Inputs!$B$43&lt;=0,0,(INT(Inputs!$B$43/IF(Inputs!$B$38="pvp",15,MAX(0.1,Skills!D17-IF(Skills!E17=TRUE,Inputs!$B$32,0))))+1)),0)</f>
        <v/>
      </c>
      <c r="S50">
        <f>IFERROR(O50/N50,0)</f>
        <v/>
      </c>
      <c r="T50" t="n">
        <v>0</v>
      </c>
      <c r="V50" t="n">
        <v>0</v>
      </c>
    </row>
    <row r="51">
      <c r="A51">
        <f>Skills!A18</f>
        <v/>
      </c>
      <c r="B51">
        <f>Skills!B18</f>
        <v/>
      </c>
      <c r="C51">
        <f>Inputs!$B$3&gt;=115</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f>(1-Summary!$B$55)*T51+Summary!$B$55*V51</f>
        <v/>
      </c>
      <c r="P51">
        <f>IF(B72=0,0,O51/B72)</f>
        <v/>
      </c>
      <c r="Q51">
        <f>IFERROR(1/IF(Inputs!$B$38="pvp",15,MAX(0.1,Skills!D18-IF(Skills!E18=TRUE,Inputs!$B$32,0))),0)</f>
        <v/>
      </c>
      <c r="R51">
        <f>IF(AND(Inputs!$B$38&lt;&gt;"pvp",Inputs!$B$43&gt;0),IF(Inputs!$B$43&lt;=0,0,(INT(Inputs!$B$43/IF(Inputs!$B$38="pvp",15,MAX(0.1,Skills!D18-IF(Skills!E18=TRUE,Inputs!$B$32,0))))+1)),0)</f>
        <v/>
      </c>
      <c r="S51">
        <f>IFERROR(O51/N51,0)</f>
        <v/>
      </c>
      <c r="T51" t="n">
        <v>0</v>
      </c>
      <c r="V51" t="n">
        <v>0</v>
      </c>
    </row>
    <row r="52">
      <c r="A52">
        <f>Skills!A19</f>
        <v/>
      </c>
      <c r="B52">
        <f>Skills!B19</f>
        <v/>
      </c>
      <c r="C52">
        <f>TRUE</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f>(1-Summary!$B$55)*T52+Summary!$B$55*V52</f>
        <v/>
      </c>
      <c r="P52">
        <f>IF(B72=0,0,O52/B72)</f>
        <v/>
      </c>
      <c r="Q52">
        <f>IFERROR(1/IF(Inputs!$B$38="pvp",15,MAX(0.1,Skills!D19-IF(Skills!E19=TRUE,Inputs!$B$32,0))),0)</f>
        <v/>
      </c>
      <c r="R52">
        <f>IF(AND(Inputs!$B$38&lt;&gt;"pvp",Inputs!$B$43&gt;0),IF(Inputs!$B$43&lt;=0,0,(INT(Inputs!$B$43/IF(Inputs!$B$38="pvp",15,MAX(0.1,Skills!D19-IF(Skills!E19=TRUE,Inputs!$B$32,0))))+1)),0)</f>
        <v/>
      </c>
      <c r="S52">
        <f>IFERROR(O52/N52,0)</f>
        <v/>
      </c>
      <c r="T52" t="n">
        <v>0</v>
      </c>
      <c r="V52" t="n">
        <v>0</v>
      </c>
    </row>
    <row r="53">
      <c r="A53">
        <f>Skills!A20</f>
        <v/>
      </c>
      <c r="B53">
        <f>Skills!B20</f>
        <v/>
      </c>
      <c r="C53">
        <f>Inputs!$B$3&gt;=33</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f>(1-Summary!$B$55)*T53+Summary!$B$55*V53</f>
        <v/>
      </c>
      <c r="P53">
        <f>IF(B72=0,0,O53/B72)</f>
        <v/>
      </c>
      <c r="Q53" t="n">
        <v>0</v>
      </c>
      <c r="R53" t="n">
        <v>0</v>
      </c>
      <c r="S53">
        <f>IFERROR(O53/N53,0)</f>
        <v/>
      </c>
      <c r="T53" t="n">
        <v>0</v>
      </c>
      <c r="V53" t="n">
        <v>0</v>
      </c>
    </row>
    <row r="54">
      <c r="A54">
        <f>Skills!A21</f>
        <v/>
      </c>
      <c r="B54">
        <f>Skills!B21</f>
        <v/>
      </c>
      <c r="C54">
        <f>Inputs!$B$3&gt;=38</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f>(1-Summary!$B$55)*T54+Summary!$B$55*V54</f>
        <v/>
      </c>
      <c r="P54">
        <f>IF(B72=0,0,O54/B72)</f>
        <v/>
      </c>
      <c r="Q54" t="n">
        <v>0</v>
      </c>
      <c r="R54" t="n">
        <v>0</v>
      </c>
      <c r="S54">
        <f>IFERROR(O54/N54,0)</f>
        <v/>
      </c>
      <c r="T54" t="n">
        <v>0</v>
      </c>
      <c r="V54" t="n">
        <v>0</v>
      </c>
    </row>
    <row r="55">
      <c r="A55">
        <f>Skills!A22</f>
        <v/>
      </c>
      <c r="B55">
        <f>Skills!B22</f>
        <v/>
      </c>
      <c r="C55">
        <f>Inputs!$B$3&gt;=43</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f>(1-Summary!$B$55)*T55+Summary!$B$55*V55</f>
        <v/>
      </c>
      <c r="P55">
        <f>IF(B72=0,0,O55/B72)</f>
        <v/>
      </c>
      <c r="Q55" t="n">
        <v>0</v>
      </c>
      <c r="R55" t="n">
        <v>0</v>
      </c>
      <c r="S55">
        <f>IFERROR(O55/N55,0)</f>
        <v/>
      </c>
      <c r="T55" t="n">
        <v>0</v>
      </c>
      <c r="V55" t="n">
        <v>0</v>
      </c>
    </row>
    <row r="56">
      <c r="A56">
        <f>Skills!A23</f>
        <v/>
      </c>
      <c r="B56">
        <f>Skills!B23</f>
        <v/>
      </c>
      <c r="C56">
        <f>Inputs!$B$3&gt;=120</f>
        <v/>
      </c>
      <c r="D56">
        <f>IF(Skills!C23=1,60+Inputs!$B$25+Inputs!$B$29,IF(Skills!C23=2,90+Inputs!$B$26+Inputs!$B$29,IF(Skills!C23=3,120+Inputs!$B$27+Inputs!$B$29,MAX(0,(Inputs!$B$3-100)*3)+Inputs!$B$28+Inputs!$B$29)))</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f>(1-Summary!$B$55)*T56+Summary!$B$55*V56</f>
        <v/>
      </c>
      <c r="P56">
        <f>IF(B72=0,0,O56/B72)</f>
        <v/>
      </c>
      <c r="Q56" t="n">
        <v>0</v>
      </c>
      <c r="R56" t="n">
        <v>0</v>
      </c>
      <c r="S56">
        <f>IFERROR(O56/N56,0)</f>
        <v/>
      </c>
      <c r="T56" t="n">
        <v>0</v>
      </c>
      <c r="V56" t="n">
        <v>0</v>
      </c>
    </row>
    <row r="57">
      <c r="A57">
        <f>Skills!A24</f>
        <v/>
      </c>
      <c r="B57">
        <f>Skills!B24</f>
        <v/>
      </c>
      <c r="C57">
        <f>Inputs!$B$3&gt;=120</f>
        <v/>
      </c>
      <c r="D57">
        <f>IF(Skills!C24=1,60+Inputs!$B$25+Inputs!$B$29,IF(Skills!C24=2,90+Inputs!$B$26+Inputs!$B$29,IF(Skills!C24=3,120+Inputs!$B$27+Inputs!$B$29,MAX(0,(Inputs!$B$3-100)*3)+Inputs!$B$28+Inputs!$B$29)))</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f>(1-Summary!$B$55)*T57+Summary!$B$55*V57</f>
        <v/>
      </c>
      <c r="P57">
        <f>IF(B72=0,0,O57/B72)</f>
        <v/>
      </c>
      <c r="Q57" t="n">
        <v>0</v>
      </c>
      <c r="R57" t="n">
        <v>0</v>
      </c>
      <c r="S57">
        <f>IFERROR(O57/N57,0)</f>
        <v/>
      </c>
      <c r="T57" t="n">
        <v>0</v>
      </c>
      <c r="V57" t="n">
        <v>0</v>
      </c>
    </row>
    <row r="58">
      <c r="A58">
        <f>Skills!A25</f>
        <v/>
      </c>
      <c r="B58">
        <f>Skills!B25</f>
        <v/>
      </c>
      <c r="C58">
        <f>Inputs!$B$3&gt;=125</f>
        <v/>
      </c>
      <c r="D58">
        <f>IF(Skills!C25=1,60+Inputs!$B$25+Inputs!$B$29,IF(Skills!C25=2,90+Inputs!$B$26+Inputs!$B$29,IF(Skills!C25=3,120+Inputs!$B$27+Inputs!$B$29,MAX(0,(Inputs!$B$3-100)*3)+Inputs!$B$28+Inputs!$B$29)))</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f>(1-Summary!$B$55)*T58+Summary!$B$55*V58</f>
        <v/>
      </c>
      <c r="P58">
        <f>IF(B72=0,0,O58/B72)</f>
        <v/>
      </c>
      <c r="Q58" t="n">
        <v>0</v>
      </c>
      <c r="R58" t="n">
        <v>0</v>
      </c>
      <c r="S58">
        <f>IFERROR(O58/N58,0)</f>
        <v/>
      </c>
      <c r="T58" t="n">
        <v>0</v>
      </c>
      <c r="V58" t="n">
        <v>0</v>
      </c>
    </row>
    <row r="59">
      <c r="A59">
        <f>Skills!A26</f>
        <v/>
      </c>
      <c r="B59">
        <f>Skills!B26</f>
        <v/>
      </c>
      <c r="C59">
        <f>Inputs!$B$3&gt;=72</f>
        <v/>
      </c>
      <c r="D59">
        <f>IF(Skills!C26=1,60+Inputs!$B$25+Inputs!$B$29,IF(Skills!C26=2,90+Inputs!$B$26+Inputs!$B$29,IF(Skills!C26=3,120+Inputs!$B$27+Inputs!$B$29,MAX(0,(Inputs!$B$3-100)*3)+Inputs!$B$28+Inputs!$B$29)))</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f>(1-Summary!$B$55)*T59+Summary!$B$55*V59</f>
        <v/>
      </c>
      <c r="P59">
        <f>IF(B72=0,0,O59/B72)</f>
        <v/>
      </c>
      <c r="Q59" t="n">
        <v>0</v>
      </c>
      <c r="R59" t="n">
        <v>0</v>
      </c>
      <c r="S59">
        <f>IFERROR(O59/N59,0)</f>
        <v/>
      </c>
      <c r="T59" t="n">
        <v>0</v>
      </c>
      <c r="V59" t="n">
        <v>0</v>
      </c>
    </row>
    <row r="61">
      <c r="A61" t="inlineStr">
        <is>
          <t>Attack% Bucket Multiplier</t>
        </is>
      </c>
      <c r="B61">
        <f>(1+(((C46=TRUE)*F46*IF(Inputs!$B$3&gt;=110,7,5))+((C48=TRUE)*F48*IF(AND(Inputs!$B$38&lt;&gt;"pvp",Inputs!$B$43&gt;0),(((R48-1)*(Skills!T15*(1+Inputs!$B$34/100))+MIN((Skills!T15*(1+Inputs!$B$34/100)),MAX(0,Inputs!$B$43-((R48-1)*Skills!D15))))/Inputs!$B$43),IF(Inputs!$B$38="pvp",MIN((Skills!T15*(1+Inputs!$B$34/100)),15)/15,(Skills!T15*(1+Inputs!$B$34/100))/Skills!D15)))+0)/100)</f>
        <v/>
      </c>
    </row>
    <row r="62">
      <c r="A62" t="inlineStr">
        <is>
          <t>Global Crit Rate Bonus %</t>
        </is>
      </c>
      <c r="B62" t="n">
        <v>0</v>
      </c>
    </row>
    <row r="63">
      <c r="A63" t="inlineStr">
        <is>
          <t>Attack Speed Buff Bonus %</t>
        </is>
      </c>
      <c r="B63">
        <f>((C52=TRUE)*F52*IF(AND(Inputs!$B$38&lt;&gt;"pvp",Inputs!$B$43&gt;0),(((R52-1)*(Skills!T19*(1+Inputs!$B$34/100))+MIN((Skills!T19*(1+Inputs!$B$34/100)),MAX(0,Inputs!$B$43-((R52-1)*Skills!D19))))/Inputs!$B$43),IF(Inputs!$B$38="pvp",MIN((Skills!T19*(1+Inputs!$B$34/100)),15)/15,(Skills!T19*(1+Inputs!$B$34/100))/Skills!D19)))</f>
        <v/>
      </c>
    </row>
    <row r="64">
      <c r="A64" t="inlineStr">
        <is>
          <t>Actions Per Second</t>
        </is>
      </c>
      <c r="B64">
        <f>1+MIN(150,150*(1-(1-(Inputs!$B$11+((C53=TRUE)*(F53-Calc!F20)))/150)*(1-B63/150)))/100</f>
        <v/>
      </c>
    </row>
    <row r="65">
      <c r="A65" t="inlineStr">
        <is>
          <t>Skill + Buff Cast Rate</t>
        </is>
      </c>
      <c r="B65">
        <f>IF(AND(Inputs!$B$38&lt;&gt;"pvp",Inputs!$B$43&gt;0),SUMPRODUCT((Skills!E2:E26=TRUE)*(C35:C59=TRUE)*R35:R59*Skills!F2:F26)/Inputs!$B$43,SUMPRODUCT((Skills!E2:E26=TRUE)*(C35:C59=TRUE)*Q35:Q59*Skills!F2:F26))</f>
        <v/>
      </c>
    </row>
    <row r="66">
      <c r="A66" t="inlineStr">
        <is>
          <t>Raging Blow Casts Per Second</t>
        </is>
      </c>
      <c r="B66">
        <f>MAX(0,B64-B65)</f>
        <v/>
      </c>
    </row>
    <row r="67">
      <c r="A67" t="inlineStr">
        <is>
          <t>Global Critical Damage Bonus % (Enrage)</t>
        </is>
      </c>
      <c r="B67">
        <f>((C51=TRUE)*F51*IF(AND(Inputs!$B$38&lt;&gt;"pvp",Inputs!$B$43&gt;0),(((R51-1)*(Skills!T18*(1+Inputs!$B$34/100))+MIN((Skills!T18*(1+Inputs!$B$34/100)),MAX(0,Inputs!$B$43-((R51-1)*Skills!D18))))/Inputs!$B$43),IF(Inputs!$B$38="pvp",MIN((Skills!T18*(1+Inputs!$B$34/100)),15)/15,(Skills!T18*(1+Inputs!$B$34/100))/Skills!D18)))</f>
        <v/>
      </c>
    </row>
    <row r="68">
      <c r="A68" t="inlineStr">
        <is>
          <t>Global Final Damage Bonus % (Enrage + Combo Synergy)</t>
        </is>
      </c>
      <c r="B68">
        <f>((C50=TRUE)*F50*IF(AND(Inputs!$B$38&lt;&gt;"pvp",Inputs!$B$43&gt;0),(((R50-1)*(Skills!T17*(1+Inputs!$B$34/100))+MIN((Skills!T17*(1+Inputs!$B$34/100)),MAX(0,Inputs!$B$43-((R50-1)*Skills!D17))))/Inputs!$B$43),IF(Inputs!$B$38="pvp",MIN((Skills!T17*(1+Inputs!$B$34/100)),15)/15,(Skills!T17*(1+Inputs!$B$34/100))/Skills!D17)))+((C47=TRUE)*F47*IF(Inputs!$B$3&gt;=110,7,5))</f>
        <v/>
      </c>
    </row>
    <row r="69">
      <c r="A69" t="inlineStr">
        <is>
          <t>Buff-Casting Startup Delay (s, fixed-duration only)</t>
        </is>
      </c>
      <c r="B69">
        <f>IF(AND(Inputs!$B$38&lt;&gt;"pvp",Inputs!$B$43&gt;0),SUMPRODUCT((Skills!T2:T26&gt;0)*(Skills!E2:E26=TRUE)*(C35:C59=TRUE))/B64,0)</f>
        <v/>
      </c>
    </row>
    <row r="70">
      <c r="A70" t="inlineStr">
        <is>
          <t>Boss-Only Total DPS (this block's swept value)</t>
        </is>
      </c>
      <c r="B70">
        <f>SUM(T35:T59)</f>
        <v/>
      </c>
    </row>
    <row r="71">
      <c r="A71" t="inlineStr">
        <is>
          <t>Normal-Only Total DPS (this block's swept value)</t>
        </is>
      </c>
      <c r="B71">
        <f>SUM(V35:V59)</f>
        <v/>
      </c>
    </row>
    <row r="72">
      <c r="A72" s="5" t="inlineStr">
        <is>
          <t>TOTAL DPS</t>
        </is>
      </c>
      <c r="B72" s="5">
        <f>SUM(O35:O59)</f>
        <v/>
      </c>
    </row>
    <row r="75">
      <c r="A75" s="5" t="inlineStr">
        <is>
          <t>Stat: STR %</t>
        </is>
      </c>
    </row>
    <row r="76">
      <c r="A76" s="9" t="inlineStr">
        <is>
          <t>Key</t>
        </is>
      </c>
      <c r="B76" s="9" t="inlineStr">
        <is>
          <t>Name</t>
        </is>
      </c>
      <c r="C76" s="9" t="inlineStr">
        <is>
          <t>Unlocked</t>
        </is>
      </c>
      <c r="D76" s="9" t="inlineStr">
        <is>
          <t>InputLevel</t>
        </is>
      </c>
      <c r="E76" s="9" t="inlineStr">
        <is>
          <t>Factor</t>
        </is>
      </c>
      <c r="F76" s="9" t="inlineStr">
        <is>
          <t>CoefficientPercent</t>
        </is>
      </c>
      <c r="G76" s="9" t="inlineStr">
        <is>
          <t>EffectiveHits</t>
        </is>
      </c>
      <c r="H76" s="9" t="inlineStr">
        <is>
          <t>ProcProbability</t>
        </is>
      </c>
      <c r="I76" s="9" t="inlineStr">
        <is>
          <t>MapleHeroMultiplier</t>
        </is>
      </c>
      <c r="J76" s="9" t="inlineStr">
        <is>
          <t>BaseDamage</t>
        </is>
      </c>
      <c r="K76" s="9" t="inlineStr">
        <is>
          <t>BaseHitDamage</t>
        </is>
      </c>
      <c r="L76" s="9" t="inlineStr">
        <is>
          <t>NonCritAvg</t>
        </is>
      </c>
      <c r="M76" s="9" t="inlineStr">
        <is>
          <t>CritAvg</t>
        </is>
      </c>
      <c r="N76" s="9" t="inlineStr">
        <is>
          <t>ExpectedDamage(perHit)</t>
        </is>
      </c>
      <c r="O76" s="9" t="inlineStr">
        <is>
          <t>DPS</t>
        </is>
      </c>
      <c r="P76" s="9" t="inlineStr">
        <is>
          <t>% of Total</t>
        </is>
      </c>
      <c r="Q76" s="9" t="inlineStr">
        <is>
          <t>InvCooldown</t>
        </is>
      </c>
      <c r="R76" s="9" t="inlineStr">
        <is>
          <t>CastsInFight</t>
        </is>
      </c>
      <c r="S76" s="9" t="inlineStr">
        <is>
          <t>HitRate(perSec)</t>
        </is>
      </c>
      <c r="U76" t="inlineStr">
        <is>
          <t>helpers</t>
        </is>
      </c>
    </row>
    <row r="77">
      <c r="A77">
        <f>Skills!A2</f>
        <v/>
      </c>
      <c r="B77">
        <f>Skills!B2</f>
        <v/>
      </c>
      <c r="C77">
        <f>Inputs!$B$3&gt;=100</f>
        <v/>
      </c>
      <c r="D77" t="inlineStr"/>
      <c r="E77" t="inlineStr"/>
      <c r="F77">
        <f>U79+Skills!O2</f>
        <v/>
      </c>
      <c r="G77">
        <f>Skills!G2*IF(Skills!H2&gt;0,Skills!I2/Skills!H2,1)</f>
        <v/>
      </c>
      <c r="H77">
        <f>1-(1-Skills!J2/100)^Skills!K2</f>
        <v/>
      </c>
      <c r="I77" t="inlineStr">
        <is>
          <t>1</t>
        </is>
      </c>
      <c r="J77">
        <f>((Inputs!$B$6*(1+Inputs!$B$7/100))+(((Inputs!$B$12*(1+(Inputs!$B$13+1)/100))-(Inputs!$B$12*(1+Inputs!$B$13/100)))+0.25*(Inputs!$B$14-Inputs!$B$14))*(1+Inputs!$B$7/100))*(F77/100)</f>
        <v/>
      </c>
      <c r="K77">
        <f>J77*(1+((Inputs!$B$12*(1+(Inputs!$B$13+1)/100))*0.01+Inputs!$B$14*0.0025)/100)*(1+Inputs!$B$15/100)*(1+Inputs!$B$16/100)*(5000/(6000+Inputs!$B$42*(1-(Inputs!$B$19+0)/100)))*(1+(Inputs!$B$24+((C100=TRUE)*(F100-Calc!F25))+B110)/100)*(1+IF(Skills!A2="ENHANCED_RAGING_BLOW",IF(Inputs!$B$3&gt;=134,MAX(0,IF(Inputs!$B$3&gt;=110,7,5)-5)*50,0),0)/100)*(1+(IF(Skills!A2="RAGING_BLOW",Inputs!$B$17+((C96=TRUE)*(F96-Calc!F21)),Inputs!$B$18+((C98=TRUE)*(F98-Calc!F23))))/100)*((1+(((C88=TRUE)*F88*IF(Inputs!$B$3&gt;=110,7,5))+((C90=TRUE)*F90*IF(AND(Inputs!$B$38&lt;&gt;"pvp",Inputs!$B$43&gt;0),(((R90-1)*(Skills!T15*(1+Inputs!$B$34/100))+MIN((Skills!T15*(1+Inputs!$B$34/100)),MAX(0,Inputs!$B$43-((R90-1)*Skills!D15))))/Inputs!$B$43),IF(Inputs!$B$38="pvp",MIN((Skills!T15*(1+Inputs!$B$34/100)),15)/15,(Skills!T15*(1+Inputs!$B$34/100))/Skills!D15)))+0)/100)*I77)</f>
        <v/>
      </c>
      <c r="L77">
        <f>K77*(MIN(Inputs!$B$22+((C97=TRUE)*(F97-Calc!F22)),Inputs!$B$23+((C99=TRUE)*(F99-Calc!F24)))/100+(Inputs!$B$23+((C99=TRUE)*(F99-Calc!F24)))/100)/2</f>
        <v/>
      </c>
      <c r="M77">
        <f>L77*(1+(Inputs!$B$10+0+B109)/100)</f>
        <v/>
      </c>
      <c r="N77">
        <f>L77*(1-MIN((Inputs!$B$9+((C101=TRUE)*(F101-Calc!F26))+B104),100)/100)+M77*(MIN((Inputs!$B$9+((C101=TRUE)*(F101-Calc!F26))+B104),100)/100)</f>
        <v/>
      </c>
      <c r="O77">
        <f>(1-Summary!$B$55)*T77+Summary!$B$55*V77</f>
        <v/>
      </c>
      <c r="P77">
        <f>IF(B114=0,0,O77/B114)</f>
        <v/>
      </c>
      <c r="Q77" t="n">
        <v>0</v>
      </c>
      <c r="R77" t="n">
        <v>0</v>
      </c>
      <c r="S77">
        <f>IFERROR(O77/N77,0)</f>
        <v/>
      </c>
      <c r="T77">
        <f>IF(C77,(Skills!G2*N77*B108)*IF(Inputs!$B$38="pvp",1,1+(Inputs!$B$20+0+Skills!P2+Summary!$B$59)/100),0)</f>
        <v/>
      </c>
      <c r="U77">
        <f>MAX(0,(Inputs!$B$3-100)*3)+Inputs!$B$28+Inputs!$B$29</f>
        <v/>
      </c>
      <c r="V77">
        <f>IF(C77,(Skills!G2*N77*B108)*IF(Inputs!$B$38="pvp",1,(1+(Inputs!$B$21+Skills!Q2+Summary!$B$59)/100)*(MIN((6+Inputs!$B$33),Inputs!$B$37))),0)</f>
        <v/>
      </c>
    </row>
    <row r="78">
      <c r="A78">
        <f>Skills!A3</f>
        <v/>
      </c>
      <c r="B78">
        <f>Skills!B3</f>
        <v/>
      </c>
      <c r="C78">
        <f>Inputs!$B$3&gt;=50</f>
        <v/>
      </c>
      <c r="D78">
        <f>IF(Skills!C3=1,60+Inputs!$B$25+Inputs!$B$29,IF(Skills!C3=2,90+Inputs!$B$26+Inputs!$B$29,IF(Skills!C3=3,120+Inputs!$B$27+Inputs!$B$29,MAX(0,(Inputs!$B$3-100)*3)+Inputs!$B$28+Inputs!$B$29)))</f>
        <v/>
      </c>
      <c r="E78">
        <f>INDEX(FactorTable!$B$2:$Y$301, MATCH(ROUND(MIN(300,MAX(1,D78)),0), FactorTable!$A$2:$A$301,0), Skills!M3+1)</f>
        <v/>
      </c>
      <c r="F78">
        <f>IF(Skills!N3=TRUE,(Skills!L3/10)*(E78/1000),Skills!L3/10)+Skills!O3</f>
        <v/>
      </c>
      <c r="G78" t="inlineStr"/>
      <c r="H78" t="inlineStr"/>
      <c r="I78" t="inlineStr">
        <is>
          <t>1</t>
        </is>
      </c>
      <c r="J78" t="inlineStr"/>
      <c r="K78" t="inlineStr"/>
      <c r="L78" t="inlineStr"/>
      <c r="M78" t="inlineStr"/>
      <c r="N78" t="inlineStr"/>
      <c r="O78" t="inlineStr"/>
      <c r="P78" t="inlineStr"/>
      <c r="Q78" t="inlineStr"/>
      <c r="R78" t="inlineStr"/>
      <c r="S78" t="inlineStr"/>
      <c r="U78">
        <f>INDEX(FactorTable!$B$2:$Y$301, MATCH(ROUND(MIN(300,MAX(1,U77)),0), FactorTable!$A$2:$A$301,0), 22)</f>
        <v/>
      </c>
    </row>
    <row r="79">
      <c r="A79">
        <f>Skills!A4</f>
        <v/>
      </c>
      <c r="B79">
        <f>Skills!B4</f>
        <v/>
      </c>
      <c r="C79">
        <f>Inputs!$B$3&gt;=105</f>
        <v/>
      </c>
      <c r="D79">
        <f>IF(Skills!C4=1,60+Inputs!$B$25+Inputs!$B$29,IF(Skills!C4=2,90+Inputs!$B$26+Inputs!$B$29,IF(Skills!C4=3,120+Inputs!$B$27+Inputs!$B$29,MAX(0,(Inputs!$B$3-100)*3)+Inputs!$B$28+Inputs!$B$29)))</f>
        <v/>
      </c>
      <c r="E79">
        <f>INDEX(FactorTable!$B$2:$Y$301, MATCH(ROUND(MIN(300,MAX(1,D79)),0), FactorTable!$A$2:$A$301,0), Skills!M4+1)</f>
        <v/>
      </c>
      <c r="F79">
        <f>IF(Skills!N4=TRUE,(Skills!L4/10)*(E79/1000),Skills!L4/10)+Skills!O4</f>
        <v/>
      </c>
      <c r="G79" t="inlineStr"/>
      <c r="H79" t="inlineStr"/>
      <c r="I79" t="inlineStr">
        <is>
          <t>1</t>
        </is>
      </c>
      <c r="J79" t="inlineStr"/>
      <c r="K79" t="inlineStr"/>
      <c r="L79" t="inlineStr"/>
      <c r="M79" t="inlineStr"/>
      <c r="N79" t="inlineStr"/>
      <c r="O79" t="inlineStr"/>
      <c r="P79" t="inlineStr"/>
      <c r="Q79" t="inlineStr"/>
      <c r="R79" t="inlineStr"/>
      <c r="S79" t="inlineStr"/>
      <c r="U79">
        <f>290*U78/1000</f>
        <v/>
      </c>
    </row>
    <row r="80">
      <c r="A80">
        <f>Skills!A5</f>
        <v/>
      </c>
      <c r="B80">
        <f>Skills!B5</f>
        <v/>
      </c>
      <c r="C80">
        <f>Inputs!$B$3&gt;=103</f>
        <v/>
      </c>
      <c r="D80">
        <f>IF(Skills!C5=1,60+Inputs!$B$25+Inputs!$B$29,IF(Skills!C5=2,90+Inputs!$B$26+Inputs!$B$29,IF(Skills!C5=3,120+Inputs!$B$27+Inputs!$B$29,MAX(0,(Inputs!$B$3-100)*3)+Inputs!$B$28+Inputs!$B$29)))</f>
        <v/>
      </c>
      <c r="E80">
        <f>INDEX(FactorTable!$B$2:$Y$301, MATCH(ROUND(MIN(300,MAX(1,D80)),0), FactorTable!$A$2:$A$301,0), Skills!M5+1)</f>
        <v/>
      </c>
      <c r="F80">
        <f>IF(Skills!N5=TRUE,(Skills!L5/10)*(E80/1000),Skills!L5/10)+Skills!O5</f>
        <v/>
      </c>
      <c r="G80">
        <f>Skills!G5*IF(Skills!H5&gt;0,Skills!I5/Skills!H5,1)</f>
        <v/>
      </c>
      <c r="H80">
        <f>1-(1-Skills!J5/100)^Skills!K5</f>
        <v/>
      </c>
      <c r="I80" t="inlineStr">
        <is>
          <t>1</t>
        </is>
      </c>
      <c r="J80">
        <f>((Inputs!$B$6*(1+Inputs!$B$7/100))+(((Inputs!$B$12*(1+(Inputs!$B$13+1)/100))-(Inputs!$B$12*(1+Inputs!$B$13/100)))+0.25*(Inputs!$B$14-Inputs!$B$14))*(1+Inputs!$B$7/100))*(F80/100)</f>
        <v/>
      </c>
      <c r="K80">
        <f>J80*(1+((Inputs!$B$12*(1+(Inputs!$B$13+1)/100))*0.01+Inputs!$B$14*0.0025)/100)*(1+Inputs!$B$15/100)*(1+Inputs!$B$16/100)*(5000/(6000+Inputs!$B$42*(1-(Inputs!$B$19+0)/100)))*(1+(Inputs!$B$24+((C100=TRUE)*(F100-Calc!F25))+B110)/100)*(1+IF(Skills!A5="ENHANCED_RAGING_BLOW",IF(Inputs!$B$3&gt;=134,MAX(0,IF(Inputs!$B$3&gt;=110,7,5)-5)*50,0),0)/100)*(1+(IF(Skills!A5="RAGING_BLOW",Inputs!$B$17+((C96=TRUE)*(F96-Calc!F21)),Inputs!$B$18+((C98=TRUE)*(F98-Calc!F23))))/100)*((1+(((C88=TRUE)*F88*IF(Inputs!$B$3&gt;=110,7,5))+((C90=TRUE)*F90*IF(AND(Inputs!$B$38&lt;&gt;"pvp",Inputs!$B$43&gt;0),(((R90-1)*(Skills!T15*(1+Inputs!$B$34/100))+MIN((Skills!T15*(1+Inputs!$B$34/100)),MAX(0,Inputs!$B$43-((R90-1)*Skills!D15))))/Inputs!$B$43),IF(Inputs!$B$38="pvp",MIN((Skills!T15*(1+Inputs!$B$34/100)),15)/15,(Skills!T15*(1+Inputs!$B$34/100))/Skills!D15)))+0)/100)*I80)</f>
        <v/>
      </c>
      <c r="L80">
        <f>K80*(MIN(Inputs!$B$22+((C97=TRUE)*(F97-Calc!F22)),Inputs!$B$23+((C99=TRUE)*(F99-Calc!F24)))/100+(Inputs!$B$23+((C99=TRUE)*(F99-Calc!F24)))/100)/2</f>
        <v/>
      </c>
      <c r="M80">
        <f>L80*(1+(Inputs!$B$10+0+B109)/100)</f>
        <v/>
      </c>
      <c r="N80">
        <f>L80*(1-MIN((Inputs!$B$9+((C101=TRUE)*(F101-Calc!F26))+B104),100)/100)+M80*(MIN((Inputs!$B$9+((C101=TRUE)*(F101-Calc!F26))+B104),100)/100)</f>
        <v/>
      </c>
      <c r="O80">
        <f>(1-Summary!$B$55)*T80+Summary!$B$55*V80</f>
        <v/>
      </c>
      <c r="P80">
        <f>IF(B114=0,0,O80/B114)</f>
        <v/>
      </c>
      <c r="Q80">
        <f>IFERROR(1/IF(Inputs!$B$38="pvp",15,MAX(0.1,Skills!D5-IF(Skills!E5=TRUE,Inputs!$B$32,0))),0)</f>
        <v/>
      </c>
      <c r="R80">
        <f>IF(AND(Inputs!$B$38&lt;&gt;"pvp",Inputs!$B$43&gt;0),IF(MAX(0,Inputs!$B$43-B111)&lt;=0,0,(INT(MAX(0,Inputs!$B$43-B111)/IF(Inputs!$B$38="pvp",15,MAX(0.1,Skills!D5-IF(Skills!E5=TRUE,Inputs!$B$32,0))))+1)),0)</f>
        <v/>
      </c>
      <c r="S80">
        <f>IFERROR(O80/N80,0)</f>
        <v/>
      </c>
      <c r="T80">
        <f>IF(C80,(H80*N80*IF(AND(Inputs!$B$38&lt;&gt;"pvp",Inputs!$B$43&gt;0),((Skills!G5*((R80-1)*IF(Skills!H5&gt;0,Skills!I5/Skills!H5,1)+IF(Skills!H5&gt;0,MIN(Skills!I5,MAX(0,MAX(0,Inputs!$B$43-B111)-((R80-1)*IF(Inputs!$B$38="pvp",15,MAX(0.1,Skills!D5-IF(Skills!E5=TRUE,Inputs!$B$32,0))))))/Skills!H5,1)))/Inputs!$B$43),G80*Q80))*IF(Inputs!$B$38="pvp",1,1+(Inputs!$B$20+0+Skills!P5+Summary!$B$59)/100),0)</f>
        <v/>
      </c>
      <c r="V80">
        <f>IF(C80,(H80*N80*IF(AND(Inputs!$B$38&lt;&gt;"pvp",Inputs!$B$43&gt;0),((Skills!G5*((R80-1)*IF(Skills!H5&gt;0,Skills!I5/Skills!H5,1)+IF(Skills!H5&gt;0,MIN(Skills!I5,MAX(0,MAX(0,Inputs!$B$43-B111)-((R80-1)*IF(Inputs!$B$38="pvp",15,MAX(0.1,Skills!D5-IF(Skills!E5=TRUE,Inputs!$B$32,0))))))/Skills!H5,1)))/Inputs!$B$43),G80*Q80))*IF(Inputs!$B$38="pvp",1,(1+(Inputs!$B$21+Skills!Q5+Summary!$B$59)/100)*(MIN(Skills!R5,Inputs!$B$37))),0)</f>
        <v/>
      </c>
    </row>
    <row r="81">
      <c r="A81">
        <f>Skills!A6</f>
        <v/>
      </c>
      <c r="B81">
        <f>Skills!B6</f>
        <v/>
      </c>
      <c r="C81">
        <f>Inputs!$B$3&gt;=103</f>
        <v/>
      </c>
      <c r="D81">
        <f>IF(Skills!C6=1,60+Inputs!$B$25+Inputs!$B$29,IF(Skills!C6=2,90+Inputs!$B$26+Inputs!$B$29,IF(Skills!C6=3,120+Inputs!$B$27+Inputs!$B$29,MAX(0,(Inputs!$B$3-100)*3)+Inputs!$B$28+Inputs!$B$29)))</f>
        <v/>
      </c>
      <c r="E81">
        <f>INDEX(FactorTable!$B$2:$Y$301, MATCH(ROUND(MIN(300,MAX(1,D81)),0), FactorTable!$A$2:$A$301,0), Skills!M6+1)</f>
        <v/>
      </c>
      <c r="F81">
        <f>IF(Skills!N6=TRUE,(Skills!L6/10)*(E81/1000),Skills!L6/10)+Skills!O6</f>
        <v/>
      </c>
      <c r="G81">
        <f>Skills!G6*IF(Skills!H6&gt;0,Skills!I6/Skills!H6,1)</f>
        <v/>
      </c>
      <c r="H81">
        <f>1-(1-Skills!J6/100)^Skills!K6</f>
        <v/>
      </c>
      <c r="I81" t="inlineStr">
        <is>
          <t>1</t>
        </is>
      </c>
      <c r="J81">
        <f>((Inputs!$B$6*(1+Inputs!$B$7/100))+(((Inputs!$B$12*(1+(Inputs!$B$13+1)/100))-(Inputs!$B$12*(1+Inputs!$B$13/100)))+0.25*(Inputs!$B$14-Inputs!$B$14))*(1+Inputs!$B$7/100))*(F81/100)</f>
        <v/>
      </c>
      <c r="K81">
        <f>J81*(1+((Inputs!$B$12*(1+(Inputs!$B$13+1)/100))*0.01+Inputs!$B$14*0.0025)/100)*(1+Inputs!$B$15/100)*(1+Inputs!$B$16/100)*(5000/(6000+Inputs!$B$42*(1-(Inputs!$B$19+0)/100)))*(1+(Inputs!$B$24+((C100=TRUE)*(F100-Calc!F25))+B110)/100)*(1+IF(Skills!A6="ENHANCED_RAGING_BLOW",IF(Inputs!$B$3&gt;=134,MAX(0,IF(Inputs!$B$3&gt;=110,7,5)-5)*50,0),0)/100)*(1+(IF(Skills!A6="RAGING_BLOW",Inputs!$B$17+((C96=TRUE)*(F96-Calc!F21)),Inputs!$B$18+((C98=TRUE)*(F98-Calc!F23))))/100)*((1+(((C88=TRUE)*F88*IF(Inputs!$B$3&gt;=110,7,5))+((C90=TRUE)*F90*IF(AND(Inputs!$B$38&lt;&gt;"pvp",Inputs!$B$43&gt;0),(((R90-1)*(Skills!T15*(1+Inputs!$B$34/100))+MIN((Skills!T15*(1+Inputs!$B$34/100)),MAX(0,Inputs!$B$43-((R90-1)*Skills!D15))))/Inputs!$B$43),IF(Inputs!$B$38="pvp",MIN((Skills!T15*(1+Inputs!$B$34/100)),15)/15,(Skills!T15*(1+Inputs!$B$34/100))/Skills!D15)))+0)/100)*I81)</f>
        <v/>
      </c>
      <c r="L81">
        <f>K81*(MIN(Inputs!$B$22+((C97=TRUE)*(F97-Calc!F22)),Inputs!$B$23+((C99=TRUE)*(F99-Calc!F24)))/100+(Inputs!$B$23+((C99=TRUE)*(F99-Calc!F24)))/100)/2</f>
        <v/>
      </c>
      <c r="M81">
        <f>L81*(1+(Inputs!$B$10+0+B109)/100)</f>
        <v/>
      </c>
      <c r="N81">
        <f>L81*(1-MIN((Inputs!$B$9+((C101=TRUE)*(F101-Calc!F26))+B104),100)/100)+M81*(MIN((Inputs!$B$9+((C101=TRUE)*(F101-Calc!F26))+B104),100)/100)</f>
        <v/>
      </c>
      <c r="O81">
        <f>(1-Summary!$B$55)*T81+Summary!$B$55*V81</f>
        <v/>
      </c>
      <c r="P81">
        <f>IF(B114=0,0,O81/B114)</f>
        <v/>
      </c>
      <c r="Q81">
        <f>IFERROR(1/IF(Inputs!$B$38="pvp",15,MAX(0.1,Skills!D6-IF(Skills!E6=TRUE,Inputs!$B$32,0))),0)</f>
        <v/>
      </c>
      <c r="R81">
        <f>IF(AND(Inputs!$B$38&lt;&gt;"pvp",Inputs!$B$43&gt;0),IF(MAX(0,Inputs!$B$43-B111)&lt;=0,0,(INT(MAX(0,Inputs!$B$43-B111)/IF(Inputs!$B$38="pvp",15,MAX(0.1,Skills!D6-IF(Skills!E6=TRUE,Inputs!$B$32,0))))+1)),0)</f>
        <v/>
      </c>
      <c r="S81">
        <f>IFERROR(O81/N81,0)</f>
        <v/>
      </c>
      <c r="T81">
        <f>IF(C81,(H81*N81*IF(AND(Inputs!$B$38&lt;&gt;"pvp",Inputs!$B$43&gt;0),((Skills!G6*((R81-1)*IF(Skills!H6&gt;0,Skills!I6/Skills!H6,1)+IF(Skills!H6&gt;0,MIN(Skills!I6,MAX(0,MAX(0,Inputs!$B$43-B111)-((R81-1)*IF(Inputs!$B$38="pvp",15,MAX(0.1,Skills!D6-IF(Skills!E6=TRUE,Inputs!$B$32,0))))))/Skills!H6,1)))/Inputs!$B$43),G81*Q81))*IF(Inputs!$B$38="pvp",1,1+(Inputs!$B$20+0+Skills!P6+Summary!$B$59)/100),0)</f>
        <v/>
      </c>
      <c r="V81">
        <f>IF(C81,(H81*N81*IF(AND(Inputs!$B$38&lt;&gt;"pvp",Inputs!$B$43&gt;0),((Skills!G6*((R81-1)*IF(Skills!H6&gt;0,Skills!I6/Skills!H6,1)+IF(Skills!H6&gt;0,MIN(Skills!I6,MAX(0,MAX(0,Inputs!$B$43-B111)-((R81-1)*IF(Inputs!$B$38="pvp",15,MAX(0.1,Skills!D6-IF(Skills!E6=TRUE,Inputs!$B$32,0))))))/Skills!H6,1)))/Inputs!$B$43),G81*Q81))*IF(Inputs!$B$38="pvp",1,(1+(Inputs!$B$21+Skills!Q6+Summary!$B$59)/100)*(MIN(Skills!R6,Inputs!$B$37))),0)</f>
        <v/>
      </c>
    </row>
    <row r="82">
      <c r="A82">
        <f>Skills!A7</f>
        <v/>
      </c>
      <c r="B82">
        <f>Skills!B7</f>
        <v/>
      </c>
      <c r="C82">
        <f>Inputs!$B$3&gt;=107</f>
        <v/>
      </c>
      <c r="D82">
        <f>IF(Skills!C7=1,60+Inputs!$B$25+Inputs!$B$29,IF(Skills!C7=2,90+Inputs!$B$26+Inputs!$B$29,IF(Skills!C7=3,120+Inputs!$B$27+Inputs!$B$29,MAX(0,(Inputs!$B$3-100)*3)+Inputs!$B$28+Inputs!$B$29)))</f>
        <v/>
      </c>
      <c r="E82">
        <f>INDEX(FactorTable!$B$2:$Y$301, MATCH(ROUND(MIN(300,MAX(1,D82)),0), FactorTable!$A$2:$A$301,0), Skills!M7+1)</f>
        <v/>
      </c>
      <c r="F82">
        <f>IF(Skills!N7=TRUE,(Skills!L7/10)*(E82/1000),Skills!L7/10)+Skills!O7</f>
        <v/>
      </c>
      <c r="G82">
        <f>Skills!G7*IF(Skills!H7&gt;0,Skills!I7/Skills!H7,1)</f>
        <v/>
      </c>
      <c r="H82">
        <f>1-(1-Skills!J7/100)^Skills!K7</f>
        <v/>
      </c>
      <c r="I82" t="inlineStr">
        <is>
          <t>1</t>
        </is>
      </c>
      <c r="J82">
        <f>((Inputs!$B$6*(1+Inputs!$B$7/100))+(((Inputs!$B$12*(1+(Inputs!$B$13+1)/100))-(Inputs!$B$12*(1+Inputs!$B$13/100)))+0.25*(Inputs!$B$14-Inputs!$B$14))*(1+Inputs!$B$7/100))*(F82/100)</f>
        <v/>
      </c>
      <c r="K82">
        <f>J82*(1+((Inputs!$B$12*(1+(Inputs!$B$13+1)/100))*0.01+Inputs!$B$14*0.0025)/100)*(1+Inputs!$B$15/100)*(1+Inputs!$B$16/100)*(5000/(6000+Inputs!$B$42*(1-(Inputs!$B$19+0)/100)))*(1+(Inputs!$B$24+((C100=TRUE)*(F100-Calc!F25))+B110)/100)*(1+IF(Skills!A7="ENHANCED_RAGING_BLOW",IF(Inputs!$B$3&gt;=134,MAX(0,IF(Inputs!$B$3&gt;=110,7,5)-5)*50,0),0)/100)*(1+(IF(Skills!A7="RAGING_BLOW",Inputs!$B$17+((C96=TRUE)*(F96-Calc!F21)),Inputs!$B$18+((C98=TRUE)*(F98-Calc!F23))))/100)*((1+(((C88=TRUE)*F88*IF(Inputs!$B$3&gt;=110,7,5))+((C90=TRUE)*F90*IF(AND(Inputs!$B$38&lt;&gt;"pvp",Inputs!$B$43&gt;0),(((R90-1)*(Skills!T15*(1+Inputs!$B$34/100))+MIN((Skills!T15*(1+Inputs!$B$34/100)),MAX(0,Inputs!$B$43-((R90-1)*Skills!D15))))/Inputs!$B$43),IF(Inputs!$B$38="pvp",MIN((Skills!T15*(1+Inputs!$B$34/100)),15)/15,(Skills!T15*(1+Inputs!$B$34/100))/Skills!D15)))+0)/100)*I82)</f>
        <v/>
      </c>
      <c r="L82">
        <f>K82*(MIN(Inputs!$B$22+((C97=TRUE)*(F97-Calc!F22)),Inputs!$B$23+((C99=TRUE)*(F99-Calc!F24)))/100+(Inputs!$B$23+((C99=TRUE)*(F99-Calc!F24)))/100)/2</f>
        <v/>
      </c>
      <c r="M82">
        <f>L82*(1+(Inputs!$B$10+0+B109)/100)</f>
        <v/>
      </c>
      <c r="N82">
        <f>L82*(1-MIN((Inputs!$B$9+((C101=TRUE)*(F101-Calc!F26))+B104),100)/100)+M82*(MIN((Inputs!$B$9+((C101=TRUE)*(F101-Calc!F26))+B104),100)/100)</f>
        <v/>
      </c>
      <c r="O82">
        <f>(1-Summary!$B$55)*T82+Summary!$B$55*V82</f>
        <v/>
      </c>
      <c r="P82">
        <f>IF(B114=0,0,O82/B114)</f>
        <v/>
      </c>
      <c r="Q82">
        <f>IFERROR(1/IF(Inputs!$B$38="pvp",15,MAX(0.1,Skills!D7-IF(Skills!E7=TRUE,Inputs!$B$32,0))),0)</f>
        <v/>
      </c>
      <c r="R82">
        <f>IF(AND(Inputs!$B$38&lt;&gt;"pvp",Inputs!$B$43&gt;0),IF(MAX(0,Inputs!$B$43-B111)&lt;=0,0,(INT(MAX(0,Inputs!$B$43-B111)/IF(Inputs!$B$38="pvp",15,MAX(0.1,Skills!D7-IF(Skills!E7=TRUE,Inputs!$B$32,0))))+1)),0)</f>
        <v/>
      </c>
      <c r="S82">
        <f>IFERROR(O82/N82,0)</f>
        <v/>
      </c>
      <c r="T82">
        <f>IF(C82,(H82*N82*IF(AND(Inputs!$B$38&lt;&gt;"pvp",Inputs!$B$43&gt;0),((Skills!G7*((R82-1)*IF(Skills!H7&gt;0,Skills!I7/Skills!H7,1)+IF(Skills!H7&gt;0,MIN(Skills!I7,MAX(0,MAX(0,Inputs!$B$43-B111)-((R82-1)*IF(Inputs!$B$38="pvp",15,MAX(0.1,Skills!D7-IF(Skills!E7=TRUE,Inputs!$B$32,0))))))/Skills!H7,1)))/Inputs!$B$43),G82*Q82))*IF(Inputs!$B$38="pvp",1,1+(Inputs!$B$20+0+Skills!P7+Summary!$B$59)/100),0)</f>
        <v/>
      </c>
      <c r="V82">
        <f>IF(C82,(H82*N82*IF(AND(Inputs!$B$38&lt;&gt;"pvp",Inputs!$B$43&gt;0),((Skills!G7*((R82-1)*IF(Skills!H7&gt;0,Skills!I7/Skills!H7,1)+IF(Skills!H7&gt;0,MIN(Skills!I7,MAX(0,MAX(0,Inputs!$B$43-B111)-((R82-1)*IF(Inputs!$B$38="pvp",15,MAX(0.1,Skills!D7-IF(Skills!E7=TRUE,Inputs!$B$32,0))))))/Skills!H7,1)))/Inputs!$B$43),G82*Q82))*IF(Inputs!$B$38="pvp",1,(1+(Inputs!$B$21+Skills!Q7+Summary!$B$59)/100)*(MIN(Skills!R7,Inputs!$B$37))),0)</f>
        <v/>
      </c>
    </row>
    <row r="83">
      <c r="A83">
        <f>Skills!A8</f>
        <v/>
      </c>
      <c r="B83">
        <f>Skills!B8</f>
        <v/>
      </c>
      <c r="C83">
        <f>Inputs!$B$3&gt;=117</f>
        <v/>
      </c>
      <c r="D83">
        <f>IF(Skills!C8=1,60+Inputs!$B$25+Inputs!$B$29,IF(Skills!C8=2,90+Inputs!$B$26+Inputs!$B$29,IF(Skills!C8=3,120+Inputs!$B$27+Inputs!$B$29,MAX(0,(Inputs!$B$3-100)*3)+Inputs!$B$28+Inputs!$B$29)))</f>
        <v/>
      </c>
      <c r="E83">
        <f>INDEX(FactorTable!$B$2:$Y$301, MATCH(ROUND(MIN(300,MAX(1,D83)),0), FactorTable!$A$2:$A$301,0), Skills!M8+1)</f>
        <v/>
      </c>
      <c r="F83">
        <f>IF(Skills!N8=TRUE,(Skills!L8/10)*(E83/1000),Skills!L8/10)+Skills!O8</f>
        <v/>
      </c>
      <c r="G83">
        <f>Skills!G8*IF(Skills!H8&gt;0,Skills!I8/Skills!H8,1)</f>
        <v/>
      </c>
      <c r="H83">
        <f>1-(1-Skills!J8/100)^Skills!K8</f>
        <v/>
      </c>
      <c r="I83" t="inlineStr">
        <is>
          <t>1</t>
        </is>
      </c>
      <c r="J83">
        <f>((Inputs!$B$6*(1+Inputs!$B$7/100))+(((Inputs!$B$12*(1+(Inputs!$B$13+1)/100))-(Inputs!$B$12*(1+Inputs!$B$13/100)))+0.25*(Inputs!$B$14-Inputs!$B$14))*(1+Inputs!$B$7/100))*(F83/100)</f>
        <v/>
      </c>
      <c r="K83">
        <f>J83*(1+((Inputs!$B$12*(1+(Inputs!$B$13+1)/100))*0.01+Inputs!$B$14*0.0025)/100)*(1+Inputs!$B$15/100)*(1+Inputs!$B$16/100)*(5000/(6000+Inputs!$B$42*(1-(Inputs!$B$19+0)/100)))*(1+(Inputs!$B$24+((C100=TRUE)*(F100-Calc!F25))+B110)/100)*(1+IF(Skills!A8="ENHANCED_RAGING_BLOW",IF(Inputs!$B$3&gt;=134,MAX(0,IF(Inputs!$B$3&gt;=110,7,5)-5)*50,0),0)/100)*(1+(IF(Skills!A8="RAGING_BLOW",Inputs!$B$17+((C96=TRUE)*(F96-Calc!F21)),Inputs!$B$18+((C98=TRUE)*(F98-Calc!F23))))/100)*((1+(((C88=TRUE)*F88*IF(Inputs!$B$3&gt;=110,7,5))+((C90=TRUE)*F90*IF(AND(Inputs!$B$38&lt;&gt;"pvp",Inputs!$B$43&gt;0),(((R90-1)*(Skills!T15*(1+Inputs!$B$34/100))+MIN((Skills!T15*(1+Inputs!$B$34/100)),MAX(0,Inputs!$B$43-((R90-1)*Skills!D15))))/Inputs!$B$43),IF(Inputs!$B$38="pvp",MIN((Skills!T15*(1+Inputs!$B$34/100)),15)/15,(Skills!T15*(1+Inputs!$B$34/100))/Skills!D15)))+0)/100)*I83)</f>
        <v/>
      </c>
      <c r="L83">
        <f>K83*(MIN(Inputs!$B$22+((C97=TRUE)*(F97-Calc!F22)),Inputs!$B$23+((C99=TRUE)*(F99-Calc!F24)))/100+(Inputs!$B$23+((C99=TRUE)*(F99-Calc!F24)))/100)/2</f>
        <v/>
      </c>
      <c r="M83">
        <f>L83*(1+(Inputs!$B$10+0+B109)/100)</f>
        <v/>
      </c>
      <c r="N83">
        <f>L83*(1-MIN((Inputs!$B$9+((C101=TRUE)*(F101-Calc!F26))+B104),100)/100)+M83*(MIN((Inputs!$B$9+((C101=TRUE)*(F101-Calc!F26))+B104),100)/100)</f>
        <v/>
      </c>
      <c r="O83">
        <f>(1-Summary!$B$55)*T83+Summary!$B$55*V83</f>
        <v/>
      </c>
      <c r="P83">
        <f>IF(B114=0,0,O83/B114)</f>
        <v/>
      </c>
      <c r="Q83">
        <f>IFERROR(1/IF(Inputs!$B$38="pvp",15,MAX(0.1,Skills!D8-IF(Skills!E8=TRUE,Inputs!$B$32,0))),0)</f>
        <v/>
      </c>
      <c r="R83">
        <f>IF(AND(Inputs!$B$38&lt;&gt;"pvp",Inputs!$B$43&gt;0),IF(MAX(0,Inputs!$B$43-B111)&lt;=0,0,(INT(MAX(0,Inputs!$B$43-B111)/IF(Inputs!$B$38="pvp",15,MAX(0.1,Skills!D8-IF(Skills!E8=TRUE,Inputs!$B$32,0))))+1)),0)</f>
        <v/>
      </c>
      <c r="S83">
        <f>IFERROR(O83/N83,0)</f>
        <v/>
      </c>
      <c r="T83">
        <f>IF(C83,(H83*N83*IF(AND(Inputs!$B$38&lt;&gt;"pvp",Inputs!$B$43&gt;0),((Skills!G8*((R83-1)*IF(Skills!H8&gt;0,Skills!I8/Skills!H8,1)+IF(Skills!H8&gt;0,MIN(Skills!I8,MAX(0,MAX(0,Inputs!$B$43-B111)-((R83-1)*IF(Inputs!$B$38="pvp",15,MAX(0.1,Skills!D8-IF(Skills!E8=TRUE,Inputs!$B$32,0))))))/Skills!H8,1)))/Inputs!$B$43),G83*Q83))*IF(Inputs!$B$38="pvp",1,1+(Inputs!$B$20+0+Skills!P8+Summary!$B$59)/100),0)</f>
        <v/>
      </c>
      <c r="V83">
        <f>IF(C83,(H83*N83*IF(AND(Inputs!$B$38&lt;&gt;"pvp",Inputs!$B$43&gt;0),((Skills!G8*((R83-1)*IF(Skills!H8&gt;0,Skills!I8/Skills!H8,1)+IF(Skills!H8&gt;0,MIN(Skills!I8,MAX(0,MAX(0,Inputs!$B$43-B111)-((R83-1)*IF(Inputs!$B$38="pvp",15,MAX(0.1,Skills!D8-IF(Skills!E8=TRUE,Inputs!$B$32,0))))))/Skills!H8,1)))/Inputs!$B$43),G83*Q83))*IF(Inputs!$B$38="pvp",1,(1+(Inputs!$B$21+Skills!Q8+Summary!$B$59)/100)*(MIN(Skills!R8,Inputs!$B$37))),0)</f>
        <v/>
      </c>
    </row>
    <row r="84">
      <c r="A84">
        <f>Skills!A9</f>
        <v/>
      </c>
      <c r="B84">
        <f>Skills!B9</f>
        <v/>
      </c>
      <c r="C84">
        <f>Inputs!$B$3&gt;=69</f>
        <v/>
      </c>
      <c r="D84">
        <f>IF(Skills!C9=1,60+Inputs!$B$25+Inputs!$B$29,IF(Skills!C9=2,90+Inputs!$B$26+Inputs!$B$29,IF(Skills!C9=3,120+Inputs!$B$27+Inputs!$B$29,MAX(0,(Inputs!$B$3-100)*3)+Inputs!$B$28+Inputs!$B$29)))</f>
        <v/>
      </c>
      <c r="E84">
        <f>INDEX(FactorTable!$B$2:$Y$301, MATCH(ROUND(MIN(300,MAX(1,D84)),0), FactorTable!$A$2:$A$301,0), Skills!M9+1)</f>
        <v/>
      </c>
      <c r="F84">
        <f>IF(Skills!N9=TRUE,(Skills!L9/10)*(E84/1000),Skills!L9/10)+Skills!O9</f>
        <v/>
      </c>
      <c r="G84">
        <f>Skills!G9*IF(Skills!H9&gt;0,Skills!I9/Skills!H9,1)</f>
        <v/>
      </c>
      <c r="H84">
        <f>1-(1-Skills!J9/100)^Skills!K9</f>
        <v/>
      </c>
      <c r="I84" t="inlineStr">
        <is>
          <t>1</t>
        </is>
      </c>
      <c r="J84">
        <f>((Inputs!$B$6*(1+Inputs!$B$7/100))+(((Inputs!$B$12*(1+(Inputs!$B$13+1)/100))-(Inputs!$B$12*(1+Inputs!$B$13/100)))+0.25*(Inputs!$B$14-Inputs!$B$14))*(1+Inputs!$B$7/100))*(F84/100)</f>
        <v/>
      </c>
      <c r="K84">
        <f>J84*(1+((Inputs!$B$12*(1+(Inputs!$B$13+1)/100))*0.01+Inputs!$B$14*0.0025)/100)*(1+Inputs!$B$15/100)*(1+Inputs!$B$16/100)*(5000/(6000+Inputs!$B$42*(1-(Inputs!$B$19+0)/100)))*(1+(Inputs!$B$24+((C100=TRUE)*(F100-Calc!F25))+B110)/100)*(1+1.0*IF(C87=TRUE,F87,0)/100)*(1+IF(Skills!A9="ENHANCED_RAGING_BLOW",IF(Inputs!$B$3&gt;=134,MAX(0,IF(Inputs!$B$3&gt;=110,7,5)-5)*50,0),0)/100)*(1+(IF(Skills!A9="RAGING_BLOW",Inputs!$B$17+((C96=TRUE)*(F96-Calc!F21)),Inputs!$B$18+((C98=TRUE)*(F98-Calc!F23))))/100)*((1+(((C88=TRUE)*F88*IF(Inputs!$B$3&gt;=110,7,5))+((C90=TRUE)*F90*IF(AND(Inputs!$B$38&lt;&gt;"pvp",Inputs!$B$43&gt;0),(((R90-1)*(Skills!T15*(1+Inputs!$B$34/100))+MIN((Skills!T15*(1+Inputs!$B$34/100)),MAX(0,Inputs!$B$43-((R90-1)*Skills!D15))))/Inputs!$B$43),IF(Inputs!$B$38="pvp",MIN((Skills!T15*(1+Inputs!$B$34/100)),15)/15,(Skills!T15*(1+Inputs!$B$34/100))/Skills!D15)))+0)/100)*I84)</f>
        <v/>
      </c>
      <c r="L84">
        <f>K84*(MIN(Inputs!$B$22+((C97=TRUE)*(F97-Calc!F22)),Inputs!$B$23+((C99=TRUE)*(F99-Calc!F24)))/100+(Inputs!$B$23+((C99=TRUE)*(F99-Calc!F24)))/100)/2</f>
        <v/>
      </c>
      <c r="M84">
        <f>L84*(1+(Inputs!$B$10+0+B109)/100)</f>
        <v/>
      </c>
      <c r="N84">
        <f>L84*(1-MIN((Inputs!$B$9+((C101=TRUE)*(F101-Calc!F26))+B104),100)/100)+M84*(MIN((Inputs!$B$9+((C101=TRUE)*(F101-Calc!F26))+B104),100)/100)</f>
        <v/>
      </c>
      <c r="O84">
        <f>(1-Summary!$B$55)*T84+Summary!$B$55*V84</f>
        <v/>
      </c>
      <c r="P84">
        <f>IF(B114=0,0,O84/B114)</f>
        <v/>
      </c>
      <c r="Q84">
        <f>IFERROR(1/IF(Inputs!$B$38="pvp",15,MAX(0.1,Skills!D9-IF(Skills!E9=TRUE,Inputs!$B$32,0))),0)</f>
        <v/>
      </c>
      <c r="R84">
        <f>IF(AND(Inputs!$B$38&lt;&gt;"pvp",Inputs!$B$43&gt;0),IF(MAX(0,Inputs!$B$43-B111)&lt;=0,0,(INT(MAX(0,Inputs!$B$43-B111)/IF(Inputs!$B$38="pvp",15,MAX(0.1,Skills!D9-IF(Skills!E9=TRUE,Inputs!$B$32,0))))+1)),0)</f>
        <v/>
      </c>
      <c r="S84">
        <f>IFERROR(O84/N84,0)</f>
        <v/>
      </c>
      <c r="T84">
        <f>IF(C84,(H84*N84*IF(AND(Inputs!$B$38&lt;&gt;"pvp",Inputs!$B$43&gt;0),((Skills!G9*((R84-1)*IF(Skills!H9&gt;0,Skills!I9/Skills!H9,1)+IF(Skills!H9&gt;0,MIN(Skills!I9,MAX(0,MAX(0,Inputs!$B$43-B111)-((R84-1)*IF(Inputs!$B$38="pvp",15,MAX(0.1,Skills!D9-IF(Skills!E9=TRUE,Inputs!$B$32,0))))))/Skills!H9,1)))/Inputs!$B$43),G84*Q84))*IF(Inputs!$B$38="pvp",1,1+(Inputs!$B$20+0+Skills!P9+Summary!$B$59)/100),0)</f>
        <v/>
      </c>
      <c r="V84">
        <f>IF(C84,(H84*N84*IF(AND(Inputs!$B$38&lt;&gt;"pvp",Inputs!$B$43&gt;0),((Skills!G9*((R84-1)*IF(Skills!H9&gt;0,Skills!I9/Skills!H9,1)+IF(Skills!H9&gt;0,MIN(Skills!I9,MAX(0,MAX(0,Inputs!$B$43-B111)-((R84-1)*IF(Inputs!$B$38="pvp",15,MAX(0.1,Skills!D9-IF(Skills!E9=TRUE,Inputs!$B$32,0))))))/Skills!H9,1)))/Inputs!$B$43),G84*Q84))*IF(Inputs!$B$38="pvp",1,(1+(Inputs!$B$21+Skills!Q9+Summary!$B$59)/100)*(MIN(Skills!R9,Inputs!$B$37))),0)</f>
        <v/>
      </c>
    </row>
    <row r="85">
      <c r="A85">
        <f>Skills!A10</f>
        <v/>
      </c>
      <c r="B85">
        <f>Skills!B10</f>
        <v/>
      </c>
      <c r="C85">
        <f>Inputs!$B$3&gt;=63</f>
        <v/>
      </c>
      <c r="D85">
        <f>IF(Skills!C10=1,60+Inputs!$B$25+Inputs!$B$29,IF(Skills!C10=2,90+Inputs!$B$26+Inputs!$B$29,IF(Skills!C10=3,120+Inputs!$B$27+Inputs!$B$29,MAX(0,(Inputs!$B$3-100)*3)+Inputs!$B$28+Inputs!$B$29)))</f>
        <v/>
      </c>
      <c r="E85">
        <f>INDEX(FactorTable!$B$2:$Y$301, MATCH(ROUND(MIN(300,MAX(1,D85)),0), FactorTable!$A$2:$A$301,0), Skills!M10+1)</f>
        <v/>
      </c>
      <c r="F85">
        <f>IF(Skills!N10=TRUE,(Skills!L10/10)*(E85/1000),Skills!L10/10)+Skills!O10</f>
        <v/>
      </c>
      <c r="G85">
        <f>Skills!G10*IF(Skills!H10&gt;0,Skills!I10/Skills!H10,1)</f>
        <v/>
      </c>
      <c r="H85">
        <f>1-(1-Skills!J10/100)^Skills!K10</f>
        <v/>
      </c>
      <c r="I85" t="inlineStr">
        <is>
          <t>1</t>
        </is>
      </c>
      <c r="J85">
        <f>((Inputs!$B$6*(1+Inputs!$B$7/100))+(((Inputs!$B$12*(1+(Inputs!$B$13+1)/100))-(Inputs!$B$12*(1+Inputs!$B$13/100)))+0.25*(Inputs!$B$14-Inputs!$B$14))*(1+Inputs!$B$7/100))*(F85/100)</f>
        <v/>
      </c>
      <c r="K85">
        <f>J85*(1+((Inputs!$B$12*(1+(Inputs!$B$13+1)/100))*0.01+Inputs!$B$14*0.0025)/100)*(1+Inputs!$B$15/100)*(1+Inputs!$B$16/100)*(5000/(6000+Inputs!$B$42*(1-(Inputs!$B$19+0)/100)))*(1+(Inputs!$B$24+((C100=TRUE)*(F100-Calc!F25))+B110)/100)*(1+1.5*IF(C87=TRUE,F87,0)/100)*(1+IF(Skills!A10="ENHANCED_RAGING_BLOW",IF(Inputs!$B$3&gt;=134,MAX(0,IF(Inputs!$B$3&gt;=110,7,5)-5)*50,0),0)/100)*(1+(IF(Skills!A10="RAGING_BLOW",Inputs!$B$17+((C96=TRUE)*(F96-Calc!F21)),Inputs!$B$18+((C98=TRUE)*(F98-Calc!F23))))/100)*((1+(((C88=TRUE)*F88*IF(Inputs!$B$3&gt;=110,7,5))+((C90=TRUE)*F90*IF(AND(Inputs!$B$38&lt;&gt;"pvp",Inputs!$B$43&gt;0),(((R90-1)*(Skills!T15*(1+Inputs!$B$34/100))+MIN((Skills!T15*(1+Inputs!$B$34/100)),MAX(0,Inputs!$B$43-((R90-1)*Skills!D15))))/Inputs!$B$43),IF(Inputs!$B$38="pvp",MIN((Skills!T15*(1+Inputs!$B$34/100)),15)/15,(Skills!T15*(1+Inputs!$B$34/100))/Skills!D15)))+0)/100)*I85)</f>
        <v/>
      </c>
      <c r="L85">
        <f>K85*(MIN(Inputs!$B$22+((C97=TRUE)*(F97-Calc!F22)),Inputs!$B$23+((C99=TRUE)*(F99-Calc!F24)))/100+(Inputs!$B$23+((C99=TRUE)*(F99-Calc!F24)))/100)/2</f>
        <v/>
      </c>
      <c r="M85">
        <f>L85*(1+(Inputs!$B$10+0+B109)/100)</f>
        <v/>
      </c>
      <c r="N85">
        <f>L85*(1-MIN((Inputs!$B$9+((C101=TRUE)*(F101-Calc!F26))+B104),100)/100)+M85*(MIN((Inputs!$B$9+((C101=TRUE)*(F101-Calc!F26))+B104),100)/100)</f>
        <v/>
      </c>
      <c r="O85">
        <f>(1-Summary!$B$55)*T85+Summary!$B$55*V85</f>
        <v/>
      </c>
      <c r="P85">
        <f>IF(B114=0,0,O85/B114)</f>
        <v/>
      </c>
      <c r="Q85">
        <f>IFERROR(1/IF(Inputs!$B$38="pvp",15,MAX(0.1,Skills!D10-IF(Skills!E10=TRUE,Inputs!$B$32,0))),0)</f>
        <v/>
      </c>
      <c r="R85">
        <f>IF(AND(Inputs!$B$38&lt;&gt;"pvp",Inputs!$B$43&gt;0),IF(MAX(0,Inputs!$B$43-B111)&lt;=0,0,(INT(MAX(0,Inputs!$B$43-B111)/IF(Inputs!$B$38="pvp",15,MAX(0.1,Skills!D10-IF(Skills!E10=TRUE,Inputs!$B$32,0))))+1)),0)</f>
        <v/>
      </c>
      <c r="S85">
        <f>IFERROR(O85/N85,0)</f>
        <v/>
      </c>
      <c r="T85">
        <f>IF(C85,(H85*N85*IF(AND(Inputs!$B$38&lt;&gt;"pvp",Inputs!$B$43&gt;0),((Skills!G10*((R85-1)*IF(Skills!H10&gt;0,Skills!I10/Skills!H10,1)+IF(Skills!H10&gt;0,MIN(Skills!I10,MAX(0,MAX(0,Inputs!$B$43-B111)-((R85-1)*IF(Inputs!$B$38="pvp",15,MAX(0.1,Skills!D10-IF(Skills!E10=TRUE,Inputs!$B$32,0))))))/Skills!H10,1)))/Inputs!$B$43),G85*Q85))*IF(Inputs!$B$38="pvp",1,1+(Inputs!$B$20+0+Skills!P10+Summary!$B$59)/100),0)</f>
        <v/>
      </c>
      <c r="V85">
        <f>IF(C85,(H85*N85*IF(AND(Inputs!$B$38&lt;&gt;"pvp",Inputs!$B$43&gt;0),((Skills!G10*((R85-1)*IF(Skills!H10&gt;0,Skills!I10/Skills!H10,1)+IF(Skills!H10&gt;0,MIN(Skills!I10,MAX(0,MAX(0,Inputs!$B$43-B111)-((R85-1)*IF(Inputs!$B$38="pvp",15,MAX(0.1,Skills!D10-IF(Skills!E10=TRUE,Inputs!$B$32,0))))))/Skills!H10,1)))/Inputs!$B$43),G85*Q85))*IF(Inputs!$B$38="pvp",1,(1+(Inputs!$B$21+Skills!Q10+Summary!$B$59)/100)*(MIN(Skills!R10,Inputs!$B$37))),0)</f>
        <v/>
      </c>
    </row>
    <row r="86">
      <c r="A86">
        <f>Skills!A11</f>
        <v/>
      </c>
      <c r="B86">
        <f>Skills!B11</f>
        <v/>
      </c>
      <c r="C86">
        <f>Inputs!$B$3&gt;=35</f>
        <v/>
      </c>
      <c r="D86">
        <f>IF(Skills!C11=1,60+Inputs!$B$25+Inputs!$B$29,IF(Skills!C11=2,90+Inputs!$B$26+Inputs!$B$29,IF(Skills!C11=3,120+Inputs!$B$27+Inputs!$B$29,MAX(0,(Inputs!$B$3-100)*3)+Inputs!$B$28+Inputs!$B$29)))</f>
        <v/>
      </c>
      <c r="E86">
        <f>INDEX(FactorTable!$B$2:$Y$301, MATCH(ROUND(MIN(300,MAX(1,D86)),0), FactorTable!$A$2:$A$301,0), Skills!M11+1)</f>
        <v/>
      </c>
      <c r="F86">
        <f>IF(Skills!N11=TRUE,(Skills!L11/10)*(E86/1000),Skills!L11/10)+Skills!O11</f>
        <v/>
      </c>
      <c r="G86">
        <f>Skills!G11*IF(Skills!H11&gt;0,Skills!I11/Skills!H11,1)</f>
        <v/>
      </c>
      <c r="H86">
        <f>1-(1-Skills!J11/100)^Skills!K11</f>
        <v/>
      </c>
      <c r="I86" t="inlineStr">
        <is>
          <t>1</t>
        </is>
      </c>
      <c r="J86">
        <f>((Inputs!$B$6*(1+Inputs!$B$7/100))+(((Inputs!$B$12*(1+(Inputs!$B$13+1)/100))-(Inputs!$B$12*(1+Inputs!$B$13/100)))+0.25*(Inputs!$B$14-Inputs!$B$14))*(1+Inputs!$B$7/100))*(F86/100)</f>
        <v/>
      </c>
      <c r="K86">
        <f>J86*(1+((Inputs!$B$12*(1+(Inputs!$B$13+1)/100))*0.01+Inputs!$B$14*0.0025)/100)*(1+Inputs!$B$15/100)*(1+Inputs!$B$16/100)*(5000/(6000+Inputs!$B$42*(1-(Inputs!$B$19+0)/100)))*(1+(Inputs!$B$24+((C100=TRUE)*(F100-Calc!F25))+B110)/100)*(1+4.0*IF(C87=TRUE,F87,0)/100)*(1+IF(Skills!A11="ENHANCED_RAGING_BLOW",IF(Inputs!$B$3&gt;=134,MAX(0,IF(Inputs!$B$3&gt;=110,7,5)-5)*50,0),0)/100)*(1+(IF(Skills!A11="RAGING_BLOW",Inputs!$B$17+((C96=TRUE)*(F96-Calc!F21)),Inputs!$B$18+((C98=TRUE)*(F98-Calc!F23))))/100)*((1+(((C88=TRUE)*F88*IF(Inputs!$B$3&gt;=110,7,5))+((C90=TRUE)*F90*IF(AND(Inputs!$B$38&lt;&gt;"pvp",Inputs!$B$43&gt;0),(((R90-1)*(Skills!T15*(1+Inputs!$B$34/100))+MIN((Skills!T15*(1+Inputs!$B$34/100)),MAX(0,Inputs!$B$43-((R90-1)*Skills!D15))))/Inputs!$B$43),IF(Inputs!$B$38="pvp",MIN((Skills!T15*(1+Inputs!$B$34/100)),15)/15,(Skills!T15*(1+Inputs!$B$34/100))/Skills!D15)))+0)/100)*I86)</f>
        <v/>
      </c>
      <c r="L86">
        <f>K86*(MIN(Inputs!$B$22+((C97=TRUE)*(F97-Calc!F22)),Inputs!$B$23+((C99=TRUE)*(F99-Calc!F24)))/100+(Inputs!$B$23+((C99=TRUE)*(F99-Calc!F24)))/100)/2</f>
        <v/>
      </c>
      <c r="M86">
        <f>L86*(1+(Inputs!$B$10+0+B109)/100)</f>
        <v/>
      </c>
      <c r="N86">
        <f>L86*(1-MIN((Inputs!$B$9+((C101=TRUE)*(F101-Calc!F26))+B104),100)/100)+M86*(MIN((Inputs!$B$9+((C101=TRUE)*(F101-Calc!F26))+B104),100)/100)</f>
        <v/>
      </c>
      <c r="O86">
        <f>(1-Summary!$B$55)*T86+Summary!$B$55*V86</f>
        <v/>
      </c>
      <c r="P86">
        <f>IF(B114=0,0,O86/B114)</f>
        <v/>
      </c>
      <c r="Q86">
        <f>IFERROR(1/IF(Inputs!$B$38="pvp",15,MAX(0.1,Skills!D11-IF(Skills!E11=TRUE,Inputs!$B$32,0))),0)</f>
        <v/>
      </c>
      <c r="R86">
        <f>IF(AND(Inputs!$B$38&lt;&gt;"pvp",Inputs!$B$43&gt;0),IF(MAX(0,Inputs!$B$43-B111)&lt;=0,0,(INT(MAX(0,Inputs!$B$43-B111)/IF(Inputs!$B$38="pvp",15,MAX(0.1,Skills!D11-IF(Skills!E11=TRUE,Inputs!$B$32,0))))+1)),0)</f>
        <v/>
      </c>
      <c r="S86">
        <f>IFERROR(O86/N86,0)</f>
        <v/>
      </c>
      <c r="T86">
        <f>IF(C86,(H86*N86*IF(AND(Inputs!$B$38&lt;&gt;"pvp",Inputs!$B$43&gt;0),((Skills!G11*((R86-1)*IF(Skills!H11&gt;0,Skills!I11/Skills!H11,1)+IF(Skills!H11&gt;0,MIN(Skills!I11,MAX(0,MAX(0,Inputs!$B$43-B111)-((R86-1)*IF(Inputs!$B$38="pvp",15,MAX(0.1,Skills!D11-IF(Skills!E11=TRUE,Inputs!$B$32,0))))))/Skills!H11,1)))/Inputs!$B$43),G86*Q86))*IF(Inputs!$B$38="pvp",1,1+(Inputs!$B$20+0+Skills!P11+Summary!$B$59)/100),0)</f>
        <v/>
      </c>
      <c r="V86">
        <f>IF(C86,(H86*N86*IF(AND(Inputs!$B$38&lt;&gt;"pvp",Inputs!$B$43&gt;0),((Skills!G11*((R86-1)*IF(Skills!H11&gt;0,Skills!I11/Skills!H11,1)+IF(Skills!H11&gt;0,MIN(Skills!I11,MAX(0,MAX(0,Inputs!$B$43-B111)-((R86-1)*IF(Inputs!$B$38="pvp",15,MAX(0.1,Skills!D11-IF(Skills!E11=TRUE,Inputs!$B$32,0))))))/Skills!H11,1)))/Inputs!$B$43),G86*Q86))*IF(Inputs!$B$38="pvp",1,(1+(Inputs!$B$21+Skills!Q11+Summary!$B$59)/100)*(MIN(Skills!R11,Inputs!$B$37))),0)</f>
        <v/>
      </c>
    </row>
    <row r="87">
      <c r="A87">
        <f>Skills!A12</f>
        <v/>
      </c>
      <c r="B87">
        <f>Skills!B12</f>
        <v/>
      </c>
      <c r="C87">
        <f>Inputs!$B$3&gt;=100</f>
        <v/>
      </c>
      <c r="D87">
        <f>IF(Skills!C12=1,60+Inputs!$B$25+Inputs!$B$29,IF(Skills!C12=2,90+Inputs!$B$26+Inputs!$B$29,IF(Skills!C12=3,120+Inputs!$B$27+Inputs!$B$29,MAX(0,(Inputs!$B$3-100)*3)+Inputs!$B$28+Inputs!$B$29)))</f>
        <v/>
      </c>
      <c r="E87">
        <f>INDEX(FactorTable!$B$2:$Y$301, MATCH(ROUND(MIN(300,MAX(1,D87)),0), FactorTable!$A$2:$A$301,0), Skills!M12+1)</f>
        <v/>
      </c>
      <c r="F87">
        <f>IF(Skills!N12=TRUE,(Skills!L12/10)*(E87/1000),Skills!L12/10)+Skills!O12</f>
        <v/>
      </c>
      <c r="G87" t="inlineStr"/>
      <c r="H87" t="inlineStr"/>
      <c r="I87" t="inlineStr">
        <is>
          <t>1</t>
        </is>
      </c>
      <c r="J87" t="inlineStr"/>
      <c r="K87" t="inlineStr"/>
      <c r="L87" t="inlineStr"/>
      <c r="M87" t="inlineStr"/>
      <c r="N87" t="inlineStr"/>
      <c r="O87" t="inlineStr"/>
      <c r="P87" t="inlineStr"/>
      <c r="Q87" t="inlineStr"/>
      <c r="R87" t="inlineStr"/>
      <c r="S87" t="inlineStr"/>
    </row>
    <row r="88">
      <c r="A88">
        <f>Skills!A13</f>
        <v/>
      </c>
      <c r="B88">
        <f>Skills!B13</f>
        <v/>
      </c>
      <c r="C88">
        <f>Inputs!$B$3&gt;=45</f>
        <v/>
      </c>
      <c r="D88">
        <f>IF(Skills!C13=1,60+Inputs!$B$25+Inputs!$B$29,IF(Skills!C13=2,90+Inputs!$B$26+Inputs!$B$29,IF(Skills!C13=3,120+Inputs!$B$27+Inputs!$B$29,MAX(0,(Inputs!$B$3-100)*3)+Inputs!$B$28+Inputs!$B$29)))</f>
        <v/>
      </c>
      <c r="E88">
        <f>INDEX(FactorTable!$B$2:$Y$301, MATCH(ROUND(MIN(300,MAX(1,D88)),0), FactorTable!$A$2:$A$301,0), Skills!M13+1)</f>
        <v/>
      </c>
      <c r="F88">
        <f>IF(Skills!N13=TRUE,(Skills!L13/10)*(E88/1000),Skills!L13/10)+Skills!O13</f>
        <v/>
      </c>
      <c r="G88">
        <f>Skills!G13*IF(Skills!H13&gt;0,Skills!I13/Skills!H13,1)</f>
        <v/>
      </c>
      <c r="H88">
        <f>1-(1-Skills!J13/100)^Skills!K13</f>
        <v/>
      </c>
      <c r="I88" t="inlineStr">
        <is>
          <t>1</t>
        </is>
      </c>
      <c r="J88" t="inlineStr"/>
      <c r="K88" t="inlineStr"/>
      <c r="L88" t="inlineStr"/>
      <c r="M88" t="inlineStr"/>
      <c r="N88" t="inlineStr"/>
      <c r="O88">
        <f>(1-Summary!$B$55)*T88+Summary!$B$55*V88</f>
        <v/>
      </c>
      <c r="P88">
        <f>IF(B114=0,0,O88/B114)</f>
        <v/>
      </c>
      <c r="Q88" t="n">
        <v>0</v>
      </c>
      <c r="R88" t="n">
        <v>0</v>
      </c>
      <c r="S88">
        <f>IFERROR(O88/N88,0)</f>
        <v/>
      </c>
      <c r="T88" t="n">
        <v>0</v>
      </c>
      <c r="V88" t="n">
        <v>0</v>
      </c>
    </row>
    <row r="89">
      <c r="A89">
        <f>Skills!A14</f>
        <v/>
      </c>
      <c r="B89">
        <f>Skills!B14</f>
        <v/>
      </c>
      <c r="C89">
        <f>Inputs!$B$3&gt;=75</f>
        <v/>
      </c>
      <c r="D89">
        <f>IF(Skills!C14=1,60+Inputs!$B$25+Inputs!$B$29,IF(Skills!C14=2,90+Inputs!$B$26+Inputs!$B$29,IF(Skills!C14=3,120+Inputs!$B$27+Inputs!$B$29,MAX(0,(Inputs!$B$3-100)*3)+Inputs!$B$28+Inputs!$B$29)))</f>
        <v/>
      </c>
      <c r="E89">
        <f>INDEX(FactorTable!$B$2:$Y$301, MATCH(ROUND(MIN(300,MAX(1,D89)),0), FactorTable!$A$2:$A$301,0), Skills!M14+1)</f>
        <v/>
      </c>
      <c r="F89">
        <f>IF(Skills!N14=TRUE,(Skills!L14/10)*(E89/1000),Skills!L14/10)+Skills!O14</f>
        <v/>
      </c>
      <c r="G89">
        <f>Skills!G14*IF(Skills!H14&gt;0,Skills!I14/Skills!H14,1)</f>
        <v/>
      </c>
      <c r="H89">
        <f>1-(1-Skills!J14/100)^Skills!K14</f>
        <v/>
      </c>
      <c r="I89" t="inlineStr">
        <is>
          <t>1</t>
        </is>
      </c>
      <c r="J89" t="inlineStr"/>
      <c r="K89" t="inlineStr"/>
      <c r="L89" t="inlineStr"/>
      <c r="M89" t="inlineStr"/>
      <c r="N89" t="inlineStr"/>
      <c r="O89">
        <f>(1-Summary!$B$55)*T89+Summary!$B$55*V89</f>
        <v/>
      </c>
      <c r="P89">
        <f>IF(B114=0,0,O89/B114)</f>
        <v/>
      </c>
      <c r="Q89" t="n">
        <v>0</v>
      </c>
      <c r="R89" t="n">
        <v>0</v>
      </c>
      <c r="S89">
        <f>IFERROR(O89/N89,0)</f>
        <v/>
      </c>
      <c r="T89" t="n">
        <v>0</v>
      </c>
      <c r="V89" t="n">
        <v>0</v>
      </c>
    </row>
    <row r="90">
      <c r="A90">
        <f>Skills!A15</f>
        <v/>
      </c>
      <c r="B90">
        <f>Skills!B15</f>
        <v/>
      </c>
      <c r="C90">
        <f>Inputs!$B$3&gt;=40</f>
        <v/>
      </c>
      <c r="D90">
        <f>IF(Skills!C15=1,60+Inputs!$B$25+Inputs!$B$29,IF(Skills!C15=2,90+Inputs!$B$26+Inputs!$B$29,IF(Skills!C15=3,120+Inputs!$B$27+Inputs!$B$29,MAX(0,(Inputs!$B$3-100)*3)+Inputs!$B$28+Inputs!$B$29)))</f>
        <v/>
      </c>
      <c r="E90">
        <f>INDEX(FactorTable!$B$2:$Y$301, MATCH(ROUND(MIN(300,MAX(1,D90)),0), FactorTable!$A$2:$A$301,0), Skills!M15+1)</f>
        <v/>
      </c>
      <c r="F90">
        <f>IF(Skills!N15=TRUE,(Skills!L15/10)*(E90/1000),Skills!L15/10)+Skills!O15</f>
        <v/>
      </c>
      <c r="G90">
        <f>Skills!G15*IF(Skills!H15&gt;0,Skills!I15/Skills!H15,1)</f>
        <v/>
      </c>
      <c r="H90">
        <f>1-(1-Skills!J15/100)^Skills!K15</f>
        <v/>
      </c>
      <c r="I90" t="inlineStr">
        <is>
          <t>1</t>
        </is>
      </c>
      <c r="J90" t="inlineStr"/>
      <c r="K90" t="inlineStr"/>
      <c r="L90" t="inlineStr"/>
      <c r="M90" t="inlineStr"/>
      <c r="N90" t="inlineStr"/>
      <c r="O90">
        <f>(1-Summary!$B$55)*T90+Summary!$B$55*V90</f>
        <v/>
      </c>
      <c r="P90">
        <f>IF(B114=0,0,O90/B114)</f>
        <v/>
      </c>
      <c r="Q90">
        <f>IFERROR(1/IF(Inputs!$B$38="pvp",15,MAX(0.1,Skills!D15-IF(Skills!E15=TRUE,Inputs!$B$32,0))),0)</f>
        <v/>
      </c>
      <c r="R90">
        <f>IF(AND(Inputs!$B$38&lt;&gt;"pvp",Inputs!$B$43&gt;0),IF(Inputs!$B$43&lt;=0,0,(INT(Inputs!$B$43/IF(Inputs!$B$38="pvp",15,MAX(0.1,Skills!D15-IF(Skills!E15=TRUE,Inputs!$B$32,0))))+1)),0)</f>
        <v/>
      </c>
      <c r="S90">
        <f>IFERROR(O90/N90,0)</f>
        <v/>
      </c>
      <c r="T90" t="n">
        <v>0</v>
      </c>
      <c r="V90" t="n">
        <v>0</v>
      </c>
    </row>
    <row r="91">
      <c r="A91">
        <f>Skills!A16</f>
        <v/>
      </c>
      <c r="B91">
        <f>Skills!B16</f>
        <v/>
      </c>
      <c r="C91">
        <f>Inputs!$B$3&gt;=66</f>
        <v/>
      </c>
      <c r="D91">
        <f>IF(Skills!C16=1,60+Inputs!$B$25+Inputs!$B$29,IF(Skills!C16=2,90+Inputs!$B$26+Inputs!$B$29,IF(Skills!C16=3,120+Inputs!$B$27+Inputs!$B$29,MAX(0,(Inputs!$B$3-100)*3)+Inputs!$B$28+Inputs!$B$29)))</f>
        <v/>
      </c>
      <c r="E91">
        <f>INDEX(FactorTable!$B$2:$Y$301, MATCH(ROUND(MIN(300,MAX(1,D91)),0), FactorTable!$A$2:$A$301,0), Skills!M16+1)</f>
        <v/>
      </c>
      <c r="F91">
        <f>IF(Skills!N16=TRUE,(Skills!L16/10)*(E91/1000),Skills!L16/10)+Skills!O16</f>
        <v/>
      </c>
      <c r="G91">
        <f>Skills!G16*IF(Skills!H16&gt;0,Skills!I16/Skills!H16,1)</f>
        <v/>
      </c>
      <c r="H91">
        <f>1-(1-Skills!J16/100)^Skills!K16</f>
        <v/>
      </c>
      <c r="I91" t="inlineStr">
        <is>
          <t>1</t>
        </is>
      </c>
      <c r="J91" t="inlineStr"/>
      <c r="K91" t="inlineStr"/>
      <c r="L91" t="inlineStr"/>
      <c r="M91" t="inlineStr"/>
      <c r="N91" t="inlineStr"/>
      <c r="O91">
        <f>(1-Summary!$B$55)*T91+Summary!$B$55*V91</f>
        <v/>
      </c>
      <c r="P91">
        <f>IF(B114=0,0,O91/B114)</f>
        <v/>
      </c>
      <c r="Q91">
        <f>IFERROR(1/IF(Inputs!$B$38="pvp",15,MAX(0.1,Skills!D16-IF(Skills!E16=TRUE,Inputs!$B$32,0))),0)</f>
        <v/>
      </c>
      <c r="R91">
        <f>IF(AND(Inputs!$B$38&lt;&gt;"pvp",Inputs!$B$43&gt;0),IF(Inputs!$B$43&lt;=0,0,(INT(Inputs!$B$43/IF(Inputs!$B$38="pvp",15,MAX(0.1,Skills!D16-IF(Skills!E16=TRUE,Inputs!$B$32,0))))+1)),0)</f>
        <v/>
      </c>
      <c r="S91">
        <f>IFERROR(O91/N91,0)</f>
        <v/>
      </c>
      <c r="T91" t="n">
        <v>0</v>
      </c>
      <c r="V91" t="n">
        <v>0</v>
      </c>
    </row>
    <row r="92">
      <c r="A92">
        <f>Skills!A17</f>
        <v/>
      </c>
      <c r="B92">
        <f>Skills!B17</f>
        <v/>
      </c>
      <c r="C92">
        <f>Inputs!$B$3&gt;=115</f>
        <v/>
      </c>
      <c r="D92">
        <f>IF(Skills!C17=1,60+Inputs!$B$25+Inputs!$B$29,IF(Skills!C17=2,90+Inputs!$B$26+Inputs!$B$29,IF(Skills!C17=3,120+Inputs!$B$27+Inputs!$B$29,MAX(0,(Inputs!$B$3-100)*3)+Inputs!$B$28+Inputs!$B$29)))</f>
        <v/>
      </c>
      <c r="E92">
        <f>INDEX(FactorTable!$B$2:$Y$301, MATCH(ROUND(MIN(300,MAX(1,D92)),0), FactorTable!$A$2:$A$301,0), Skills!M17+1)</f>
        <v/>
      </c>
      <c r="F92">
        <f>IF(Skills!N17=TRUE,(Skills!L17/10)*(E92/1000),Skills!L17/10)+Skills!O17</f>
        <v/>
      </c>
      <c r="G92">
        <f>Skills!G17*IF(Skills!H17&gt;0,Skills!I17/Skills!H17,1)</f>
        <v/>
      </c>
      <c r="H92">
        <f>1-(1-Skills!J17/100)^Skills!K17</f>
        <v/>
      </c>
      <c r="I92" t="inlineStr">
        <is>
          <t>1</t>
        </is>
      </c>
      <c r="J92" t="inlineStr"/>
      <c r="K92" t="inlineStr"/>
      <c r="L92" t="inlineStr"/>
      <c r="M92" t="inlineStr"/>
      <c r="N92" t="inlineStr"/>
      <c r="O92">
        <f>(1-Summary!$B$55)*T92+Summary!$B$55*V92</f>
        <v/>
      </c>
      <c r="P92">
        <f>IF(B114=0,0,O92/B114)</f>
        <v/>
      </c>
      <c r="Q92">
        <f>IFERROR(1/IF(Inputs!$B$38="pvp",15,MAX(0.1,Skills!D17-IF(Skills!E17=TRUE,Inputs!$B$32,0))),0)</f>
        <v/>
      </c>
      <c r="R92">
        <f>IF(AND(Inputs!$B$38&lt;&gt;"pvp",Inputs!$B$43&gt;0),IF(Inputs!$B$43&lt;=0,0,(INT(Inputs!$B$43/IF(Inputs!$B$38="pvp",15,MAX(0.1,Skills!D17-IF(Skills!E17=TRUE,Inputs!$B$32,0))))+1)),0)</f>
        <v/>
      </c>
      <c r="S92">
        <f>IFERROR(O92/N92,0)</f>
        <v/>
      </c>
      <c r="T92" t="n">
        <v>0</v>
      </c>
      <c r="V92" t="n">
        <v>0</v>
      </c>
    </row>
    <row r="93">
      <c r="A93">
        <f>Skills!A18</f>
        <v/>
      </c>
      <c r="B93">
        <f>Skills!B18</f>
        <v/>
      </c>
      <c r="C93">
        <f>Inputs!$B$3&gt;=115</f>
        <v/>
      </c>
      <c r="D93">
        <f>IF(Skills!C18=1,60+Inputs!$B$25+Inputs!$B$29,IF(Skills!C18=2,90+Inputs!$B$26+Inputs!$B$29,IF(Skills!C18=3,120+Inputs!$B$27+Inputs!$B$29,MAX(0,(Inputs!$B$3-100)*3)+Inputs!$B$28+Inputs!$B$29)))</f>
        <v/>
      </c>
      <c r="E93">
        <f>INDEX(FactorTable!$B$2:$Y$301, MATCH(ROUND(MIN(300,MAX(1,D93)),0), FactorTable!$A$2:$A$301,0), Skills!M18+1)</f>
        <v/>
      </c>
      <c r="F93">
        <f>IF(Skills!N18=TRUE,(Skills!L18/10)*(E93/1000),Skills!L18/10)+Skills!O18</f>
        <v/>
      </c>
      <c r="G93">
        <f>Skills!G18*IF(Skills!H18&gt;0,Skills!I18/Skills!H18,1)</f>
        <v/>
      </c>
      <c r="H93">
        <f>1-(1-Skills!J18/100)^Skills!K18</f>
        <v/>
      </c>
      <c r="I93" t="inlineStr">
        <is>
          <t>1</t>
        </is>
      </c>
      <c r="J93" t="inlineStr"/>
      <c r="K93" t="inlineStr"/>
      <c r="L93" t="inlineStr"/>
      <c r="M93" t="inlineStr"/>
      <c r="N93" t="inlineStr"/>
      <c r="O93">
        <f>(1-Summary!$B$55)*T93+Summary!$B$55*V93</f>
        <v/>
      </c>
      <c r="P93">
        <f>IF(B114=0,0,O93/B114)</f>
        <v/>
      </c>
      <c r="Q93">
        <f>IFERROR(1/IF(Inputs!$B$38="pvp",15,MAX(0.1,Skills!D18-IF(Skills!E18=TRUE,Inputs!$B$32,0))),0)</f>
        <v/>
      </c>
      <c r="R93">
        <f>IF(AND(Inputs!$B$38&lt;&gt;"pvp",Inputs!$B$43&gt;0),IF(Inputs!$B$43&lt;=0,0,(INT(Inputs!$B$43/IF(Inputs!$B$38="pvp",15,MAX(0.1,Skills!D18-IF(Skills!E18=TRUE,Inputs!$B$32,0))))+1)),0)</f>
        <v/>
      </c>
      <c r="S93">
        <f>IFERROR(O93/N93,0)</f>
        <v/>
      </c>
      <c r="T93" t="n">
        <v>0</v>
      </c>
      <c r="V93" t="n">
        <v>0</v>
      </c>
    </row>
    <row r="94">
      <c r="A94">
        <f>Skills!A19</f>
        <v/>
      </c>
      <c r="B94">
        <f>Skills!B19</f>
        <v/>
      </c>
      <c r="C94">
        <f>TRUE</f>
        <v/>
      </c>
      <c r="D94">
        <f>IF(Skills!C19=1,60+Inputs!$B$25+Inputs!$B$29,IF(Skills!C19=2,90+Inputs!$B$26+Inputs!$B$29,IF(Skills!C19=3,120+Inputs!$B$27+Inputs!$B$29,MAX(0,(Inputs!$B$3-100)*3)+Inputs!$B$28+Inputs!$B$29)))</f>
        <v/>
      </c>
      <c r="E94">
        <f>INDEX(FactorTable!$B$2:$Y$301, MATCH(ROUND(MIN(300,MAX(1,D94)),0), FactorTable!$A$2:$A$301,0), Skills!M19+1)</f>
        <v/>
      </c>
      <c r="F94">
        <f>IF(Skills!N19=TRUE,(Skills!L19/10)*(E94/1000),Skills!L19/10)+Skills!O19</f>
        <v/>
      </c>
      <c r="G94">
        <f>Skills!G19*IF(Skills!H19&gt;0,Skills!I19/Skills!H19,1)</f>
        <v/>
      </c>
      <c r="H94">
        <f>1-(1-Skills!J19/100)^Skills!K19</f>
        <v/>
      </c>
      <c r="I94" t="inlineStr">
        <is>
          <t>1</t>
        </is>
      </c>
      <c r="J94" t="inlineStr"/>
      <c r="K94" t="inlineStr"/>
      <c r="L94" t="inlineStr"/>
      <c r="M94" t="inlineStr"/>
      <c r="N94" t="inlineStr"/>
      <c r="O94">
        <f>(1-Summary!$B$55)*T94+Summary!$B$55*V94</f>
        <v/>
      </c>
      <c r="P94">
        <f>IF(B114=0,0,O94/B114)</f>
        <v/>
      </c>
      <c r="Q94">
        <f>IFERROR(1/IF(Inputs!$B$38="pvp",15,MAX(0.1,Skills!D19-IF(Skills!E19=TRUE,Inputs!$B$32,0))),0)</f>
        <v/>
      </c>
      <c r="R94">
        <f>IF(AND(Inputs!$B$38&lt;&gt;"pvp",Inputs!$B$43&gt;0),IF(Inputs!$B$43&lt;=0,0,(INT(Inputs!$B$43/IF(Inputs!$B$38="pvp",15,MAX(0.1,Skills!D19-IF(Skills!E19=TRUE,Inputs!$B$32,0))))+1)),0)</f>
        <v/>
      </c>
      <c r="S94">
        <f>IFERROR(O94/N94,0)</f>
        <v/>
      </c>
      <c r="T94" t="n">
        <v>0</v>
      </c>
      <c r="V94" t="n">
        <v>0</v>
      </c>
    </row>
    <row r="95">
      <c r="A95">
        <f>Skills!A20</f>
        <v/>
      </c>
      <c r="B95">
        <f>Skills!B20</f>
        <v/>
      </c>
      <c r="C95">
        <f>Inputs!$B$3&gt;=33</f>
        <v/>
      </c>
      <c r="D95">
        <f>IF(Skills!C20=1,60+Inputs!$B$25+Inputs!$B$29,IF(Skills!C20=2,90+Inputs!$B$26+Inputs!$B$29,IF(Skills!C20=3,120+Inputs!$B$27+Inputs!$B$29,MAX(0,(Inputs!$B$3-100)*3)+Inputs!$B$28+Inputs!$B$29)))</f>
        <v/>
      </c>
      <c r="E95">
        <f>INDEX(FactorTable!$B$2:$Y$301, MATCH(ROUND(MIN(300,MAX(1,D95)),0), FactorTable!$A$2:$A$301,0), Skills!M20+1)</f>
        <v/>
      </c>
      <c r="F95">
        <f>IF(Skills!N20=TRUE,(Skills!L20/10)*(E95/1000),Skills!L20/10)+Skills!O20</f>
        <v/>
      </c>
      <c r="G95">
        <f>Skills!G20*IF(Skills!H20&gt;0,Skills!I20/Skills!H20,1)</f>
        <v/>
      </c>
      <c r="H95">
        <f>1-(1-Skills!J20/100)^Skills!K20</f>
        <v/>
      </c>
      <c r="I95" t="inlineStr">
        <is>
          <t>1</t>
        </is>
      </c>
      <c r="J95" t="inlineStr"/>
      <c r="K95" t="inlineStr"/>
      <c r="L95" t="inlineStr"/>
      <c r="M95" t="inlineStr"/>
      <c r="N95" t="inlineStr"/>
      <c r="O95">
        <f>(1-Summary!$B$55)*T95+Summary!$B$55*V95</f>
        <v/>
      </c>
      <c r="P95">
        <f>IF(B114=0,0,O95/B114)</f>
        <v/>
      </c>
      <c r="Q95" t="n">
        <v>0</v>
      </c>
      <c r="R95" t="n">
        <v>0</v>
      </c>
      <c r="S95">
        <f>IFERROR(O95/N95,0)</f>
        <v/>
      </c>
      <c r="T95" t="n">
        <v>0</v>
      </c>
      <c r="V95" t="n">
        <v>0</v>
      </c>
    </row>
    <row r="96">
      <c r="A96">
        <f>Skills!A21</f>
        <v/>
      </c>
      <c r="B96">
        <f>Skills!B21</f>
        <v/>
      </c>
      <c r="C96">
        <f>Inputs!$B$3&gt;=38</f>
        <v/>
      </c>
      <c r="D96">
        <f>IF(Skills!C21=1,60+Inputs!$B$25+Inputs!$B$29,IF(Skills!C21=2,90+Inputs!$B$26+Inputs!$B$29,IF(Skills!C21=3,120+Inputs!$B$27+Inputs!$B$29,MAX(0,(Inputs!$B$3-100)*3)+Inputs!$B$28+Inputs!$B$29)))</f>
        <v/>
      </c>
      <c r="E96">
        <f>INDEX(FactorTable!$B$2:$Y$301, MATCH(ROUND(MIN(300,MAX(1,D96)),0), FactorTable!$A$2:$A$301,0), Skills!M21+1)</f>
        <v/>
      </c>
      <c r="F96">
        <f>IF(Skills!N21=TRUE,(Skills!L21/10)*(E96/1000),Skills!L21/10)+Skills!O21</f>
        <v/>
      </c>
      <c r="G96">
        <f>Skills!G21*IF(Skills!H21&gt;0,Skills!I21/Skills!H21,1)</f>
        <v/>
      </c>
      <c r="H96">
        <f>1-(1-Skills!J21/100)^Skills!K21</f>
        <v/>
      </c>
      <c r="I96" t="inlineStr">
        <is>
          <t>1</t>
        </is>
      </c>
      <c r="J96" t="inlineStr"/>
      <c r="K96" t="inlineStr"/>
      <c r="L96" t="inlineStr"/>
      <c r="M96" t="inlineStr"/>
      <c r="N96" t="inlineStr"/>
      <c r="O96">
        <f>(1-Summary!$B$55)*T96+Summary!$B$55*V96</f>
        <v/>
      </c>
      <c r="P96">
        <f>IF(B114=0,0,O96/B114)</f>
        <v/>
      </c>
      <c r="Q96" t="n">
        <v>0</v>
      </c>
      <c r="R96" t="n">
        <v>0</v>
      </c>
      <c r="S96">
        <f>IFERROR(O96/N96,0)</f>
        <v/>
      </c>
      <c r="T96" t="n">
        <v>0</v>
      </c>
      <c r="V96" t="n">
        <v>0</v>
      </c>
    </row>
    <row r="97">
      <c r="A97">
        <f>Skills!A22</f>
        <v/>
      </c>
      <c r="B97">
        <f>Skills!B22</f>
        <v/>
      </c>
      <c r="C97">
        <f>Inputs!$B$3&gt;=43</f>
        <v/>
      </c>
      <c r="D97">
        <f>IF(Skills!C22=1,60+Inputs!$B$25+Inputs!$B$29,IF(Skills!C22=2,90+Inputs!$B$26+Inputs!$B$29,IF(Skills!C22=3,120+Inputs!$B$27+Inputs!$B$29,MAX(0,(Inputs!$B$3-100)*3)+Inputs!$B$28+Inputs!$B$29)))</f>
        <v/>
      </c>
      <c r="E97">
        <f>INDEX(FactorTable!$B$2:$Y$301, MATCH(ROUND(MIN(300,MAX(1,D97)),0), FactorTable!$A$2:$A$301,0), Skills!M22+1)</f>
        <v/>
      </c>
      <c r="F97">
        <f>IF(Skills!N22=TRUE,(Skills!L22/10)*(E97/1000),Skills!L22/10)+Skills!O22</f>
        <v/>
      </c>
      <c r="G97">
        <f>Skills!G22*IF(Skills!H22&gt;0,Skills!I22/Skills!H22,1)</f>
        <v/>
      </c>
      <c r="H97">
        <f>1-(1-Skills!J22/100)^Skills!K22</f>
        <v/>
      </c>
      <c r="I97" t="inlineStr">
        <is>
          <t>1</t>
        </is>
      </c>
      <c r="J97" t="inlineStr"/>
      <c r="K97" t="inlineStr"/>
      <c r="L97" t="inlineStr"/>
      <c r="M97" t="inlineStr"/>
      <c r="N97" t="inlineStr"/>
      <c r="O97">
        <f>(1-Summary!$B$55)*T97+Summary!$B$55*V97</f>
        <v/>
      </c>
      <c r="P97">
        <f>IF(B114=0,0,O97/B114)</f>
        <v/>
      </c>
      <c r="Q97" t="n">
        <v>0</v>
      </c>
      <c r="R97" t="n">
        <v>0</v>
      </c>
      <c r="S97">
        <f>IFERROR(O97/N97,0)</f>
        <v/>
      </c>
      <c r="T97" t="n">
        <v>0</v>
      </c>
      <c r="V97" t="n">
        <v>0</v>
      </c>
    </row>
    <row r="98">
      <c r="A98">
        <f>Skills!A23</f>
        <v/>
      </c>
      <c r="B98">
        <f>Skills!B23</f>
        <v/>
      </c>
      <c r="C98">
        <f>Inputs!$B$3&gt;=120</f>
        <v/>
      </c>
      <c r="D98">
        <f>IF(Skills!C23=1,60+Inputs!$B$25+Inputs!$B$29,IF(Skills!C23=2,90+Inputs!$B$26+Inputs!$B$29,IF(Skills!C23=3,120+Inputs!$B$27+Inputs!$B$29,MAX(0,(Inputs!$B$3-100)*3)+Inputs!$B$28+Inputs!$B$29)))</f>
        <v/>
      </c>
      <c r="E98">
        <f>INDEX(FactorTable!$B$2:$Y$301, MATCH(ROUND(MIN(300,MAX(1,D98)),0), FactorTable!$A$2:$A$301,0), Skills!M23+1)</f>
        <v/>
      </c>
      <c r="F98">
        <f>IF(Skills!N23=TRUE,(Skills!L23/10)*(E98/1000),Skills!L23/10)+Skills!O23</f>
        <v/>
      </c>
      <c r="G98">
        <f>Skills!G23*IF(Skills!H23&gt;0,Skills!I23/Skills!H23,1)</f>
        <v/>
      </c>
      <c r="H98">
        <f>1-(1-Skills!J23/100)^Skills!K23</f>
        <v/>
      </c>
      <c r="I98" t="inlineStr">
        <is>
          <t>1</t>
        </is>
      </c>
      <c r="J98" t="inlineStr"/>
      <c r="K98" t="inlineStr"/>
      <c r="L98" t="inlineStr"/>
      <c r="M98" t="inlineStr"/>
      <c r="N98" t="inlineStr"/>
      <c r="O98">
        <f>(1-Summary!$B$55)*T98+Summary!$B$55*V98</f>
        <v/>
      </c>
      <c r="P98">
        <f>IF(B114=0,0,O98/B114)</f>
        <v/>
      </c>
      <c r="Q98" t="n">
        <v>0</v>
      </c>
      <c r="R98" t="n">
        <v>0</v>
      </c>
      <c r="S98">
        <f>IFERROR(O98/N98,0)</f>
        <v/>
      </c>
      <c r="T98" t="n">
        <v>0</v>
      </c>
      <c r="V98" t="n">
        <v>0</v>
      </c>
    </row>
    <row r="99">
      <c r="A99">
        <f>Skills!A24</f>
        <v/>
      </c>
      <c r="B99">
        <f>Skills!B24</f>
        <v/>
      </c>
      <c r="C99">
        <f>Inputs!$B$3&gt;=120</f>
        <v/>
      </c>
      <c r="D99">
        <f>IF(Skills!C24=1,60+Inputs!$B$25+Inputs!$B$29,IF(Skills!C24=2,90+Inputs!$B$26+Inputs!$B$29,IF(Skills!C24=3,120+Inputs!$B$27+Inputs!$B$29,MAX(0,(Inputs!$B$3-100)*3)+Inputs!$B$28+Inputs!$B$29)))</f>
        <v/>
      </c>
      <c r="E99">
        <f>INDEX(FactorTable!$B$2:$Y$301, MATCH(ROUND(MIN(300,MAX(1,D99)),0), FactorTable!$A$2:$A$301,0), Skills!M24+1)</f>
        <v/>
      </c>
      <c r="F99">
        <f>IF(Skills!N24=TRUE,(Skills!L24/10)*(E99/1000),Skills!L24/10)+Skills!O24</f>
        <v/>
      </c>
      <c r="G99">
        <f>Skills!G24*IF(Skills!H24&gt;0,Skills!I24/Skills!H24,1)</f>
        <v/>
      </c>
      <c r="H99">
        <f>1-(1-Skills!J24/100)^Skills!K24</f>
        <v/>
      </c>
      <c r="I99" t="inlineStr">
        <is>
          <t>1</t>
        </is>
      </c>
      <c r="J99" t="inlineStr"/>
      <c r="K99" t="inlineStr"/>
      <c r="L99" t="inlineStr"/>
      <c r="M99" t="inlineStr"/>
      <c r="N99" t="inlineStr"/>
      <c r="O99">
        <f>(1-Summary!$B$55)*T99+Summary!$B$55*V99</f>
        <v/>
      </c>
      <c r="P99">
        <f>IF(B114=0,0,O99/B114)</f>
        <v/>
      </c>
      <c r="Q99" t="n">
        <v>0</v>
      </c>
      <c r="R99" t="n">
        <v>0</v>
      </c>
      <c r="S99">
        <f>IFERROR(O99/N99,0)</f>
        <v/>
      </c>
      <c r="T99" t="n">
        <v>0</v>
      </c>
      <c r="V99" t="n">
        <v>0</v>
      </c>
    </row>
    <row r="100">
      <c r="A100">
        <f>Skills!A25</f>
        <v/>
      </c>
      <c r="B100">
        <f>Skills!B25</f>
        <v/>
      </c>
      <c r="C100">
        <f>Inputs!$B$3&gt;=125</f>
        <v/>
      </c>
      <c r="D100">
        <f>IF(Skills!C25=1,60+Inputs!$B$25+Inputs!$B$29,IF(Skills!C25=2,90+Inputs!$B$26+Inputs!$B$29,IF(Skills!C25=3,120+Inputs!$B$27+Inputs!$B$29,MAX(0,(Inputs!$B$3-100)*3)+Inputs!$B$28+Inputs!$B$29)))</f>
        <v/>
      </c>
      <c r="E100">
        <f>INDEX(FactorTable!$B$2:$Y$301, MATCH(ROUND(MIN(300,MAX(1,D100)),0), FactorTable!$A$2:$A$301,0), Skills!M25+1)</f>
        <v/>
      </c>
      <c r="F100">
        <f>IF(Skills!N25=TRUE,(Skills!L25/10)*(E100/1000),Skills!L25/10)+Skills!O25</f>
        <v/>
      </c>
      <c r="G100">
        <f>Skills!G25*IF(Skills!H25&gt;0,Skills!I25/Skills!H25,1)</f>
        <v/>
      </c>
      <c r="H100">
        <f>1-(1-Skills!J25/100)^Skills!K25</f>
        <v/>
      </c>
      <c r="I100" t="inlineStr">
        <is>
          <t>1</t>
        </is>
      </c>
      <c r="J100" t="inlineStr"/>
      <c r="K100" t="inlineStr"/>
      <c r="L100" t="inlineStr"/>
      <c r="M100" t="inlineStr"/>
      <c r="N100" t="inlineStr"/>
      <c r="O100">
        <f>(1-Summary!$B$55)*T100+Summary!$B$55*V100</f>
        <v/>
      </c>
      <c r="P100">
        <f>IF(B114=0,0,O100/B114)</f>
        <v/>
      </c>
      <c r="Q100" t="n">
        <v>0</v>
      </c>
      <c r="R100" t="n">
        <v>0</v>
      </c>
      <c r="S100">
        <f>IFERROR(O100/N100,0)</f>
        <v/>
      </c>
      <c r="T100" t="n">
        <v>0</v>
      </c>
      <c r="V100" t="n">
        <v>0</v>
      </c>
    </row>
    <row r="101">
      <c r="A101">
        <f>Skills!A26</f>
        <v/>
      </c>
      <c r="B101">
        <f>Skills!B26</f>
        <v/>
      </c>
      <c r="C101">
        <f>Inputs!$B$3&gt;=72</f>
        <v/>
      </c>
      <c r="D101">
        <f>IF(Skills!C26=1,60+Inputs!$B$25+Inputs!$B$29,IF(Skills!C26=2,90+Inputs!$B$26+Inputs!$B$29,IF(Skills!C26=3,120+Inputs!$B$27+Inputs!$B$29,MAX(0,(Inputs!$B$3-100)*3)+Inputs!$B$28+Inputs!$B$29)))</f>
        <v/>
      </c>
      <c r="E101">
        <f>INDEX(FactorTable!$B$2:$Y$301, MATCH(ROUND(MIN(300,MAX(1,D101)),0), FactorTable!$A$2:$A$301,0), Skills!M26+1)</f>
        <v/>
      </c>
      <c r="F101">
        <f>IF(Skills!N26=TRUE,(Skills!L26/10)*(E101/1000),Skills!L26/10)+Skills!O26</f>
        <v/>
      </c>
      <c r="G101">
        <f>Skills!G26*IF(Skills!H26&gt;0,Skills!I26/Skills!H26,1)</f>
        <v/>
      </c>
      <c r="H101">
        <f>1-(1-Skills!J26/100)^Skills!K26</f>
        <v/>
      </c>
      <c r="I101" t="inlineStr">
        <is>
          <t>1</t>
        </is>
      </c>
      <c r="J101" t="inlineStr"/>
      <c r="K101" t="inlineStr"/>
      <c r="L101" t="inlineStr"/>
      <c r="M101" t="inlineStr"/>
      <c r="N101" t="inlineStr"/>
      <c r="O101">
        <f>(1-Summary!$B$55)*T101+Summary!$B$55*V101</f>
        <v/>
      </c>
      <c r="P101">
        <f>IF(B114=0,0,O101/B114)</f>
        <v/>
      </c>
      <c r="Q101" t="n">
        <v>0</v>
      </c>
      <c r="R101" t="n">
        <v>0</v>
      </c>
      <c r="S101">
        <f>IFERROR(O101/N101,0)</f>
        <v/>
      </c>
      <c r="T101" t="n">
        <v>0</v>
      </c>
      <c r="V101" t="n">
        <v>0</v>
      </c>
    </row>
    <row r="103">
      <c r="A103" t="inlineStr">
        <is>
          <t>Attack% Bucket Multiplier</t>
        </is>
      </c>
      <c r="B103">
        <f>(1+(((C88=TRUE)*F88*IF(Inputs!$B$3&gt;=110,7,5))+((C90=TRUE)*F90*IF(AND(Inputs!$B$38&lt;&gt;"pvp",Inputs!$B$43&gt;0),(((R90-1)*(Skills!T15*(1+Inputs!$B$34/100))+MIN((Skills!T15*(1+Inputs!$B$34/100)),MAX(0,Inputs!$B$43-((R90-1)*Skills!D15))))/Inputs!$B$43),IF(Inputs!$B$38="pvp",MIN((Skills!T15*(1+Inputs!$B$34/100)),15)/15,(Skills!T15*(1+Inputs!$B$34/100))/Skills!D15)))+0)/100)</f>
        <v/>
      </c>
    </row>
    <row r="104">
      <c r="A104" t="inlineStr">
        <is>
          <t>Global Crit Rate Bonus %</t>
        </is>
      </c>
      <c r="B104" t="n">
        <v>0</v>
      </c>
    </row>
    <row r="105">
      <c r="A105" t="inlineStr">
        <is>
          <t>Attack Speed Buff Bonus %</t>
        </is>
      </c>
      <c r="B105">
        <f>((C94=TRUE)*F94*IF(AND(Inputs!$B$38&lt;&gt;"pvp",Inputs!$B$43&gt;0),(((R94-1)*(Skills!T19*(1+Inputs!$B$34/100))+MIN((Skills!T19*(1+Inputs!$B$34/100)),MAX(0,Inputs!$B$43-((R94-1)*Skills!D19))))/Inputs!$B$43),IF(Inputs!$B$38="pvp",MIN((Skills!T19*(1+Inputs!$B$34/100)),15)/15,(Skills!T19*(1+Inputs!$B$34/100))/Skills!D19)))</f>
        <v/>
      </c>
    </row>
    <row r="106">
      <c r="A106" t="inlineStr">
        <is>
          <t>Actions Per Second</t>
        </is>
      </c>
      <c r="B106">
        <f>1+MIN(150,150*(1-(1-(Inputs!$B$11+((C95=TRUE)*(F95-Calc!F20)))/150)*(1-B105/150)))/100</f>
        <v/>
      </c>
    </row>
    <row r="107">
      <c r="A107" t="inlineStr">
        <is>
          <t>Skill + Buff Cast Rate</t>
        </is>
      </c>
      <c r="B107">
        <f>IF(AND(Inputs!$B$38&lt;&gt;"pvp",Inputs!$B$43&gt;0),SUMPRODUCT((Skills!E2:E26=TRUE)*(C77:C101=TRUE)*R77:R101*Skills!F2:F26)/Inputs!$B$43,SUMPRODUCT((Skills!E2:E26=TRUE)*(C77:C101=TRUE)*Q77:Q101*Skills!F2:F26))</f>
        <v/>
      </c>
    </row>
    <row r="108">
      <c r="A108" t="inlineStr">
        <is>
          <t>Raging Blow Casts Per Second</t>
        </is>
      </c>
      <c r="B108">
        <f>MAX(0,B106-B107)</f>
        <v/>
      </c>
    </row>
    <row r="109">
      <c r="A109" t="inlineStr">
        <is>
          <t>Global Critical Damage Bonus % (Enrage)</t>
        </is>
      </c>
      <c r="B109">
        <f>((C93=TRUE)*F93*IF(AND(Inputs!$B$38&lt;&gt;"pvp",Inputs!$B$43&gt;0),(((R93-1)*(Skills!T18*(1+Inputs!$B$34/100))+MIN((Skills!T18*(1+Inputs!$B$34/100)),MAX(0,Inputs!$B$43-((R93-1)*Skills!D18))))/Inputs!$B$43),IF(Inputs!$B$38="pvp",MIN((Skills!T18*(1+Inputs!$B$34/100)),15)/15,(Skills!T18*(1+Inputs!$B$34/100))/Skills!D18)))</f>
        <v/>
      </c>
    </row>
    <row r="110">
      <c r="A110" t="inlineStr">
        <is>
          <t>Global Final Damage Bonus % (Enrage + Combo Synergy)</t>
        </is>
      </c>
      <c r="B110">
        <f>((C92=TRUE)*F92*IF(AND(Inputs!$B$38&lt;&gt;"pvp",Inputs!$B$43&gt;0),(((R92-1)*(Skills!T17*(1+Inputs!$B$34/100))+MIN((Skills!T17*(1+Inputs!$B$34/100)),MAX(0,Inputs!$B$43-((R92-1)*Skills!D17))))/Inputs!$B$43),IF(Inputs!$B$38="pvp",MIN((Skills!T17*(1+Inputs!$B$34/100)),15)/15,(Skills!T17*(1+Inputs!$B$34/100))/Skills!D17)))+((C89=TRUE)*F89*IF(Inputs!$B$3&gt;=110,7,5))</f>
        <v/>
      </c>
    </row>
    <row r="111">
      <c r="A111" t="inlineStr">
        <is>
          <t>Buff-Casting Startup Delay (s, fixed-duration only)</t>
        </is>
      </c>
      <c r="B111">
        <f>IF(AND(Inputs!$B$38&lt;&gt;"pvp",Inputs!$B$43&gt;0),SUMPRODUCT((Skills!T2:T26&gt;0)*(Skills!E2:E26=TRUE)*(C77:C101=TRUE))/B106,0)</f>
        <v/>
      </c>
    </row>
    <row r="112">
      <c r="A112" t="inlineStr">
        <is>
          <t>Boss-Only Total DPS (this block's swept value)</t>
        </is>
      </c>
      <c r="B112">
        <f>SUM(T77:T101)</f>
        <v/>
      </c>
    </row>
    <row r="113">
      <c r="A113" t="inlineStr">
        <is>
          <t>Normal-Only Total DPS (this block's swept value)</t>
        </is>
      </c>
      <c r="B113">
        <f>SUM(V77:V101)</f>
        <v/>
      </c>
    </row>
    <row r="114">
      <c r="A114" s="5" t="inlineStr">
        <is>
          <t>TOTAL DPS</t>
        </is>
      </c>
      <c r="B114" s="5">
        <f>SUM(O77:O101)</f>
        <v/>
      </c>
    </row>
    <row r="117">
      <c r="A117" s="5" t="inlineStr">
        <is>
          <t>Stat: DEX</t>
        </is>
      </c>
    </row>
    <row r="118">
      <c r="A118" s="9" t="inlineStr">
        <is>
          <t>Key</t>
        </is>
      </c>
      <c r="B118" s="9" t="inlineStr">
        <is>
          <t>Name</t>
        </is>
      </c>
      <c r="C118" s="9" t="inlineStr">
        <is>
          <t>Unlocked</t>
        </is>
      </c>
      <c r="D118" s="9" t="inlineStr">
        <is>
          <t>InputLevel</t>
        </is>
      </c>
      <c r="E118" s="9" t="inlineStr">
        <is>
          <t>Factor</t>
        </is>
      </c>
      <c r="F118" s="9" t="inlineStr">
        <is>
          <t>CoefficientPercent</t>
        </is>
      </c>
      <c r="G118" s="9" t="inlineStr">
        <is>
          <t>EffectiveHits</t>
        </is>
      </c>
      <c r="H118" s="9" t="inlineStr">
        <is>
          <t>ProcProbability</t>
        </is>
      </c>
      <c r="I118" s="9" t="inlineStr">
        <is>
          <t>MapleHeroMultiplier</t>
        </is>
      </c>
      <c r="J118" s="9" t="inlineStr">
        <is>
          <t>BaseDamage</t>
        </is>
      </c>
      <c r="K118" s="9" t="inlineStr">
        <is>
          <t>BaseHitDamage</t>
        </is>
      </c>
      <c r="L118" s="9" t="inlineStr">
        <is>
          <t>NonCritAvg</t>
        </is>
      </c>
      <c r="M118" s="9" t="inlineStr">
        <is>
          <t>CritAvg</t>
        </is>
      </c>
      <c r="N118" s="9" t="inlineStr">
        <is>
          <t>ExpectedDamage(perHit)</t>
        </is>
      </c>
      <c r="O118" s="9" t="inlineStr">
        <is>
          <t>DPS</t>
        </is>
      </c>
      <c r="P118" s="9" t="inlineStr">
        <is>
          <t>% of Total</t>
        </is>
      </c>
      <c r="Q118" s="9" t="inlineStr">
        <is>
          <t>InvCooldown</t>
        </is>
      </c>
      <c r="R118" s="9" t="inlineStr">
        <is>
          <t>CastsInFight</t>
        </is>
      </c>
      <c r="S118" s="9" t="inlineStr">
        <is>
          <t>HitRate(perSec)</t>
        </is>
      </c>
      <c r="U118" t="inlineStr">
        <is>
          <t>helpers</t>
        </is>
      </c>
    </row>
    <row r="119">
      <c r="A119">
        <f>Skills!A2</f>
        <v/>
      </c>
      <c r="B119">
        <f>Skills!B2</f>
        <v/>
      </c>
      <c r="C119">
        <f>Inputs!$B$3&gt;=100</f>
        <v/>
      </c>
      <c r="D119" t="inlineStr"/>
      <c r="E119" t="inlineStr"/>
      <c r="F119">
        <f>U121+Skills!O2</f>
        <v/>
      </c>
      <c r="G119">
        <f>Skills!G2*IF(Skills!H2&gt;0,Skills!I2/Skills!H2,1)</f>
        <v/>
      </c>
      <c r="H119">
        <f>1-(1-Skills!J2/100)^Skills!K2</f>
        <v/>
      </c>
      <c r="I119" t="inlineStr">
        <is>
          <t>1</t>
        </is>
      </c>
      <c r="J119">
        <f>((Inputs!$B$6*(1+Inputs!$B$7/100))+(((Inputs!$B$12*(1+Inputs!$B$13/100))-(Inputs!$B$12*(1+Inputs!$B$13/100)))+0.25*((Inputs!$B$14+1)-Inputs!$B$14))*(1+Inputs!$B$7/100))*(F119/100)</f>
        <v/>
      </c>
      <c r="K119">
        <f>J119*(1+((Inputs!$B$12*(1+Inputs!$B$13/100))*0.01+(Inputs!$B$14+1)*0.0025)/100)*(1+Inputs!$B$15/100)*(1+Inputs!$B$16/100)*(5000/(6000+Inputs!$B$42*(1-(Inputs!$B$19+0)/100)))*(1+(Inputs!$B$24+((C142=TRUE)*(F142-Calc!F25))+B152)/100)*(1+IF(Skills!A2="ENHANCED_RAGING_BLOW",IF(Inputs!$B$3&gt;=134,MAX(0,IF(Inputs!$B$3&gt;=110,7,5)-5)*50,0),0)/100)*(1+(IF(Skills!A2="RAGING_BLOW",Inputs!$B$17+((C138=TRUE)*(F138-Calc!F21)),Inputs!$B$18+((C140=TRUE)*(F140-Calc!F23))))/100)*((1+(((C130=TRUE)*F130*IF(Inputs!$B$3&gt;=110,7,5))+((C132=TRUE)*F132*IF(AND(Inputs!$B$38&lt;&gt;"pvp",Inputs!$B$43&gt;0),(((R132-1)*(Skills!T15*(1+Inputs!$B$34/100))+MIN((Skills!T15*(1+Inputs!$B$34/100)),MAX(0,Inputs!$B$43-((R132-1)*Skills!D15))))/Inputs!$B$43),IF(Inputs!$B$38="pvp",MIN((Skills!T15*(1+Inputs!$B$34/100)),15)/15,(Skills!T15*(1+Inputs!$B$34/100))/Skills!D15)))+0)/100)*I119)</f>
        <v/>
      </c>
      <c r="L119">
        <f>K119*(MIN(Inputs!$B$22+((C139=TRUE)*(F139-Calc!F22)),Inputs!$B$23+((C141=TRUE)*(F141-Calc!F24)))/100+(Inputs!$B$23+((C141=TRUE)*(F141-Calc!F24)))/100)/2</f>
        <v/>
      </c>
      <c r="M119">
        <f>L119*(1+(Inputs!$B$10+0+B151)/100)</f>
        <v/>
      </c>
      <c r="N119">
        <f>L119*(1-MIN((Inputs!$B$9+((C143=TRUE)*(F143-Calc!F26))+B146),100)/100)+M119*(MIN((Inputs!$B$9+((C143=TRUE)*(F143-Calc!F26))+B146),100)/100)</f>
        <v/>
      </c>
      <c r="O119">
        <f>(1-Summary!$B$55)*T119+Summary!$B$55*V119</f>
        <v/>
      </c>
      <c r="P119">
        <f>IF(B156=0,0,O119/B156)</f>
        <v/>
      </c>
      <c r="Q119" t="n">
        <v>0</v>
      </c>
      <c r="R119" t="n">
        <v>0</v>
      </c>
      <c r="S119">
        <f>IFERROR(O119/N119,0)</f>
        <v/>
      </c>
      <c r="T119">
        <f>IF(C119,(Skills!G2*N119*B150)*IF(Inputs!$B$38="pvp",1,1+(Inputs!$B$20+0+Skills!P2+Summary!$B$59)/100),0)</f>
        <v/>
      </c>
      <c r="U119">
        <f>MAX(0,(Inputs!$B$3-100)*3)+Inputs!$B$28+Inputs!$B$29</f>
        <v/>
      </c>
      <c r="V119">
        <f>IF(C119,(Skills!G2*N119*B150)*IF(Inputs!$B$38="pvp",1,(1+(Inputs!$B$21+Skills!Q2+Summary!$B$59)/100)*(MIN((6+Inputs!$B$33),Inputs!$B$37))),0)</f>
        <v/>
      </c>
    </row>
    <row r="120">
      <c r="A120">
        <f>Skills!A3</f>
        <v/>
      </c>
      <c r="B120">
        <f>Skills!B3</f>
        <v/>
      </c>
      <c r="C120">
        <f>Inputs!$B$3&gt;=50</f>
        <v/>
      </c>
      <c r="D120">
        <f>IF(Skills!C3=1,60+Inputs!$B$25+Inputs!$B$29,IF(Skills!C3=2,90+Inputs!$B$26+Inputs!$B$29,IF(Skills!C3=3,120+Inputs!$B$27+Inputs!$B$29,MAX(0,(Inputs!$B$3-100)*3)+Inputs!$B$28+Inputs!$B$29)))</f>
        <v/>
      </c>
      <c r="E120">
        <f>INDEX(FactorTable!$B$2:$Y$301, MATCH(ROUND(MIN(300,MAX(1,D120)),0), FactorTable!$A$2:$A$301,0), Skills!M3+1)</f>
        <v/>
      </c>
      <c r="F120">
        <f>IF(Skills!N3=TRUE,(Skills!L3/10)*(E120/1000),Skills!L3/10)+Skills!O3</f>
        <v/>
      </c>
      <c r="G120" t="inlineStr"/>
      <c r="H120" t="inlineStr"/>
      <c r="I120" t="inlineStr">
        <is>
          <t>1</t>
        </is>
      </c>
      <c r="J120" t="inlineStr"/>
      <c r="K120" t="inlineStr"/>
      <c r="L120" t="inlineStr"/>
      <c r="M120" t="inlineStr"/>
      <c r="N120" t="inlineStr"/>
      <c r="O120" t="inlineStr"/>
      <c r="P120" t="inlineStr"/>
      <c r="Q120" t="inlineStr"/>
      <c r="R120" t="inlineStr"/>
      <c r="S120" t="inlineStr"/>
      <c r="U120">
        <f>INDEX(FactorTable!$B$2:$Y$301, MATCH(ROUND(MIN(300,MAX(1,U119)),0), FactorTable!$A$2:$A$301,0), 22)</f>
        <v/>
      </c>
    </row>
    <row r="121">
      <c r="A121">
        <f>Skills!A4</f>
        <v/>
      </c>
      <c r="B121">
        <f>Skills!B4</f>
        <v/>
      </c>
      <c r="C121">
        <f>Inputs!$B$3&gt;=105</f>
        <v/>
      </c>
      <c r="D121">
        <f>IF(Skills!C4=1,60+Inputs!$B$25+Inputs!$B$29,IF(Skills!C4=2,90+Inputs!$B$26+Inputs!$B$29,IF(Skills!C4=3,120+Inputs!$B$27+Inputs!$B$29,MAX(0,(Inputs!$B$3-100)*3)+Inputs!$B$28+Inputs!$B$29)))</f>
        <v/>
      </c>
      <c r="E121">
        <f>INDEX(FactorTable!$B$2:$Y$301, MATCH(ROUND(MIN(300,MAX(1,D121)),0), FactorTable!$A$2:$A$301,0), Skills!M4+1)</f>
        <v/>
      </c>
      <c r="F121">
        <f>IF(Skills!N4=TRUE,(Skills!L4/10)*(E121/1000),Skills!L4/10)+Skills!O4</f>
        <v/>
      </c>
      <c r="G121" t="inlineStr"/>
      <c r="H121" t="inlineStr"/>
      <c r="I121" t="inlineStr">
        <is>
          <t>1</t>
        </is>
      </c>
      <c r="J121" t="inlineStr"/>
      <c r="K121" t="inlineStr"/>
      <c r="L121" t="inlineStr"/>
      <c r="M121" t="inlineStr"/>
      <c r="N121" t="inlineStr"/>
      <c r="O121" t="inlineStr"/>
      <c r="P121" t="inlineStr"/>
      <c r="Q121" t="inlineStr"/>
      <c r="R121" t="inlineStr"/>
      <c r="S121" t="inlineStr"/>
      <c r="U121">
        <f>290*U120/1000</f>
        <v/>
      </c>
    </row>
    <row r="122">
      <c r="A122">
        <f>Skills!A5</f>
        <v/>
      </c>
      <c r="B122">
        <f>Skills!B5</f>
        <v/>
      </c>
      <c r="C122">
        <f>Inputs!$B$3&gt;=103</f>
        <v/>
      </c>
      <c r="D122">
        <f>IF(Skills!C5=1,60+Inputs!$B$25+Inputs!$B$29,IF(Skills!C5=2,90+Inputs!$B$26+Inputs!$B$29,IF(Skills!C5=3,120+Inputs!$B$27+Inputs!$B$29,MAX(0,(Inputs!$B$3-100)*3)+Inputs!$B$28+Inputs!$B$29)))</f>
        <v/>
      </c>
      <c r="E122">
        <f>INDEX(FactorTable!$B$2:$Y$301, MATCH(ROUND(MIN(300,MAX(1,D122)),0), FactorTable!$A$2:$A$301,0), Skills!M5+1)</f>
        <v/>
      </c>
      <c r="F122">
        <f>IF(Skills!N5=TRUE,(Skills!L5/10)*(E122/1000),Skills!L5/10)+Skills!O5</f>
        <v/>
      </c>
      <c r="G122">
        <f>Skills!G5*IF(Skills!H5&gt;0,Skills!I5/Skills!H5,1)</f>
        <v/>
      </c>
      <c r="H122">
        <f>1-(1-Skills!J5/100)^Skills!K5</f>
        <v/>
      </c>
      <c r="I122" t="inlineStr">
        <is>
          <t>1</t>
        </is>
      </c>
      <c r="J122">
        <f>((Inputs!$B$6*(1+Inputs!$B$7/100))+(((Inputs!$B$12*(1+Inputs!$B$13/100))-(Inputs!$B$12*(1+Inputs!$B$13/100)))+0.25*((Inputs!$B$14+1)-Inputs!$B$14))*(1+Inputs!$B$7/100))*(F122/100)</f>
        <v/>
      </c>
      <c r="K122">
        <f>J122*(1+((Inputs!$B$12*(1+Inputs!$B$13/100))*0.01+(Inputs!$B$14+1)*0.0025)/100)*(1+Inputs!$B$15/100)*(1+Inputs!$B$16/100)*(5000/(6000+Inputs!$B$42*(1-(Inputs!$B$19+0)/100)))*(1+(Inputs!$B$24+((C142=TRUE)*(F142-Calc!F25))+B152)/100)*(1+IF(Skills!A5="ENHANCED_RAGING_BLOW",IF(Inputs!$B$3&gt;=134,MAX(0,IF(Inputs!$B$3&gt;=110,7,5)-5)*50,0),0)/100)*(1+(IF(Skills!A5="RAGING_BLOW",Inputs!$B$17+((C138=TRUE)*(F138-Calc!F21)),Inputs!$B$18+((C140=TRUE)*(F140-Calc!F23))))/100)*((1+(((C130=TRUE)*F130*IF(Inputs!$B$3&gt;=110,7,5))+((C132=TRUE)*F132*IF(AND(Inputs!$B$38&lt;&gt;"pvp",Inputs!$B$43&gt;0),(((R132-1)*(Skills!T15*(1+Inputs!$B$34/100))+MIN((Skills!T15*(1+Inputs!$B$34/100)),MAX(0,Inputs!$B$43-((R132-1)*Skills!D15))))/Inputs!$B$43),IF(Inputs!$B$38="pvp",MIN((Skills!T15*(1+Inputs!$B$34/100)),15)/15,(Skills!T15*(1+Inputs!$B$34/100))/Skills!D15)))+0)/100)*I122)</f>
        <v/>
      </c>
      <c r="L122">
        <f>K122*(MIN(Inputs!$B$22+((C139=TRUE)*(F139-Calc!F22)),Inputs!$B$23+((C141=TRUE)*(F141-Calc!F24)))/100+(Inputs!$B$23+((C141=TRUE)*(F141-Calc!F24)))/100)/2</f>
        <v/>
      </c>
      <c r="M122">
        <f>L122*(1+(Inputs!$B$10+0+B151)/100)</f>
        <v/>
      </c>
      <c r="N122">
        <f>L122*(1-MIN((Inputs!$B$9+((C143=TRUE)*(F143-Calc!F26))+B146),100)/100)+M122*(MIN((Inputs!$B$9+((C143=TRUE)*(F143-Calc!F26))+B146),100)/100)</f>
        <v/>
      </c>
      <c r="O122">
        <f>(1-Summary!$B$55)*T122+Summary!$B$55*V122</f>
        <v/>
      </c>
      <c r="P122">
        <f>IF(B156=0,0,O122/B156)</f>
        <v/>
      </c>
      <c r="Q122">
        <f>IFERROR(1/IF(Inputs!$B$38="pvp",15,MAX(0.1,Skills!D5-IF(Skills!E5=TRUE,Inputs!$B$32,0))),0)</f>
        <v/>
      </c>
      <c r="R122">
        <f>IF(AND(Inputs!$B$38&lt;&gt;"pvp",Inputs!$B$43&gt;0),IF(MAX(0,Inputs!$B$43-B153)&lt;=0,0,(INT(MAX(0,Inputs!$B$43-B153)/IF(Inputs!$B$38="pvp",15,MAX(0.1,Skills!D5-IF(Skills!E5=TRUE,Inputs!$B$32,0))))+1)),0)</f>
        <v/>
      </c>
      <c r="S122">
        <f>IFERROR(O122/N122,0)</f>
        <v/>
      </c>
      <c r="T122">
        <f>IF(C122,(H122*N122*IF(AND(Inputs!$B$38&lt;&gt;"pvp",Inputs!$B$43&gt;0),((Skills!G5*((R122-1)*IF(Skills!H5&gt;0,Skills!I5/Skills!H5,1)+IF(Skills!H5&gt;0,MIN(Skills!I5,MAX(0,MAX(0,Inputs!$B$43-B153)-((R122-1)*IF(Inputs!$B$38="pvp",15,MAX(0.1,Skills!D5-IF(Skills!E5=TRUE,Inputs!$B$32,0))))))/Skills!H5,1)))/Inputs!$B$43),G122*Q122))*IF(Inputs!$B$38="pvp",1,1+(Inputs!$B$20+0+Skills!P5+Summary!$B$59)/100),0)</f>
        <v/>
      </c>
      <c r="V122">
        <f>IF(C122,(H122*N122*IF(AND(Inputs!$B$38&lt;&gt;"pvp",Inputs!$B$43&gt;0),((Skills!G5*((R122-1)*IF(Skills!H5&gt;0,Skills!I5/Skills!H5,1)+IF(Skills!H5&gt;0,MIN(Skills!I5,MAX(0,MAX(0,Inputs!$B$43-B153)-((R122-1)*IF(Inputs!$B$38="pvp",15,MAX(0.1,Skills!D5-IF(Skills!E5=TRUE,Inputs!$B$32,0))))))/Skills!H5,1)))/Inputs!$B$43),G122*Q122))*IF(Inputs!$B$38="pvp",1,(1+(Inputs!$B$21+Skills!Q5+Summary!$B$59)/100)*(MIN(Skills!R5,Inputs!$B$37))),0)</f>
        <v/>
      </c>
    </row>
    <row r="123">
      <c r="A123">
        <f>Skills!A6</f>
        <v/>
      </c>
      <c r="B123">
        <f>Skills!B6</f>
        <v/>
      </c>
      <c r="C123">
        <f>Inputs!$B$3&gt;=103</f>
        <v/>
      </c>
      <c r="D123">
        <f>IF(Skills!C6=1,60+Inputs!$B$25+Inputs!$B$29,IF(Skills!C6=2,90+Inputs!$B$26+Inputs!$B$29,IF(Skills!C6=3,120+Inputs!$B$27+Inputs!$B$29,MAX(0,(Inputs!$B$3-100)*3)+Inputs!$B$28+Inputs!$B$29)))</f>
        <v/>
      </c>
      <c r="E123">
        <f>INDEX(FactorTable!$B$2:$Y$301, MATCH(ROUND(MIN(300,MAX(1,D123)),0), FactorTable!$A$2:$A$301,0), Skills!M6+1)</f>
        <v/>
      </c>
      <c r="F123">
        <f>IF(Skills!N6=TRUE,(Skills!L6/10)*(E123/1000),Skills!L6/10)+Skills!O6</f>
        <v/>
      </c>
      <c r="G123">
        <f>Skills!G6*IF(Skills!H6&gt;0,Skills!I6/Skills!H6,1)</f>
        <v/>
      </c>
      <c r="H123">
        <f>1-(1-Skills!J6/100)^Skills!K6</f>
        <v/>
      </c>
      <c r="I123" t="inlineStr">
        <is>
          <t>1</t>
        </is>
      </c>
      <c r="J123">
        <f>((Inputs!$B$6*(1+Inputs!$B$7/100))+(((Inputs!$B$12*(1+Inputs!$B$13/100))-(Inputs!$B$12*(1+Inputs!$B$13/100)))+0.25*((Inputs!$B$14+1)-Inputs!$B$14))*(1+Inputs!$B$7/100))*(F123/100)</f>
        <v/>
      </c>
      <c r="K123">
        <f>J123*(1+((Inputs!$B$12*(1+Inputs!$B$13/100))*0.01+(Inputs!$B$14+1)*0.0025)/100)*(1+Inputs!$B$15/100)*(1+Inputs!$B$16/100)*(5000/(6000+Inputs!$B$42*(1-(Inputs!$B$19+0)/100)))*(1+(Inputs!$B$24+((C142=TRUE)*(F142-Calc!F25))+B152)/100)*(1+IF(Skills!A6="ENHANCED_RAGING_BLOW",IF(Inputs!$B$3&gt;=134,MAX(0,IF(Inputs!$B$3&gt;=110,7,5)-5)*50,0),0)/100)*(1+(IF(Skills!A6="RAGING_BLOW",Inputs!$B$17+((C138=TRUE)*(F138-Calc!F21)),Inputs!$B$18+((C140=TRUE)*(F140-Calc!F23))))/100)*((1+(((C130=TRUE)*F130*IF(Inputs!$B$3&gt;=110,7,5))+((C132=TRUE)*F132*IF(AND(Inputs!$B$38&lt;&gt;"pvp",Inputs!$B$43&gt;0),(((R132-1)*(Skills!T15*(1+Inputs!$B$34/100))+MIN((Skills!T15*(1+Inputs!$B$34/100)),MAX(0,Inputs!$B$43-((R132-1)*Skills!D15))))/Inputs!$B$43),IF(Inputs!$B$38="pvp",MIN((Skills!T15*(1+Inputs!$B$34/100)),15)/15,(Skills!T15*(1+Inputs!$B$34/100))/Skills!D15)))+0)/100)*I123)</f>
        <v/>
      </c>
      <c r="L123">
        <f>K123*(MIN(Inputs!$B$22+((C139=TRUE)*(F139-Calc!F22)),Inputs!$B$23+((C141=TRUE)*(F141-Calc!F24)))/100+(Inputs!$B$23+((C141=TRUE)*(F141-Calc!F24)))/100)/2</f>
        <v/>
      </c>
      <c r="M123">
        <f>L123*(1+(Inputs!$B$10+0+B151)/100)</f>
        <v/>
      </c>
      <c r="N123">
        <f>L123*(1-MIN((Inputs!$B$9+((C143=TRUE)*(F143-Calc!F26))+B146),100)/100)+M123*(MIN((Inputs!$B$9+((C143=TRUE)*(F143-Calc!F26))+B146),100)/100)</f>
        <v/>
      </c>
      <c r="O123">
        <f>(1-Summary!$B$55)*T123+Summary!$B$55*V123</f>
        <v/>
      </c>
      <c r="P123">
        <f>IF(B156=0,0,O123/B156)</f>
        <v/>
      </c>
      <c r="Q123">
        <f>IFERROR(1/IF(Inputs!$B$38="pvp",15,MAX(0.1,Skills!D6-IF(Skills!E6=TRUE,Inputs!$B$32,0))),0)</f>
        <v/>
      </c>
      <c r="R123">
        <f>IF(AND(Inputs!$B$38&lt;&gt;"pvp",Inputs!$B$43&gt;0),IF(MAX(0,Inputs!$B$43-B153)&lt;=0,0,(INT(MAX(0,Inputs!$B$43-B153)/IF(Inputs!$B$38="pvp",15,MAX(0.1,Skills!D6-IF(Skills!E6=TRUE,Inputs!$B$32,0))))+1)),0)</f>
        <v/>
      </c>
      <c r="S123">
        <f>IFERROR(O123/N123,0)</f>
        <v/>
      </c>
      <c r="T123">
        <f>IF(C123,(H123*N123*IF(AND(Inputs!$B$38&lt;&gt;"pvp",Inputs!$B$43&gt;0),((Skills!G6*((R123-1)*IF(Skills!H6&gt;0,Skills!I6/Skills!H6,1)+IF(Skills!H6&gt;0,MIN(Skills!I6,MAX(0,MAX(0,Inputs!$B$43-B153)-((R123-1)*IF(Inputs!$B$38="pvp",15,MAX(0.1,Skills!D6-IF(Skills!E6=TRUE,Inputs!$B$32,0))))))/Skills!H6,1)))/Inputs!$B$43),G123*Q123))*IF(Inputs!$B$38="pvp",1,1+(Inputs!$B$20+0+Skills!P6+Summary!$B$59)/100),0)</f>
        <v/>
      </c>
      <c r="V123">
        <f>IF(C123,(H123*N123*IF(AND(Inputs!$B$38&lt;&gt;"pvp",Inputs!$B$43&gt;0),((Skills!G6*((R123-1)*IF(Skills!H6&gt;0,Skills!I6/Skills!H6,1)+IF(Skills!H6&gt;0,MIN(Skills!I6,MAX(0,MAX(0,Inputs!$B$43-B153)-((R123-1)*IF(Inputs!$B$38="pvp",15,MAX(0.1,Skills!D6-IF(Skills!E6=TRUE,Inputs!$B$32,0))))))/Skills!H6,1)))/Inputs!$B$43),G123*Q123))*IF(Inputs!$B$38="pvp",1,(1+(Inputs!$B$21+Skills!Q6+Summary!$B$59)/100)*(MIN(Skills!R6,Inputs!$B$37))),0)</f>
        <v/>
      </c>
    </row>
    <row r="124">
      <c r="A124">
        <f>Skills!A7</f>
        <v/>
      </c>
      <c r="B124">
        <f>Skills!B7</f>
        <v/>
      </c>
      <c r="C124">
        <f>Inputs!$B$3&gt;=107</f>
        <v/>
      </c>
      <c r="D124">
        <f>IF(Skills!C7=1,60+Inputs!$B$25+Inputs!$B$29,IF(Skills!C7=2,90+Inputs!$B$26+Inputs!$B$29,IF(Skills!C7=3,120+Inputs!$B$27+Inputs!$B$29,MAX(0,(Inputs!$B$3-100)*3)+Inputs!$B$28+Inputs!$B$29)))</f>
        <v/>
      </c>
      <c r="E124">
        <f>INDEX(FactorTable!$B$2:$Y$301, MATCH(ROUND(MIN(300,MAX(1,D124)),0), FactorTable!$A$2:$A$301,0), Skills!M7+1)</f>
        <v/>
      </c>
      <c r="F124">
        <f>IF(Skills!N7=TRUE,(Skills!L7/10)*(E124/1000),Skills!L7/10)+Skills!O7</f>
        <v/>
      </c>
      <c r="G124">
        <f>Skills!G7*IF(Skills!H7&gt;0,Skills!I7/Skills!H7,1)</f>
        <v/>
      </c>
      <c r="H124">
        <f>1-(1-Skills!J7/100)^Skills!K7</f>
        <v/>
      </c>
      <c r="I124" t="inlineStr">
        <is>
          <t>1</t>
        </is>
      </c>
      <c r="J124">
        <f>((Inputs!$B$6*(1+Inputs!$B$7/100))+(((Inputs!$B$12*(1+Inputs!$B$13/100))-(Inputs!$B$12*(1+Inputs!$B$13/100)))+0.25*((Inputs!$B$14+1)-Inputs!$B$14))*(1+Inputs!$B$7/100))*(F124/100)</f>
        <v/>
      </c>
      <c r="K124">
        <f>J124*(1+((Inputs!$B$12*(1+Inputs!$B$13/100))*0.01+(Inputs!$B$14+1)*0.0025)/100)*(1+Inputs!$B$15/100)*(1+Inputs!$B$16/100)*(5000/(6000+Inputs!$B$42*(1-(Inputs!$B$19+0)/100)))*(1+(Inputs!$B$24+((C142=TRUE)*(F142-Calc!F25))+B152)/100)*(1+IF(Skills!A7="ENHANCED_RAGING_BLOW",IF(Inputs!$B$3&gt;=134,MAX(0,IF(Inputs!$B$3&gt;=110,7,5)-5)*50,0),0)/100)*(1+(IF(Skills!A7="RAGING_BLOW",Inputs!$B$17+((C138=TRUE)*(F138-Calc!F21)),Inputs!$B$18+((C140=TRUE)*(F140-Calc!F23))))/100)*((1+(((C130=TRUE)*F130*IF(Inputs!$B$3&gt;=110,7,5))+((C132=TRUE)*F132*IF(AND(Inputs!$B$38&lt;&gt;"pvp",Inputs!$B$43&gt;0),(((R132-1)*(Skills!T15*(1+Inputs!$B$34/100))+MIN((Skills!T15*(1+Inputs!$B$34/100)),MAX(0,Inputs!$B$43-((R132-1)*Skills!D15))))/Inputs!$B$43),IF(Inputs!$B$38="pvp",MIN((Skills!T15*(1+Inputs!$B$34/100)),15)/15,(Skills!T15*(1+Inputs!$B$34/100))/Skills!D15)))+0)/100)*I124)</f>
        <v/>
      </c>
      <c r="L124">
        <f>K124*(MIN(Inputs!$B$22+((C139=TRUE)*(F139-Calc!F22)),Inputs!$B$23+((C141=TRUE)*(F141-Calc!F24)))/100+(Inputs!$B$23+((C141=TRUE)*(F141-Calc!F24)))/100)/2</f>
        <v/>
      </c>
      <c r="M124">
        <f>L124*(1+(Inputs!$B$10+0+B151)/100)</f>
        <v/>
      </c>
      <c r="N124">
        <f>L124*(1-MIN((Inputs!$B$9+((C143=TRUE)*(F143-Calc!F26))+B146),100)/100)+M124*(MIN((Inputs!$B$9+((C143=TRUE)*(F143-Calc!F26))+B146),100)/100)</f>
        <v/>
      </c>
      <c r="O124">
        <f>(1-Summary!$B$55)*T124+Summary!$B$55*V124</f>
        <v/>
      </c>
      <c r="P124">
        <f>IF(B156=0,0,O124/B156)</f>
        <v/>
      </c>
      <c r="Q124">
        <f>IFERROR(1/IF(Inputs!$B$38="pvp",15,MAX(0.1,Skills!D7-IF(Skills!E7=TRUE,Inputs!$B$32,0))),0)</f>
        <v/>
      </c>
      <c r="R124">
        <f>IF(AND(Inputs!$B$38&lt;&gt;"pvp",Inputs!$B$43&gt;0),IF(MAX(0,Inputs!$B$43-B153)&lt;=0,0,(INT(MAX(0,Inputs!$B$43-B153)/IF(Inputs!$B$38="pvp",15,MAX(0.1,Skills!D7-IF(Skills!E7=TRUE,Inputs!$B$32,0))))+1)),0)</f>
        <v/>
      </c>
      <c r="S124">
        <f>IFERROR(O124/N124,0)</f>
        <v/>
      </c>
      <c r="T124">
        <f>IF(C124,(H124*N124*IF(AND(Inputs!$B$38&lt;&gt;"pvp",Inputs!$B$43&gt;0),((Skills!G7*((R124-1)*IF(Skills!H7&gt;0,Skills!I7/Skills!H7,1)+IF(Skills!H7&gt;0,MIN(Skills!I7,MAX(0,MAX(0,Inputs!$B$43-B153)-((R124-1)*IF(Inputs!$B$38="pvp",15,MAX(0.1,Skills!D7-IF(Skills!E7=TRUE,Inputs!$B$32,0))))))/Skills!H7,1)))/Inputs!$B$43),G124*Q124))*IF(Inputs!$B$38="pvp",1,1+(Inputs!$B$20+0+Skills!P7+Summary!$B$59)/100),0)</f>
        <v/>
      </c>
      <c r="V124">
        <f>IF(C124,(H124*N124*IF(AND(Inputs!$B$38&lt;&gt;"pvp",Inputs!$B$43&gt;0),((Skills!G7*((R124-1)*IF(Skills!H7&gt;0,Skills!I7/Skills!H7,1)+IF(Skills!H7&gt;0,MIN(Skills!I7,MAX(0,MAX(0,Inputs!$B$43-B153)-((R124-1)*IF(Inputs!$B$38="pvp",15,MAX(0.1,Skills!D7-IF(Skills!E7=TRUE,Inputs!$B$32,0))))))/Skills!H7,1)))/Inputs!$B$43),G124*Q124))*IF(Inputs!$B$38="pvp",1,(1+(Inputs!$B$21+Skills!Q7+Summary!$B$59)/100)*(MIN(Skills!R7,Inputs!$B$37))),0)</f>
        <v/>
      </c>
    </row>
    <row r="125">
      <c r="A125">
        <f>Skills!A8</f>
        <v/>
      </c>
      <c r="B125">
        <f>Skills!B8</f>
        <v/>
      </c>
      <c r="C125">
        <f>Inputs!$B$3&gt;=117</f>
        <v/>
      </c>
      <c r="D125">
        <f>IF(Skills!C8=1,60+Inputs!$B$25+Inputs!$B$29,IF(Skills!C8=2,90+Inputs!$B$26+Inputs!$B$29,IF(Skills!C8=3,120+Inputs!$B$27+Inputs!$B$29,MAX(0,(Inputs!$B$3-100)*3)+Inputs!$B$28+Inputs!$B$29)))</f>
        <v/>
      </c>
      <c r="E125">
        <f>INDEX(FactorTable!$B$2:$Y$301, MATCH(ROUND(MIN(300,MAX(1,D125)),0), FactorTable!$A$2:$A$301,0), Skills!M8+1)</f>
        <v/>
      </c>
      <c r="F125">
        <f>IF(Skills!N8=TRUE,(Skills!L8/10)*(E125/1000),Skills!L8/10)+Skills!O8</f>
        <v/>
      </c>
      <c r="G125">
        <f>Skills!G8*IF(Skills!H8&gt;0,Skills!I8/Skills!H8,1)</f>
        <v/>
      </c>
      <c r="H125">
        <f>1-(1-Skills!J8/100)^Skills!K8</f>
        <v/>
      </c>
      <c r="I125" t="inlineStr">
        <is>
          <t>1</t>
        </is>
      </c>
      <c r="J125">
        <f>((Inputs!$B$6*(1+Inputs!$B$7/100))+(((Inputs!$B$12*(1+Inputs!$B$13/100))-(Inputs!$B$12*(1+Inputs!$B$13/100)))+0.25*((Inputs!$B$14+1)-Inputs!$B$14))*(1+Inputs!$B$7/100))*(F125/100)</f>
        <v/>
      </c>
      <c r="K125">
        <f>J125*(1+((Inputs!$B$12*(1+Inputs!$B$13/100))*0.01+(Inputs!$B$14+1)*0.0025)/100)*(1+Inputs!$B$15/100)*(1+Inputs!$B$16/100)*(5000/(6000+Inputs!$B$42*(1-(Inputs!$B$19+0)/100)))*(1+(Inputs!$B$24+((C142=TRUE)*(F142-Calc!F25))+B152)/100)*(1+IF(Skills!A8="ENHANCED_RAGING_BLOW",IF(Inputs!$B$3&gt;=134,MAX(0,IF(Inputs!$B$3&gt;=110,7,5)-5)*50,0),0)/100)*(1+(IF(Skills!A8="RAGING_BLOW",Inputs!$B$17+((C138=TRUE)*(F138-Calc!F21)),Inputs!$B$18+((C140=TRUE)*(F140-Calc!F23))))/100)*((1+(((C130=TRUE)*F130*IF(Inputs!$B$3&gt;=110,7,5))+((C132=TRUE)*F132*IF(AND(Inputs!$B$38&lt;&gt;"pvp",Inputs!$B$43&gt;0),(((R132-1)*(Skills!T15*(1+Inputs!$B$34/100))+MIN((Skills!T15*(1+Inputs!$B$34/100)),MAX(0,Inputs!$B$43-((R132-1)*Skills!D15))))/Inputs!$B$43),IF(Inputs!$B$38="pvp",MIN((Skills!T15*(1+Inputs!$B$34/100)),15)/15,(Skills!T15*(1+Inputs!$B$34/100))/Skills!D15)))+0)/100)*I125)</f>
        <v/>
      </c>
      <c r="L125">
        <f>K125*(MIN(Inputs!$B$22+((C139=TRUE)*(F139-Calc!F22)),Inputs!$B$23+((C141=TRUE)*(F141-Calc!F24)))/100+(Inputs!$B$23+((C141=TRUE)*(F141-Calc!F24)))/100)/2</f>
        <v/>
      </c>
      <c r="M125">
        <f>L125*(1+(Inputs!$B$10+0+B151)/100)</f>
        <v/>
      </c>
      <c r="N125">
        <f>L125*(1-MIN((Inputs!$B$9+((C143=TRUE)*(F143-Calc!F26))+B146),100)/100)+M125*(MIN((Inputs!$B$9+((C143=TRUE)*(F143-Calc!F26))+B146),100)/100)</f>
        <v/>
      </c>
      <c r="O125">
        <f>(1-Summary!$B$55)*T125+Summary!$B$55*V125</f>
        <v/>
      </c>
      <c r="P125">
        <f>IF(B156=0,0,O125/B156)</f>
        <v/>
      </c>
      <c r="Q125">
        <f>IFERROR(1/IF(Inputs!$B$38="pvp",15,MAX(0.1,Skills!D8-IF(Skills!E8=TRUE,Inputs!$B$32,0))),0)</f>
        <v/>
      </c>
      <c r="R125">
        <f>IF(AND(Inputs!$B$38&lt;&gt;"pvp",Inputs!$B$43&gt;0),IF(MAX(0,Inputs!$B$43-B153)&lt;=0,0,(INT(MAX(0,Inputs!$B$43-B153)/IF(Inputs!$B$38="pvp",15,MAX(0.1,Skills!D8-IF(Skills!E8=TRUE,Inputs!$B$32,0))))+1)),0)</f>
        <v/>
      </c>
      <c r="S125">
        <f>IFERROR(O125/N125,0)</f>
        <v/>
      </c>
      <c r="T125">
        <f>IF(C125,(H125*N125*IF(AND(Inputs!$B$38&lt;&gt;"pvp",Inputs!$B$43&gt;0),((Skills!G8*((R125-1)*IF(Skills!H8&gt;0,Skills!I8/Skills!H8,1)+IF(Skills!H8&gt;0,MIN(Skills!I8,MAX(0,MAX(0,Inputs!$B$43-B153)-((R125-1)*IF(Inputs!$B$38="pvp",15,MAX(0.1,Skills!D8-IF(Skills!E8=TRUE,Inputs!$B$32,0))))))/Skills!H8,1)))/Inputs!$B$43),G125*Q125))*IF(Inputs!$B$38="pvp",1,1+(Inputs!$B$20+0+Skills!P8+Summary!$B$59)/100),0)</f>
        <v/>
      </c>
      <c r="V125">
        <f>IF(C125,(H125*N125*IF(AND(Inputs!$B$38&lt;&gt;"pvp",Inputs!$B$43&gt;0),((Skills!G8*((R125-1)*IF(Skills!H8&gt;0,Skills!I8/Skills!H8,1)+IF(Skills!H8&gt;0,MIN(Skills!I8,MAX(0,MAX(0,Inputs!$B$43-B153)-((R125-1)*IF(Inputs!$B$38="pvp",15,MAX(0.1,Skills!D8-IF(Skills!E8=TRUE,Inputs!$B$32,0))))))/Skills!H8,1)))/Inputs!$B$43),G125*Q125))*IF(Inputs!$B$38="pvp",1,(1+(Inputs!$B$21+Skills!Q8+Summary!$B$59)/100)*(MIN(Skills!R8,Inputs!$B$37))),0)</f>
        <v/>
      </c>
    </row>
    <row r="126">
      <c r="A126">
        <f>Skills!A9</f>
        <v/>
      </c>
      <c r="B126">
        <f>Skills!B9</f>
        <v/>
      </c>
      <c r="C126">
        <f>Inputs!$B$3&gt;=69</f>
        <v/>
      </c>
      <c r="D126">
        <f>IF(Skills!C9=1,60+Inputs!$B$25+Inputs!$B$29,IF(Skills!C9=2,90+Inputs!$B$26+Inputs!$B$29,IF(Skills!C9=3,120+Inputs!$B$27+Inputs!$B$29,MAX(0,(Inputs!$B$3-100)*3)+Inputs!$B$28+Inputs!$B$29)))</f>
        <v/>
      </c>
      <c r="E126">
        <f>INDEX(FactorTable!$B$2:$Y$301, MATCH(ROUND(MIN(300,MAX(1,D126)),0), FactorTable!$A$2:$A$301,0), Skills!M9+1)</f>
        <v/>
      </c>
      <c r="F126">
        <f>IF(Skills!N9=TRUE,(Skills!L9/10)*(E126/1000),Skills!L9/10)+Skills!O9</f>
        <v/>
      </c>
      <c r="G126">
        <f>Skills!G9*IF(Skills!H9&gt;0,Skills!I9/Skills!H9,1)</f>
        <v/>
      </c>
      <c r="H126">
        <f>1-(1-Skills!J9/100)^Skills!K9</f>
        <v/>
      </c>
      <c r="I126" t="inlineStr">
        <is>
          <t>1</t>
        </is>
      </c>
      <c r="J126">
        <f>((Inputs!$B$6*(1+Inputs!$B$7/100))+(((Inputs!$B$12*(1+Inputs!$B$13/100))-(Inputs!$B$12*(1+Inputs!$B$13/100)))+0.25*((Inputs!$B$14+1)-Inputs!$B$14))*(1+Inputs!$B$7/100))*(F126/100)</f>
        <v/>
      </c>
      <c r="K126">
        <f>J126*(1+((Inputs!$B$12*(1+Inputs!$B$13/100))*0.01+(Inputs!$B$14+1)*0.0025)/100)*(1+Inputs!$B$15/100)*(1+Inputs!$B$16/100)*(5000/(6000+Inputs!$B$42*(1-(Inputs!$B$19+0)/100)))*(1+(Inputs!$B$24+((C142=TRUE)*(F142-Calc!F25))+B152)/100)*(1+1.0*IF(C129=TRUE,F129,0)/100)*(1+IF(Skills!A9="ENHANCED_RAGING_BLOW",IF(Inputs!$B$3&gt;=134,MAX(0,IF(Inputs!$B$3&gt;=110,7,5)-5)*50,0),0)/100)*(1+(IF(Skills!A9="RAGING_BLOW",Inputs!$B$17+((C138=TRUE)*(F138-Calc!F21)),Inputs!$B$18+((C140=TRUE)*(F140-Calc!F23))))/100)*((1+(((C130=TRUE)*F130*IF(Inputs!$B$3&gt;=110,7,5))+((C132=TRUE)*F132*IF(AND(Inputs!$B$38&lt;&gt;"pvp",Inputs!$B$43&gt;0),(((R132-1)*(Skills!T15*(1+Inputs!$B$34/100))+MIN((Skills!T15*(1+Inputs!$B$34/100)),MAX(0,Inputs!$B$43-((R132-1)*Skills!D15))))/Inputs!$B$43),IF(Inputs!$B$38="pvp",MIN((Skills!T15*(1+Inputs!$B$34/100)),15)/15,(Skills!T15*(1+Inputs!$B$34/100))/Skills!D15)))+0)/100)*I126)</f>
        <v/>
      </c>
      <c r="L126">
        <f>K126*(MIN(Inputs!$B$22+((C139=TRUE)*(F139-Calc!F22)),Inputs!$B$23+((C141=TRUE)*(F141-Calc!F24)))/100+(Inputs!$B$23+((C141=TRUE)*(F141-Calc!F24)))/100)/2</f>
        <v/>
      </c>
      <c r="M126">
        <f>L126*(1+(Inputs!$B$10+0+B151)/100)</f>
        <v/>
      </c>
      <c r="N126">
        <f>L126*(1-MIN((Inputs!$B$9+((C143=TRUE)*(F143-Calc!F26))+B146),100)/100)+M126*(MIN((Inputs!$B$9+((C143=TRUE)*(F143-Calc!F26))+B146),100)/100)</f>
        <v/>
      </c>
      <c r="O126">
        <f>(1-Summary!$B$55)*T126+Summary!$B$55*V126</f>
        <v/>
      </c>
      <c r="P126">
        <f>IF(B156=0,0,O126/B156)</f>
        <v/>
      </c>
      <c r="Q126">
        <f>IFERROR(1/IF(Inputs!$B$38="pvp",15,MAX(0.1,Skills!D9-IF(Skills!E9=TRUE,Inputs!$B$32,0))),0)</f>
        <v/>
      </c>
      <c r="R126">
        <f>IF(AND(Inputs!$B$38&lt;&gt;"pvp",Inputs!$B$43&gt;0),IF(MAX(0,Inputs!$B$43-B153)&lt;=0,0,(INT(MAX(0,Inputs!$B$43-B153)/IF(Inputs!$B$38="pvp",15,MAX(0.1,Skills!D9-IF(Skills!E9=TRUE,Inputs!$B$32,0))))+1)),0)</f>
        <v/>
      </c>
      <c r="S126">
        <f>IFERROR(O126/N126,0)</f>
        <v/>
      </c>
      <c r="T126">
        <f>IF(C126,(H126*N126*IF(AND(Inputs!$B$38&lt;&gt;"pvp",Inputs!$B$43&gt;0),((Skills!G9*((R126-1)*IF(Skills!H9&gt;0,Skills!I9/Skills!H9,1)+IF(Skills!H9&gt;0,MIN(Skills!I9,MAX(0,MAX(0,Inputs!$B$43-B153)-((R126-1)*IF(Inputs!$B$38="pvp",15,MAX(0.1,Skills!D9-IF(Skills!E9=TRUE,Inputs!$B$32,0))))))/Skills!H9,1)))/Inputs!$B$43),G126*Q126))*IF(Inputs!$B$38="pvp",1,1+(Inputs!$B$20+0+Skills!P9+Summary!$B$59)/100),0)</f>
        <v/>
      </c>
      <c r="V126">
        <f>IF(C126,(H126*N126*IF(AND(Inputs!$B$38&lt;&gt;"pvp",Inputs!$B$43&gt;0),((Skills!G9*((R126-1)*IF(Skills!H9&gt;0,Skills!I9/Skills!H9,1)+IF(Skills!H9&gt;0,MIN(Skills!I9,MAX(0,MAX(0,Inputs!$B$43-B153)-((R126-1)*IF(Inputs!$B$38="pvp",15,MAX(0.1,Skills!D9-IF(Skills!E9=TRUE,Inputs!$B$32,0))))))/Skills!H9,1)))/Inputs!$B$43),G126*Q126))*IF(Inputs!$B$38="pvp",1,(1+(Inputs!$B$21+Skills!Q9+Summary!$B$59)/100)*(MIN(Skills!R9,Inputs!$B$37))),0)</f>
        <v/>
      </c>
    </row>
    <row r="127">
      <c r="A127">
        <f>Skills!A10</f>
        <v/>
      </c>
      <c r="B127">
        <f>Skills!B10</f>
        <v/>
      </c>
      <c r="C127">
        <f>Inputs!$B$3&gt;=63</f>
        <v/>
      </c>
      <c r="D127">
        <f>IF(Skills!C10=1,60+Inputs!$B$25+Inputs!$B$29,IF(Skills!C10=2,90+Inputs!$B$26+Inputs!$B$29,IF(Skills!C10=3,120+Inputs!$B$27+Inputs!$B$29,MAX(0,(Inputs!$B$3-100)*3)+Inputs!$B$28+Inputs!$B$29)))</f>
        <v/>
      </c>
      <c r="E127">
        <f>INDEX(FactorTable!$B$2:$Y$301, MATCH(ROUND(MIN(300,MAX(1,D127)),0), FactorTable!$A$2:$A$301,0), Skills!M10+1)</f>
        <v/>
      </c>
      <c r="F127">
        <f>IF(Skills!N10=TRUE,(Skills!L10/10)*(E127/1000),Skills!L10/10)+Skills!O10</f>
        <v/>
      </c>
      <c r="G127">
        <f>Skills!G10*IF(Skills!H10&gt;0,Skills!I10/Skills!H10,1)</f>
        <v/>
      </c>
      <c r="H127">
        <f>1-(1-Skills!J10/100)^Skills!K10</f>
        <v/>
      </c>
      <c r="I127" t="inlineStr">
        <is>
          <t>1</t>
        </is>
      </c>
      <c r="J127">
        <f>((Inputs!$B$6*(1+Inputs!$B$7/100))+(((Inputs!$B$12*(1+Inputs!$B$13/100))-(Inputs!$B$12*(1+Inputs!$B$13/100)))+0.25*((Inputs!$B$14+1)-Inputs!$B$14))*(1+Inputs!$B$7/100))*(F127/100)</f>
        <v/>
      </c>
      <c r="K127">
        <f>J127*(1+((Inputs!$B$12*(1+Inputs!$B$13/100))*0.01+(Inputs!$B$14+1)*0.0025)/100)*(1+Inputs!$B$15/100)*(1+Inputs!$B$16/100)*(5000/(6000+Inputs!$B$42*(1-(Inputs!$B$19+0)/100)))*(1+(Inputs!$B$24+((C142=TRUE)*(F142-Calc!F25))+B152)/100)*(1+1.5*IF(C129=TRUE,F129,0)/100)*(1+IF(Skills!A10="ENHANCED_RAGING_BLOW",IF(Inputs!$B$3&gt;=134,MAX(0,IF(Inputs!$B$3&gt;=110,7,5)-5)*50,0),0)/100)*(1+(IF(Skills!A10="RAGING_BLOW",Inputs!$B$17+((C138=TRUE)*(F138-Calc!F21)),Inputs!$B$18+((C140=TRUE)*(F140-Calc!F23))))/100)*((1+(((C130=TRUE)*F130*IF(Inputs!$B$3&gt;=110,7,5))+((C132=TRUE)*F132*IF(AND(Inputs!$B$38&lt;&gt;"pvp",Inputs!$B$43&gt;0),(((R132-1)*(Skills!T15*(1+Inputs!$B$34/100))+MIN((Skills!T15*(1+Inputs!$B$34/100)),MAX(0,Inputs!$B$43-((R132-1)*Skills!D15))))/Inputs!$B$43),IF(Inputs!$B$38="pvp",MIN((Skills!T15*(1+Inputs!$B$34/100)),15)/15,(Skills!T15*(1+Inputs!$B$34/100))/Skills!D15)))+0)/100)*I127)</f>
        <v/>
      </c>
      <c r="L127">
        <f>K127*(MIN(Inputs!$B$22+((C139=TRUE)*(F139-Calc!F22)),Inputs!$B$23+((C141=TRUE)*(F141-Calc!F24)))/100+(Inputs!$B$23+((C141=TRUE)*(F141-Calc!F24)))/100)/2</f>
        <v/>
      </c>
      <c r="M127">
        <f>L127*(1+(Inputs!$B$10+0+B151)/100)</f>
        <v/>
      </c>
      <c r="N127">
        <f>L127*(1-MIN((Inputs!$B$9+((C143=TRUE)*(F143-Calc!F26))+B146),100)/100)+M127*(MIN((Inputs!$B$9+((C143=TRUE)*(F143-Calc!F26))+B146),100)/100)</f>
        <v/>
      </c>
      <c r="O127">
        <f>(1-Summary!$B$55)*T127+Summary!$B$55*V127</f>
        <v/>
      </c>
      <c r="P127">
        <f>IF(B156=0,0,O127/B156)</f>
        <v/>
      </c>
      <c r="Q127">
        <f>IFERROR(1/IF(Inputs!$B$38="pvp",15,MAX(0.1,Skills!D10-IF(Skills!E10=TRUE,Inputs!$B$32,0))),0)</f>
        <v/>
      </c>
      <c r="R127">
        <f>IF(AND(Inputs!$B$38&lt;&gt;"pvp",Inputs!$B$43&gt;0),IF(MAX(0,Inputs!$B$43-B153)&lt;=0,0,(INT(MAX(0,Inputs!$B$43-B153)/IF(Inputs!$B$38="pvp",15,MAX(0.1,Skills!D10-IF(Skills!E10=TRUE,Inputs!$B$32,0))))+1)),0)</f>
        <v/>
      </c>
      <c r="S127">
        <f>IFERROR(O127/N127,0)</f>
        <v/>
      </c>
      <c r="T127">
        <f>IF(C127,(H127*N127*IF(AND(Inputs!$B$38&lt;&gt;"pvp",Inputs!$B$43&gt;0),((Skills!G10*((R127-1)*IF(Skills!H10&gt;0,Skills!I10/Skills!H10,1)+IF(Skills!H10&gt;0,MIN(Skills!I10,MAX(0,MAX(0,Inputs!$B$43-B153)-((R127-1)*IF(Inputs!$B$38="pvp",15,MAX(0.1,Skills!D10-IF(Skills!E10=TRUE,Inputs!$B$32,0))))))/Skills!H10,1)))/Inputs!$B$43),G127*Q127))*IF(Inputs!$B$38="pvp",1,1+(Inputs!$B$20+0+Skills!P10+Summary!$B$59)/100),0)</f>
        <v/>
      </c>
      <c r="V127">
        <f>IF(C127,(H127*N127*IF(AND(Inputs!$B$38&lt;&gt;"pvp",Inputs!$B$43&gt;0),((Skills!G10*((R127-1)*IF(Skills!H10&gt;0,Skills!I10/Skills!H10,1)+IF(Skills!H10&gt;0,MIN(Skills!I10,MAX(0,MAX(0,Inputs!$B$43-B153)-((R127-1)*IF(Inputs!$B$38="pvp",15,MAX(0.1,Skills!D10-IF(Skills!E10=TRUE,Inputs!$B$32,0))))))/Skills!H10,1)))/Inputs!$B$43),G127*Q127))*IF(Inputs!$B$38="pvp",1,(1+(Inputs!$B$21+Skills!Q10+Summary!$B$59)/100)*(MIN(Skills!R10,Inputs!$B$37))),0)</f>
        <v/>
      </c>
    </row>
    <row r="128">
      <c r="A128">
        <f>Skills!A11</f>
        <v/>
      </c>
      <c r="B128">
        <f>Skills!B11</f>
        <v/>
      </c>
      <c r="C128">
        <f>Inputs!$B$3&gt;=35</f>
        <v/>
      </c>
      <c r="D128">
        <f>IF(Skills!C11=1,60+Inputs!$B$25+Inputs!$B$29,IF(Skills!C11=2,90+Inputs!$B$26+Inputs!$B$29,IF(Skills!C11=3,120+Inputs!$B$27+Inputs!$B$29,MAX(0,(Inputs!$B$3-100)*3)+Inputs!$B$28+Inputs!$B$29)))</f>
        <v/>
      </c>
      <c r="E128">
        <f>INDEX(FactorTable!$B$2:$Y$301, MATCH(ROUND(MIN(300,MAX(1,D128)),0), FactorTable!$A$2:$A$301,0), Skills!M11+1)</f>
        <v/>
      </c>
      <c r="F128">
        <f>IF(Skills!N11=TRUE,(Skills!L11/10)*(E128/1000),Skills!L11/10)+Skills!O11</f>
        <v/>
      </c>
      <c r="G128">
        <f>Skills!G11*IF(Skills!H11&gt;0,Skills!I11/Skills!H11,1)</f>
        <v/>
      </c>
      <c r="H128">
        <f>1-(1-Skills!J11/100)^Skills!K11</f>
        <v/>
      </c>
      <c r="I128" t="inlineStr">
        <is>
          <t>1</t>
        </is>
      </c>
      <c r="J128">
        <f>((Inputs!$B$6*(1+Inputs!$B$7/100))+(((Inputs!$B$12*(1+Inputs!$B$13/100))-(Inputs!$B$12*(1+Inputs!$B$13/100)))+0.25*((Inputs!$B$14+1)-Inputs!$B$14))*(1+Inputs!$B$7/100))*(F128/100)</f>
        <v/>
      </c>
      <c r="K128">
        <f>J128*(1+((Inputs!$B$12*(1+Inputs!$B$13/100))*0.01+(Inputs!$B$14+1)*0.0025)/100)*(1+Inputs!$B$15/100)*(1+Inputs!$B$16/100)*(5000/(6000+Inputs!$B$42*(1-(Inputs!$B$19+0)/100)))*(1+(Inputs!$B$24+((C142=TRUE)*(F142-Calc!F25))+B152)/100)*(1+4.0*IF(C129=TRUE,F129,0)/100)*(1+IF(Skills!A11="ENHANCED_RAGING_BLOW",IF(Inputs!$B$3&gt;=134,MAX(0,IF(Inputs!$B$3&gt;=110,7,5)-5)*50,0),0)/100)*(1+(IF(Skills!A11="RAGING_BLOW",Inputs!$B$17+((C138=TRUE)*(F138-Calc!F21)),Inputs!$B$18+((C140=TRUE)*(F140-Calc!F23))))/100)*((1+(((C130=TRUE)*F130*IF(Inputs!$B$3&gt;=110,7,5))+((C132=TRUE)*F132*IF(AND(Inputs!$B$38&lt;&gt;"pvp",Inputs!$B$43&gt;0),(((R132-1)*(Skills!T15*(1+Inputs!$B$34/100))+MIN((Skills!T15*(1+Inputs!$B$34/100)),MAX(0,Inputs!$B$43-((R132-1)*Skills!D15))))/Inputs!$B$43),IF(Inputs!$B$38="pvp",MIN((Skills!T15*(1+Inputs!$B$34/100)),15)/15,(Skills!T15*(1+Inputs!$B$34/100))/Skills!D15)))+0)/100)*I128)</f>
        <v/>
      </c>
      <c r="L128">
        <f>K128*(MIN(Inputs!$B$22+((C139=TRUE)*(F139-Calc!F22)),Inputs!$B$23+((C141=TRUE)*(F141-Calc!F24)))/100+(Inputs!$B$23+((C141=TRUE)*(F141-Calc!F24)))/100)/2</f>
        <v/>
      </c>
      <c r="M128">
        <f>L128*(1+(Inputs!$B$10+0+B151)/100)</f>
        <v/>
      </c>
      <c r="N128">
        <f>L128*(1-MIN((Inputs!$B$9+((C143=TRUE)*(F143-Calc!F26))+B146),100)/100)+M128*(MIN((Inputs!$B$9+((C143=TRUE)*(F143-Calc!F26))+B146),100)/100)</f>
        <v/>
      </c>
      <c r="O128">
        <f>(1-Summary!$B$55)*T128+Summary!$B$55*V128</f>
        <v/>
      </c>
      <c r="P128">
        <f>IF(B156=0,0,O128/B156)</f>
        <v/>
      </c>
      <c r="Q128">
        <f>IFERROR(1/IF(Inputs!$B$38="pvp",15,MAX(0.1,Skills!D11-IF(Skills!E11=TRUE,Inputs!$B$32,0))),0)</f>
        <v/>
      </c>
      <c r="R128">
        <f>IF(AND(Inputs!$B$38&lt;&gt;"pvp",Inputs!$B$43&gt;0),IF(MAX(0,Inputs!$B$43-B153)&lt;=0,0,(INT(MAX(0,Inputs!$B$43-B153)/IF(Inputs!$B$38="pvp",15,MAX(0.1,Skills!D11-IF(Skills!E11=TRUE,Inputs!$B$32,0))))+1)),0)</f>
        <v/>
      </c>
      <c r="S128">
        <f>IFERROR(O128/N128,0)</f>
        <v/>
      </c>
      <c r="T128">
        <f>IF(C128,(H128*N128*IF(AND(Inputs!$B$38&lt;&gt;"pvp",Inputs!$B$43&gt;0),((Skills!G11*((R128-1)*IF(Skills!H11&gt;0,Skills!I11/Skills!H11,1)+IF(Skills!H11&gt;0,MIN(Skills!I11,MAX(0,MAX(0,Inputs!$B$43-B153)-((R128-1)*IF(Inputs!$B$38="pvp",15,MAX(0.1,Skills!D11-IF(Skills!E11=TRUE,Inputs!$B$32,0))))))/Skills!H11,1)))/Inputs!$B$43),G128*Q128))*IF(Inputs!$B$38="pvp",1,1+(Inputs!$B$20+0+Skills!P11+Summary!$B$59)/100),0)</f>
        <v/>
      </c>
      <c r="V128">
        <f>IF(C128,(H128*N128*IF(AND(Inputs!$B$38&lt;&gt;"pvp",Inputs!$B$43&gt;0),((Skills!G11*((R128-1)*IF(Skills!H11&gt;0,Skills!I11/Skills!H11,1)+IF(Skills!H11&gt;0,MIN(Skills!I11,MAX(0,MAX(0,Inputs!$B$43-B153)-((R128-1)*IF(Inputs!$B$38="pvp",15,MAX(0.1,Skills!D11-IF(Skills!E11=TRUE,Inputs!$B$32,0))))))/Skills!H11,1)))/Inputs!$B$43),G128*Q128))*IF(Inputs!$B$38="pvp",1,(1+(Inputs!$B$21+Skills!Q11+Summary!$B$59)/100)*(MIN(Skills!R11,Inputs!$B$37))),0)</f>
        <v/>
      </c>
    </row>
    <row r="129">
      <c r="A129">
        <f>Skills!A12</f>
        <v/>
      </c>
      <c r="B129">
        <f>Skills!B12</f>
        <v/>
      </c>
      <c r="C129">
        <f>Inputs!$B$3&gt;=100</f>
        <v/>
      </c>
      <c r="D129">
        <f>IF(Skills!C12=1,60+Inputs!$B$25+Inputs!$B$29,IF(Skills!C12=2,90+Inputs!$B$26+Inputs!$B$29,IF(Skills!C12=3,120+Inputs!$B$27+Inputs!$B$29,MAX(0,(Inputs!$B$3-100)*3)+Inputs!$B$28+Inputs!$B$29)))</f>
        <v/>
      </c>
      <c r="E129">
        <f>INDEX(FactorTable!$B$2:$Y$301, MATCH(ROUND(MIN(300,MAX(1,D129)),0), FactorTable!$A$2:$A$301,0), Skills!M12+1)</f>
        <v/>
      </c>
      <c r="F129">
        <f>IF(Skills!N12=TRUE,(Skills!L12/10)*(E129/1000),Skills!L12/10)+Skills!O12</f>
        <v/>
      </c>
      <c r="G129" t="inlineStr"/>
      <c r="H129" t="inlineStr"/>
      <c r="I129" t="inlineStr">
        <is>
          <t>1</t>
        </is>
      </c>
      <c r="J129" t="inlineStr"/>
      <c r="K129" t="inlineStr"/>
      <c r="L129" t="inlineStr"/>
      <c r="M129" t="inlineStr"/>
      <c r="N129" t="inlineStr"/>
      <c r="O129" t="inlineStr"/>
      <c r="P129" t="inlineStr"/>
      <c r="Q129" t="inlineStr"/>
      <c r="R129" t="inlineStr"/>
      <c r="S129" t="inlineStr"/>
    </row>
    <row r="130">
      <c r="A130">
        <f>Skills!A13</f>
        <v/>
      </c>
      <c r="B130">
        <f>Skills!B13</f>
        <v/>
      </c>
      <c r="C130">
        <f>Inputs!$B$3&gt;=45</f>
        <v/>
      </c>
      <c r="D130">
        <f>IF(Skills!C13=1,60+Inputs!$B$25+Inputs!$B$29,IF(Skills!C13=2,90+Inputs!$B$26+Inputs!$B$29,IF(Skills!C13=3,120+Inputs!$B$27+Inputs!$B$29,MAX(0,(Inputs!$B$3-100)*3)+Inputs!$B$28+Inputs!$B$29)))</f>
        <v/>
      </c>
      <c r="E130">
        <f>INDEX(FactorTable!$B$2:$Y$301, MATCH(ROUND(MIN(300,MAX(1,D130)),0), FactorTable!$A$2:$A$301,0), Skills!M13+1)</f>
        <v/>
      </c>
      <c r="F130">
        <f>IF(Skills!N13=TRUE,(Skills!L13/10)*(E130/1000),Skills!L13/10)+Skills!O13</f>
        <v/>
      </c>
      <c r="G130">
        <f>Skills!G13*IF(Skills!H13&gt;0,Skills!I13/Skills!H13,1)</f>
        <v/>
      </c>
      <c r="H130">
        <f>1-(1-Skills!J13/100)^Skills!K13</f>
        <v/>
      </c>
      <c r="I130" t="inlineStr">
        <is>
          <t>1</t>
        </is>
      </c>
      <c r="J130" t="inlineStr"/>
      <c r="K130" t="inlineStr"/>
      <c r="L130" t="inlineStr"/>
      <c r="M130" t="inlineStr"/>
      <c r="N130" t="inlineStr"/>
      <c r="O130">
        <f>(1-Summary!$B$55)*T130+Summary!$B$55*V130</f>
        <v/>
      </c>
      <c r="P130">
        <f>IF(B156=0,0,O130/B156)</f>
        <v/>
      </c>
      <c r="Q130" t="n">
        <v>0</v>
      </c>
      <c r="R130" t="n">
        <v>0</v>
      </c>
      <c r="S130">
        <f>IFERROR(O130/N130,0)</f>
        <v/>
      </c>
      <c r="T130" t="n">
        <v>0</v>
      </c>
      <c r="V130" t="n">
        <v>0</v>
      </c>
    </row>
    <row r="131">
      <c r="A131">
        <f>Skills!A14</f>
        <v/>
      </c>
      <c r="B131">
        <f>Skills!B14</f>
        <v/>
      </c>
      <c r="C131">
        <f>Inputs!$B$3&gt;=75</f>
        <v/>
      </c>
      <c r="D131">
        <f>IF(Skills!C14=1,60+Inputs!$B$25+Inputs!$B$29,IF(Skills!C14=2,90+Inputs!$B$26+Inputs!$B$29,IF(Skills!C14=3,120+Inputs!$B$27+Inputs!$B$29,MAX(0,(Inputs!$B$3-100)*3)+Inputs!$B$28+Inputs!$B$29)))</f>
        <v/>
      </c>
      <c r="E131">
        <f>INDEX(FactorTable!$B$2:$Y$301, MATCH(ROUND(MIN(300,MAX(1,D131)),0), FactorTable!$A$2:$A$301,0), Skills!M14+1)</f>
        <v/>
      </c>
      <c r="F131">
        <f>IF(Skills!N14=TRUE,(Skills!L14/10)*(E131/1000),Skills!L14/10)+Skills!O14</f>
        <v/>
      </c>
      <c r="G131">
        <f>Skills!G14*IF(Skills!H14&gt;0,Skills!I14/Skills!H14,1)</f>
        <v/>
      </c>
      <c r="H131">
        <f>1-(1-Skills!J14/100)^Skills!K14</f>
        <v/>
      </c>
      <c r="I131" t="inlineStr">
        <is>
          <t>1</t>
        </is>
      </c>
      <c r="J131" t="inlineStr"/>
      <c r="K131" t="inlineStr"/>
      <c r="L131" t="inlineStr"/>
      <c r="M131" t="inlineStr"/>
      <c r="N131" t="inlineStr"/>
      <c r="O131">
        <f>(1-Summary!$B$55)*T131+Summary!$B$55*V131</f>
        <v/>
      </c>
      <c r="P131">
        <f>IF(B156=0,0,O131/B156)</f>
        <v/>
      </c>
      <c r="Q131" t="n">
        <v>0</v>
      </c>
      <c r="R131" t="n">
        <v>0</v>
      </c>
      <c r="S131">
        <f>IFERROR(O131/N131,0)</f>
        <v/>
      </c>
      <c r="T131" t="n">
        <v>0</v>
      </c>
      <c r="V131" t="n">
        <v>0</v>
      </c>
    </row>
    <row r="132">
      <c r="A132">
        <f>Skills!A15</f>
        <v/>
      </c>
      <c r="B132">
        <f>Skills!B15</f>
        <v/>
      </c>
      <c r="C132">
        <f>Inputs!$B$3&gt;=40</f>
        <v/>
      </c>
      <c r="D132">
        <f>IF(Skills!C15=1,60+Inputs!$B$25+Inputs!$B$29,IF(Skills!C15=2,90+Inputs!$B$26+Inputs!$B$29,IF(Skills!C15=3,120+Inputs!$B$27+Inputs!$B$29,MAX(0,(Inputs!$B$3-100)*3)+Inputs!$B$28+Inputs!$B$29)))</f>
        <v/>
      </c>
      <c r="E132">
        <f>INDEX(FactorTable!$B$2:$Y$301, MATCH(ROUND(MIN(300,MAX(1,D132)),0), FactorTable!$A$2:$A$301,0), Skills!M15+1)</f>
        <v/>
      </c>
      <c r="F132">
        <f>IF(Skills!N15=TRUE,(Skills!L15/10)*(E132/1000),Skills!L15/10)+Skills!O15</f>
        <v/>
      </c>
      <c r="G132">
        <f>Skills!G15*IF(Skills!H15&gt;0,Skills!I15/Skills!H15,1)</f>
        <v/>
      </c>
      <c r="H132">
        <f>1-(1-Skills!J15/100)^Skills!K15</f>
        <v/>
      </c>
      <c r="I132" t="inlineStr">
        <is>
          <t>1</t>
        </is>
      </c>
      <c r="J132" t="inlineStr"/>
      <c r="K132" t="inlineStr"/>
      <c r="L132" t="inlineStr"/>
      <c r="M132" t="inlineStr"/>
      <c r="N132" t="inlineStr"/>
      <c r="O132">
        <f>(1-Summary!$B$55)*T132+Summary!$B$55*V132</f>
        <v/>
      </c>
      <c r="P132">
        <f>IF(B156=0,0,O132/B156)</f>
        <v/>
      </c>
      <c r="Q132">
        <f>IFERROR(1/IF(Inputs!$B$38="pvp",15,MAX(0.1,Skills!D15-IF(Skills!E15=TRUE,Inputs!$B$32,0))),0)</f>
        <v/>
      </c>
      <c r="R132">
        <f>IF(AND(Inputs!$B$38&lt;&gt;"pvp",Inputs!$B$43&gt;0),IF(Inputs!$B$43&lt;=0,0,(INT(Inputs!$B$43/IF(Inputs!$B$38="pvp",15,MAX(0.1,Skills!D15-IF(Skills!E15=TRUE,Inputs!$B$32,0))))+1)),0)</f>
        <v/>
      </c>
      <c r="S132">
        <f>IFERROR(O132/N132,0)</f>
        <v/>
      </c>
      <c r="T132" t="n">
        <v>0</v>
      </c>
      <c r="V132" t="n">
        <v>0</v>
      </c>
    </row>
    <row r="133">
      <c r="A133">
        <f>Skills!A16</f>
        <v/>
      </c>
      <c r="B133">
        <f>Skills!B16</f>
        <v/>
      </c>
      <c r="C133">
        <f>Inputs!$B$3&gt;=66</f>
        <v/>
      </c>
      <c r="D133">
        <f>IF(Skills!C16=1,60+Inputs!$B$25+Inputs!$B$29,IF(Skills!C16=2,90+Inputs!$B$26+Inputs!$B$29,IF(Skills!C16=3,120+Inputs!$B$27+Inputs!$B$29,MAX(0,(Inputs!$B$3-100)*3)+Inputs!$B$28+Inputs!$B$29)))</f>
        <v/>
      </c>
      <c r="E133">
        <f>INDEX(FactorTable!$B$2:$Y$301, MATCH(ROUND(MIN(300,MAX(1,D133)),0), FactorTable!$A$2:$A$301,0), Skills!M16+1)</f>
        <v/>
      </c>
      <c r="F133">
        <f>IF(Skills!N16=TRUE,(Skills!L16/10)*(E133/1000),Skills!L16/10)+Skills!O16</f>
        <v/>
      </c>
      <c r="G133">
        <f>Skills!G16*IF(Skills!H16&gt;0,Skills!I16/Skills!H16,1)</f>
        <v/>
      </c>
      <c r="H133">
        <f>1-(1-Skills!J16/100)^Skills!K16</f>
        <v/>
      </c>
      <c r="I133" t="inlineStr">
        <is>
          <t>1</t>
        </is>
      </c>
      <c r="J133" t="inlineStr"/>
      <c r="K133" t="inlineStr"/>
      <c r="L133" t="inlineStr"/>
      <c r="M133" t="inlineStr"/>
      <c r="N133" t="inlineStr"/>
      <c r="O133">
        <f>(1-Summary!$B$55)*T133+Summary!$B$55*V133</f>
        <v/>
      </c>
      <c r="P133">
        <f>IF(B156=0,0,O133/B156)</f>
        <v/>
      </c>
      <c r="Q133">
        <f>IFERROR(1/IF(Inputs!$B$38="pvp",15,MAX(0.1,Skills!D16-IF(Skills!E16=TRUE,Inputs!$B$32,0))),0)</f>
        <v/>
      </c>
      <c r="R133">
        <f>IF(AND(Inputs!$B$38&lt;&gt;"pvp",Inputs!$B$43&gt;0),IF(Inputs!$B$43&lt;=0,0,(INT(Inputs!$B$43/IF(Inputs!$B$38="pvp",15,MAX(0.1,Skills!D16-IF(Skills!E16=TRUE,Inputs!$B$32,0))))+1)),0)</f>
        <v/>
      </c>
      <c r="S133">
        <f>IFERROR(O133/N133,0)</f>
        <v/>
      </c>
      <c r="T133" t="n">
        <v>0</v>
      </c>
      <c r="V133" t="n">
        <v>0</v>
      </c>
    </row>
    <row r="134">
      <c r="A134">
        <f>Skills!A17</f>
        <v/>
      </c>
      <c r="B134">
        <f>Skills!B17</f>
        <v/>
      </c>
      <c r="C134">
        <f>Inputs!$B$3&gt;=115</f>
        <v/>
      </c>
      <c r="D134">
        <f>IF(Skills!C17=1,60+Inputs!$B$25+Inputs!$B$29,IF(Skills!C17=2,90+Inputs!$B$26+Inputs!$B$29,IF(Skills!C17=3,120+Inputs!$B$27+Inputs!$B$29,MAX(0,(Inputs!$B$3-100)*3)+Inputs!$B$28+Inputs!$B$29)))</f>
        <v/>
      </c>
      <c r="E134">
        <f>INDEX(FactorTable!$B$2:$Y$301, MATCH(ROUND(MIN(300,MAX(1,D134)),0), FactorTable!$A$2:$A$301,0), Skills!M17+1)</f>
        <v/>
      </c>
      <c r="F134">
        <f>IF(Skills!N17=TRUE,(Skills!L17/10)*(E134/1000),Skills!L17/10)+Skills!O17</f>
        <v/>
      </c>
      <c r="G134">
        <f>Skills!G17*IF(Skills!H17&gt;0,Skills!I17/Skills!H17,1)</f>
        <v/>
      </c>
      <c r="H134">
        <f>1-(1-Skills!J17/100)^Skills!K17</f>
        <v/>
      </c>
      <c r="I134" t="inlineStr">
        <is>
          <t>1</t>
        </is>
      </c>
      <c r="J134" t="inlineStr"/>
      <c r="K134" t="inlineStr"/>
      <c r="L134" t="inlineStr"/>
      <c r="M134" t="inlineStr"/>
      <c r="N134" t="inlineStr"/>
      <c r="O134">
        <f>(1-Summary!$B$55)*T134+Summary!$B$55*V134</f>
        <v/>
      </c>
      <c r="P134">
        <f>IF(B156=0,0,O134/B156)</f>
        <v/>
      </c>
      <c r="Q134">
        <f>IFERROR(1/IF(Inputs!$B$38="pvp",15,MAX(0.1,Skills!D17-IF(Skills!E17=TRUE,Inputs!$B$32,0))),0)</f>
        <v/>
      </c>
      <c r="R134">
        <f>IF(AND(Inputs!$B$38&lt;&gt;"pvp",Inputs!$B$43&gt;0),IF(Inputs!$B$43&lt;=0,0,(INT(Inputs!$B$43/IF(Inputs!$B$38="pvp",15,MAX(0.1,Skills!D17-IF(Skills!E17=TRUE,Inputs!$B$32,0))))+1)),0)</f>
        <v/>
      </c>
      <c r="S134">
        <f>IFERROR(O134/N134,0)</f>
        <v/>
      </c>
      <c r="T134" t="n">
        <v>0</v>
      </c>
      <c r="V134" t="n">
        <v>0</v>
      </c>
    </row>
    <row r="135">
      <c r="A135">
        <f>Skills!A18</f>
        <v/>
      </c>
      <c r="B135">
        <f>Skills!B18</f>
        <v/>
      </c>
      <c r="C135">
        <f>Inputs!$B$3&gt;=115</f>
        <v/>
      </c>
      <c r="D135">
        <f>IF(Skills!C18=1,60+Inputs!$B$25+Inputs!$B$29,IF(Skills!C18=2,90+Inputs!$B$26+Inputs!$B$29,IF(Skills!C18=3,120+Inputs!$B$27+Inputs!$B$29,MAX(0,(Inputs!$B$3-100)*3)+Inputs!$B$28+Inputs!$B$29)))</f>
        <v/>
      </c>
      <c r="E135">
        <f>INDEX(FactorTable!$B$2:$Y$301, MATCH(ROUND(MIN(300,MAX(1,D135)),0), FactorTable!$A$2:$A$301,0), Skills!M18+1)</f>
        <v/>
      </c>
      <c r="F135">
        <f>IF(Skills!N18=TRUE,(Skills!L18/10)*(E135/1000),Skills!L18/10)+Skills!O18</f>
        <v/>
      </c>
      <c r="G135">
        <f>Skills!G18*IF(Skills!H18&gt;0,Skills!I18/Skills!H18,1)</f>
        <v/>
      </c>
      <c r="H135">
        <f>1-(1-Skills!J18/100)^Skills!K18</f>
        <v/>
      </c>
      <c r="I135" t="inlineStr">
        <is>
          <t>1</t>
        </is>
      </c>
      <c r="J135" t="inlineStr"/>
      <c r="K135" t="inlineStr"/>
      <c r="L135" t="inlineStr"/>
      <c r="M135" t="inlineStr"/>
      <c r="N135" t="inlineStr"/>
      <c r="O135">
        <f>(1-Summary!$B$55)*T135+Summary!$B$55*V135</f>
        <v/>
      </c>
      <c r="P135">
        <f>IF(B156=0,0,O135/B156)</f>
        <v/>
      </c>
      <c r="Q135">
        <f>IFERROR(1/IF(Inputs!$B$38="pvp",15,MAX(0.1,Skills!D18-IF(Skills!E18=TRUE,Inputs!$B$32,0))),0)</f>
        <v/>
      </c>
      <c r="R135">
        <f>IF(AND(Inputs!$B$38&lt;&gt;"pvp",Inputs!$B$43&gt;0),IF(Inputs!$B$43&lt;=0,0,(INT(Inputs!$B$43/IF(Inputs!$B$38="pvp",15,MAX(0.1,Skills!D18-IF(Skills!E18=TRUE,Inputs!$B$32,0))))+1)),0)</f>
        <v/>
      </c>
      <c r="S135">
        <f>IFERROR(O135/N135,0)</f>
        <v/>
      </c>
      <c r="T135" t="n">
        <v>0</v>
      </c>
      <c r="V135" t="n">
        <v>0</v>
      </c>
    </row>
    <row r="136">
      <c r="A136">
        <f>Skills!A19</f>
        <v/>
      </c>
      <c r="B136">
        <f>Skills!B19</f>
        <v/>
      </c>
      <c r="C136">
        <f>TRUE</f>
        <v/>
      </c>
      <c r="D136">
        <f>IF(Skills!C19=1,60+Inputs!$B$25+Inputs!$B$29,IF(Skills!C19=2,90+Inputs!$B$26+Inputs!$B$29,IF(Skills!C19=3,120+Inputs!$B$27+Inputs!$B$29,MAX(0,(Inputs!$B$3-100)*3)+Inputs!$B$28+Inputs!$B$29)))</f>
        <v/>
      </c>
      <c r="E136">
        <f>INDEX(FactorTable!$B$2:$Y$301, MATCH(ROUND(MIN(300,MAX(1,D136)),0), FactorTable!$A$2:$A$301,0), Skills!M19+1)</f>
        <v/>
      </c>
      <c r="F136">
        <f>IF(Skills!N19=TRUE,(Skills!L19/10)*(E136/1000),Skills!L19/10)+Skills!O19</f>
        <v/>
      </c>
      <c r="G136">
        <f>Skills!G19*IF(Skills!H19&gt;0,Skills!I19/Skills!H19,1)</f>
        <v/>
      </c>
      <c r="H136">
        <f>1-(1-Skills!J19/100)^Skills!K19</f>
        <v/>
      </c>
      <c r="I136" t="inlineStr">
        <is>
          <t>1</t>
        </is>
      </c>
      <c r="J136" t="inlineStr"/>
      <c r="K136" t="inlineStr"/>
      <c r="L136" t="inlineStr"/>
      <c r="M136" t="inlineStr"/>
      <c r="N136" t="inlineStr"/>
      <c r="O136">
        <f>(1-Summary!$B$55)*T136+Summary!$B$55*V136</f>
        <v/>
      </c>
      <c r="P136">
        <f>IF(B156=0,0,O136/B156)</f>
        <v/>
      </c>
      <c r="Q136">
        <f>IFERROR(1/IF(Inputs!$B$38="pvp",15,MAX(0.1,Skills!D19-IF(Skills!E19=TRUE,Inputs!$B$32,0))),0)</f>
        <v/>
      </c>
      <c r="R136">
        <f>IF(AND(Inputs!$B$38&lt;&gt;"pvp",Inputs!$B$43&gt;0),IF(Inputs!$B$43&lt;=0,0,(INT(Inputs!$B$43/IF(Inputs!$B$38="pvp",15,MAX(0.1,Skills!D19-IF(Skills!E19=TRUE,Inputs!$B$32,0))))+1)),0)</f>
        <v/>
      </c>
      <c r="S136">
        <f>IFERROR(O136/N136,0)</f>
        <v/>
      </c>
      <c r="T136" t="n">
        <v>0</v>
      </c>
      <c r="V136" t="n">
        <v>0</v>
      </c>
    </row>
    <row r="137">
      <c r="A137">
        <f>Skills!A20</f>
        <v/>
      </c>
      <c r="B137">
        <f>Skills!B20</f>
        <v/>
      </c>
      <c r="C137">
        <f>Inputs!$B$3&gt;=33</f>
        <v/>
      </c>
      <c r="D137">
        <f>IF(Skills!C20=1,60+Inputs!$B$25+Inputs!$B$29,IF(Skills!C20=2,90+Inputs!$B$26+Inputs!$B$29,IF(Skills!C20=3,120+Inputs!$B$27+Inputs!$B$29,MAX(0,(Inputs!$B$3-100)*3)+Inputs!$B$28+Inputs!$B$29)))</f>
        <v/>
      </c>
      <c r="E137">
        <f>INDEX(FactorTable!$B$2:$Y$301, MATCH(ROUND(MIN(300,MAX(1,D137)),0), FactorTable!$A$2:$A$301,0), Skills!M20+1)</f>
        <v/>
      </c>
      <c r="F137">
        <f>IF(Skills!N20=TRUE,(Skills!L20/10)*(E137/1000),Skills!L20/10)+Skills!O20</f>
        <v/>
      </c>
      <c r="G137">
        <f>Skills!G20*IF(Skills!H20&gt;0,Skills!I20/Skills!H20,1)</f>
        <v/>
      </c>
      <c r="H137">
        <f>1-(1-Skills!J20/100)^Skills!K20</f>
        <v/>
      </c>
      <c r="I137" t="inlineStr">
        <is>
          <t>1</t>
        </is>
      </c>
      <c r="J137" t="inlineStr"/>
      <c r="K137" t="inlineStr"/>
      <c r="L137" t="inlineStr"/>
      <c r="M137" t="inlineStr"/>
      <c r="N137" t="inlineStr"/>
      <c r="O137">
        <f>(1-Summary!$B$55)*T137+Summary!$B$55*V137</f>
        <v/>
      </c>
      <c r="P137">
        <f>IF(B156=0,0,O137/B156)</f>
        <v/>
      </c>
      <c r="Q137" t="n">
        <v>0</v>
      </c>
      <c r="R137" t="n">
        <v>0</v>
      </c>
      <c r="S137">
        <f>IFERROR(O137/N137,0)</f>
        <v/>
      </c>
      <c r="T137" t="n">
        <v>0</v>
      </c>
      <c r="V137" t="n">
        <v>0</v>
      </c>
    </row>
    <row r="138">
      <c r="A138">
        <f>Skills!A21</f>
        <v/>
      </c>
      <c r="B138">
        <f>Skills!B21</f>
        <v/>
      </c>
      <c r="C138">
        <f>Inputs!$B$3&gt;=38</f>
        <v/>
      </c>
      <c r="D138">
        <f>IF(Skills!C21=1,60+Inputs!$B$25+Inputs!$B$29,IF(Skills!C21=2,90+Inputs!$B$26+Inputs!$B$29,IF(Skills!C21=3,120+Inputs!$B$27+Inputs!$B$29,MAX(0,(Inputs!$B$3-100)*3)+Inputs!$B$28+Inputs!$B$29)))</f>
        <v/>
      </c>
      <c r="E138">
        <f>INDEX(FactorTable!$B$2:$Y$301, MATCH(ROUND(MIN(300,MAX(1,D138)),0), FactorTable!$A$2:$A$301,0), Skills!M21+1)</f>
        <v/>
      </c>
      <c r="F138">
        <f>IF(Skills!N21=TRUE,(Skills!L21/10)*(E138/1000),Skills!L21/10)+Skills!O21</f>
        <v/>
      </c>
      <c r="G138">
        <f>Skills!G21*IF(Skills!H21&gt;0,Skills!I21/Skills!H21,1)</f>
        <v/>
      </c>
      <c r="H138">
        <f>1-(1-Skills!J21/100)^Skills!K21</f>
        <v/>
      </c>
      <c r="I138" t="inlineStr">
        <is>
          <t>1</t>
        </is>
      </c>
      <c r="J138" t="inlineStr"/>
      <c r="K138" t="inlineStr"/>
      <c r="L138" t="inlineStr"/>
      <c r="M138" t="inlineStr"/>
      <c r="N138" t="inlineStr"/>
      <c r="O138">
        <f>(1-Summary!$B$55)*T138+Summary!$B$55*V138</f>
        <v/>
      </c>
      <c r="P138">
        <f>IF(B156=0,0,O138/B156)</f>
        <v/>
      </c>
      <c r="Q138" t="n">
        <v>0</v>
      </c>
      <c r="R138" t="n">
        <v>0</v>
      </c>
      <c r="S138">
        <f>IFERROR(O138/N138,0)</f>
        <v/>
      </c>
      <c r="T138" t="n">
        <v>0</v>
      </c>
      <c r="V138" t="n">
        <v>0</v>
      </c>
    </row>
    <row r="139">
      <c r="A139">
        <f>Skills!A22</f>
        <v/>
      </c>
      <c r="B139">
        <f>Skills!B22</f>
        <v/>
      </c>
      <c r="C139">
        <f>Inputs!$B$3&gt;=43</f>
        <v/>
      </c>
      <c r="D139">
        <f>IF(Skills!C22=1,60+Inputs!$B$25+Inputs!$B$29,IF(Skills!C22=2,90+Inputs!$B$26+Inputs!$B$29,IF(Skills!C22=3,120+Inputs!$B$27+Inputs!$B$29,MAX(0,(Inputs!$B$3-100)*3)+Inputs!$B$28+Inputs!$B$29)))</f>
        <v/>
      </c>
      <c r="E139">
        <f>INDEX(FactorTable!$B$2:$Y$301, MATCH(ROUND(MIN(300,MAX(1,D139)),0), FactorTable!$A$2:$A$301,0), Skills!M22+1)</f>
        <v/>
      </c>
      <c r="F139">
        <f>IF(Skills!N22=TRUE,(Skills!L22/10)*(E139/1000),Skills!L22/10)+Skills!O22</f>
        <v/>
      </c>
      <c r="G139">
        <f>Skills!G22*IF(Skills!H22&gt;0,Skills!I22/Skills!H22,1)</f>
        <v/>
      </c>
      <c r="H139">
        <f>1-(1-Skills!J22/100)^Skills!K22</f>
        <v/>
      </c>
      <c r="I139" t="inlineStr">
        <is>
          <t>1</t>
        </is>
      </c>
      <c r="J139" t="inlineStr"/>
      <c r="K139" t="inlineStr"/>
      <c r="L139" t="inlineStr"/>
      <c r="M139" t="inlineStr"/>
      <c r="N139" t="inlineStr"/>
      <c r="O139">
        <f>(1-Summary!$B$55)*T139+Summary!$B$55*V139</f>
        <v/>
      </c>
      <c r="P139">
        <f>IF(B156=0,0,O139/B156)</f>
        <v/>
      </c>
      <c r="Q139" t="n">
        <v>0</v>
      </c>
      <c r="R139" t="n">
        <v>0</v>
      </c>
      <c r="S139">
        <f>IFERROR(O139/N139,0)</f>
        <v/>
      </c>
      <c r="T139" t="n">
        <v>0</v>
      </c>
      <c r="V139" t="n">
        <v>0</v>
      </c>
    </row>
    <row r="140">
      <c r="A140">
        <f>Skills!A23</f>
        <v/>
      </c>
      <c r="B140">
        <f>Skills!B23</f>
        <v/>
      </c>
      <c r="C140">
        <f>Inputs!$B$3&gt;=120</f>
        <v/>
      </c>
      <c r="D140">
        <f>IF(Skills!C23=1,60+Inputs!$B$25+Inputs!$B$29,IF(Skills!C23=2,90+Inputs!$B$26+Inputs!$B$29,IF(Skills!C23=3,120+Inputs!$B$27+Inputs!$B$29,MAX(0,(Inputs!$B$3-100)*3)+Inputs!$B$28+Inputs!$B$29)))</f>
        <v/>
      </c>
      <c r="E140">
        <f>INDEX(FactorTable!$B$2:$Y$301, MATCH(ROUND(MIN(300,MAX(1,D140)),0), FactorTable!$A$2:$A$301,0), Skills!M23+1)</f>
        <v/>
      </c>
      <c r="F140">
        <f>IF(Skills!N23=TRUE,(Skills!L23/10)*(E140/1000),Skills!L23/10)+Skills!O23</f>
        <v/>
      </c>
      <c r="G140">
        <f>Skills!G23*IF(Skills!H23&gt;0,Skills!I23/Skills!H23,1)</f>
        <v/>
      </c>
      <c r="H140">
        <f>1-(1-Skills!J23/100)^Skills!K23</f>
        <v/>
      </c>
      <c r="I140" t="inlineStr">
        <is>
          <t>1</t>
        </is>
      </c>
      <c r="J140" t="inlineStr"/>
      <c r="K140" t="inlineStr"/>
      <c r="L140" t="inlineStr"/>
      <c r="M140" t="inlineStr"/>
      <c r="N140" t="inlineStr"/>
      <c r="O140">
        <f>(1-Summary!$B$55)*T140+Summary!$B$55*V140</f>
        <v/>
      </c>
      <c r="P140">
        <f>IF(B156=0,0,O140/B156)</f>
        <v/>
      </c>
      <c r="Q140" t="n">
        <v>0</v>
      </c>
      <c r="R140" t="n">
        <v>0</v>
      </c>
      <c r="S140">
        <f>IFERROR(O140/N140,0)</f>
        <v/>
      </c>
      <c r="T140" t="n">
        <v>0</v>
      </c>
      <c r="V140" t="n">
        <v>0</v>
      </c>
    </row>
    <row r="141">
      <c r="A141">
        <f>Skills!A24</f>
        <v/>
      </c>
      <c r="B141">
        <f>Skills!B24</f>
        <v/>
      </c>
      <c r="C141">
        <f>Inputs!$B$3&gt;=120</f>
        <v/>
      </c>
      <c r="D141">
        <f>IF(Skills!C24=1,60+Inputs!$B$25+Inputs!$B$29,IF(Skills!C24=2,90+Inputs!$B$26+Inputs!$B$29,IF(Skills!C24=3,120+Inputs!$B$27+Inputs!$B$29,MAX(0,(Inputs!$B$3-100)*3)+Inputs!$B$28+Inputs!$B$29)))</f>
        <v/>
      </c>
      <c r="E141">
        <f>INDEX(FactorTable!$B$2:$Y$301, MATCH(ROUND(MIN(300,MAX(1,D141)),0), FactorTable!$A$2:$A$301,0), Skills!M24+1)</f>
        <v/>
      </c>
      <c r="F141">
        <f>IF(Skills!N24=TRUE,(Skills!L24/10)*(E141/1000),Skills!L24/10)+Skills!O24</f>
        <v/>
      </c>
      <c r="G141">
        <f>Skills!G24*IF(Skills!H24&gt;0,Skills!I24/Skills!H24,1)</f>
        <v/>
      </c>
      <c r="H141">
        <f>1-(1-Skills!J24/100)^Skills!K24</f>
        <v/>
      </c>
      <c r="I141" t="inlineStr">
        <is>
          <t>1</t>
        </is>
      </c>
      <c r="J141" t="inlineStr"/>
      <c r="K141" t="inlineStr"/>
      <c r="L141" t="inlineStr"/>
      <c r="M141" t="inlineStr"/>
      <c r="N141" t="inlineStr"/>
      <c r="O141">
        <f>(1-Summary!$B$55)*T141+Summary!$B$55*V141</f>
        <v/>
      </c>
      <c r="P141">
        <f>IF(B156=0,0,O141/B156)</f>
        <v/>
      </c>
      <c r="Q141" t="n">
        <v>0</v>
      </c>
      <c r="R141" t="n">
        <v>0</v>
      </c>
      <c r="S141">
        <f>IFERROR(O141/N141,0)</f>
        <v/>
      </c>
      <c r="T141" t="n">
        <v>0</v>
      </c>
      <c r="V141" t="n">
        <v>0</v>
      </c>
    </row>
    <row r="142">
      <c r="A142">
        <f>Skills!A25</f>
        <v/>
      </c>
      <c r="B142">
        <f>Skills!B25</f>
        <v/>
      </c>
      <c r="C142">
        <f>Inputs!$B$3&gt;=125</f>
        <v/>
      </c>
      <c r="D142">
        <f>IF(Skills!C25=1,60+Inputs!$B$25+Inputs!$B$29,IF(Skills!C25=2,90+Inputs!$B$26+Inputs!$B$29,IF(Skills!C25=3,120+Inputs!$B$27+Inputs!$B$29,MAX(0,(Inputs!$B$3-100)*3)+Inputs!$B$28+Inputs!$B$29)))</f>
        <v/>
      </c>
      <c r="E142">
        <f>INDEX(FactorTable!$B$2:$Y$301, MATCH(ROUND(MIN(300,MAX(1,D142)),0), FactorTable!$A$2:$A$301,0), Skills!M25+1)</f>
        <v/>
      </c>
      <c r="F142">
        <f>IF(Skills!N25=TRUE,(Skills!L25/10)*(E142/1000),Skills!L25/10)+Skills!O25</f>
        <v/>
      </c>
      <c r="G142">
        <f>Skills!G25*IF(Skills!H25&gt;0,Skills!I25/Skills!H25,1)</f>
        <v/>
      </c>
      <c r="H142">
        <f>1-(1-Skills!J25/100)^Skills!K25</f>
        <v/>
      </c>
      <c r="I142" t="inlineStr">
        <is>
          <t>1</t>
        </is>
      </c>
      <c r="J142" t="inlineStr"/>
      <c r="K142" t="inlineStr"/>
      <c r="L142" t="inlineStr"/>
      <c r="M142" t="inlineStr"/>
      <c r="N142" t="inlineStr"/>
      <c r="O142">
        <f>(1-Summary!$B$55)*T142+Summary!$B$55*V142</f>
        <v/>
      </c>
      <c r="P142">
        <f>IF(B156=0,0,O142/B156)</f>
        <v/>
      </c>
      <c r="Q142" t="n">
        <v>0</v>
      </c>
      <c r="R142" t="n">
        <v>0</v>
      </c>
      <c r="S142">
        <f>IFERROR(O142/N142,0)</f>
        <v/>
      </c>
      <c r="T142" t="n">
        <v>0</v>
      </c>
      <c r="V142" t="n">
        <v>0</v>
      </c>
    </row>
    <row r="143">
      <c r="A143">
        <f>Skills!A26</f>
        <v/>
      </c>
      <c r="B143">
        <f>Skills!B26</f>
        <v/>
      </c>
      <c r="C143">
        <f>Inputs!$B$3&gt;=72</f>
        <v/>
      </c>
      <c r="D143">
        <f>IF(Skills!C26=1,60+Inputs!$B$25+Inputs!$B$29,IF(Skills!C26=2,90+Inputs!$B$26+Inputs!$B$29,IF(Skills!C26=3,120+Inputs!$B$27+Inputs!$B$29,MAX(0,(Inputs!$B$3-100)*3)+Inputs!$B$28+Inputs!$B$29)))</f>
        <v/>
      </c>
      <c r="E143">
        <f>INDEX(FactorTable!$B$2:$Y$301, MATCH(ROUND(MIN(300,MAX(1,D143)),0), FactorTable!$A$2:$A$301,0), Skills!M26+1)</f>
        <v/>
      </c>
      <c r="F143">
        <f>IF(Skills!N26=TRUE,(Skills!L26/10)*(E143/1000),Skills!L26/10)+Skills!O26</f>
        <v/>
      </c>
      <c r="G143">
        <f>Skills!G26*IF(Skills!H26&gt;0,Skills!I26/Skills!H26,1)</f>
        <v/>
      </c>
      <c r="H143">
        <f>1-(1-Skills!J26/100)^Skills!K26</f>
        <v/>
      </c>
      <c r="I143" t="inlineStr">
        <is>
          <t>1</t>
        </is>
      </c>
      <c r="J143" t="inlineStr"/>
      <c r="K143" t="inlineStr"/>
      <c r="L143" t="inlineStr"/>
      <c r="M143" t="inlineStr"/>
      <c r="N143" t="inlineStr"/>
      <c r="O143">
        <f>(1-Summary!$B$55)*T143+Summary!$B$55*V143</f>
        <v/>
      </c>
      <c r="P143">
        <f>IF(B156=0,0,O143/B156)</f>
        <v/>
      </c>
      <c r="Q143" t="n">
        <v>0</v>
      </c>
      <c r="R143" t="n">
        <v>0</v>
      </c>
      <c r="S143">
        <f>IFERROR(O143/N143,0)</f>
        <v/>
      </c>
      <c r="T143" t="n">
        <v>0</v>
      </c>
      <c r="V143" t="n">
        <v>0</v>
      </c>
    </row>
    <row r="145">
      <c r="A145" t="inlineStr">
        <is>
          <t>Attack% Bucket Multiplier</t>
        </is>
      </c>
      <c r="B145">
        <f>(1+(((C130=TRUE)*F130*IF(Inputs!$B$3&gt;=110,7,5))+((C132=TRUE)*F132*IF(AND(Inputs!$B$38&lt;&gt;"pvp",Inputs!$B$43&gt;0),(((R132-1)*(Skills!T15*(1+Inputs!$B$34/100))+MIN((Skills!T15*(1+Inputs!$B$34/100)),MAX(0,Inputs!$B$43-((R132-1)*Skills!D15))))/Inputs!$B$43),IF(Inputs!$B$38="pvp",MIN((Skills!T15*(1+Inputs!$B$34/100)),15)/15,(Skills!T15*(1+Inputs!$B$34/100))/Skills!D15)))+0)/100)</f>
        <v/>
      </c>
    </row>
    <row r="146">
      <c r="A146" t="inlineStr">
        <is>
          <t>Global Crit Rate Bonus %</t>
        </is>
      </c>
      <c r="B146" t="n">
        <v>0</v>
      </c>
    </row>
    <row r="147">
      <c r="A147" t="inlineStr">
        <is>
          <t>Attack Speed Buff Bonus %</t>
        </is>
      </c>
      <c r="B147">
        <f>((C136=TRUE)*F136*IF(AND(Inputs!$B$38&lt;&gt;"pvp",Inputs!$B$43&gt;0),(((R136-1)*(Skills!T19*(1+Inputs!$B$34/100))+MIN((Skills!T19*(1+Inputs!$B$34/100)),MAX(0,Inputs!$B$43-((R136-1)*Skills!D19))))/Inputs!$B$43),IF(Inputs!$B$38="pvp",MIN((Skills!T19*(1+Inputs!$B$34/100)),15)/15,(Skills!T19*(1+Inputs!$B$34/100))/Skills!D19)))</f>
        <v/>
      </c>
    </row>
    <row r="148">
      <c r="A148" t="inlineStr">
        <is>
          <t>Actions Per Second</t>
        </is>
      </c>
      <c r="B148">
        <f>1+MIN(150,150*(1-(1-(Inputs!$B$11+((C137=TRUE)*(F137-Calc!F20)))/150)*(1-B147/150)))/100</f>
        <v/>
      </c>
    </row>
    <row r="149">
      <c r="A149" t="inlineStr">
        <is>
          <t>Skill + Buff Cast Rate</t>
        </is>
      </c>
      <c r="B149">
        <f>IF(AND(Inputs!$B$38&lt;&gt;"pvp",Inputs!$B$43&gt;0),SUMPRODUCT((Skills!E2:E26=TRUE)*(C119:C143=TRUE)*R119:R143*Skills!F2:F26)/Inputs!$B$43,SUMPRODUCT((Skills!E2:E26=TRUE)*(C119:C143=TRUE)*Q119:Q143*Skills!F2:F26))</f>
        <v/>
      </c>
    </row>
    <row r="150">
      <c r="A150" t="inlineStr">
        <is>
          <t>Raging Blow Casts Per Second</t>
        </is>
      </c>
      <c r="B150">
        <f>MAX(0,B148-B149)</f>
        <v/>
      </c>
    </row>
    <row r="151">
      <c r="A151" t="inlineStr">
        <is>
          <t>Global Critical Damage Bonus % (Enrage)</t>
        </is>
      </c>
      <c r="B151">
        <f>((C135=TRUE)*F135*IF(AND(Inputs!$B$38&lt;&gt;"pvp",Inputs!$B$43&gt;0),(((R135-1)*(Skills!T18*(1+Inputs!$B$34/100))+MIN((Skills!T18*(1+Inputs!$B$34/100)),MAX(0,Inputs!$B$43-((R135-1)*Skills!D18))))/Inputs!$B$43),IF(Inputs!$B$38="pvp",MIN((Skills!T18*(1+Inputs!$B$34/100)),15)/15,(Skills!T18*(1+Inputs!$B$34/100))/Skills!D18)))</f>
        <v/>
      </c>
    </row>
    <row r="152">
      <c r="A152" t="inlineStr">
        <is>
          <t>Global Final Damage Bonus % (Enrage + Combo Synergy)</t>
        </is>
      </c>
      <c r="B152">
        <f>((C134=TRUE)*F134*IF(AND(Inputs!$B$38&lt;&gt;"pvp",Inputs!$B$43&gt;0),(((R134-1)*(Skills!T17*(1+Inputs!$B$34/100))+MIN((Skills!T17*(1+Inputs!$B$34/100)),MAX(0,Inputs!$B$43-((R134-1)*Skills!D17))))/Inputs!$B$43),IF(Inputs!$B$38="pvp",MIN((Skills!T17*(1+Inputs!$B$34/100)),15)/15,(Skills!T17*(1+Inputs!$B$34/100))/Skills!D17)))+((C131=TRUE)*F131*IF(Inputs!$B$3&gt;=110,7,5))</f>
        <v/>
      </c>
    </row>
    <row r="153">
      <c r="A153" t="inlineStr">
        <is>
          <t>Buff-Casting Startup Delay (s, fixed-duration only)</t>
        </is>
      </c>
      <c r="B153">
        <f>IF(AND(Inputs!$B$38&lt;&gt;"pvp",Inputs!$B$43&gt;0),SUMPRODUCT((Skills!T2:T26&gt;0)*(Skills!E2:E26=TRUE)*(C119:C143=TRUE))/B148,0)</f>
        <v/>
      </c>
    </row>
    <row r="154">
      <c r="A154" t="inlineStr">
        <is>
          <t>Boss-Only Total DPS (this block's swept value)</t>
        </is>
      </c>
      <c r="B154">
        <f>SUM(T119:T143)</f>
        <v/>
      </c>
    </row>
    <row r="155">
      <c r="A155" t="inlineStr">
        <is>
          <t>Normal-Only Total DPS (this block's swept value)</t>
        </is>
      </c>
      <c r="B155">
        <f>SUM(V119:V143)</f>
        <v/>
      </c>
    </row>
    <row r="156">
      <c r="A156" s="5" t="inlineStr">
        <is>
          <t>TOTAL DPS</t>
        </is>
      </c>
      <c r="B156" s="5">
        <f>SUM(O119:O143)</f>
        <v/>
      </c>
    </row>
    <row r="159">
      <c r="A159" s="5" t="inlineStr">
        <is>
          <t>Stat: DAMAGE %</t>
        </is>
      </c>
    </row>
    <row r="160">
      <c r="A160" s="9" t="inlineStr">
        <is>
          <t>Key</t>
        </is>
      </c>
      <c r="B160" s="9" t="inlineStr">
        <is>
          <t>Name</t>
        </is>
      </c>
      <c r="C160" s="9" t="inlineStr">
        <is>
          <t>Unlocked</t>
        </is>
      </c>
      <c r="D160" s="9" t="inlineStr">
        <is>
          <t>InputLevel</t>
        </is>
      </c>
      <c r="E160" s="9" t="inlineStr">
        <is>
          <t>Factor</t>
        </is>
      </c>
      <c r="F160" s="9" t="inlineStr">
        <is>
          <t>CoefficientPercent</t>
        </is>
      </c>
      <c r="G160" s="9" t="inlineStr">
        <is>
          <t>EffectiveHits</t>
        </is>
      </c>
      <c r="H160" s="9" t="inlineStr">
        <is>
          <t>ProcProbability</t>
        </is>
      </c>
      <c r="I160" s="9" t="inlineStr">
        <is>
          <t>MapleHeroMultiplier</t>
        </is>
      </c>
      <c r="J160" s="9" t="inlineStr">
        <is>
          <t>BaseDamage</t>
        </is>
      </c>
      <c r="K160" s="9" t="inlineStr">
        <is>
          <t>BaseHitDamage</t>
        </is>
      </c>
      <c r="L160" s="9" t="inlineStr">
        <is>
          <t>NonCritAvg</t>
        </is>
      </c>
      <c r="M160" s="9" t="inlineStr">
        <is>
          <t>CritAvg</t>
        </is>
      </c>
      <c r="N160" s="9" t="inlineStr">
        <is>
          <t>ExpectedDamage(perHit)</t>
        </is>
      </c>
      <c r="O160" s="9" t="inlineStr">
        <is>
          <t>DPS</t>
        </is>
      </c>
      <c r="P160" s="9" t="inlineStr">
        <is>
          <t>% of Total</t>
        </is>
      </c>
      <c r="Q160" s="9" t="inlineStr">
        <is>
          <t>InvCooldown</t>
        </is>
      </c>
      <c r="R160" s="9" t="inlineStr">
        <is>
          <t>CastsInFight</t>
        </is>
      </c>
      <c r="S160" s="9" t="inlineStr">
        <is>
          <t>HitRate(perSec)</t>
        </is>
      </c>
      <c r="U160" t="inlineStr">
        <is>
          <t>helpers</t>
        </is>
      </c>
    </row>
    <row r="161">
      <c r="A161">
        <f>Skills!A2</f>
        <v/>
      </c>
      <c r="B161">
        <f>Skills!B2</f>
        <v/>
      </c>
      <c r="C161">
        <f>Inputs!$B$3&gt;=100</f>
        <v/>
      </c>
      <c r="D161" t="inlineStr"/>
      <c r="E161" t="inlineStr"/>
      <c r="F161">
        <f>U163+Skills!O2</f>
        <v/>
      </c>
      <c r="G161">
        <f>Skills!G2*IF(Skills!H2&gt;0,Skills!I2/Skills!H2,1)</f>
        <v/>
      </c>
      <c r="H161">
        <f>1-(1-Skills!J2/100)^Skills!K2</f>
        <v/>
      </c>
      <c r="I161" t="inlineStr">
        <is>
          <t>1</t>
        </is>
      </c>
      <c r="J161">
        <f>((Inputs!$B$6*(1+Inputs!$B$7/100))+(((Inputs!$B$12*(1+Inputs!$B$13/100))-(Inputs!$B$12*(1+Inputs!$B$13/100)))+0.25*(Inputs!$B$14-Inputs!$B$14))*(1+Inputs!$B$7/100))*(F161/100)</f>
        <v/>
      </c>
      <c r="K161">
        <f>J161*(1+((Inputs!$B$12*(1+Inputs!$B$13/100))*0.01+Inputs!$B$14*0.0025)/100)*(1+(Inputs!$B$15+1)/100)*(1+Inputs!$B$16/100)*(5000/(6000+Inputs!$B$42*(1-(Inputs!$B$19+0)/100)))*(1+(Inputs!$B$24+((C184=TRUE)*(F184-Calc!F25))+B194)/100)*(1+IF(Skills!A2="ENHANCED_RAGING_BLOW",IF(Inputs!$B$3&gt;=134,MAX(0,IF(Inputs!$B$3&gt;=110,7,5)-5)*50,0),0)/100)*(1+(IF(Skills!A2="RAGING_BLOW",Inputs!$B$17+((C180=TRUE)*(F180-Calc!F21)),Inputs!$B$18+((C182=TRUE)*(F182-Calc!F23))))/100)*((1+(((C172=TRUE)*F172*IF(Inputs!$B$3&gt;=110,7,5))+((C174=TRUE)*F174*IF(AND(Inputs!$B$38&lt;&gt;"pvp",Inputs!$B$43&gt;0),(((R174-1)*(Skills!T15*(1+Inputs!$B$34/100))+MIN((Skills!T15*(1+Inputs!$B$34/100)),MAX(0,Inputs!$B$43-((R174-1)*Skills!D15))))/Inputs!$B$43),IF(Inputs!$B$38="pvp",MIN((Skills!T15*(1+Inputs!$B$34/100)),15)/15,(Skills!T15*(1+Inputs!$B$34/100))/Skills!D15)))+0)/100)*I161)</f>
        <v/>
      </c>
      <c r="L161">
        <f>K161*(MIN(Inputs!$B$22+((C181=TRUE)*(F181-Calc!F22)),Inputs!$B$23+((C183=TRUE)*(F183-Calc!F24)))/100+(Inputs!$B$23+((C183=TRUE)*(F183-Calc!F24)))/100)/2</f>
        <v/>
      </c>
      <c r="M161">
        <f>L161*(1+(Inputs!$B$10+0+B193)/100)</f>
        <v/>
      </c>
      <c r="N161">
        <f>L161*(1-MIN((Inputs!$B$9+((C185=TRUE)*(F185-Calc!F26))+B188),100)/100)+M161*(MIN((Inputs!$B$9+((C185=TRUE)*(F185-Calc!F26))+B188),100)/100)</f>
        <v/>
      </c>
      <c r="O161">
        <f>(1-Summary!$B$55)*T161+Summary!$B$55*V161</f>
        <v/>
      </c>
      <c r="P161">
        <f>IF(B198=0,0,O161/B198)</f>
        <v/>
      </c>
      <c r="Q161" t="n">
        <v>0</v>
      </c>
      <c r="R161" t="n">
        <v>0</v>
      </c>
      <c r="S161">
        <f>IFERROR(O161/N161,0)</f>
        <v/>
      </c>
      <c r="T161">
        <f>IF(C161,(Skills!G2*N161*B192)*IF(Inputs!$B$38="pvp",1,1+(Inputs!$B$20+0+Skills!P2+Summary!$B$59)/100),0)</f>
        <v/>
      </c>
      <c r="U161">
        <f>MAX(0,(Inputs!$B$3-100)*3)+Inputs!$B$28+Inputs!$B$29</f>
        <v/>
      </c>
      <c r="V161">
        <f>IF(C161,(Skills!G2*N161*B192)*IF(Inputs!$B$38="pvp",1,(1+(Inputs!$B$21+Skills!Q2+Summary!$B$59)/100)*(MIN((6+Inputs!$B$33),Inputs!$B$37))),0)</f>
        <v/>
      </c>
    </row>
    <row r="162">
      <c r="A162">
        <f>Skills!A3</f>
        <v/>
      </c>
      <c r="B162">
        <f>Skills!B3</f>
        <v/>
      </c>
      <c r="C162">
        <f>Inputs!$B$3&gt;=50</f>
        <v/>
      </c>
      <c r="D162">
        <f>IF(Skills!C3=1,60+Inputs!$B$25+Inputs!$B$29,IF(Skills!C3=2,90+Inputs!$B$26+Inputs!$B$29,IF(Skills!C3=3,120+Inputs!$B$27+Inputs!$B$29,MAX(0,(Inputs!$B$3-100)*3)+Inputs!$B$28+Inputs!$B$29)))</f>
        <v/>
      </c>
      <c r="E162">
        <f>INDEX(FactorTable!$B$2:$Y$301, MATCH(ROUND(MIN(300,MAX(1,D162)),0), FactorTable!$A$2:$A$301,0), Skills!M3+1)</f>
        <v/>
      </c>
      <c r="F162">
        <f>IF(Skills!N3=TRUE,(Skills!L3/10)*(E162/1000),Skills!L3/10)+Skills!O3</f>
        <v/>
      </c>
      <c r="G162" t="inlineStr"/>
      <c r="H162" t="inlineStr"/>
      <c r="I162" t="inlineStr">
        <is>
          <t>1</t>
        </is>
      </c>
      <c r="J162" t="inlineStr"/>
      <c r="K162" t="inlineStr"/>
      <c r="L162" t="inlineStr"/>
      <c r="M162" t="inlineStr"/>
      <c r="N162" t="inlineStr"/>
      <c r="O162" t="inlineStr"/>
      <c r="P162" t="inlineStr"/>
      <c r="Q162" t="inlineStr"/>
      <c r="R162" t="inlineStr"/>
      <c r="S162" t="inlineStr"/>
      <c r="U162">
        <f>INDEX(FactorTable!$B$2:$Y$301, MATCH(ROUND(MIN(300,MAX(1,U161)),0), FactorTable!$A$2:$A$301,0), 22)</f>
        <v/>
      </c>
    </row>
    <row r="163">
      <c r="A163">
        <f>Skills!A4</f>
        <v/>
      </c>
      <c r="B163">
        <f>Skills!B4</f>
        <v/>
      </c>
      <c r="C163">
        <f>Inputs!$B$3&gt;=105</f>
        <v/>
      </c>
      <c r="D163">
        <f>IF(Skills!C4=1,60+Inputs!$B$25+Inputs!$B$29,IF(Skills!C4=2,90+Inputs!$B$26+Inputs!$B$29,IF(Skills!C4=3,120+Inputs!$B$27+Inputs!$B$29,MAX(0,(Inputs!$B$3-100)*3)+Inputs!$B$28+Inputs!$B$29)))</f>
        <v/>
      </c>
      <c r="E163">
        <f>INDEX(FactorTable!$B$2:$Y$301, MATCH(ROUND(MIN(300,MAX(1,D163)),0), FactorTable!$A$2:$A$301,0), Skills!M4+1)</f>
        <v/>
      </c>
      <c r="F163">
        <f>IF(Skills!N4=TRUE,(Skills!L4/10)*(E163/1000),Skills!L4/10)+Skills!O4</f>
        <v/>
      </c>
      <c r="G163" t="inlineStr"/>
      <c r="H163" t="inlineStr"/>
      <c r="I163" t="inlineStr">
        <is>
          <t>1</t>
        </is>
      </c>
      <c r="J163" t="inlineStr"/>
      <c r="K163" t="inlineStr"/>
      <c r="L163" t="inlineStr"/>
      <c r="M163" t="inlineStr"/>
      <c r="N163" t="inlineStr"/>
      <c r="O163" t="inlineStr"/>
      <c r="P163" t="inlineStr"/>
      <c r="Q163" t="inlineStr"/>
      <c r="R163" t="inlineStr"/>
      <c r="S163" t="inlineStr"/>
      <c r="U163">
        <f>290*U162/1000</f>
        <v/>
      </c>
    </row>
    <row r="164">
      <c r="A164">
        <f>Skills!A5</f>
        <v/>
      </c>
      <c r="B164">
        <f>Skills!B5</f>
        <v/>
      </c>
      <c r="C164">
        <f>Inputs!$B$3&gt;=103</f>
        <v/>
      </c>
      <c r="D164">
        <f>IF(Skills!C5=1,60+Inputs!$B$25+Inputs!$B$29,IF(Skills!C5=2,90+Inputs!$B$26+Inputs!$B$29,IF(Skills!C5=3,120+Inputs!$B$27+Inputs!$B$29,MAX(0,(Inputs!$B$3-100)*3)+Inputs!$B$28+Inputs!$B$29)))</f>
        <v/>
      </c>
      <c r="E164">
        <f>INDEX(FactorTable!$B$2:$Y$301, MATCH(ROUND(MIN(300,MAX(1,D164)),0), FactorTable!$A$2:$A$301,0), Skills!M5+1)</f>
        <v/>
      </c>
      <c r="F164">
        <f>IF(Skills!N5=TRUE,(Skills!L5/10)*(E164/1000),Skills!L5/10)+Skills!O5</f>
        <v/>
      </c>
      <c r="G164">
        <f>Skills!G5*IF(Skills!H5&gt;0,Skills!I5/Skills!H5,1)</f>
        <v/>
      </c>
      <c r="H164">
        <f>1-(1-Skills!J5/100)^Skills!K5</f>
        <v/>
      </c>
      <c r="I164" t="inlineStr">
        <is>
          <t>1</t>
        </is>
      </c>
      <c r="J164">
        <f>((Inputs!$B$6*(1+Inputs!$B$7/100))+(((Inputs!$B$12*(1+Inputs!$B$13/100))-(Inputs!$B$12*(1+Inputs!$B$13/100)))+0.25*(Inputs!$B$14-Inputs!$B$14))*(1+Inputs!$B$7/100))*(F164/100)</f>
        <v/>
      </c>
      <c r="K164">
        <f>J164*(1+((Inputs!$B$12*(1+Inputs!$B$13/100))*0.01+Inputs!$B$14*0.0025)/100)*(1+(Inputs!$B$15+1)/100)*(1+Inputs!$B$16/100)*(5000/(6000+Inputs!$B$42*(1-(Inputs!$B$19+0)/100)))*(1+(Inputs!$B$24+((C184=TRUE)*(F184-Calc!F25))+B194)/100)*(1+IF(Skills!A5="ENHANCED_RAGING_BLOW",IF(Inputs!$B$3&gt;=134,MAX(0,IF(Inputs!$B$3&gt;=110,7,5)-5)*50,0),0)/100)*(1+(IF(Skills!A5="RAGING_BLOW",Inputs!$B$17+((C180=TRUE)*(F180-Calc!F21)),Inputs!$B$18+((C182=TRUE)*(F182-Calc!F23))))/100)*((1+(((C172=TRUE)*F172*IF(Inputs!$B$3&gt;=110,7,5))+((C174=TRUE)*F174*IF(AND(Inputs!$B$38&lt;&gt;"pvp",Inputs!$B$43&gt;0),(((R174-1)*(Skills!T15*(1+Inputs!$B$34/100))+MIN((Skills!T15*(1+Inputs!$B$34/100)),MAX(0,Inputs!$B$43-((R174-1)*Skills!D15))))/Inputs!$B$43),IF(Inputs!$B$38="pvp",MIN((Skills!T15*(1+Inputs!$B$34/100)),15)/15,(Skills!T15*(1+Inputs!$B$34/100))/Skills!D15)))+0)/100)*I164)</f>
        <v/>
      </c>
      <c r="L164">
        <f>K164*(MIN(Inputs!$B$22+((C181=TRUE)*(F181-Calc!F22)),Inputs!$B$23+((C183=TRUE)*(F183-Calc!F24)))/100+(Inputs!$B$23+((C183=TRUE)*(F183-Calc!F24)))/100)/2</f>
        <v/>
      </c>
      <c r="M164">
        <f>L164*(1+(Inputs!$B$10+0+B193)/100)</f>
        <v/>
      </c>
      <c r="N164">
        <f>L164*(1-MIN((Inputs!$B$9+((C185=TRUE)*(F185-Calc!F26))+B188),100)/100)+M164*(MIN((Inputs!$B$9+((C185=TRUE)*(F185-Calc!F26))+B188),100)/100)</f>
        <v/>
      </c>
      <c r="O164">
        <f>(1-Summary!$B$55)*T164+Summary!$B$55*V164</f>
        <v/>
      </c>
      <c r="P164">
        <f>IF(B198=0,0,O164/B198)</f>
        <v/>
      </c>
      <c r="Q164">
        <f>IFERROR(1/IF(Inputs!$B$38="pvp",15,MAX(0.1,Skills!D5-IF(Skills!E5=TRUE,Inputs!$B$32,0))),0)</f>
        <v/>
      </c>
      <c r="R164">
        <f>IF(AND(Inputs!$B$38&lt;&gt;"pvp",Inputs!$B$43&gt;0),IF(MAX(0,Inputs!$B$43-B195)&lt;=0,0,(INT(MAX(0,Inputs!$B$43-B195)/IF(Inputs!$B$38="pvp",15,MAX(0.1,Skills!D5-IF(Skills!E5=TRUE,Inputs!$B$32,0))))+1)),0)</f>
        <v/>
      </c>
      <c r="S164">
        <f>IFERROR(O164/N164,0)</f>
        <v/>
      </c>
      <c r="T164">
        <f>IF(C164,(H164*N164*IF(AND(Inputs!$B$38&lt;&gt;"pvp",Inputs!$B$43&gt;0),((Skills!G5*((R164-1)*IF(Skills!H5&gt;0,Skills!I5/Skills!H5,1)+IF(Skills!H5&gt;0,MIN(Skills!I5,MAX(0,MAX(0,Inputs!$B$43-B195)-((R164-1)*IF(Inputs!$B$38="pvp",15,MAX(0.1,Skills!D5-IF(Skills!E5=TRUE,Inputs!$B$32,0))))))/Skills!H5,1)))/Inputs!$B$43),G164*Q164))*IF(Inputs!$B$38="pvp",1,1+(Inputs!$B$20+0+Skills!P5+Summary!$B$59)/100),0)</f>
        <v/>
      </c>
      <c r="V164">
        <f>IF(C164,(H164*N164*IF(AND(Inputs!$B$38&lt;&gt;"pvp",Inputs!$B$43&gt;0),((Skills!G5*((R164-1)*IF(Skills!H5&gt;0,Skills!I5/Skills!H5,1)+IF(Skills!H5&gt;0,MIN(Skills!I5,MAX(0,MAX(0,Inputs!$B$43-B195)-((R164-1)*IF(Inputs!$B$38="pvp",15,MAX(0.1,Skills!D5-IF(Skills!E5=TRUE,Inputs!$B$32,0))))))/Skills!H5,1)))/Inputs!$B$43),G164*Q164))*IF(Inputs!$B$38="pvp",1,(1+(Inputs!$B$21+Skills!Q5+Summary!$B$59)/100)*(MIN(Skills!R5,Inputs!$B$37))),0)</f>
        <v/>
      </c>
    </row>
    <row r="165">
      <c r="A165">
        <f>Skills!A6</f>
        <v/>
      </c>
      <c r="B165">
        <f>Skills!B6</f>
        <v/>
      </c>
      <c r="C165">
        <f>Inputs!$B$3&gt;=103</f>
        <v/>
      </c>
      <c r="D165">
        <f>IF(Skills!C6=1,60+Inputs!$B$25+Inputs!$B$29,IF(Skills!C6=2,90+Inputs!$B$26+Inputs!$B$29,IF(Skills!C6=3,120+Inputs!$B$27+Inputs!$B$29,MAX(0,(Inputs!$B$3-100)*3)+Inputs!$B$28+Inputs!$B$29)))</f>
        <v/>
      </c>
      <c r="E165">
        <f>INDEX(FactorTable!$B$2:$Y$301, MATCH(ROUND(MIN(300,MAX(1,D165)),0), FactorTable!$A$2:$A$301,0), Skills!M6+1)</f>
        <v/>
      </c>
      <c r="F165">
        <f>IF(Skills!N6=TRUE,(Skills!L6/10)*(E165/1000),Skills!L6/10)+Skills!O6</f>
        <v/>
      </c>
      <c r="G165">
        <f>Skills!G6*IF(Skills!H6&gt;0,Skills!I6/Skills!H6,1)</f>
        <v/>
      </c>
      <c r="H165">
        <f>1-(1-Skills!J6/100)^Skills!K6</f>
        <v/>
      </c>
      <c r="I165" t="inlineStr">
        <is>
          <t>1</t>
        </is>
      </c>
      <c r="J165">
        <f>((Inputs!$B$6*(1+Inputs!$B$7/100))+(((Inputs!$B$12*(1+Inputs!$B$13/100))-(Inputs!$B$12*(1+Inputs!$B$13/100)))+0.25*(Inputs!$B$14-Inputs!$B$14))*(1+Inputs!$B$7/100))*(F165/100)</f>
        <v/>
      </c>
      <c r="K165">
        <f>J165*(1+((Inputs!$B$12*(1+Inputs!$B$13/100))*0.01+Inputs!$B$14*0.0025)/100)*(1+(Inputs!$B$15+1)/100)*(1+Inputs!$B$16/100)*(5000/(6000+Inputs!$B$42*(1-(Inputs!$B$19+0)/100)))*(1+(Inputs!$B$24+((C184=TRUE)*(F184-Calc!F25))+B194)/100)*(1+IF(Skills!A6="ENHANCED_RAGING_BLOW",IF(Inputs!$B$3&gt;=134,MAX(0,IF(Inputs!$B$3&gt;=110,7,5)-5)*50,0),0)/100)*(1+(IF(Skills!A6="RAGING_BLOW",Inputs!$B$17+((C180=TRUE)*(F180-Calc!F21)),Inputs!$B$18+((C182=TRUE)*(F182-Calc!F23))))/100)*((1+(((C172=TRUE)*F172*IF(Inputs!$B$3&gt;=110,7,5))+((C174=TRUE)*F174*IF(AND(Inputs!$B$38&lt;&gt;"pvp",Inputs!$B$43&gt;0),(((R174-1)*(Skills!T15*(1+Inputs!$B$34/100))+MIN((Skills!T15*(1+Inputs!$B$34/100)),MAX(0,Inputs!$B$43-((R174-1)*Skills!D15))))/Inputs!$B$43),IF(Inputs!$B$38="pvp",MIN((Skills!T15*(1+Inputs!$B$34/100)),15)/15,(Skills!T15*(1+Inputs!$B$34/100))/Skills!D15)))+0)/100)*I165)</f>
        <v/>
      </c>
      <c r="L165">
        <f>K165*(MIN(Inputs!$B$22+((C181=TRUE)*(F181-Calc!F22)),Inputs!$B$23+((C183=TRUE)*(F183-Calc!F24)))/100+(Inputs!$B$23+((C183=TRUE)*(F183-Calc!F24)))/100)/2</f>
        <v/>
      </c>
      <c r="M165">
        <f>L165*(1+(Inputs!$B$10+0+B193)/100)</f>
        <v/>
      </c>
      <c r="N165">
        <f>L165*(1-MIN((Inputs!$B$9+((C185=TRUE)*(F185-Calc!F26))+B188),100)/100)+M165*(MIN((Inputs!$B$9+((C185=TRUE)*(F185-Calc!F26))+B188),100)/100)</f>
        <v/>
      </c>
      <c r="O165">
        <f>(1-Summary!$B$55)*T165+Summary!$B$55*V165</f>
        <v/>
      </c>
      <c r="P165">
        <f>IF(B198=0,0,O165/B198)</f>
        <v/>
      </c>
      <c r="Q165">
        <f>IFERROR(1/IF(Inputs!$B$38="pvp",15,MAX(0.1,Skills!D6-IF(Skills!E6=TRUE,Inputs!$B$32,0))),0)</f>
        <v/>
      </c>
      <c r="R165">
        <f>IF(AND(Inputs!$B$38&lt;&gt;"pvp",Inputs!$B$43&gt;0),IF(MAX(0,Inputs!$B$43-B195)&lt;=0,0,(INT(MAX(0,Inputs!$B$43-B195)/IF(Inputs!$B$38="pvp",15,MAX(0.1,Skills!D6-IF(Skills!E6=TRUE,Inputs!$B$32,0))))+1)),0)</f>
        <v/>
      </c>
      <c r="S165">
        <f>IFERROR(O165/N165,0)</f>
        <v/>
      </c>
      <c r="T165">
        <f>IF(C165,(H165*N165*IF(AND(Inputs!$B$38&lt;&gt;"pvp",Inputs!$B$43&gt;0),((Skills!G6*((R165-1)*IF(Skills!H6&gt;0,Skills!I6/Skills!H6,1)+IF(Skills!H6&gt;0,MIN(Skills!I6,MAX(0,MAX(0,Inputs!$B$43-B195)-((R165-1)*IF(Inputs!$B$38="pvp",15,MAX(0.1,Skills!D6-IF(Skills!E6=TRUE,Inputs!$B$32,0))))))/Skills!H6,1)))/Inputs!$B$43),G165*Q165))*IF(Inputs!$B$38="pvp",1,1+(Inputs!$B$20+0+Skills!P6+Summary!$B$59)/100),0)</f>
        <v/>
      </c>
      <c r="V165">
        <f>IF(C165,(H165*N165*IF(AND(Inputs!$B$38&lt;&gt;"pvp",Inputs!$B$43&gt;0),((Skills!G6*((R165-1)*IF(Skills!H6&gt;0,Skills!I6/Skills!H6,1)+IF(Skills!H6&gt;0,MIN(Skills!I6,MAX(0,MAX(0,Inputs!$B$43-B195)-((R165-1)*IF(Inputs!$B$38="pvp",15,MAX(0.1,Skills!D6-IF(Skills!E6=TRUE,Inputs!$B$32,0))))))/Skills!H6,1)))/Inputs!$B$43),G165*Q165))*IF(Inputs!$B$38="pvp",1,(1+(Inputs!$B$21+Skills!Q6+Summary!$B$59)/100)*(MIN(Skills!R6,Inputs!$B$37))),0)</f>
        <v/>
      </c>
    </row>
    <row r="166">
      <c r="A166">
        <f>Skills!A7</f>
        <v/>
      </c>
      <c r="B166">
        <f>Skills!B7</f>
        <v/>
      </c>
      <c r="C166">
        <f>Inputs!$B$3&gt;=107</f>
        <v/>
      </c>
      <c r="D166">
        <f>IF(Skills!C7=1,60+Inputs!$B$25+Inputs!$B$29,IF(Skills!C7=2,90+Inputs!$B$26+Inputs!$B$29,IF(Skills!C7=3,120+Inputs!$B$27+Inputs!$B$29,MAX(0,(Inputs!$B$3-100)*3)+Inputs!$B$28+Inputs!$B$29)))</f>
        <v/>
      </c>
      <c r="E166">
        <f>INDEX(FactorTable!$B$2:$Y$301, MATCH(ROUND(MIN(300,MAX(1,D166)),0), FactorTable!$A$2:$A$301,0), Skills!M7+1)</f>
        <v/>
      </c>
      <c r="F166">
        <f>IF(Skills!N7=TRUE,(Skills!L7/10)*(E166/1000),Skills!L7/10)+Skills!O7</f>
        <v/>
      </c>
      <c r="G166">
        <f>Skills!G7*IF(Skills!H7&gt;0,Skills!I7/Skills!H7,1)</f>
        <v/>
      </c>
      <c r="H166">
        <f>1-(1-Skills!J7/100)^Skills!K7</f>
        <v/>
      </c>
      <c r="I166" t="inlineStr">
        <is>
          <t>1</t>
        </is>
      </c>
      <c r="J166">
        <f>((Inputs!$B$6*(1+Inputs!$B$7/100))+(((Inputs!$B$12*(1+Inputs!$B$13/100))-(Inputs!$B$12*(1+Inputs!$B$13/100)))+0.25*(Inputs!$B$14-Inputs!$B$14))*(1+Inputs!$B$7/100))*(F166/100)</f>
        <v/>
      </c>
      <c r="K166">
        <f>J166*(1+((Inputs!$B$12*(1+Inputs!$B$13/100))*0.01+Inputs!$B$14*0.0025)/100)*(1+(Inputs!$B$15+1)/100)*(1+Inputs!$B$16/100)*(5000/(6000+Inputs!$B$42*(1-(Inputs!$B$19+0)/100)))*(1+(Inputs!$B$24+((C184=TRUE)*(F184-Calc!F25))+B194)/100)*(1+IF(Skills!A7="ENHANCED_RAGING_BLOW",IF(Inputs!$B$3&gt;=134,MAX(0,IF(Inputs!$B$3&gt;=110,7,5)-5)*50,0),0)/100)*(1+(IF(Skills!A7="RAGING_BLOW",Inputs!$B$17+((C180=TRUE)*(F180-Calc!F21)),Inputs!$B$18+((C182=TRUE)*(F182-Calc!F23))))/100)*((1+(((C172=TRUE)*F172*IF(Inputs!$B$3&gt;=110,7,5))+((C174=TRUE)*F174*IF(AND(Inputs!$B$38&lt;&gt;"pvp",Inputs!$B$43&gt;0),(((R174-1)*(Skills!T15*(1+Inputs!$B$34/100))+MIN((Skills!T15*(1+Inputs!$B$34/100)),MAX(0,Inputs!$B$43-((R174-1)*Skills!D15))))/Inputs!$B$43),IF(Inputs!$B$38="pvp",MIN((Skills!T15*(1+Inputs!$B$34/100)),15)/15,(Skills!T15*(1+Inputs!$B$34/100))/Skills!D15)))+0)/100)*I166)</f>
        <v/>
      </c>
      <c r="L166">
        <f>K166*(MIN(Inputs!$B$22+((C181=TRUE)*(F181-Calc!F22)),Inputs!$B$23+((C183=TRUE)*(F183-Calc!F24)))/100+(Inputs!$B$23+((C183=TRUE)*(F183-Calc!F24)))/100)/2</f>
        <v/>
      </c>
      <c r="M166">
        <f>L166*(1+(Inputs!$B$10+0+B193)/100)</f>
        <v/>
      </c>
      <c r="N166">
        <f>L166*(1-MIN((Inputs!$B$9+((C185=TRUE)*(F185-Calc!F26))+B188),100)/100)+M166*(MIN((Inputs!$B$9+((C185=TRUE)*(F185-Calc!F26))+B188),100)/100)</f>
        <v/>
      </c>
      <c r="O166">
        <f>(1-Summary!$B$55)*T166+Summary!$B$55*V166</f>
        <v/>
      </c>
      <c r="P166">
        <f>IF(B198=0,0,O166/B198)</f>
        <v/>
      </c>
      <c r="Q166">
        <f>IFERROR(1/IF(Inputs!$B$38="pvp",15,MAX(0.1,Skills!D7-IF(Skills!E7=TRUE,Inputs!$B$32,0))),0)</f>
        <v/>
      </c>
      <c r="R166">
        <f>IF(AND(Inputs!$B$38&lt;&gt;"pvp",Inputs!$B$43&gt;0),IF(MAX(0,Inputs!$B$43-B195)&lt;=0,0,(INT(MAX(0,Inputs!$B$43-B195)/IF(Inputs!$B$38="pvp",15,MAX(0.1,Skills!D7-IF(Skills!E7=TRUE,Inputs!$B$32,0))))+1)),0)</f>
        <v/>
      </c>
      <c r="S166">
        <f>IFERROR(O166/N166,0)</f>
        <v/>
      </c>
      <c r="T166">
        <f>IF(C166,(H166*N166*IF(AND(Inputs!$B$38&lt;&gt;"pvp",Inputs!$B$43&gt;0),((Skills!G7*((R166-1)*IF(Skills!H7&gt;0,Skills!I7/Skills!H7,1)+IF(Skills!H7&gt;0,MIN(Skills!I7,MAX(0,MAX(0,Inputs!$B$43-B195)-((R166-1)*IF(Inputs!$B$38="pvp",15,MAX(0.1,Skills!D7-IF(Skills!E7=TRUE,Inputs!$B$32,0))))))/Skills!H7,1)))/Inputs!$B$43),G166*Q166))*IF(Inputs!$B$38="pvp",1,1+(Inputs!$B$20+0+Skills!P7+Summary!$B$59)/100),0)</f>
        <v/>
      </c>
      <c r="V166">
        <f>IF(C166,(H166*N166*IF(AND(Inputs!$B$38&lt;&gt;"pvp",Inputs!$B$43&gt;0),((Skills!G7*((R166-1)*IF(Skills!H7&gt;0,Skills!I7/Skills!H7,1)+IF(Skills!H7&gt;0,MIN(Skills!I7,MAX(0,MAX(0,Inputs!$B$43-B195)-((R166-1)*IF(Inputs!$B$38="pvp",15,MAX(0.1,Skills!D7-IF(Skills!E7=TRUE,Inputs!$B$32,0))))))/Skills!H7,1)))/Inputs!$B$43),G166*Q166))*IF(Inputs!$B$38="pvp",1,(1+(Inputs!$B$21+Skills!Q7+Summary!$B$59)/100)*(MIN(Skills!R7,Inputs!$B$37))),0)</f>
        <v/>
      </c>
    </row>
    <row r="167">
      <c r="A167">
        <f>Skills!A8</f>
        <v/>
      </c>
      <c r="B167">
        <f>Skills!B8</f>
        <v/>
      </c>
      <c r="C167">
        <f>Inputs!$B$3&gt;=117</f>
        <v/>
      </c>
      <c r="D167">
        <f>IF(Skills!C8=1,60+Inputs!$B$25+Inputs!$B$29,IF(Skills!C8=2,90+Inputs!$B$26+Inputs!$B$29,IF(Skills!C8=3,120+Inputs!$B$27+Inputs!$B$29,MAX(0,(Inputs!$B$3-100)*3)+Inputs!$B$28+Inputs!$B$29)))</f>
        <v/>
      </c>
      <c r="E167">
        <f>INDEX(FactorTable!$B$2:$Y$301, MATCH(ROUND(MIN(300,MAX(1,D167)),0), FactorTable!$A$2:$A$301,0), Skills!M8+1)</f>
        <v/>
      </c>
      <c r="F167">
        <f>IF(Skills!N8=TRUE,(Skills!L8/10)*(E167/1000),Skills!L8/10)+Skills!O8</f>
        <v/>
      </c>
      <c r="G167">
        <f>Skills!G8*IF(Skills!H8&gt;0,Skills!I8/Skills!H8,1)</f>
        <v/>
      </c>
      <c r="H167">
        <f>1-(1-Skills!J8/100)^Skills!K8</f>
        <v/>
      </c>
      <c r="I167" t="inlineStr">
        <is>
          <t>1</t>
        </is>
      </c>
      <c r="J167">
        <f>((Inputs!$B$6*(1+Inputs!$B$7/100))+(((Inputs!$B$12*(1+Inputs!$B$13/100))-(Inputs!$B$12*(1+Inputs!$B$13/100)))+0.25*(Inputs!$B$14-Inputs!$B$14))*(1+Inputs!$B$7/100))*(F167/100)</f>
        <v/>
      </c>
      <c r="K167">
        <f>J167*(1+((Inputs!$B$12*(1+Inputs!$B$13/100))*0.01+Inputs!$B$14*0.0025)/100)*(1+(Inputs!$B$15+1)/100)*(1+Inputs!$B$16/100)*(5000/(6000+Inputs!$B$42*(1-(Inputs!$B$19+0)/100)))*(1+(Inputs!$B$24+((C184=TRUE)*(F184-Calc!F25))+B194)/100)*(1+IF(Skills!A8="ENHANCED_RAGING_BLOW",IF(Inputs!$B$3&gt;=134,MAX(0,IF(Inputs!$B$3&gt;=110,7,5)-5)*50,0),0)/100)*(1+(IF(Skills!A8="RAGING_BLOW",Inputs!$B$17+((C180=TRUE)*(F180-Calc!F21)),Inputs!$B$18+((C182=TRUE)*(F182-Calc!F23))))/100)*((1+(((C172=TRUE)*F172*IF(Inputs!$B$3&gt;=110,7,5))+((C174=TRUE)*F174*IF(AND(Inputs!$B$38&lt;&gt;"pvp",Inputs!$B$43&gt;0),(((R174-1)*(Skills!T15*(1+Inputs!$B$34/100))+MIN((Skills!T15*(1+Inputs!$B$34/100)),MAX(0,Inputs!$B$43-((R174-1)*Skills!D15))))/Inputs!$B$43),IF(Inputs!$B$38="pvp",MIN((Skills!T15*(1+Inputs!$B$34/100)),15)/15,(Skills!T15*(1+Inputs!$B$34/100))/Skills!D15)))+0)/100)*I167)</f>
        <v/>
      </c>
      <c r="L167">
        <f>K167*(MIN(Inputs!$B$22+((C181=TRUE)*(F181-Calc!F22)),Inputs!$B$23+((C183=TRUE)*(F183-Calc!F24)))/100+(Inputs!$B$23+((C183=TRUE)*(F183-Calc!F24)))/100)/2</f>
        <v/>
      </c>
      <c r="M167">
        <f>L167*(1+(Inputs!$B$10+0+B193)/100)</f>
        <v/>
      </c>
      <c r="N167">
        <f>L167*(1-MIN((Inputs!$B$9+((C185=TRUE)*(F185-Calc!F26))+B188),100)/100)+M167*(MIN((Inputs!$B$9+((C185=TRUE)*(F185-Calc!F26))+B188),100)/100)</f>
        <v/>
      </c>
      <c r="O167">
        <f>(1-Summary!$B$55)*T167+Summary!$B$55*V167</f>
        <v/>
      </c>
      <c r="P167">
        <f>IF(B198=0,0,O167/B198)</f>
        <v/>
      </c>
      <c r="Q167">
        <f>IFERROR(1/IF(Inputs!$B$38="pvp",15,MAX(0.1,Skills!D8-IF(Skills!E8=TRUE,Inputs!$B$32,0))),0)</f>
        <v/>
      </c>
      <c r="R167">
        <f>IF(AND(Inputs!$B$38&lt;&gt;"pvp",Inputs!$B$43&gt;0),IF(MAX(0,Inputs!$B$43-B195)&lt;=0,0,(INT(MAX(0,Inputs!$B$43-B195)/IF(Inputs!$B$38="pvp",15,MAX(0.1,Skills!D8-IF(Skills!E8=TRUE,Inputs!$B$32,0))))+1)),0)</f>
        <v/>
      </c>
      <c r="S167">
        <f>IFERROR(O167/N167,0)</f>
        <v/>
      </c>
      <c r="T167">
        <f>IF(C167,(H167*N167*IF(AND(Inputs!$B$38&lt;&gt;"pvp",Inputs!$B$43&gt;0),((Skills!G8*((R167-1)*IF(Skills!H8&gt;0,Skills!I8/Skills!H8,1)+IF(Skills!H8&gt;0,MIN(Skills!I8,MAX(0,MAX(0,Inputs!$B$43-B195)-((R167-1)*IF(Inputs!$B$38="pvp",15,MAX(0.1,Skills!D8-IF(Skills!E8=TRUE,Inputs!$B$32,0))))))/Skills!H8,1)))/Inputs!$B$43),G167*Q167))*IF(Inputs!$B$38="pvp",1,1+(Inputs!$B$20+0+Skills!P8+Summary!$B$59)/100),0)</f>
        <v/>
      </c>
      <c r="V167">
        <f>IF(C167,(H167*N167*IF(AND(Inputs!$B$38&lt;&gt;"pvp",Inputs!$B$43&gt;0),((Skills!G8*((R167-1)*IF(Skills!H8&gt;0,Skills!I8/Skills!H8,1)+IF(Skills!H8&gt;0,MIN(Skills!I8,MAX(0,MAX(0,Inputs!$B$43-B195)-((R167-1)*IF(Inputs!$B$38="pvp",15,MAX(0.1,Skills!D8-IF(Skills!E8=TRUE,Inputs!$B$32,0))))))/Skills!H8,1)))/Inputs!$B$43),G167*Q167))*IF(Inputs!$B$38="pvp",1,(1+(Inputs!$B$21+Skills!Q8+Summary!$B$59)/100)*(MIN(Skills!R8,Inputs!$B$37))),0)</f>
        <v/>
      </c>
    </row>
    <row r="168">
      <c r="A168">
        <f>Skills!A9</f>
        <v/>
      </c>
      <c r="B168">
        <f>Skills!B9</f>
        <v/>
      </c>
      <c r="C168">
        <f>Inputs!$B$3&gt;=69</f>
        <v/>
      </c>
      <c r="D168">
        <f>IF(Skills!C9=1,60+Inputs!$B$25+Inputs!$B$29,IF(Skills!C9=2,90+Inputs!$B$26+Inputs!$B$29,IF(Skills!C9=3,120+Inputs!$B$27+Inputs!$B$29,MAX(0,(Inputs!$B$3-100)*3)+Inputs!$B$28+Inputs!$B$29)))</f>
        <v/>
      </c>
      <c r="E168">
        <f>INDEX(FactorTable!$B$2:$Y$301, MATCH(ROUND(MIN(300,MAX(1,D168)),0), FactorTable!$A$2:$A$301,0), Skills!M9+1)</f>
        <v/>
      </c>
      <c r="F168">
        <f>IF(Skills!N9=TRUE,(Skills!L9/10)*(E168/1000),Skills!L9/10)+Skills!O9</f>
        <v/>
      </c>
      <c r="G168">
        <f>Skills!G9*IF(Skills!H9&gt;0,Skills!I9/Skills!H9,1)</f>
        <v/>
      </c>
      <c r="H168">
        <f>1-(1-Skills!J9/100)^Skills!K9</f>
        <v/>
      </c>
      <c r="I168" t="inlineStr">
        <is>
          <t>1</t>
        </is>
      </c>
      <c r="J168">
        <f>((Inputs!$B$6*(1+Inputs!$B$7/100))+(((Inputs!$B$12*(1+Inputs!$B$13/100))-(Inputs!$B$12*(1+Inputs!$B$13/100)))+0.25*(Inputs!$B$14-Inputs!$B$14))*(1+Inputs!$B$7/100))*(F168/100)</f>
        <v/>
      </c>
      <c r="K168">
        <f>J168*(1+((Inputs!$B$12*(1+Inputs!$B$13/100))*0.01+Inputs!$B$14*0.0025)/100)*(1+(Inputs!$B$15+1)/100)*(1+Inputs!$B$16/100)*(5000/(6000+Inputs!$B$42*(1-(Inputs!$B$19+0)/100)))*(1+(Inputs!$B$24+((C184=TRUE)*(F184-Calc!F25))+B194)/100)*(1+1.0*IF(C171=TRUE,F171,0)/100)*(1+IF(Skills!A9="ENHANCED_RAGING_BLOW",IF(Inputs!$B$3&gt;=134,MAX(0,IF(Inputs!$B$3&gt;=110,7,5)-5)*50,0),0)/100)*(1+(IF(Skills!A9="RAGING_BLOW",Inputs!$B$17+((C180=TRUE)*(F180-Calc!F21)),Inputs!$B$18+((C182=TRUE)*(F182-Calc!F23))))/100)*((1+(((C172=TRUE)*F172*IF(Inputs!$B$3&gt;=110,7,5))+((C174=TRUE)*F174*IF(AND(Inputs!$B$38&lt;&gt;"pvp",Inputs!$B$43&gt;0),(((R174-1)*(Skills!T15*(1+Inputs!$B$34/100))+MIN((Skills!T15*(1+Inputs!$B$34/100)),MAX(0,Inputs!$B$43-((R174-1)*Skills!D15))))/Inputs!$B$43),IF(Inputs!$B$38="pvp",MIN((Skills!T15*(1+Inputs!$B$34/100)),15)/15,(Skills!T15*(1+Inputs!$B$34/100))/Skills!D15)))+0)/100)*I168)</f>
        <v/>
      </c>
      <c r="L168">
        <f>K168*(MIN(Inputs!$B$22+((C181=TRUE)*(F181-Calc!F22)),Inputs!$B$23+((C183=TRUE)*(F183-Calc!F24)))/100+(Inputs!$B$23+((C183=TRUE)*(F183-Calc!F24)))/100)/2</f>
        <v/>
      </c>
      <c r="M168">
        <f>L168*(1+(Inputs!$B$10+0+B193)/100)</f>
        <v/>
      </c>
      <c r="N168">
        <f>L168*(1-MIN((Inputs!$B$9+((C185=TRUE)*(F185-Calc!F26))+B188),100)/100)+M168*(MIN((Inputs!$B$9+((C185=TRUE)*(F185-Calc!F26))+B188),100)/100)</f>
        <v/>
      </c>
      <c r="O168">
        <f>(1-Summary!$B$55)*T168+Summary!$B$55*V168</f>
        <v/>
      </c>
      <c r="P168">
        <f>IF(B198=0,0,O168/B198)</f>
        <v/>
      </c>
      <c r="Q168">
        <f>IFERROR(1/IF(Inputs!$B$38="pvp",15,MAX(0.1,Skills!D9-IF(Skills!E9=TRUE,Inputs!$B$32,0))),0)</f>
        <v/>
      </c>
      <c r="R168">
        <f>IF(AND(Inputs!$B$38&lt;&gt;"pvp",Inputs!$B$43&gt;0),IF(MAX(0,Inputs!$B$43-B195)&lt;=0,0,(INT(MAX(0,Inputs!$B$43-B195)/IF(Inputs!$B$38="pvp",15,MAX(0.1,Skills!D9-IF(Skills!E9=TRUE,Inputs!$B$32,0))))+1)),0)</f>
        <v/>
      </c>
      <c r="S168">
        <f>IFERROR(O168/N168,0)</f>
        <v/>
      </c>
      <c r="T168">
        <f>IF(C168,(H168*N168*IF(AND(Inputs!$B$38&lt;&gt;"pvp",Inputs!$B$43&gt;0),((Skills!G9*((R168-1)*IF(Skills!H9&gt;0,Skills!I9/Skills!H9,1)+IF(Skills!H9&gt;0,MIN(Skills!I9,MAX(0,MAX(0,Inputs!$B$43-B195)-((R168-1)*IF(Inputs!$B$38="pvp",15,MAX(0.1,Skills!D9-IF(Skills!E9=TRUE,Inputs!$B$32,0))))))/Skills!H9,1)))/Inputs!$B$43),G168*Q168))*IF(Inputs!$B$38="pvp",1,1+(Inputs!$B$20+0+Skills!P9+Summary!$B$59)/100),0)</f>
        <v/>
      </c>
      <c r="V168">
        <f>IF(C168,(H168*N168*IF(AND(Inputs!$B$38&lt;&gt;"pvp",Inputs!$B$43&gt;0),((Skills!G9*((R168-1)*IF(Skills!H9&gt;0,Skills!I9/Skills!H9,1)+IF(Skills!H9&gt;0,MIN(Skills!I9,MAX(0,MAX(0,Inputs!$B$43-B195)-((R168-1)*IF(Inputs!$B$38="pvp",15,MAX(0.1,Skills!D9-IF(Skills!E9=TRUE,Inputs!$B$32,0))))))/Skills!H9,1)))/Inputs!$B$43),G168*Q168))*IF(Inputs!$B$38="pvp",1,(1+(Inputs!$B$21+Skills!Q9+Summary!$B$59)/100)*(MIN(Skills!R9,Inputs!$B$37))),0)</f>
        <v/>
      </c>
    </row>
    <row r="169">
      <c r="A169">
        <f>Skills!A10</f>
        <v/>
      </c>
      <c r="B169">
        <f>Skills!B10</f>
        <v/>
      </c>
      <c r="C169">
        <f>Inputs!$B$3&gt;=63</f>
        <v/>
      </c>
      <c r="D169">
        <f>IF(Skills!C10=1,60+Inputs!$B$25+Inputs!$B$29,IF(Skills!C10=2,90+Inputs!$B$26+Inputs!$B$29,IF(Skills!C10=3,120+Inputs!$B$27+Inputs!$B$29,MAX(0,(Inputs!$B$3-100)*3)+Inputs!$B$28+Inputs!$B$29)))</f>
        <v/>
      </c>
      <c r="E169">
        <f>INDEX(FactorTable!$B$2:$Y$301, MATCH(ROUND(MIN(300,MAX(1,D169)),0), FactorTable!$A$2:$A$301,0), Skills!M10+1)</f>
        <v/>
      </c>
      <c r="F169">
        <f>IF(Skills!N10=TRUE,(Skills!L10/10)*(E169/1000),Skills!L10/10)+Skills!O10</f>
        <v/>
      </c>
      <c r="G169">
        <f>Skills!G10*IF(Skills!H10&gt;0,Skills!I10/Skills!H10,1)</f>
        <v/>
      </c>
      <c r="H169">
        <f>1-(1-Skills!J10/100)^Skills!K10</f>
        <v/>
      </c>
      <c r="I169" t="inlineStr">
        <is>
          <t>1</t>
        </is>
      </c>
      <c r="J169">
        <f>((Inputs!$B$6*(1+Inputs!$B$7/100))+(((Inputs!$B$12*(1+Inputs!$B$13/100))-(Inputs!$B$12*(1+Inputs!$B$13/100)))+0.25*(Inputs!$B$14-Inputs!$B$14))*(1+Inputs!$B$7/100))*(F169/100)</f>
        <v/>
      </c>
      <c r="K169">
        <f>J169*(1+((Inputs!$B$12*(1+Inputs!$B$13/100))*0.01+Inputs!$B$14*0.0025)/100)*(1+(Inputs!$B$15+1)/100)*(1+Inputs!$B$16/100)*(5000/(6000+Inputs!$B$42*(1-(Inputs!$B$19+0)/100)))*(1+(Inputs!$B$24+((C184=TRUE)*(F184-Calc!F25))+B194)/100)*(1+1.5*IF(C171=TRUE,F171,0)/100)*(1+IF(Skills!A10="ENHANCED_RAGING_BLOW",IF(Inputs!$B$3&gt;=134,MAX(0,IF(Inputs!$B$3&gt;=110,7,5)-5)*50,0),0)/100)*(1+(IF(Skills!A10="RAGING_BLOW",Inputs!$B$17+((C180=TRUE)*(F180-Calc!F21)),Inputs!$B$18+((C182=TRUE)*(F182-Calc!F23))))/100)*((1+(((C172=TRUE)*F172*IF(Inputs!$B$3&gt;=110,7,5))+((C174=TRUE)*F174*IF(AND(Inputs!$B$38&lt;&gt;"pvp",Inputs!$B$43&gt;0),(((R174-1)*(Skills!T15*(1+Inputs!$B$34/100))+MIN((Skills!T15*(1+Inputs!$B$34/100)),MAX(0,Inputs!$B$43-((R174-1)*Skills!D15))))/Inputs!$B$43),IF(Inputs!$B$38="pvp",MIN((Skills!T15*(1+Inputs!$B$34/100)),15)/15,(Skills!T15*(1+Inputs!$B$34/100))/Skills!D15)))+0)/100)*I169)</f>
        <v/>
      </c>
      <c r="L169">
        <f>K169*(MIN(Inputs!$B$22+((C181=TRUE)*(F181-Calc!F22)),Inputs!$B$23+((C183=TRUE)*(F183-Calc!F24)))/100+(Inputs!$B$23+((C183=TRUE)*(F183-Calc!F24)))/100)/2</f>
        <v/>
      </c>
      <c r="M169">
        <f>L169*(1+(Inputs!$B$10+0+B193)/100)</f>
        <v/>
      </c>
      <c r="N169">
        <f>L169*(1-MIN((Inputs!$B$9+((C185=TRUE)*(F185-Calc!F26))+B188),100)/100)+M169*(MIN((Inputs!$B$9+((C185=TRUE)*(F185-Calc!F26))+B188),100)/100)</f>
        <v/>
      </c>
      <c r="O169">
        <f>(1-Summary!$B$55)*T169+Summary!$B$55*V169</f>
        <v/>
      </c>
      <c r="P169">
        <f>IF(B198=0,0,O169/B198)</f>
        <v/>
      </c>
      <c r="Q169">
        <f>IFERROR(1/IF(Inputs!$B$38="pvp",15,MAX(0.1,Skills!D10-IF(Skills!E10=TRUE,Inputs!$B$32,0))),0)</f>
        <v/>
      </c>
      <c r="R169">
        <f>IF(AND(Inputs!$B$38&lt;&gt;"pvp",Inputs!$B$43&gt;0),IF(MAX(0,Inputs!$B$43-B195)&lt;=0,0,(INT(MAX(0,Inputs!$B$43-B195)/IF(Inputs!$B$38="pvp",15,MAX(0.1,Skills!D10-IF(Skills!E10=TRUE,Inputs!$B$32,0))))+1)),0)</f>
        <v/>
      </c>
      <c r="S169">
        <f>IFERROR(O169/N169,0)</f>
        <v/>
      </c>
      <c r="T169">
        <f>IF(C169,(H169*N169*IF(AND(Inputs!$B$38&lt;&gt;"pvp",Inputs!$B$43&gt;0),((Skills!G10*((R169-1)*IF(Skills!H10&gt;0,Skills!I10/Skills!H10,1)+IF(Skills!H10&gt;0,MIN(Skills!I10,MAX(0,MAX(0,Inputs!$B$43-B195)-((R169-1)*IF(Inputs!$B$38="pvp",15,MAX(0.1,Skills!D10-IF(Skills!E10=TRUE,Inputs!$B$32,0))))))/Skills!H10,1)))/Inputs!$B$43),G169*Q169))*IF(Inputs!$B$38="pvp",1,1+(Inputs!$B$20+0+Skills!P10+Summary!$B$59)/100),0)</f>
        <v/>
      </c>
      <c r="V169">
        <f>IF(C169,(H169*N169*IF(AND(Inputs!$B$38&lt;&gt;"pvp",Inputs!$B$43&gt;0),((Skills!G10*((R169-1)*IF(Skills!H10&gt;0,Skills!I10/Skills!H10,1)+IF(Skills!H10&gt;0,MIN(Skills!I10,MAX(0,MAX(0,Inputs!$B$43-B195)-((R169-1)*IF(Inputs!$B$38="pvp",15,MAX(0.1,Skills!D10-IF(Skills!E10=TRUE,Inputs!$B$32,0))))))/Skills!H10,1)))/Inputs!$B$43),G169*Q169))*IF(Inputs!$B$38="pvp",1,(1+(Inputs!$B$21+Skills!Q10+Summary!$B$59)/100)*(MIN(Skills!R10,Inputs!$B$37))),0)</f>
        <v/>
      </c>
    </row>
    <row r="170">
      <c r="A170">
        <f>Skills!A11</f>
        <v/>
      </c>
      <c r="B170">
        <f>Skills!B11</f>
        <v/>
      </c>
      <c r="C170">
        <f>Inputs!$B$3&gt;=35</f>
        <v/>
      </c>
      <c r="D170">
        <f>IF(Skills!C11=1,60+Inputs!$B$25+Inputs!$B$29,IF(Skills!C11=2,90+Inputs!$B$26+Inputs!$B$29,IF(Skills!C11=3,120+Inputs!$B$27+Inputs!$B$29,MAX(0,(Inputs!$B$3-100)*3)+Inputs!$B$28+Inputs!$B$29)))</f>
        <v/>
      </c>
      <c r="E170">
        <f>INDEX(FactorTable!$B$2:$Y$301, MATCH(ROUND(MIN(300,MAX(1,D170)),0), FactorTable!$A$2:$A$301,0), Skills!M11+1)</f>
        <v/>
      </c>
      <c r="F170">
        <f>IF(Skills!N11=TRUE,(Skills!L11/10)*(E170/1000),Skills!L11/10)+Skills!O11</f>
        <v/>
      </c>
      <c r="G170">
        <f>Skills!G11*IF(Skills!H11&gt;0,Skills!I11/Skills!H11,1)</f>
        <v/>
      </c>
      <c r="H170">
        <f>1-(1-Skills!J11/100)^Skills!K11</f>
        <v/>
      </c>
      <c r="I170" t="inlineStr">
        <is>
          <t>1</t>
        </is>
      </c>
      <c r="J170">
        <f>((Inputs!$B$6*(1+Inputs!$B$7/100))+(((Inputs!$B$12*(1+Inputs!$B$13/100))-(Inputs!$B$12*(1+Inputs!$B$13/100)))+0.25*(Inputs!$B$14-Inputs!$B$14))*(1+Inputs!$B$7/100))*(F170/100)</f>
        <v/>
      </c>
      <c r="K170">
        <f>J170*(1+((Inputs!$B$12*(1+Inputs!$B$13/100))*0.01+Inputs!$B$14*0.0025)/100)*(1+(Inputs!$B$15+1)/100)*(1+Inputs!$B$16/100)*(5000/(6000+Inputs!$B$42*(1-(Inputs!$B$19+0)/100)))*(1+(Inputs!$B$24+((C184=TRUE)*(F184-Calc!F25))+B194)/100)*(1+4.0*IF(C171=TRUE,F171,0)/100)*(1+IF(Skills!A11="ENHANCED_RAGING_BLOW",IF(Inputs!$B$3&gt;=134,MAX(0,IF(Inputs!$B$3&gt;=110,7,5)-5)*50,0),0)/100)*(1+(IF(Skills!A11="RAGING_BLOW",Inputs!$B$17+((C180=TRUE)*(F180-Calc!F21)),Inputs!$B$18+((C182=TRUE)*(F182-Calc!F23))))/100)*((1+(((C172=TRUE)*F172*IF(Inputs!$B$3&gt;=110,7,5))+((C174=TRUE)*F174*IF(AND(Inputs!$B$38&lt;&gt;"pvp",Inputs!$B$43&gt;0),(((R174-1)*(Skills!T15*(1+Inputs!$B$34/100))+MIN((Skills!T15*(1+Inputs!$B$34/100)),MAX(0,Inputs!$B$43-((R174-1)*Skills!D15))))/Inputs!$B$43),IF(Inputs!$B$38="pvp",MIN((Skills!T15*(1+Inputs!$B$34/100)),15)/15,(Skills!T15*(1+Inputs!$B$34/100))/Skills!D15)))+0)/100)*I170)</f>
        <v/>
      </c>
      <c r="L170">
        <f>K170*(MIN(Inputs!$B$22+((C181=TRUE)*(F181-Calc!F22)),Inputs!$B$23+((C183=TRUE)*(F183-Calc!F24)))/100+(Inputs!$B$23+((C183=TRUE)*(F183-Calc!F24)))/100)/2</f>
        <v/>
      </c>
      <c r="M170">
        <f>L170*(1+(Inputs!$B$10+0+B193)/100)</f>
        <v/>
      </c>
      <c r="N170">
        <f>L170*(1-MIN((Inputs!$B$9+((C185=TRUE)*(F185-Calc!F26))+B188),100)/100)+M170*(MIN((Inputs!$B$9+((C185=TRUE)*(F185-Calc!F26))+B188),100)/100)</f>
        <v/>
      </c>
      <c r="O170">
        <f>(1-Summary!$B$55)*T170+Summary!$B$55*V170</f>
        <v/>
      </c>
      <c r="P170">
        <f>IF(B198=0,0,O170/B198)</f>
        <v/>
      </c>
      <c r="Q170">
        <f>IFERROR(1/IF(Inputs!$B$38="pvp",15,MAX(0.1,Skills!D11-IF(Skills!E11=TRUE,Inputs!$B$32,0))),0)</f>
        <v/>
      </c>
      <c r="R170">
        <f>IF(AND(Inputs!$B$38&lt;&gt;"pvp",Inputs!$B$43&gt;0),IF(MAX(0,Inputs!$B$43-B195)&lt;=0,0,(INT(MAX(0,Inputs!$B$43-B195)/IF(Inputs!$B$38="pvp",15,MAX(0.1,Skills!D11-IF(Skills!E11=TRUE,Inputs!$B$32,0))))+1)),0)</f>
        <v/>
      </c>
      <c r="S170">
        <f>IFERROR(O170/N170,0)</f>
        <v/>
      </c>
      <c r="T170">
        <f>IF(C170,(H170*N170*IF(AND(Inputs!$B$38&lt;&gt;"pvp",Inputs!$B$43&gt;0),((Skills!G11*((R170-1)*IF(Skills!H11&gt;0,Skills!I11/Skills!H11,1)+IF(Skills!H11&gt;0,MIN(Skills!I11,MAX(0,MAX(0,Inputs!$B$43-B195)-((R170-1)*IF(Inputs!$B$38="pvp",15,MAX(0.1,Skills!D11-IF(Skills!E11=TRUE,Inputs!$B$32,0))))))/Skills!H11,1)))/Inputs!$B$43),G170*Q170))*IF(Inputs!$B$38="pvp",1,1+(Inputs!$B$20+0+Skills!P11+Summary!$B$59)/100),0)</f>
        <v/>
      </c>
      <c r="V170">
        <f>IF(C170,(H170*N170*IF(AND(Inputs!$B$38&lt;&gt;"pvp",Inputs!$B$43&gt;0),((Skills!G11*((R170-1)*IF(Skills!H11&gt;0,Skills!I11/Skills!H11,1)+IF(Skills!H11&gt;0,MIN(Skills!I11,MAX(0,MAX(0,Inputs!$B$43-B195)-((R170-1)*IF(Inputs!$B$38="pvp",15,MAX(0.1,Skills!D11-IF(Skills!E11=TRUE,Inputs!$B$32,0))))))/Skills!H11,1)))/Inputs!$B$43),G170*Q170))*IF(Inputs!$B$38="pvp",1,(1+(Inputs!$B$21+Skills!Q11+Summary!$B$59)/100)*(MIN(Skills!R11,Inputs!$B$37))),0)</f>
        <v/>
      </c>
    </row>
    <row r="171">
      <c r="A171">
        <f>Skills!A12</f>
        <v/>
      </c>
      <c r="B171">
        <f>Skills!B12</f>
        <v/>
      </c>
      <c r="C171">
        <f>Inputs!$B$3&gt;=100</f>
        <v/>
      </c>
      <c r="D171">
        <f>IF(Skills!C12=1,60+Inputs!$B$25+Inputs!$B$29,IF(Skills!C12=2,90+Inputs!$B$26+Inputs!$B$29,IF(Skills!C12=3,120+Inputs!$B$27+Inputs!$B$29,MAX(0,(Inputs!$B$3-100)*3)+Inputs!$B$28+Inputs!$B$29)))</f>
        <v/>
      </c>
      <c r="E171">
        <f>INDEX(FactorTable!$B$2:$Y$301, MATCH(ROUND(MIN(300,MAX(1,D171)),0), FactorTable!$A$2:$A$301,0), Skills!M12+1)</f>
        <v/>
      </c>
      <c r="F171">
        <f>IF(Skills!N12=TRUE,(Skills!L12/10)*(E171/1000),Skills!L12/10)+Skills!O12</f>
        <v/>
      </c>
      <c r="G171" t="inlineStr"/>
      <c r="H171" t="inlineStr"/>
      <c r="I171" t="inlineStr">
        <is>
          <t>1</t>
        </is>
      </c>
      <c r="J171" t="inlineStr"/>
      <c r="K171" t="inlineStr"/>
      <c r="L171" t="inlineStr"/>
      <c r="M171" t="inlineStr"/>
      <c r="N171" t="inlineStr"/>
      <c r="O171" t="inlineStr"/>
      <c r="P171" t="inlineStr"/>
      <c r="Q171" t="inlineStr"/>
      <c r="R171" t="inlineStr"/>
      <c r="S171" t="inlineStr"/>
    </row>
    <row r="172">
      <c r="A172">
        <f>Skills!A13</f>
        <v/>
      </c>
      <c r="B172">
        <f>Skills!B13</f>
        <v/>
      </c>
      <c r="C172">
        <f>Inputs!$B$3&gt;=45</f>
        <v/>
      </c>
      <c r="D172">
        <f>IF(Skills!C13=1,60+Inputs!$B$25+Inputs!$B$29,IF(Skills!C13=2,90+Inputs!$B$26+Inputs!$B$29,IF(Skills!C13=3,120+Inputs!$B$27+Inputs!$B$29,MAX(0,(Inputs!$B$3-100)*3)+Inputs!$B$28+Inputs!$B$29)))</f>
        <v/>
      </c>
      <c r="E172">
        <f>INDEX(FactorTable!$B$2:$Y$301, MATCH(ROUND(MIN(300,MAX(1,D172)),0), FactorTable!$A$2:$A$301,0), Skills!M13+1)</f>
        <v/>
      </c>
      <c r="F172">
        <f>IF(Skills!N13=TRUE,(Skills!L13/10)*(E172/1000),Skills!L13/10)+Skills!O13</f>
        <v/>
      </c>
      <c r="G172">
        <f>Skills!G13*IF(Skills!H13&gt;0,Skills!I13/Skills!H13,1)</f>
        <v/>
      </c>
      <c r="H172">
        <f>1-(1-Skills!J13/100)^Skills!K13</f>
        <v/>
      </c>
      <c r="I172" t="inlineStr">
        <is>
          <t>1</t>
        </is>
      </c>
      <c r="J172" t="inlineStr"/>
      <c r="K172" t="inlineStr"/>
      <c r="L172" t="inlineStr"/>
      <c r="M172" t="inlineStr"/>
      <c r="N172" t="inlineStr"/>
      <c r="O172">
        <f>(1-Summary!$B$55)*T172+Summary!$B$55*V172</f>
        <v/>
      </c>
      <c r="P172">
        <f>IF(B198=0,0,O172/B198)</f>
        <v/>
      </c>
      <c r="Q172" t="n">
        <v>0</v>
      </c>
      <c r="R172" t="n">
        <v>0</v>
      </c>
      <c r="S172">
        <f>IFERROR(O172/N172,0)</f>
        <v/>
      </c>
      <c r="T172" t="n">
        <v>0</v>
      </c>
      <c r="V172" t="n">
        <v>0</v>
      </c>
    </row>
    <row r="173">
      <c r="A173">
        <f>Skills!A14</f>
        <v/>
      </c>
      <c r="B173">
        <f>Skills!B14</f>
        <v/>
      </c>
      <c r="C173">
        <f>Inputs!$B$3&gt;=75</f>
        <v/>
      </c>
      <c r="D173">
        <f>IF(Skills!C14=1,60+Inputs!$B$25+Inputs!$B$29,IF(Skills!C14=2,90+Inputs!$B$26+Inputs!$B$29,IF(Skills!C14=3,120+Inputs!$B$27+Inputs!$B$29,MAX(0,(Inputs!$B$3-100)*3)+Inputs!$B$28+Inputs!$B$29)))</f>
        <v/>
      </c>
      <c r="E173">
        <f>INDEX(FactorTable!$B$2:$Y$301, MATCH(ROUND(MIN(300,MAX(1,D173)),0), FactorTable!$A$2:$A$301,0), Skills!M14+1)</f>
        <v/>
      </c>
      <c r="F173">
        <f>IF(Skills!N14=TRUE,(Skills!L14/10)*(E173/1000),Skills!L14/10)+Skills!O14</f>
        <v/>
      </c>
      <c r="G173">
        <f>Skills!G14*IF(Skills!H14&gt;0,Skills!I14/Skills!H14,1)</f>
        <v/>
      </c>
      <c r="H173">
        <f>1-(1-Skills!J14/100)^Skills!K14</f>
        <v/>
      </c>
      <c r="I173" t="inlineStr">
        <is>
          <t>1</t>
        </is>
      </c>
      <c r="J173" t="inlineStr"/>
      <c r="K173" t="inlineStr"/>
      <c r="L173" t="inlineStr"/>
      <c r="M173" t="inlineStr"/>
      <c r="N173" t="inlineStr"/>
      <c r="O173">
        <f>(1-Summary!$B$55)*T173+Summary!$B$55*V173</f>
        <v/>
      </c>
      <c r="P173">
        <f>IF(B198=0,0,O173/B198)</f>
        <v/>
      </c>
      <c r="Q173" t="n">
        <v>0</v>
      </c>
      <c r="R173" t="n">
        <v>0</v>
      </c>
      <c r="S173">
        <f>IFERROR(O173/N173,0)</f>
        <v/>
      </c>
      <c r="T173" t="n">
        <v>0</v>
      </c>
      <c r="V173" t="n">
        <v>0</v>
      </c>
    </row>
    <row r="174">
      <c r="A174">
        <f>Skills!A15</f>
        <v/>
      </c>
      <c r="B174">
        <f>Skills!B15</f>
        <v/>
      </c>
      <c r="C174">
        <f>Inputs!$B$3&gt;=40</f>
        <v/>
      </c>
      <c r="D174">
        <f>IF(Skills!C15=1,60+Inputs!$B$25+Inputs!$B$29,IF(Skills!C15=2,90+Inputs!$B$26+Inputs!$B$29,IF(Skills!C15=3,120+Inputs!$B$27+Inputs!$B$29,MAX(0,(Inputs!$B$3-100)*3)+Inputs!$B$28+Inputs!$B$29)))</f>
        <v/>
      </c>
      <c r="E174">
        <f>INDEX(FactorTable!$B$2:$Y$301, MATCH(ROUND(MIN(300,MAX(1,D174)),0), FactorTable!$A$2:$A$301,0), Skills!M15+1)</f>
        <v/>
      </c>
      <c r="F174">
        <f>IF(Skills!N15=TRUE,(Skills!L15/10)*(E174/1000),Skills!L15/10)+Skills!O15</f>
        <v/>
      </c>
      <c r="G174">
        <f>Skills!G15*IF(Skills!H15&gt;0,Skills!I15/Skills!H15,1)</f>
        <v/>
      </c>
      <c r="H174">
        <f>1-(1-Skills!J15/100)^Skills!K15</f>
        <v/>
      </c>
      <c r="I174" t="inlineStr">
        <is>
          <t>1</t>
        </is>
      </c>
      <c r="J174" t="inlineStr"/>
      <c r="K174" t="inlineStr"/>
      <c r="L174" t="inlineStr"/>
      <c r="M174" t="inlineStr"/>
      <c r="N174" t="inlineStr"/>
      <c r="O174">
        <f>(1-Summary!$B$55)*T174+Summary!$B$55*V174</f>
        <v/>
      </c>
      <c r="P174">
        <f>IF(B198=0,0,O174/B198)</f>
        <v/>
      </c>
      <c r="Q174">
        <f>IFERROR(1/IF(Inputs!$B$38="pvp",15,MAX(0.1,Skills!D15-IF(Skills!E15=TRUE,Inputs!$B$32,0))),0)</f>
        <v/>
      </c>
      <c r="R174">
        <f>IF(AND(Inputs!$B$38&lt;&gt;"pvp",Inputs!$B$43&gt;0),IF(Inputs!$B$43&lt;=0,0,(INT(Inputs!$B$43/IF(Inputs!$B$38="pvp",15,MAX(0.1,Skills!D15-IF(Skills!E15=TRUE,Inputs!$B$32,0))))+1)),0)</f>
        <v/>
      </c>
      <c r="S174">
        <f>IFERROR(O174/N174,0)</f>
        <v/>
      </c>
      <c r="T174" t="n">
        <v>0</v>
      </c>
      <c r="V174" t="n">
        <v>0</v>
      </c>
    </row>
    <row r="175">
      <c r="A175">
        <f>Skills!A16</f>
        <v/>
      </c>
      <c r="B175">
        <f>Skills!B16</f>
        <v/>
      </c>
      <c r="C175">
        <f>Inputs!$B$3&gt;=66</f>
        <v/>
      </c>
      <c r="D175">
        <f>IF(Skills!C16=1,60+Inputs!$B$25+Inputs!$B$29,IF(Skills!C16=2,90+Inputs!$B$26+Inputs!$B$29,IF(Skills!C16=3,120+Inputs!$B$27+Inputs!$B$29,MAX(0,(Inputs!$B$3-100)*3)+Inputs!$B$28+Inputs!$B$29)))</f>
        <v/>
      </c>
      <c r="E175">
        <f>INDEX(FactorTable!$B$2:$Y$301, MATCH(ROUND(MIN(300,MAX(1,D175)),0), FactorTable!$A$2:$A$301,0), Skills!M16+1)</f>
        <v/>
      </c>
      <c r="F175">
        <f>IF(Skills!N16=TRUE,(Skills!L16/10)*(E175/1000),Skills!L16/10)+Skills!O16</f>
        <v/>
      </c>
      <c r="G175">
        <f>Skills!G16*IF(Skills!H16&gt;0,Skills!I16/Skills!H16,1)</f>
        <v/>
      </c>
      <c r="H175">
        <f>1-(1-Skills!J16/100)^Skills!K16</f>
        <v/>
      </c>
      <c r="I175" t="inlineStr">
        <is>
          <t>1</t>
        </is>
      </c>
      <c r="J175" t="inlineStr"/>
      <c r="K175" t="inlineStr"/>
      <c r="L175" t="inlineStr"/>
      <c r="M175" t="inlineStr"/>
      <c r="N175" t="inlineStr"/>
      <c r="O175">
        <f>(1-Summary!$B$55)*T175+Summary!$B$55*V175</f>
        <v/>
      </c>
      <c r="P175">
        <f>IF(B198=0,0,O175/B198)</f>
        <v/>
      </c>
      <c r="Q175">
        <f>IFERROR(1/IF(Inputs!$B$38="pvp",15,MAX(0.1,Skills!D16-IF(Skills!E16=TRUE,Inputs!$B$32,0))),0)</f>
        <v/>
      </c>
      <c r="R175">
        <f>IF(AND(Inputs!$B$38&lt;&gt;"pvp",Inputs!$B$43&gt;0),IF(Inputs!$B$43&lt;=0,0,(INT(Inputs!$B$43/IF(Inputs!$B$38="pvp",15,MAX(0.1,Skills!D16-IF(Skills!E16=TRUE,Inputs!$B$32,0))))+1)),0)</f>
        <v/>
      </c>
      <c r="S175">
        <f>IFERROR(O175/N175,0)</f>
        <v/>
      </c>
      <c r="T175" t="n">
        <v>0</v>
      </c>
      <c r="V175" t="n">
        <v>0</v>
      </c>
    </row>
    <row r="176">
      <c r="A176">
        <f>Skills!A17</f>
        <v/>
      </c>
      <c r="B176">
        <f>Skills!B17</f>
        <v/>
      </c>
      <c r="C176">
        <f>Inputs!$B$3&gt;=115</f>
        <v/>
      </c>
      <c r="D176">
        <f>IF(Skills!C17=1,60+Inputs!$B$25+Inputs!$B$29,IF(Skills!C17=2,90+Inputs!$B$26+Inputs!$B$29,IF(Skills!C17=3,120+Inputs!$B$27+Inputs!$B$29,MAX(0,(Inputs!$B$3-100)*3)+Inputs!$B$28+Inputs!$B$29)))</f>
        <v/>
      </c>
      <c r="E176">
        <f>INDEX(FactorTable!$B$2:$Y$301, MATCH(ROUND(MIN(300,MAX(1,D176)),0), FactorTable!$A$2:$A$301,0), Skills!M17+1)</f>
        <v/>
      </c>
      <c r="F176">
        <f>IF(Skills!N17=TRUE,(Skills!L17/10)*(E176/1000),Skills!L17/10)+Skills!O17</f>
        <v/>
      </c>
      <c r="G176">
        <f>Skills!G17*IF(Skills!H17&gt;0,Skills!I17/Skills!H17,1)</f>
        <v/>
      </c>
      <c r="H176">
        <f>1-(1-Skills!J17/100)^Skills!K17</f>
        <v/>
      </c>
      <c r="I176" t="inlineStr">
        <is>
          <t>1</t>
        </is>
      </c>
      <c r="J176" t="inlineStr"/>
      <c r="K176" t="inlineStr"/>
      <c r="L176" t="inlineStr"/>
      <c r="M176" t="inlineStr"/>
      <c r="N176" t="inlineStr"/>
      <c r="O176">
        <f>(1-Summary!$B$55)*T176+Summary!$B$55*V176</f>
        <v/>
      </c>
      <c r="P176">
        <f>IF(B198=0,0,O176/B198)</f>
        <v/>
      </c>
      <c r="Q176">
        <f>IFERROR(1/IF(Inputs!$B$38="pvp",15,MAX(0.1,Skills!D17-IF(Skills!E17=TRUE,Inputs!$B$32,0))),0)</f>
        <v/>
      </c>
      <c r="R176">
        <f>IF(AND(Inputs!$B$38&lt;&gt;"pvp",Inputs!$B$43&gt;0),IF(Inputs!$B$43&lt;=0,0,(INT(Inputs!$B$43/IF(Inputs!$B$38="pvp",15,MAX(0.1,Skills!D17-IF(Skills!E17=TRUE,Inputs!$B$32,0))))+1)),0)</f>
        <v/>
      </c>
      <c r="S176">
        <f>IFERROR(O176/N176,0)</f>
        <v/>
      </c>
      <c r="T176" t="n">
        <v>0</v>
      </c>
      <c r="V176" t="n">
        <v>0</v>
      </c>
    </row>
    <row r="177">
      <c r="A177">
        <f>Skills!A18</f>
        <v/>
      </c>
      <c r="B177">
        <f>Skills!B18</f>
        <v/>
      </c>
      <c r="C177">
        <f>Inputs!$B$3&gt;=115</f>
        <v/>
      </c>
      <c r="D177">
        <f>IF(Skills!C18=1,60+Inputs!$B$25+Inputs!$B$29,IF(Skills!C18=2,90+Inputs!$B$26+Inputs!$B$29,IF(Skills!C18=3,120+Inputs!$B$27+Inputs!$B$29,MAX(0,(Inputs!$B$3-100)*3)+Inputs!$B$28+Inputs!$B$29)))</f>
        <v/>
      </c>
      <c r="E177">
        <f>INDEX(FactorTable!$B$2:$Y$301, MATCH(ROUND(MIN(300,MAX(1,D177)),0), FactorTable!$A$2:$A$301,0), Skills!M18+1)</f>
        <v/>
      </c>
      <c r="F177">
        <f>IF(Skills!N18=TRUE,(Skills!L18/10)*(E177/1000),Skills!L18/10)+Skills!O18</f>
        <v/>
      </c>
      <c r="G177">
        <f>Skills!G18*IF(Skills!H18&gt;0,Skills!I18/Skills!H18,1)</f>
        <v/>
      </c>
      <c r="H177">
        <f>1-(1-Skills!J18/100)^Skills!K18</f>
        <v/>
      </c>
      <c r="I177" t="inlineStr">
        <is>
          <t>1</t>
        </is>
      </c>
      <c r="J177" t="inlineStr"/>
      <c r="K177" t="inlineStr"/>
      <c r="L177" t="inlineStr"/>
      <c r="M177" t="inlineStr"/>
      <c r="N177" t="inlineStr"/>
      <c r="O177">
        <f>(1-Summary!$B$55)*T177+Summary!$B$55*V177</f>
        <v/>
      </c>
      <c r="P177">
        <f>IF(B198=0,0,O177/B198)</f>
        <v/>
      </c>
      <c r="Q177">
        <f>IFERROR(1/IF(Inputs!$B$38="pvp",15,MAX(0.1,Skills!D18-IF(Skills!E18=TRUE,Inputs!$B$32,0))),0)</f>
        <v/>
      </c>
      <c r="R177">
        <f>IF(AND(Inputs!$B$38&lt;&gt;"pvp",Inputs!$B$43&gt;0),IF(Inputs!$B$43&lt;=0,0,(INT(Inputs!$B$43/IF(Inputs!$B$38="pvp",15,MAX(0.1,Skills!D18-IF(Skills!E18=TRUE,Inputs!$B$32,0))))+1)),0)</f>
        <v/>
      </c>
      <c r="S177">
        <f>IFERROR(O177/N177,0)</f>
        <v/>
      </c>
      <c r="T177" t="n">
        <v>0</v>
      </c>
      <c r="V177" t="n">
        <v>0</v>
      </c>
    </row>
    <row r="178">
      <c r="A178">
        <f>Skills!A19</f>
        <v/>
      </c>
      <c r="B178">
        <f>Skills!B19</f>
        <v/>
      </c>
      <c r="C178">
        <f>TRUE</f>
        <v/>
      </c>
      <c r="D178">
        <f>IF(Skills!C19=1,60+Inputs!$B$25+Inputs!$B$29,IF(Skills!C19=2,90+Inputs!$B$26+Inputs!$B$29,IF(Skills!C19=3,120+Inputs!$B$27+Inputs!$B$29,MAX(0,(Inputs!$B$3-100)*3)+Inputs!$B$28+Inputs!$B$29)))</f>
        <v/>
      </c>
      <c r="E178">
        <f>INDEX(FactorTable!$B$2:$Y$301, MATCH(ROUND(MIN(300,MAX(1,D178)),0), FactorTable!$A$2:$A$301,0), Skills!M19+1)</f>
        <v/>
      </c>
      <c r="F178">
        <f>IF(Skills!N19=TRUE,(Skills!L19/10)*(E178/1000),Skills!L19/10)+Skills!O19</f>
        <v/>
      </c>
      <c r="G178">
        <f>Skills!G19*IF(Skills!H19&gt;0,Skills!I19/Skills!H19,1)</f>
        <v/>
      </c>
      <c r="H178">
        <f>1-(1-Skills!J19/100)^Skills!K19</f>
        <v/>
      </c>
      <c r="I178" t="inlineStr">
        <is>
          <t>1</t>
        </is>
      </c>
      <c r="J178" t="inlineStr"/>
      <c r="K178" t="inlineStr"/>
      <c r="L178" t="inlineStr"/>
      <c r="M178" t="inlineStr"/>
      <c r="N178" t="inlineStr"/>
      <c r="O178">
        <f>(1-Summary!$B$55)*T178+Summary!$B$55*V178</f>
        <v/>
      </c>
      <c r="P178">
        <f>IF(B198=0,0,O178/B198)</f>
        <v/>
      </c>
      <c r="Q178">
        <f>IFERROR(1/IF(Inputs!$B$38="pvp",15,MAX(0.1,Skills!D19-IF(Skills!E19=TRUE,Inputs!$B$32,0))),0)</f>
        <v/>
      </c>
      <c r="R178">
        <f>IF(AND(Inputs!$B$38&lt;&gt;"pvp",Inputs!$B$43&gt;0),IF(Inputs!$B$43&lt;=0,0,(INT(Inputs!$B$43/IF(Inputs!$B$38="pvp",15,MAX(0.1,Skills!D19-IF(Skills!E19=TRUE,Inputs!$B$32,0))))+1)),0)</f>
        <v/>
      </c>
      <c r="S178">
        <f>IFERROR(O178/N178,0)</f>
        <v/>
      </c>
      <c r="T178" t="n">
        <v>0</v>
      </c>
      <c r="V178" t="n">
        <v>0</v>
      </c>
    </row>
    <row r="179">
      <c r="A179">
        <f>Skills!A20</f>
        <v/>
      </c>
      <c r="B179">
        <f>Skills!B20</f>
        <v/>
      </c>
      <c r="C179">
        <f>Inputs!$B$3&gt;=33</f>
        <v/>
      </c>
      <c r="D179">
        <f>IF(Skills!C20=1,60+Inputs!$B$25+Inputs!$B$29,IF(Skills!C20=2,90+Inputs!$B$26+Inputs!$B$29,IF(Skills!C20=3,120+Inputs!$B$27+Inputs!$B$29,MAX(0,(Inputs!$B$3-100)*3)+Inputs!$B$28+Inputs!$B$29)))</f>
        <v/>
      </c>
      <c r="E179">
        <f>INDEX(FactorTable!$B$2:$Y$301, MATCH(ROUND(MIN(300,MAX(1,D179)),0), FactorTable!$A$2:$A$301,0), Skills!M20+1)</f>
        <v/>
      </c>
      <c r="F179">
        <f>IF(Skills!N20=TRUE,(Skills!L20/10)*(E179/1000),Skills!L20/10)+Skills!O20</f>
        <v/>
      </c>
      <c r="G179">
        <f>Skills!G20*IF(Skills!H20&gt;0,Skills!I20/Skills!H20,1)</f>
        <v/>
      </c>
      <c r="H179">
        <f>1-(1-Skills!J20/100)^Skills!K20</f>
        <v/>
      </c>
      <c r="I179" t="inlineStr">
        <is>
          <t>1</t>
        </is>
      </c>
      <c r="J179" t="inlineStr"/>
      <c r="K179" t="inlineStr"/>
      <c r="L179" t="inlineStr"/>
      <c r="M179" t="inlineStr"/>
      <c r="N179" t="inlineStr"/>
      <c r="O179">
        <f>(1-Summary!$B$55)*T179+Summary!$B$55*V179</f>
        <v/>
      </c>
      <c r="P179">
        <f>IF(B198=0,0,O179/B198)</f>
        <v/>
      </c>
      <c r="Q179" t="n">
        <v>0</v>
      </c>
      <c r="R179" t="n">
        <v>0</v>
      </c>
      <c r="S179">
        <f>IFERROR(O179/N179,0)</f>
        <v/>
      </c>
      <c r="T179" t="n">
        <v>0</v>
      </c>
      <c r="V179" t="n">
        <v>0</v>
      </c>
    </row>
    <row r="180">
      <c r="A180">
        <f>Skills!A21</f>
        <v/>
      </c>
      <c r="B180">
        <f>Skills!B21</f>
        <v/>
      </c>
      <c r="C180">
        <f>Inputs!$B$3&gt;=38</f>
        <v/>
      </c>
      <c r="D180">
        <f>IF(Skills!C21=1,60+Inputs!$B$25+Inputs!$B$29,IF(Skills!C21=2,90+Inputs!$B$26+Inputs!$B$29,IF(Skills!C21=3,120+Inputs!$B$27+Inputs!$B$29,MAX(0,(Inputs!$B$3-100)*3)+Inputs!$B$28+Inputs!$B$29)))</f>
        <v/>
      </c>
      <c r="E180">
        <f>INDEX(FactorTable!$B$2:$Y$301, MATCH(ROUND(MIN(300,MAX(1,D180)),0), FactorTable!$A$2:$A$301,0), Skills!M21+1)</f>
        <v/>
      </c>
      <c r="F180">
        <f>IF(Skills!N21=TRUE,(Skills!L21/10)*(E180/1000),Skills!L21/10)+Skills!O21</f>
        <v/>
      </c>
      <c r="G180">
        <f>Skills!G21*IF(Skills!H21&gt;0,Skills!I21/Skills!H21,1)</f>
        <v/>
      </c>
      <c r="H180">
        <f>1-(1-Skills!J21/100)^Skills!K21</f>
        <v/>
      </c>
      <c r="I180" t="inlineStr">
        <is>
          <t>1</t>
        </is>
      </c>
      <c r="J180" t="inlineStr"/>
      <c r="K180" t="inlineStr"/>
      <c r="L180" t="inlineStr"/>
      <c r="M180" t="inlineStr"/>
      <c r="N180" t="inlineStr"/>
      <c r="O180">
        <f>(1-Summary!$B$55)*T180+Summary!$B$55*V180</f>
        <v/>
      </c>
      <c r="P180">
        <f>IF(B198=0,0,O180/B198)</f>
        <v/>
      </c>
      <c r="Q180" t="n">
        <v>0</v>
      </c>
      <c r="R180" t="n">
        <v>0</v>
      </c>
      <c r="S180">
        <f>IFERROR(O180/N180,0)</f>
        <v/>
      </c>
      <c r="T180" t="n">
        <v>0</v>
      </c>
      <c r="V180" t="n">
        <v>0</v>
      </c>
    </row>
    <row r="181">
      <c r="A181">
        <f>Skills!A22</f>
        <v/>
      </c>
      <c r="B181">
        <f>Skills!B22</f>
        <v/>
      </c>
      <c r="C181">
        <f>Inputs!$B$3&gt;=43</f>
        <v/>
      </c>
      <c r="D181">
        <f>IF(Skills!C22=1,60+Inputs!$B$25+Inputs!$B$29,IF(Skills!C22=2,90+Inputs!$B$26+Inputs!$B$29,IF(Skills!C22=3,120+Inputs!$B$27+Inputs!$B$29,MAX(0,(Inputs!$B$3-100)*3)+Inputs!$B$28+Inputs!$B$29)))</f>
        <v/>
      </c>
      <c r="E181">
        <f>INDEX(FactorTable!$B$2:$Y$301, MATCH(ROUND(MIN(300,MAX(1,D181)),0), FactorTable!$A$2:$A$301,0), Skills!M22+1)</f>
        <v/>
      </c>
      <c r="F181">
        <f>IF(Skills!N22=TRUE,(Skills!L22/10)*(E181/1000),Skills!L22/10)+Skills!O22</f>
        <v/>
      </c>
      <c r="G181">
        <f>Skills!G22*IF(Skills!H22&gt;0,Skills!I22/Skills!H22,1)</f>
        <v/>
      </c>
      <c r="H181">
        <f>1-(1-Skills!J22/100)^Skills!K22</f>
        <v/>
      </c>
      <c r="I181" t="inlineStr">
        <is>
          <t>1</t>
        </is>
      </c>
      <c r="J181" t="inlineStr"/>
      <c r="K181" t="inlineStr"/>
      <c r="L181" t="inlineStr"/>
      <c r="M181" t="inlineStr"/>
      <c r="N181" t="inlineStr"/>
      <c r="O181">
        <f>(1-Summary!$B$55)*T181+Summary!$B$55*V181</f>
        <v/>
      </c>
      <c r="P181">
        <f>IF(B198=0,0,O181/B198)</f>
        <v/>
      </c>
      <c r="Q181" t="n">
        <v>0</v>
      </c>
      <c r="R181" t="n">
        <v>0</v>
      </c>
      <c r="S181">
        <f>IFERROR(O181/N181,0)</f>
        <v/>
      </c>
      <c r="T181" t="n">
        <v>0</v>
      </c>
      <c r="V181" t="n">
        <v>0</v>
      </c>
    </row>
    <row r="182">
      <c r="A182">
        <f>Skills!A23</f>
        <v/>
      </c>
      <c r="B182">
        <f>Skills!B23</f>
        <v/>
      </c>
      <c r="C182">
        <f>Inputs!$B$3&gt;=120</f>
        <v/>
      </c>
      <c r="D182">
        <f>IF(Skills!C23=1,60+Inputs!$B$25+Inputs!$B$29,IF(Skills!C23=2,90+Inputs!$B$26+Inputs!$B$29,IF(Skills!C23=3,120+Inputs!$B$27+Inputs!$B$29,MAX(0,(Inputs!$B$3-100)*3)+Inputs!$B$28+Inputs!$B$29)))</f>
        <v/>
      </c>
      <c r="E182">
        <f>INDEX(FactorTable!$B$2:$Y$301, MATCH(ROUND(MIN(300,MAX(1,D182)),0), FactorTable!$A$2:$A$301,0), Skills!M23+1)</f>
        <v/>
      </c>
      <c r="F182">
        <f>IF(Skills!N23=TRUE,(Skills!L23/10)*(E182/1000),Skills!L23/10)+Skills!O23</f>
        <v/>
      </c>
      <c r="G182">
        <f>Skills!G23*IF(Skills!H23&gt;0,Skills!I23/Skills!H23,1)</f>
        <v/>
      </c>
      <c r="H182">
        <f>1-(1-Skills!J23/100)^Skills!K23</f>
        <v/>
      </c>
      <c r="I182" t="inlineStr">
        <is>
          <t>1</t>
        </is>
      </c>
      <c r="J182" t="inlineStr"/>
      <c r="K182" t="inlineStr"/>
      <c r="L182" t="inlineStr"/>
      <c r="M182" t="inlineStr"/>
      <c r="N182" t="inlineStr"/>
      <c r="O182">
        <f>(1-Summary!$B$55)*T182+Summary!$B$55*V182</f>
        <v/>
      </c>
      <c r="P182">
        <f>IF(B198=0,0,O182/B198)</f>
        <v/>
      </c>
      <c r="Q182" t="n">
        <v>0</v>
      </c>
      <c r="R182" t="n">
        <v>0</v>
      </c>
      <c r="S182">
        <f>IFERROR(O182/N182,0)</f>
        <v/>
      </c>
      <c r="T182" t="n">
        <v>0</v>
      </c>
      <c r="V182" t="n">
        <v>0</v>
      </c>
    </row>
    <row r="183">
      <c r="A183">
        <f>Skills!A24</f>
        <v/>
      </c>
      <c r="B183">
        <f>Skills!B24</f>
        <v/>
      </c>
      <c r="C183">
        <f>Inputs!$B$3&gt;=120</f>
        <v/>
      </c>
      <c r="D183">
        <f>IF(Skills!C24=1,60+Inputs!$B$25+Inputs!$B$29,IF(Skills!C24=2,90+Inputs!$B$26+Inputs!$B$29,IF(Skills!C24=3,120+Inputs!$B$27+Inputs!$B$29,MAX(0,(Inputs!$B$3-100)*3)+Inputs!$B$28+Inputs!$B$29)))</f>
        <v/>
      </c>
      <c r="E183">
        <f>INDEX(FactorTable!$B$2:$Y$301, MATCH(ROUND(MIN(300,MAX(1,D183)),0), FactorTable!$A$2:$A$301,0), Skills!M24+1)</f>
        <v/>
      </c>
      <c r="F183">
        <f>IF(Skills!N24=TRUE,(Skills!L24/10)*(E183/1000),Skills!L24/10)+Skills!O24</f>
        <v/>
      </c>
      <c r="G183">
        <f>Skills!G24*IF(Skills!H24&gt;0,Skills!I24/Skills!H24,1)</f>
        <v/>
      </c>
      <c r="H183">
        <f>1-(1-Skills!J24/100)^Skills!K24</f>
        <v/>
      </c>
      <c r="I183" t="inlineStr">
        <is>
          <t>1</t>
        </is>
      </c>
      <c r="J183" t="inlineStr"/>
      <c r="K183" t="inlineStr"/>
      <c r="L183" t="inlineStr"/>
      <c r="M183" t="inlineStr"/>
      <c r="N183" t="inlineStr"/>
      <c r="O183">
        <f>(1-Summary!$B$55)*T183+Summary!$B$55*V183</f>
        <v/>
      </c>
      <c r="P183">
        <f>IF(B198=0,0,O183/B198)</f>
        <v/>
      </c>
      <c r="Q183" t="n">
        <v>0</v>
      </c>
      <c r="R183" t="n">
        <v>0</v>
      </c>
      <c r="S183">
        <f>IFERROR(O183/N183,0)</f>
        <v/>
      </c>
      <c r="T183" t="n">
        <v>0</v>
      </c>
      <c r="V183" t="n">
        <v>0</v>
      </c>
    </row>
    <row r="184">
      <c r="A184">
        <f>Skills!A25</f>
        <v/>
      </c>
      <c r="B184">
        <f>Skills!B25</f>
        <v/>
      </c>
      <c r="C184">
        <f>Inputs!$B$3&gt;=125</f>
        <v/>
      </c>
      <c r="D184">
        <f>IF(Skills!C25=1,60+Inputs!$B$25+Inputs!$B$29,IF(Skills!C25=2,90+Inputs!$B$26+Inputs!$B$29,IF(Skills!C25=3,120+Inputs!$B$27+Inputs!$B$29,MAX(0,(Inputs!$B$3-100)*3)+Inputs!$B$28+Inputs!$B$29)))</f>
        <v/>
      </c>
      <c r="E184">
        <f>INDEX(FactorTable!$B$2:$Y$301, MATCH(ROUND(MIN(300,MAX(1,D184)),0), FactorTable!$A$2:$A$301,0), Skills!M25+1)</f>
        <v/>
      </c>
      <c r="F184">
        <f>IF(Skills!N25=TRUE,(Skills!L25/10)*(E184/1000),Skills!L25/10)+Skills!O25</f>
        <v/>
      </c>
      <c r="G184">
        <f>Skills!G25*IF(Skills!H25&gt;0,Skills!I25/Skills!H25,1)</f>
        <v/>
      </c>
      <c r="H184">
        <f>1-(1-Skills!J25/100)^Skills!K25</f>
        <v/>
      </c>
      <c r="I184" t="inlineStr">
        <is>
          <t>1</t>
        </is>
      </c>
      <c r="J184" t="inlineStr"/>
      <c r="K184" t="inlineStr"/>
      <c r="L184" t="inlineStr"/>
      <c r="M184" t="inlineStr"/>
      <c r="N184" t="inlineStr"/>
      <c r="O184">
        <f>(1-Summary!$B$55)*T184+Summary!$B$55*V184</f>
        <v/>
      </c>
      <c r="P184">
        <f>IF(B198=0,0,O184/B198)</f>
        <v/>
      </c>
      <c r="Q184" t="n">
        <v>0</v>
      </c>
      <c r="R184" t="n">
        <v>0</v>
      </c>
      <c r="S184">
        <f>IFERROR(O184/N184,0)</f>
        <v/>
      </c>
      <c r="T184" t="n">
        <v>0</v>
      </c>
      <c r="V184" t="n">
        <v>0</v>
      </c>
    </row>
    <row r="185">
      <c r="A185">
        <f>Skills!A26</f>
        <v/>
      </c>
      <c r="B185">
        <f>Skills!B26</f>
        <v/>
      </c>
      <c r="C185">
        <f>Inputs!$B$3&gt;=72</f>
        <v/>
      </c>
      <c r="D185">
        <f>IF(Skills!C26=1,60+Inputs!$B$25+Inputs!$B$29,IF(Skills!C26=2,90+Inputs!$B$26+Inputs!$B$29,IF(Skills!C26=3,120+Inputs!$B$27+Inputs!$B$29,MAX(0,(Inputs!$B$3-100)*3)+Inputs!$B$28+Inputs!$B$29)))</f>
        <v/>
      </c>
      <c r="E185">
        <f>INDEX(FactorTable!$B$2:$Y$301, MATCH(ROUND(MIN(300,MAX(1,D185)),0), FactorTable!$A$2:$A$301,0), Skills!M26+1)</f>
        <v/>
      </c>
      <c r="F185">
        <f>IF(Skills!N26=TRUE,(Skills!L26/10)*(E185/1000),Skills!L26/10)+Skills!O26</f>
        <v/>
      </c>
      <c r="G185">
        <f>Skills!G26*IF(Skills!H26&gt;0,Skills!I26/Skills!H26,1)</f>
        <v/>
      </c>
      <c r="H185">
        <f>1-(1-Skills!J26/100)^Skills!K26</f>
        <v/>
      </c>
      <c r="I185" t="inlineStr">
        <is>
          <t>1</t>
        </is>
      </c>
      <c r="J185" t="inlineStr"/>
      <c r="K185" t="inlineStr"/>
      <c r="L185" t="inlineStr"/>
      <c r="M185" t="inlineStr"/>
      <c r="N185" t="inlineStr"/>
      <c r="O185">
        <f>(1-Summary!$B$55)*T185+Summary!$B$55*V185</f>
        <v/>
      </c>
      <c r="P185">
        <f>IF(B198=0,0,O185/B198)</f>
        <v/>
      </c>
      <c r="Q185" t="n">
        <v>0</v>
      </c>
      <c r="R185" t="n">
        <v>0</v>
      </c>
      <c r="S185">
        <f>IFERROR(O185/N185,0)</f>
        <v/>
      </c>
      <c r="T185" t="n">
        <v>0</v>
      </c>
      <c r="V185" t="n">
        <v>0</v>
      </c>
    </row>
    <row r="187">
      <c r="A187" t="inlineStr">
        <is>
          <t>Attack% Bucket Multiplier</t>
        </is>
      </c>
      <c r="B187">
        <f>(1+(((C172=TRUE)*F172*IF(Inputs!$B$3&gt;=110,7,5))+((C174=TRUE)*F174*IF(AND(Inputs!$B$38&lt;&gt;"pvp",Inputs!$B$43&gt;0),(((R174-1)*(Skills!T15*(1+Inputs!$B$34/100))+MIN((Skills!T15*(1+Inputs!$B$34/100)),MAX(0,Inputs!$B$43-((R174-1)*Skills!D15))))/Inputs!$B$43),IF(Inputs!$B$38="pvp",MIN((Skills!T15*(1+Inputs!$B$34/100)),15)/15,(Skills!T15*(1+Inputs!$B$34/100))/Skills!D15)))+0)/100)</f>
        <v/>
      </c>
    </row>
    <row r="188">
      <c r="A188" t="inlineStr">
        <is>
          <t>Global Crit Rate Bonus %</t>
        </is>
      </c>
      <c r="B188" t="n">
        <v>0</v>
      </c>
    </row>
    <row r="189">
      <c r="A189" t="inlineStr">
        <is>
          <t>Attack Speed Buff Bonus %</t>
        </is>
      </c>
      <c r="B189">
        <f>((C178=TRUE)*F178*IF(AND(Inputs!$B$38&lt;&gt;"pvp",Inputs!$B$43&gt;0),(((R178-1)*(Skills!T19*(1+Inputs!$B$34/100))+MIN((Skills!T19*(1+Inputs!$B$34/100)),MAX(0,Inputs!$B$43-((R178-1)*Skills!D19))))/Inputs!$B$43),IF(Inputs!$B$38="pvp",MIN((Skills!T19*(1+Inputs!$B$34/100)),15)/15,(Skills!T19*(1+Inputs!$B$34/100))/Skills!D19)))</f>
        <v/>
      </c>
    </row>
    <row r="190">
      <c r="A190" t="inlineStr">
        <is>
          <t>Actions Per Second</t>
        </is>
      </c>
      <c r="B190">
        <f>1+MIN(150,150*(1-(1-(Inputs!$B$11+((C179=TRUE)*(F179-Calc!F20)))/150)*(1-B189/150)))/100</f>
        <v/>
      </c>
    </row>
    <row r="191">
      <c r="A191" t="inlineStr">
        <is>
          <t>Skill + Buff Cast Rate</t>
        </is>
      </c>
      <c r="B191">
        <f>IF(AND(Inputs!$B$38&lt;&gt;"pvp",Inputs!$B$43&gt;0),SUMPRODUCT((Skills!E2:E26=TRUE)*(C161:C185=TRUE)*R161:R185*Skills!F2:F26)/Inputs!$B$43,SUMPRODUCT((Skills!E2:E26=TRUE)*(C161:C185=TRUE)*Q161:Q185*Skills!F2:F26))</f>
        <v/>
      </c>
    </row>
    <row r="192">
      <c r="A192" t="inlineStr">
        <is>
          <t>Raging Blow Casts Per Second</t>
        </is>
      </c>
      <c r="B192">
        <f>MAX(0,B190-B191)</f>
        <v/>
      </c>
    </row>
    <row r="193">
      <c r="A193" t="inlineStr">
        <is>
          <t>Global Critical Damage Bonus % (Enrage)</t>
        </is>
      </c>
      <c r="B193">
        <f>((C177=TRUE)*F177*IF(AND(Inputs!$B$38&lt;&gt;"pvp",Inputs!$B$43&gt;0),(((R177-1)*(Skills!T18*(1+Inputs!$B$34/100))+MIN((Skills!T18*(1+Inputs!$B$34/100)),MAX(0,Inputs!$B$43-((R177-1)*Skills!D18))))/Inputs!$B$43),IF(Inputs!$B$38="pvp",MIN((Skills!T18*(1+Inputs!$B$34/100)),15)/15,(Skills!T18*(1+Inputs!$B$34/100))/Skills!D18)))</f>
        <v/>
      </c>
    </row>
    <row r="194">
      <c r="A194" t="inlineStr">
        <is>
          <t>Global Final Damage Bonus % (Enrage + Combo Synergy)</t>
        </is>
      </c>
      <c r="B194">
        <f>((C176=TRUE)*F176*IF(AND(Inputs!$B$38&lt;&gt;"pvp",Inputs!$B$43&gt;0),(((R176-1)*(Skills!T17*(1+Inputs!$B$34/100))+MIN((Skills!T17*(1+Inputs!$B$34/100)),MAX(0,Inputs!$B$43-((R176-1)*Skills!D17))))/Inputs!$B$43),IF(Inputs!$B$38="pvp",MIN((Skills!T17*(1+Inputs!$B$34/100)),15)/15,(Skills!T17*(1+Inputs!$B$34/100))/Skills!D17)))+((C173=TRUE)*F173*IF(Inputs!$B$3&gt;=110,7,5))</f>
        <v/>
      </c>
    </row>
    <row r="195">
      <c r="A195" t="inlineStr">
        <is>
          <t>Buff-Casting Startup Delay (s, fixed-duration only)</t>
        </is>
      </c>
      <c r="B195">
        <f>IF(AND(Inputs!$B$38&lt;&gt;"pvp",Inputs!$B$43&gt;0),SUMPRODUCT((Skills!T2:T26&gt;0)*(Skills!E2:E26=TRUE)*(C161:C185=TRUE))/B190,0)</f>
        <v/>
      </c>
    </row>
    <row r="196">
      <c r="A196" t="inlineStr">
        <is>
          <t>Boss-Only Total DPS (this block's swept value)</t>
        </is>
      </c>
      <c r="B196">
        <f>SUM(T161:T185)</f>
        <v/>
      </c>
    </row>
    <row r="197">
      <c r="A197" t="inlineStr">
        <is>
          <t>Normal-Only Total DPS (this block's swept value)</t>
        </is>
      </c>
      <c r="B197">
        <f>SUM(V161:V185)</f>
        <v/>
      </c>
    </row>
    <row r="198">
      <c r="A198" s="5" t="inlineStr">
        <is>
          <t>TOTAL DPS</t>
        </is>
      </c>
      <c r="B198" s="5">
        <f>SUM(O161:O185)</f>
        <v/>
      </c>
    </row>
    <row r="201">
      <c r="A201" s="5" t="inlineStr">
        <is>
          <t>Stat: DAMAGE_AMP %</t>
        </is>
      </c>
    </row>
    <row r="202">
      <c r="A202" s="9" t="inlineStr">
        <is>
          <t>Key</t>
        </is>
      </c>
      <c r="B202" s="9" t="inlineStr">
        <is>
          <t>Name</t>
        </is>
      </c>
      <c r="C202" s="9" t="inlineStr">
        <is>
          <t>Unlocked</t>
        </is>
      </c>
      <c r="D202" s="9" t="inlineStr">
        <is>
          <t>InputLevel</t>
        </is>
      </c>
      <c r="E202" s="9" t="inlineStr">
        <is>
          <t>Factor</t>
        </is>
      </c>
      <c r="F202" s="9" t="inlineStr">
        <is>
          <t>CoefficientPercent</t>
        </is>
      </c>
      <c r="G202" s="9" t="inlineStr">
        <is>
          <t>EffectiveHits</t>
        </is>
      </c>
      <c r="H202" s="9" t="inlineStr">
        <is>
          <t>ProcProbability</t>
        </is>
      </c>
      <c r="I202" s="9" t="inlineStr">
        <is>
          <t>MapleHeroMultiplier</t>
        </is>
      </c>
      <c r="J202" s="9" t="inlineStr">
        <is>
          <t>BaseDamage</t>
        </is>
      </c>
      <c r="K202" s="9" t="inlineStr">
        <is>
          <t>BaseHitDamage</t>
        </is>
      </c>
      <c r="L202" s="9" t="inlineStr">
        <is>
          <t>NonCritAvg</t>
        </is>
      </c>
      <c r="M202" s="9" t="inlineStr">
        <is>
          <t>CritAvg</t>
        </is>
      </c>
      <c r="N202" s="9" t="inlineStr">
        <is>
          <t>ExpectedDamage(perHit)</t>
        </is>
      </c>
      <c r="O202" s="9" t="inlineStr">
        <is>
          <t>DPS</t>
        </is>
      </c>
      <c r="P202" s="9" t="inlineStr">
        <is>
          <t>% of Total</t>
        </is>
      </c>
      <c r="Q202" s="9" t="inlineStr">
        <is>
          <t>InvCooldown</t>
        </is>
      </c>
      <c r="R202" s="9" t="inlineStr">
        <is>
          <t>CastsInFight</t>
        </is>
      </c>
      <c r="S202" s="9" t="inlineStr">
        <is>
          <t>HitRate(perSec)</t>
        </is>
      </c>
      <c r="U202" t="inlineStr">
        <is>
          <t>helpers</t>
        </is>
      </c>
    </row>
    <row r="203">
      <c r="A203">
        <f>Skills!A2</f>
        <v/>
      </c>
      <c r="B203">
        <f>Skills!B2</f>
        <v/>
      </c>
      <c r="C203">
        <f>Inputs!$B$3&gt;=100</f>
        <v/>
      </c>
      <c r="D203" t="inlineStr"/>
      <c r="E203" t="inlineStr"/>
      <c r="F203">
        <f>U205+Skills!O2</f>
        <v/>
      </c>
      <c r="G203">
        <f>Skills!G2*IF(Skills!H2&gt;0,Skills!I2/Skills!H2,1)</f>
        <v/>
      </c>
      <c r="H203">
        <f>1-(1-Skills!J2/100)^Skills!K2</f>
        <v/>
      </c>
      <c r="I203" t="inlineStr">
        <is>
          <t>1</t>
        </is>
      </c>
      <c r="J203">
        <f>((Inputs!$B$6*(1+Inputs!$B$7/100))+(((Inputs!$B$12*(1+Inputs!$B$13/100))-(Inputs!$B$12*(1+Inputs!$B$13/100)))+0.25*(Inputs!$B$14-Inputs!$B$14))*(1+Inputs!$B$7/100))*(F203/100)</f>
        <v/>
      </c>
      <c r="K203">
        <f>J203*(1+((Inputs!$B$12*(1+Inputs!$B$13/100))*0.01+Inputs!$B$14*0.0025)/100)*(1+Inputs!$B$15/100)*(1+(Inputs!$B$16+1)/100)*(5000/(6000+Inputs!$B$42*(1-(Inputs!$B$19+0)/100)))*(1+(Inputs!$B$24+((C226=TRUE)*(F226-Calc!F25))+B236)/100)*(1+IF(Skills!A2="ENHANCED_RAGING_BLOW",IF(Inputs!$B$3&gt;=134,MAX(0,IF(Inputs!$B$3&gt;=110,7,5)-5)*50,0),0)/100)*(1+(IF(Skills!A2="RAGING_BLOW",Inputs!$B$17+((C222=TRUE)*(F222-Calc!F21)),Inputs!$B$18+((C224=TRUE)*(F224-Calc!F23))))/100)*((1+(((C214=TRUE)*F214*IF(Inputs!$B$3&gt;=110,7,5))+((C216=TRUE)*F216*IF(AND(Inputs!$B$38&lt;&gt;"pvp",Inputs!$B$43&gt;0),(((R216-1)*(Skills!T15*(1+Inputs!$B$34/100))+MIN((Skills!T15*(1+Inputs!$B$34/100)),MAX(0,Inputs!$B$43-((R216-1)*Skills!D15))))/Inputs!$B$43),IF(Inputs!$B$38="pvp",MIN((Skills!T15*(1+Inputs!$B$34/100)),15)/15,(Skills!T15*(1+Inputs!$B$34/100))/Skills!D15)))+0)/100)*I203)</f>
        <v/>
      </c>
      <c r="L203">
        <f>K203*(MIN(Inputs!$B$22+((C223=TRUE)*(F223-Calc!F22)),Inputs!$B$23+((C225=TRUE)*(F225-Calc!F24)))/100+(Inputs!$B$23+((C225=TRUE)*(F225-Calc!F24)))/100)/2</f>
        <v/>
      </c>
      <c r="M203">
        <f>L203*(1+(Inputs!$B$10+0+B235)/100)</f>
        <v/>
      </c>
      <c r="N203">
        <f>L203*(1-MIN((Inputs!$B$9+((C227=TRUE)*(F227-Calc!F26))+B230),100)/100)+M203*(MIN((Inputs!$B$9+((C227=TRUE)*(F227-Calc!F26))+B230),100)/100)</f>
        <v/>
      </c>
      <c r="O203">
        <f>(1-Summary!$B$55)*T203+Summary!$B$55*V203</f>
        <v/>
      </c>
      <c r="P203">
        <f>IF(B240=0,0,O203/B240)</f>
        <v/>
      </c>
      <c r="Q203" t="n">
        <v>0</v>
      </c>
      <c r="R203" t="n">
        <v>0</v>
      </c>
      <c r="S203">
        <f>IFERROR(O203/N203,0)</f>
        <v/>
      </c>
      <c r="T203">
        <f>IF(C203,(Skills!G2*N203*B234)*IF(Inputs!$B$38="pvp",1,1+(Inputs!$B$20+0+Skills!P2+Summary!$B$59)/100),0)</f>
        <v/>
      </c>
      <c r="U203">
        <f>MAX(0,(Inputs!$B$3-100)*3)+Inputs!$B$28+Inputs!$B$29</f>
        <v/>
      </c>
      <c r="V203">
        <f>IF(C203,(Skills!G2*N203*B234)*IF(Inputs!$B$38="pvp",1,(1+(Inputs!$B$21+Skills!Q2+Summary!$B$59)/100)*(MIN((6+Inputs!$B$33),Inputs!$B$37))),0)</f>
        <v/>
      </c>
    </row>
    <row r="204">
      <c r="A204">
        <f>Skills!A3</f>
        <v/>
      </c>
      <c r="B204">
        <f>Skills!B3</f>
        <v/>
      </c>
      <c r="C204">
        <f>Inputs!$B$3&gt;=50</f>
        <v/>
      </c>
      <c r="D204">
        <f>IF(Skills!C3=1,60+Inputs!$B$25+Inputs!$B$29,IF(Skills!C3=2,90+Inputs!$B$26+Inputs!$B$29,IF(Skills!C3=3,120+Inputs!$B$27+Inputs!$B$29,MAX(0,(Inputs!$B$3-100)*3)+Inputs!$B$28+Inputs!$B$29)))</f>
        <v/>
      </c>
      <c r="E204">
        <f>INDEX(FactorTable!$B$2:$Y$301, MATCH(ROUND(MIN(300,MAX(1,D204)),0), FactorTable!$A$2:$A$301,0), Skills!M3+1)</f>
        <v/>
      </c>
      <c r="F204">
        <f>IF(Skills!N3=TRUE,(Skills!L3/10)*(E204/1000),Skills!L3/10)+Skills!O3</f>
        <v/>
      </c>
      <c r="G204" t="inlineStr"/>
      <c r="H204" t="inlineStr"/>
      <c r="I204" t="inlineStr">
        <is>
          <t>1</t>
        </is>
      </c>
      <c r="J204" t="inlineStr"/>
      <c r="K204" t="inlineStr"/>
      <c r="L204" t="inlineStr"/>
      <c r="M204" t="inlineStr"/>
      <c r="N204" t="inlineStr"/>
      <c r="O204" t="inlineStr"/>
      <c r="P204" t="inlineStr"/>
      <c r="Q204" t="inlineStr"/>
      <c r="R204" t="inlineStr"/>
      <c r="S204" t="inlineStr"/>
      <c r="U204">
        <f>INDEX(FactorTable!$B$2:$Y$301, MATCH(ROUND(MIN(300,MAX(1,U203)),0), FactorTable!$A$2:$A$301,0), 22)</f>
        <v/>
      </c>
    </row>
    <row r="205">
      <c r="A205">
        <f>Skills!A4</f>
        <v/>
      </c>
      <c r="B205">
        <f>Skills!B4</f>
        <v/>
      </c>
      <c r="C205">
        <f>Inputs!$B$3&gt;=105</f>
        <v/>
      </c>
      <c r="D205">
        <f>IF(Skills!C4=1,60+Inputs!$B$25+Inputs!$B$29,IF(Skills!C4=2,90+Inputs!$B$26+Inputs!$B$29,IF(Skills!C4=3,120+Inputs!$B$27+Inputs!$B$29,MAX(0,(Inputs!$B$3-100)*3)+Inputs!$B$28+Inputs!$B$29)))</f>
        <v/>
      </c>
      <c r="E205">
        <f>INDEX(FactorTable!$B$2:$Y$301, MATCH(ROUND(MIN(300,MAX(1,D205)),0), FactorTable!$A$2:$A$301,0), Skills!M4+1)</f>
        <v/>
      </c>
      <c r="F205">
        <f>IF(Skills!N4=TRUE,(Skills!L4/10)*(E205/1000),Skills!L4/10)+Skills!O4</f>
        <v/>
      </c>
      <c r="G205" t="inlineStr"/>
      <c r="H205" t="inlineStr"/>
      <c r="I205" t="inlineStr">
        <is>
          <t>1</t>
        </is>
      </c>
      <c r="J205" t="inlineStr"/>
      <c r="K205" t="inlineStr"/>
      <c r="L205" t="inlineStr"/>
      <c r="M205" t="inlineStr"/>
      <c r="N205" t="inlineStr"/>
      <c r="O205" t="inlineStr"/>
      <c r="P205" t="inlineStr"/>
      <c r="Q205" t="inlineStr"/>
      <c r="R205" t="inlineStr"/>
      <c r="S205" t="inlineStr"/>
      <c r="U205">
        <f>290*U204/1000</f>
        <v/>
      </c>
    </row>
    <row r="206">
      <c r="A206">
        <f>Skills!A5</f>
        <v/>
      </c>
      <c r="B206">
        <f>Skills!B5</f>
        <v/>
      </c>
      <c r="C206">
        <f>Inputs!$B$3&gt;=103</f>
        <v/>
      </c>
      <c r="D206">
        <f>IF(Skills!C5=1,60+Inputs!$B$25+Inputs!$B$29,IF(Skills!C5=2,90+Inputs!$B$26+Inputs!$B$29,IF(Skills!C5=3,120+Inputs!$B$27+Inputs!$B$29,MAX(0,(Inputs!$B$3-100)*3)+Inputs!$B$28+Inputs!$B$29)))</f>
        <v/>
      </c>
      <c r="E206">
        <f>INDEX(FactorTable!$B$2:$Y$301, MATCH(ROUND(MIN(300,MAX(1,D206)),0), FactorTable!$A$2:$A$301,0), Skills!M5+1)</f>
        <v/>
      </c>
      <c r="F206">
        <f>IF(Skills!N5=TRUE,(Skills!L5/10)*(E206/1000),Skills!L5/10)+Skills!O5</f>
        <v/>
      </c>
      <c r="G206">
        <f>Skills!G5*IF(Skills!H5&gt;0,Skills!I5/Skills!H5,1)</f>
        <v/>
      </c>
      <c r="H206">
        <f>1-(1-Skills!J5/100)^Skills!K5</f>
        <v/>
      </c>
      <c r="I206" t="inlineStr">
        <is>
          <t>1</t>
        </is>
      </c>
      <c r="J206">
        <f>((Inputs!$B$6*(1+Inputs!$B$7/100))+(((Inputs!$B$12*(1+Inputs!$B$13/100))-(Inputs!$B$12*(1+Inputs!$B$13/100)))+0.25*(Inputs!$B$14-Inputs!$B$14))*(1+Inputs!$B$7/100))*(F206/100)</f>
        <v/>
      </c>
      <c r="K206">
        <f>J206*(1+((Inputs!$B$12*(1+Inputs!$B$13/100))*0.01+Inputs!$B$14*0.0025)/100)*(1+Inputs!$B$15/100)*(1+(Inputs!$B$16+1)/100)*(5000/(6000+Inputs!$B$42*(1-(Inputs!$B$19+0)/100)))*(1+(Inputs!$B$24+((C226=TRUE)*(F226-Calc!F25))+B236)/100)*(1+IF(Skills!A5="ENHANCED_RAGING_BLOW",IF(Inputs!$B$3&gt;=134,MAX(0,IF(Inputs!$B$3&gt;=110,7,5)-5)*50,0),0)/100)*(1+(IF(Skills!A5="RAGING_BLOW",Inputs!$B$17+((C222=TRUE)*(F222-Calc!F21)),Inputs!$B$18+((C224=TRUE)*(F224-Calc!F23))))/100)*((1+(((C214=TRUE)*F214*IF(Inputs!$B$3&gt;=110,7,5))+((C216=TRUE)*F216*IF(AND(Inputs!$B$38&lt;&gt;"pvp",Inputs!$B$43&gt;0),(((R216-1)*(Skills!T15*(1+Inputs!$B$34/100))+MIN((Skills!T15*(1+Inputs!$B$34/100)),MAX(0,Inputs!$B$43-((R216-1)*Skills!D15))))/Inputs!$B$43),IF(Inputs!$B$38="pvp",MIN((Skills!T15*(1+Inputs!$B$34/100)),15)/15,(Skills!T15*(1+Inputs!$B$34/100))/Skills!D15)))+0)/100)*I206)</f>
        <v/>
      </c>
      <c r="L206">
        <f>K206*(MIN(Inputs!$B$22+((C223=TRUE)*(F223-Calc!F22)),Inputs!$B$23+((C225=TRUE)*(F225-Calc!F24)))/100+(Inputs!$B$23+((C225=TRUE)*(F225-Calc!F24)))/100)/2</f>
        <v/>
      </c>
      <c r="M206">
        <f>L206*(1+(Inputs!$B$10+0+B235)/100)</f>
        <v/>
      </c>
      <c r="N206">
        <f>L206*(1-MIN((Inputs!$B$9+((C227=TRUE)*(F227-Calc!F26))+B230),100)/100)+M206*(MIN((Inputs!$B$9+((C227=TRUE)*(F227-Calc!F26))+B230),100)/100)</f>
        <v/>
      </c>
      <c r="O206">
        <f>(1-Summary!$B$55)*T206+Summary!$B$55*V206</f>
        <v/>
      </c>
      <c r="P206">
        <f>IF(B240=0,0,O206/B240)</f>
        <v/>
      </c>
      <c r="Q206">
        <f>IFERROR(1/IF(Inputs!$B$38="pvp",15,MAX(0.1,Skills!D5-IF(Skills!E5=TRUE,Inputs!$B$32,0))),0)</f>
        <v/>
      </c>
      <c r="R206">
        <f>IF(AND(Inputs!$B$38&lt;&gt;"pvp",Inputs!$B$43&gt;0),IF(MAX(0,Inputs!$B$43-B237)&lt;=0,0,(INT(MAX(0,Inputs!$B$43-B237)/IF(Inputs!$B$38="pvp",15,MAX(0.1,Skills!D5-IF(Skills!E5=TRUE,Inputs!$B$32,0))))+1)),0)</f>
        <v/>
      </c>
      <c r="S206">
        <f>IFERROR(O206/N206,0)</f>
        <v/>
      </c>
      <c r="T206">
        <f>IF(C206,(H206*N206*IF(AND(Inputs!$B$38&lt;&gt;"pvp",Inputs!$B$43&gt;0),((Skills!G5*((R206-1)*IF(Skills!H5&gt;0,Skills!I5/Skills!H5,1)+IF(Skills!H5&gt;0,MIN(Skills!I5,MAX(0,MAX(0,Inputs!$B$43-B237)-((R206-1)*IF(Inputs!$B$38="pvp",15,MAX(0.1,Skills!D5-IF(Skills!E5=TRUE,Inputs!$B$32,0))))))/Skills!H5,1)))/Inputs!$B$43),G206*Q206))*IF(Inputs!$B$38="pvp",1,1+(Inputs!$B$20+0+Skills!P5+Summary!$B$59)/100),0)</f>
        <v/>
      </c>
      <c r="V206">
        <f>IF(C206,(H206*N206*IF(AND(Inputs!$B$38&lt;&gt;"pvp",Inputs!$B$43&gt;0),((Skills!G5*((R206-1)*IF(Skills!H5&gt;0,Skills!I5/Skills!H5,1)+IF(Skills!H5&gt;0,MIN(Skills!I5,MAX(0,MAX(0,Inputs!$B$43-B237)-((R206-1)*IF(Inputs!$B$38="pvp",15,MAX(0.1,Skills!D5-IF(Skills!E5=TRUE,Inputs!$B$32,0))))))/Skills!H5,1)))/Inputs!$B$43),G206*Q206))*IF(Inputs!$B$38="pvp",1,(1+(Inputs!$B$21+Skills!Q5+Summary!$B$59)/100)*(MIN(Skills!R5,Inputs!$B$37))),0)</f>
        <v/>
      </c>
    </row>
    <row r="207">
      <c r="A207">
        <f>Skills!A6</f>
        <v/>
      </c>
      <c r="B207">
        <f>Skills!B6</f>
        <v/>
      </c>
      <c r="C207">
        <f>Inputs!$B$3&gt;=103</f>
        <v/>
      </c>
      <c r="D207">
        <f>IF(Skills!C6=1,60+Inputs!$B$25+Inputs!$B$29,IF(Skills!C6=2,90+Inputs!$B$26+Inputs!$B$29,IF(Skills!C6=3,120+Inputs!$B$27+Inputs!$B$29,MAX(0,(Inputs!$B$3-100)*3)+Inputs!$B$28+Inputs!$B$29)))</f>
        <v/>
      </c>
      <c r="E207">
        <f>INDEX(FactorTable!$B$2:$Y$301, MATCH(ROUND(MIN(300,MAX(1,D207)),0), FactorTable!$A$2:$A$301,0), Skills!M6+1)</f>
        <v/>
      </c>
      <c r="F207">
        <f>IF(Skills!N6=TRUE,(Skills!L6/10)*(E207/1000),Skills!L6/10)+Skills!O6</f>
        <v/>
      </c>
      <c r="G207">
        <f>Skills!G6*IF(Skills!H6&gt;0,Skills!I6/Skills!H6,1)</f>
        <v/>
      </c>
      <c r="H207">
        <f>1-(1-Skills!J6/100)^Skills!K6</f>
        <v/>
      </c>
      <c r="I207" t="inlineStr">
        <is>
          <t>1</t>
        </is>
      </c>
      <c r="J207">
        <f>((Inputs!$B$6*(1+Inputs!$B$7/100))+(((Inputs!$B$12*(1+Inputs!$B$13/100))-(Inputs!$B$12*(1+Inputs!$B$13/100)))+0.25*(Inputs!$B$14-Inputs!$B$14))*(1+Inputs!$B$7/100))*(F207/100)</f>
        <v/>
      </c>
      <c r="K207">
        <f>J207*(1+((Inputs!$B$12*(1+Inputs!$B$13/100))*0.01+Inputs!$B$14*0.0025)/100)*(1+Inputs!$B$15/100)*(1+(Inputs!$B$16+1)/100)*(5000/(6000+Inputs!$B$42*(1-(Inputs!$B$19+0)/100)))*(1+(Inputs!$B$24+((C226=TRUE)*(F226-Calc!F25))+B236)/100)*(1+IF(Skills!A6="ENHANCED_RAGING_BLOW",IF(Inputs!$B$3&gt;=134,MAX(0,IF(Inputs!$B$3&gt;=110,7,5)-5)*50,0),0)/100)*(1+(IF(Skills!A6="RAGING_BLOW",Inputs!$B$17+((C222=TRUE)*(F222-Calc!F21)),Inputs!$B$18+((C224=TRUE)*(F224-Calc!F23))))/100)*((1+(((C214=TRUE)*F214*IF(Inputs!$B$3&gt;=110,7,5))+((C216=TRUE)*F216*IF(AND(Inputs!$B$38&lt;&gt;"pvp",Inputs!$B$43&gt;0),(((R216-1)*(Skills!T15*(1+Inputs!$B$34/100))+MIN((Skills!T15*(1+Inputs!$B$34/100)),MAX(0,Inputs!$B$43-((R216-1)*Skills!D15))))/Inputs!$B$43),IF(Inputs!$B$38="pvp",MIN((Skills!T15*(1+Inputs!$B$34/100)),15)/15,(Skills!T15*(1+Inputs!$B$34/100))/Skills!D15)))+0)/100)*I207)</f>
        <v/>
      </c>
      <c r="L207">
        <f>K207*(MIN(Inputs!$B$22+((C223=TRUE)*(F223-Calc!F22)),Inputs!$B$23+((C225=TRUE)*(F225-Calc!F24)))/100+(Inputs!$B$23+((C225=TRUE)*(F225-Calc!F24)))/100)/2</f>
        <v/>
      </c>
      <c r="M207">
        <f>L207*(1+(Inputs!$B$10+0+B235)/100)</f>
        <v/>
      </c>
      <c r="N207">
        <f>L207*(1-MIN((Inputs!$B$9+((C227=TRUE)*(F227-Calc!F26))+B230),100)/100)+M207*(MIN((Inputs!$B$9+((C227=TRUE)*(F227-Calc!F26))+B230),100)/100)</f>
        <v/>
      </c>
      <c r="O207">
        <f>(1-Summary!$B$55)*T207+Summary!$B$55*V207</f>
        <v/>
      </c>
      <c r="P207">
        <f>IF(B240=0,0,O207/B240)</f>
        <v/>
      </c>
      <c r="Q207">
        <f>IFERROR(1/IF(Inputs!$B$38="pvp",15,MAX(0.1,Skills!D6-IF(Skills!E6=TRUE,Inputs!$B$32,0))),0)</f>
        <v/>
      </c>
      <c r="R207">
        <f>IF(AND(Inputs!$B$38&lt;&gt;"pvp",Inputs!$B$43&gt;0),IF(MAX(0,Inputs!$B$43-B237)&lt;=0,0,(INT(MAX(0,Inputs!$B$43-B237)/IF(Inputs!$B$38="pvp",15,MAX(0.1,Skills!D6-IF(Skills!E6=TRUE,Inputs!$B$32,0))))+1)),0)</f>
        <v/>
      </c>
      <c r="S207">
        <f>IFERROR(O207/N207,0)</f>
        <v/>
      </c>
      <c r="T207">
        <f>IF(C207,(H207*N207*IF(AND(Inputs!$B$38&lt;&gt;"pvp",Inputs!$B$43&gt;0),((Skills!G6*((R207-1)*IF(Skills!H6&gt;0,Skills!I6/Skills!H6,1)+IF(Skills!H6&gt;0,MIN(Skills!I6,MAX(0,MAX(0,Inputs!$B$43-B237)-((R207-1)*IF(Inputs!$B$38="pvp",15,MAX(0.1,Skills!D6-IF(Skills!E6=TRUE,Inputs!$B$32,0))))))/Skills!H6,1)))/Inputs!$B$43),G207*Q207))*IF(Inputs!$B$38="pvp",1,1+(Inputs!$B$20+0+Skills!P6+Summary!$B$59)/100),0)</f>
        <v/>
      </c>
      <c r="V207">
        <f>IF(C207,(H207*N207*IF(AND(Inputs!$B$38&lt;&gt;"pvp",Inputs!$B$43&gt;0),((Skills!G6*((R207-1)*IF(Skills!H6&gt;0,Skills!I6/Skills!H6,1)+IF(Skills!H6&gt;0,MIN(Skills!I6,MAX(0,MAX(0,Inputs!$B$43-B237)-((R207-1)*IF(Inputs!$B$38="pvp",15,MAX(0.1,Skills!D6-IF(Skills!E6=TRUE,Inputs!$B$32,0))))))/Skills!H6,1)))/Inputs!$B$43),G207*Q207))*IF(Inputs!$B$38="pvp",1,(1+(Inputs!$B$21+Skills!Q6+Summary!$B$59)/100)*(MIN(Skills!R6,Inputs!$B$37))),0)</f>
        <v/>
      </c>
    </row>
    <row r="208">
      <c r="A208">
        <f>Skills!A7</f>
        <v/>
      </c>
      <c r="B208">
        <f>Skills!B7</f>
        <v/>
      </c>
      <c r="C208">
        <f>Inputs!$B$3&gt;=107</f>
        <v/>
      </c>
      <c r="D208">
        <f>IF(Skills!C7=1,60+Inputs!$B$25+Inputs!$B$29,IF(Skills!C7=2,90+Inputs!$B$26+Inputs!$B$29,IF(Skills!C7=3,120+Inputs!$B$27+Inputs!$B$29,MAX(0,(Inputs!$B$3-100)*3)+Inputs!$B$28+Inputs!$B$29)))</f>
        <v/>
      </c>
      <c r="E208">
        <f>INDEX(FactorTable!$B$2:$Y$301, MATCH(ROUND(MIN(300,MAX(1,D208)),0), FactorTable!$A$2:$A$301,0), Skills!M7+1)</f>
        <v/>
      </c>
      <c r="F208">
        <f>IF(Skills!N7=TRUE,(Skills!L7/10)*(E208/1000),Skills!L7/10)+Skills!O7</f>
        <v/>
      </c>
      <c r="G208">
        <f>Skills!G7*IF(Skills!H7&gt;0,Skills!I7/Skills!H7,1)</f>
        <v/>
      </c>
      <c r="H208">
        <f>1-(1-Skills!J7/100)^Skills!K7</f>
        <v/>
      </c>
      <c r="I208" t="inlineStr">
        <is>
          <t>1</t>
        </is>
      </c>
      <c r="J208">
        <f>((Inputs!$B$6*(1+Inputs!$B$7/100))+(((Inputs!$B$12*(1+Inputs!$B$13/100))-(Inputs!$B$12*(1+Inputs!$B$13/100)))+0.25*(Inputs!$B$14-Inputs!$B$14))*(1+Inputs!$B$7/100))*(F208/100)</f>
        <v/>
      </c>
      <c r="K208">
        <f>J208*(1+((Inputs!$B$12*(1+Inputs!$B$13/100))*0.01+Inputs!$B$14*0.0025)/100)*(1+Inputs!$B$15/100)*(1+(Inputs!$B$16+1)/100)*(5000/(6000+Inputs!$B$42*(1-(Inputs!$B$19+0)/100)))*(1+(Inputs!$B$24+((C226=TRUE)*(F226-Calc!F25))+B236)/100)*(1+IF(Skills!A7="ENHANCED_RAGING_BLOW",IF(Inputs!$B$3&gt;=134,MAX(0,IF(Inputs!$B$3&gt;=110,7,5)-5)*50,0),0)/100)*(1+(IF(Skills!A7="RAGING_BLOW",Inputs!$B$17+((C222=TRUE)*(F222-Calc!F21)),Inputs!$B$18+((C224=TRUE)*(F224-Calc!F23))))/100)*((1+(((C214=TRUE)*F214*IF(Inputs!$B$3&gt;=110,7,5))+((C216=TRUE)*F216*IF(AND(Inputs!$B$38&lt;&gt;"pvp",Inputs!$B$43&gt;0),(((R216-1)*(Skills!T15*(1+Inputs!$B$34/100))+MIN((Skills!T15*(1+Inputs!$B$34/100)),MAX(0,Inputs!$B$43-((R216-1)*Skills!D15))))/Inputs!$B$43),IF(Inputs!$B$38="pvp",MIN((Skills!T15*(1+Inputs!$B$34/100)),15)/15,(Skills!T15*(1+Inputs!$B$34/100))/Skills!D15)))+0)/100)*I208)</f>
        <v/>
      </c>
      <c r="L208">
        <f>K208*(MIN(Inputs!$B$22+((C223=TRUE)*(F223-Calc!F22)),Inputs!$B$23+((C225=TRUE)*(F225-Calc!F24)))/100+(Inputs!$B$23+((C225=TRUE)*(F225-Calc!F24)))/100)/2</f>
        <v/>
      </c>
      <c r="M208">
        <f>L208*(1+(Inputs!$B$10+0+B235)/100)</f>
        <v/>
      </c>
      <c r="N208">
        <f>L208*(1-MIN((Inputs!$B$9+((C227=TRUE)*(F227-Calc!F26))+B230),100)/100)+M208*(MIN((Inputs!$B$9+((C227=TRUE)*(F227-Calc!F26))+B230),100)/100)</f>
        <v/>
      </c>
      <c r="O208">
        <f>(1-Summary!$B$55)*T208+Summary!$B$55*V208</f>
        <v/>
      </c>
      <c r="P208">
        <f>IF(B240=0,0,O208/B240)</f>
        <v/>
      </c>
      <c r="Q208">
        <f>IFERROR(1/IF(Inputs!$B$38="pvp",15,MAX(0.1,Skills!D7-IF(Skills!E7=TRUE,Inputs!$B$32,0))),0)</f>
        <v/>
      </c>
      <c r="R208">
        <f>IF(AND(Inputs!$B$38&lt;&gt;"pvp",Inputs!$B$43&gt;0),IF(MAX(0,Inputs!$B$43-B237)&lt;=0,0,(INT(MAX(0,Inputs!$B$43-B237)/IF(Inputs!$B$38="pvp",15,MAX(0.1,Skills!D7-IF(Skills!E7=TRUE,Inputs!$B$32,0))))+1)),0)</f>
        <v/>
      </c>
      <c r="S208">
        <f>IFERROR(O208/N208,0)</f>
        <v/>
      </c>
      <c r="T208">
        <f>IF(C208,(H208*N208*IF(AND(Inputs!$B$38&lt;&gt;"pvp",Inputs!$B$43&gt;0),((Skills!G7*((R208-1)*IF(Skills!H7&gt;0,Skills!I7/Skills!H7,1)+IF(Skills!H7&gt;0,MIN(Skills!I7,MAX(0,MAX(0,Inputs!$B$43-B237)-((R208-1)*IF(Inputs!$B$38="pvp",15,MAX(0.1,Skills!D7-IF(Skills!E7=TRUE,Inputs!$B$32,0))))))/Skills!H7,1)))/Inputs!$B$43),G208*Q208))*IF(Inputs!$B$38="pvp",1,1+(Inputs!$B$20+0+Skills!P7+Summary!$B$59)/100),0)</f>
        <v/>
      </c>
      <c r="V208">
        <f>IF(C208,(H208*N208*IF(AND(Inputs!$B$38&lt;&gt;"pvp",Inputs!$B$43&gt;0),((Skills!G7*((R208-1)*IF(Skills!H7&gt;0,Skills!I7/Skills!H7,1)+IF(Skills!H7&gt;0,MIN(Skills!I7,MAX(0,MAX(0,Inputs!$B$43-B237)-((R208-1)*IF(Inputs!$B$38="pvp",15,MAX(0.1,Skills!D7-IF(Skills!E7=TRUE,Inputs!$B$32,0))))))/Skills!H7,1)))/Inputs!$B$43),G208*Q208))*IF(Inputs!$B$38="pvp",1,(1+(Inputs!$B$21+Skills!Q7+Summary!$B$59)/100)*(MIN(Skills!R7,Inputs!$B$37))),0)</f>
        <v/>
      </c>
    </row>
    <row r="209">
      <c r="A209">
        <f>Skills!A8</f>
        <v/>
      </c>
      <c r="B209">
        <f>Skills!B8</f>
        <v/>
      </c>
      <c r="C209">
        <f>Inputs!$B$3&gt;=117</f>
        <v/>
      </c>
      <c r="D209">
        <f>IF(Skills!C8=1,60+Inputs!$B$25+Inputs!$B$29,IF(Skills!C8=2,90+Inputs!$B$26+Inputs!$B$29,IF(Skills!C8=3,120+Inputs!$B$27+Inputs!$B$29,MAX(0,(Inputs!$B$3-100)*3)+Inputs!$B$28+Inputs!$B$29)))</f>
        <v/>
      </c>
      <c r="E209">
        <f>INDEX(FactorTable!$B$2:$Y$301, MATCH(ROUND(MIN(300,MAX(1,D209)),0), FactorTable!$A$2:$A$301,0), Skills!M8+1)</f>
        <v/>
      </c>
      <c r="F209">
        <f>IF(Skills!N8=TRUE,(Skills!L8/10)*(E209/1000),Skills!L8/10)+Skills!O8</f>
        <v/>
      </c>
      <c r="G209">
        <f>Skills!G8*IF(Skills!H8&gt;0,Skills!I8/Skills!H8,1)</f>
        <v/>
      </c>
      <c r="H209">
        <f>1-(1-Skills!J8/100)^Skills!K8</f>
        <v/>
      </c>
      <c r="I209" t="inlineStr">
        <is>
          <t>1</t>
        </is>
      </c>
      <c r="J209">
        <f>((Inputs!$B$6*(1+Inputs!$B$7/100))+(((Inputs!$B$12*(1+Inputs!$B$13/100))-(Inputs!$B$12*(1+Inputs!$B$13/100)))+0.25*(Inputs!$B$14-Inputs!$B$14))*(1+Inputs!$B$7/100))*(F209/100)</f>
        <v/>
      </c>
      <c r="K209">
        <f>J209*(1+((Inputs!$B$12*(1+Inputs!$B$13/100))*0.01+Inputs!$B$14*0.0025)/100)*(1+Inputs!$B$15/100)*(1+(Inputs!$B$16+1)/100)*(5000/(6000+Inputs!$B$42*(1-(Inputs!$B$19+0)/100)))*(1+(Inputs!$B$24+((C226=TRUE)*(F226-Calc!F25))+B236)/100)*(1+IF(Skills!A8="ENHANCED_RAGING_BLOW",IF(Inputs!$B$3&gt;=134,MAX(0,IF(Inputs!$B$3&gt;=110,7,5)-5)*50,0),0)/100)*(1+(IF(Skills!A8="RAGING_BLOW",Inputs!$B$17+((C222=TRUE)*(F222-Calc!F21)),Inputs!$B$18+((C224=TRUE)*(F224-Calc!F23))))/100)*((1+(((C214=TRUE)*F214*IF(Inputs!$B$3&gt;=110,7,5))+((C216=TRUE)*F216*IF(AND(Inputs!$B$38&lt;&gt;"pvp",Inputs!$B$43&gt;0),(((R216-1)*(Skills!T15*(1+Inputs!$B$34/100))+MIN((Skills!T15*(1+Inputs!$B$34/100)),MAX(0,Inputs!$B$43-((R216-1)*Skills!D15))))/Inputs!$B$43),IF(Inputs!$B$38="pvp",MIN((Skills!T15*(1+Inputs!$B$34/100)),15)/15,(Skills!T15*(1+Inputs!$B$34/100))/Skills!D15)))+0)/100)*I209)</f>
        <v/>
      </c>
      <c r="L209">
        <f>K209*(MIN(Inputs!$B$22+((C223=TRUE)*(F223-Calc!F22)),Inputs!$B$23+((C225=TRUE)*(F225-Calc!F24)))/100+(Inputs!$B$23+((C225=TRUE)*(F225-Calc!F24)))/100)/2</f>
        <v/>
      </c>
      <c r="M209">
        <f>L209*(1+(Inputs!$B$10+0+B235)/100)</f>
        <v/>
      </c>
      <c r="N209">
        <f>L209*(1-MIN((Inputs!$B$9+((C227=TRUE)*(F227-Calc!F26))+B230),100)/100)+M209*(MIN((Inputs!$B$9+((C227=TRUE)*(F227-Calc!F26))+B230),100)/100)</f>
        <v/>
      </c>
      <c r="O209">
        <f>(1-Summary!$B$55)*T209+Summary!$B$55*V209</f>
        <v/>
      </c>
      <c r="P209">
        <f>IF(B240=0,0,O209/B240)</f>
        <v/>
      </c>
      <c r="Q209">
        <f>IFERROR(1/IF(Inputs!$B$38="pvp",15,MAX(0.1,Skills!D8-IF(Skills!E8=TRUE,Inputs!$B$32,0))),0)</f>
        <v/>
      </c>
      <c r="R209">
        <f>IF(AND(Inputs!$B$38&lt;&gt;"pvp",Inputs!$B$43&gt;0),IF(MAX(0,Inputs!$B$43-B237)&lt;=0,0,(INT(MAX(0,Inputs!$B$43-B237)/IF(Inputs!$B$38="pvp",15,MAX(0.1,Skills!D8-IF(Skills!E8=TRUE,Inputs!$B$32,0))))+1)),0)</f>
        <v/>
      </c>
      <c r="S209">
        <f>IFERROR(O209/N209,0)</f>
        <v/>
      </c>
      <c r="T209">
        <f>IF(C209,(H209*N209*IF(AND(Inputs!$B$38&lt;&gt;"pvp",Inputs!$B$43&gt;0),((Skills!G8*((R209-1)*IF(Skills!H8&gt;0,Skills!I8/Skills!H8,1)+IF(Skills!H8&gt;0,MIN(Skills!I8,MAX(0,MAX(0,Inputs!$B$43-B237)-((R209-1)*IF(Inputs!$B$38="pvp",15,MAX(0.1,Skills!D8-IF(Skills!E8=TRUE,Inputs!$B$32,0))))))/Skills!H8,1)))/Inputs!$B$43),G209*Q209))*IF(Inputs!$B$38="pvp",1,1+(Inputs!$B$20+0+Skills!P8+Summary!$B$59)/100),0)</f>
        <v/>
      </c>
      <c r="V209">
        <f>IF(C209,(H209*N209*IF(AND(Inputs!$B$38&lt;&gt;"pvp",Inputs!$B$43&gt;0),((Skills!G8*((R209-1)*IF(Skills!H8&gt;0,Skills!I8/Skills!H8,1)+IF(Skills!H8&gt;0,MIN(Skills!I8,MAX(0,MAX(0,Inputs!$B$43-B237)-((R209-1)*IF(Inputs!$B$38="pvp",15,MAX(0.1,Skills!D8-IF(Skills!E8=TRUE,Inputs!$B$32,0))))))/Skills!H8,1)))/Inputs!$B$43),G209*Q209))*IF(Inputs!$B$38="pvp",1,(1+(Inputs!$B$21+Skills!Q8+Summary!$B$59)/100)*(MIN(Skills!R8,Inputs!$B$37))),0)</f>
        <v/>
      </c>
    </row>
    <row r="210">
      <c r="A210">
        <f>Skills!A9</f>
        <v/>
      </c>
      <c r="B210">
        <f>Skills!B9</f>
        <v/>
      </c>
      <c r="C210">
        <f>Inputs!$B$3&gt;=69</f>
        <v/>
      </c>
      <c r="D210">
        <f>IF(Skills!C9=1,60+Inputs!$B$25+Inputs!$B$29,IF(Skills!C9=2,90+Inputs!$B$26+Inputs!$B$29,IF(Skills!C9=3,120+Inputs!$B$27+Inputs!$B$29,MAX(0,(Inputs!$B$3-100)*3)+Inputs!$B$28+Inputs!$B$29)))</f>
        <v/>
      </c>
      <c r="E210">
        <f>INDEX(FactorTable!$B$2:$Y$301, MATCH(ROUND(MIN(300,MAX(1,D210)),0), FactorTable!$A$2:$A$301,0), Skills!M9+1)</f>
        <v/>
      </c>
      <c r="F210">
        <f>IF(Skills!N9=TRUE,(Skills!L9/10)*(E210/1000),Skills!L9/10)+Skills!O9</f>
        <v/>
      </c>
      <c r="G210">
        <f>Skills!G9*IF(Skills!H9&gt;0,Skills!I9/Skills!H9,1)</f>
        <v/>
      </c>
      <c r="H210">
        <f>1-(1-Skills!J9/100)^Skills!K9</f>
        <v/>
      </c>
      <c r="I210" t="inlineStr">
        <is>
          <t>1</t>
        </is>
      </c>
      <c r="J210">
        <f>((Inputs!$B$6*(1+Inputs!$B$7/100))+(((Inputs!$B$12*(1+Inputs!$B$13/100))-(Inputs!$B$12*(1+Inputs!$B$13/100)))+0.25*(Inputs!$B$14-Inputs!$B$14))*(1+Inputs!$B$7/100))*(F210/100)</f>
        <v/>
      </c>
      <c r="K210">
        <f>J210*(1+((Inputs!$B$12*(1+Inputs!$B$13/100))*0.01+Inputs!$B$14*0.0025)/100)*(1+Inputs!$B$15/100)*(1+(Inputs!$B$16+1)/100)*(5000/(6000+Inputs!$B$42*(1-(Inputs!$B$19+0)/100)))*(1+(Inputs!$B$24+((C226=TRUE)*(F226-Calc!F25))+B236)/100)*(1+1.0*IF(C213=TRUE,F213,0)/100)*(1+IF(Skills!A9="ENHANCED_RAGING_BLOW",IF(Inputs!$B$3&gt;=134,MAX(0,IF(Inputs!$B$3&gt;=110,7,5)-5)*50,0),0)/100)*(1+(IF(Skills!A9="RAGING_BLOW",Inputs!$B$17+((C222=TRUE)*(F222-Calc!F21)),Inputs!$B$18+((C224=TRUE)*(F224-Calc!F23))))/100)*((1+(((C214=TRUE)*F214*IF(Inputs!$B$3&gt;=110,7,5))+((C216=TRUE)*F216*IF(AND(Inputs!$B$38&lt;&gt;"pvp",Inputs!$B$43&gt;0),(((R216-1)*(Skills!T15*(1+Inputs!$B$34/100))+MIN((Skills!T15*(1+Inputs!$B$34/100)),MAX(0,Inputs!$B$43-((R216-1)*Skills!D15))))/Inputs!$B$43),IF(Inputs!$B$38="pvp",MIN((Skills!T15*(1+Inputs!$B$34/100)),15)/15,(Skills!T15*(1+Inputs!$B$34/100))/Skills!D15)))+0)/100)*I210)</f>
        <v/>
      </c>
      <c r="L210">
        <f>K210*(MIN(Inputs!$B$22+((C223=TRUE)*(F223-Calc!F22)),Inputs!$B$23+((C225=TRUE)*(F225-Calc!F24)))/100+(Inputs!$B$23+((C225=TRUE)*(F225-Calc!F24)))/100)/2</f>
        <v/>
      </c>
      <c r="M210">
        <f>L210*(1+(Inputs!$B$10+0+B235)/100)</f>
        <v/>
      </c>
      <c r="N210">
        <f>L210*(1-MIN((Inputs!$B$9+((C227=TRUE)*(F227-Calc!F26))+B230),100)/100)+M210*(MIN((Inputs!$B$9+((C227=TRUE)*(F227-Calc!F26))+B230),100)/100)</f>
        <v/>
      </c>
      <c r="O210">
        <f>(1-Summary!$B$55)*T210+Summary!$B$55*V210</f>
        <v/>
      </c>
      <c r="P210">
        <f>IF(B240=0,0,O210/B240)</f>
        <v/>
      </c>
      <c r="Q210">
        <f>IFERROR(1/IF(Inputs!$B$38="pvp",15,MAX(0.1,Skills!D9-IF(Skills!E9=TRUE,Inputs!$B$32,0))),0)</f>
        <v/>
      </c>
      <c r="R210">
        <f>IF(AND(Inputs!$B$38&lt;&gt;"pvp",Inputs!$B$43&gt;0),IF(MAX(0,Inputs!$B$43-B237)&lt;=0,0,(INT(MAX(0,Inputs!$B$43-B237)/IF(Inputs!$B$38="pvp",15,MAX(0.1,Skills!D9-IF(Skills!E9=TRUE,Inputs!$B$32,0))))+1)),0)</f>
        <v/>
      </c>
      <c r="S210">
        <f>IFERROR(O210/N210,0)</f>
        <v/>
      </c>
      <c r="T210">
        <f>IF(C210,(H210*N210*IF(AND(Inputs!$B$38&lt;&gt;"pvp",Inputs!$B$43&gt;0),((Skills!G9*((R210-1)*IF(Skills!H9&gt;0,Skills!I9/Skills!H9,1)+IF(Skills!H9&gt;0,MIN(Skills!I9,MAX(0,MAX(0,Inputs!$B$43-B237)-((R210-1)*IF(Inputs!$B$38="pvp",15,MAX(0.1,Skills!D9-IF(Skills!E9=TRUE,Inputs!$B$32,0))))))/Skills!H9,1)))/Inputs!$B$43),G210*Q210))*IF(Inputs!$B$38="pvp",1,1+(Inputs!$B$20+0+Skills!P9+Summary!$B$59)/100),0)</f>
        <v/>
      </c>
      <c r="V210">
        <f>IF(C210,(H210*N210*IF(AND(Inputs!$B$38&lt;&gt;"pvp",Inputs!$B$43&gt;0),((Skills!G9*((R210-1)*IF(Skills!H9&gt;0,Skills!I9/Skills!H9,1)+IF(Skills!H9&gt;0,MIN(Skills!I9,MAX(0,MAX(0,Inputs!$B$43-B237)-((R210-1)*IF(Inputs!$B$38="pvp",15,MAX(0.1,Skills!D9-IF(Skills!E9=TRUE,Inputs!$B$32,0))))))/Skills!H9,1)))/Inputs!$B$43),G210*Q210))*IF(Inputs!$B$38="pvp",1,(1+(Inputs!$B$21+Skills!Q9+Summary!$B$59)/100)*(MIN(Skills!R9,Inputs!$B$37))),0)</f>
        <v/>
      </c>
    </row>
    <row r="211">
      <c r="A211">
        <f>Skills!A10</f>
        <v/>
      </c>
      <c r="B211">
        <f>Skills!B10</f>
        <v/>
      </c>
      <c r="C211">
        <f>Inputs!$B$3&gt;=63</f>
        <v/>
      </c>
      <c r="D211">
        <f>IF(Skills!C10=1,60+Inputs!$B$25+Inputs!$B$29,IF(Skills!C10=2,90+Inputs!$B$26+Inputs!$B$29,IF(Skills!C10=3,120+Inputs!$B$27+Inputs!$B$29,MAX(0,(Inputs!$B$3-100)*3)+Inputs!$B$28+Inputs!$B$29)))</f>
        <v/>
      </c>
      <c r="E211">
        <f>INDEX(FactorTable!$B$2:$Y$301, MATCH(ROUND(MIN(300,MAX(1,D211)),0), FactorTable!$A$2:$A$301,0), Skills!M10+1)</f>
        <v/>
      </c>
      <c r="F211">
        <f>IF(Skills!N10=TRUE,(Skills!L10/10)*(E211/1000),Skills!L10/10)+Skills!O10</f>
        <v/>
      </c>
      <c r="G211">
        <f>Skills!G10*IF(Skills!H10&gt;0,Skills!I10/Skills!H10,1)</f>
        <v/>
      </c>
      <c r="H211">
        <f>1-(1-Skills!J10/100)^Skills!K10</f>
        <v/>
      </c>
      <c r="I211" t="inlineStr">
        <is>
          <t>1</t>
        </is>
      </c>
      <c r="J211">
        <f>((Inputs!$B$6*(1+Inputs!$B$7/100))+(((Inputs!$B$12*(1+Inputs!$B$13/100))-(Inputs!$B$12*(1+Inputs!$B$13/100)))+0.25*(Inputs!$B$14-Inputs!$B$14))*(1+Inputs!$B$7/100))*(F211/100)</f>
        <v/>
      </c>
      <c r="K211">
        <f>J211*(1+((Inputs!$B$12*(1+Inputs!$B$13/100))*0.01+Inputs!$B$14*0.0025)/100)*(1+Inputs!$B$15/100)*(1+(Inputs!$B$16+1)/100)*(5000/(6000+Inputs!$B$42*(1-(Inputs!$B$19+0)/100)))*(1+(Inputs!$B$24+((C226=TRUE)*(F226-Calc!F25))+B236)/100)*(1+1.5*IF(C213=TRUE,F213,0)/100)*(1+IF(Skills!A10="ENHANCED_RAGING_BLOW",IF(Inputs!$B$3&gt;=134,MAX(0,IF(Inputs!$B$3&gt;=110,7,5)-5)*50,0),0)/100)*(1+(IF(Skills!A10="RAGING_BLOW",Inputs!$B$17+((C222=TRUE)*(F222-Calc!F21)),Inputs!$B$18+((C224=TRUE)*(F224-Calc!F23))))/100)*((1+(((C214=TRUE)*F214*IF(Inputs!$B$3&gt;=110,7,5))+((C216=TRUE)*F216*IF(AND(Inputs!$B$38&lt;&gt;"pvp",Inputs!$B$43&gt;0),(((R216-1)*(Skills!T15*(1+Inputs!$B$34/100))+MIN((Skills!T15*(1+Inputs!$B$34/100)),MAX(0,Inputs!$B$43-((R216-1)*Skills!D15))))/Inputs!$B$43),IF(Inputs!$B$38="pvp",MIN((Skills!T15*(1+Inputs!$B$34/100)),15)/15,(Skills!T15*(1+Inputs!$B$34/100))/Skills!D15)))+0)/100)*I211)</f>
        <v/>
      </c>
      <c r="L211">
        <f>K211*(MIN(Inputs!$B$22+((C223=TRUE)*(F223-Calc!F22)),Inputs!$B$23+((C225=TRUE)*(F225-Calc!F24)))/100+(Inputs!$B$23+((C225=TRUE)*(F225-Calc!F24)))/100)/2</f>
        <v/>
      </c>
      <c r="M211">
        <f>L211*(1+(Inputs!$B$10+0+B235)/100)</f>
        <v/>
      </c>
      <c r="N211">
        <f>L211*(1-MIN((Inputs!$B$9+((C227=TRUE)*(F227-Calc!F26))+B230),100)/100)+M211*(MIN((Inputs!$B$9+((C227=TRUE)*(F227-Calc!F26))+B230),100)/100)</f>
        <v/>
      </c>
      <c r="O211">
        <f>(1-Summary!$B$55)*T211+Summary!$B$55*V211</f>
        <v/>
      </c>
      <c r="P211">
        <f>IF(B240=0,0,O211/B240)</f>
        <v/>
      </c>
      <c r="Q211">
        <f>IFERROR(1/IF(Inputs!$B$38="pvp",15,MAX(0.1,Skills!D10-IF(Skills!E10=TRUE,Inputs!$B$32,0))),0)</f>
        <v/>
      </c>
      <c r="R211">
        <f>IF(AND(Inputs!$B$38&lt;&gt;"pvp",Inputs!$B$43&gt;0),IF(MAX(0,Inputs!$B$43-B237)&lt;=0,0,(INT(MAX(0,Inputs!$B$43-B237)/IF(Inputs!$B$38="pvp",15,MAX(0.1,Skills!D10-IF(Skills!E10=TRUE,Inputs!$B$32,0))))+1)),0)</f>
        <v/>
      </c>
      <c r="S211">
        <f>IFERROR(O211/N211,0)</f>
        <v/>
      </c>
      <c r="T211">
        <f>IF(C211,(H211*N211*IF(AND(Inputs!$B$38&lt;&gt;"pvp",Inputs!$B$43&gt;0),((Skills!G10*((R211-1)*IF(Skills!H10&gt;0,Skills!I10/Skills!H10,1)+IF(Skills!H10&gt;0,MIN(Skills!I10,MAX(0,MAX(0,Inputs!$B$43-B237)-((R211-1)*IF(Inputs!$B$38="pvp",15,MAX(0.1,Skills!D10-IF(Skills!E10=TRUE,Inputs!$B$32,0))))))/Skills!H10,1)))/Inputs!$B$43),G211*Q211))*IF(Inputs!$B$38="pvp",1,1+(Inputs!$B$20+0+Skills!P10+Summary!$B$59)/100),0)</f>
        <v/>
      </c>
      <c r="V211">
        <f>IF(C211,(H211*N211*IF(AND(Inputs!$B$38&lt;&gt;"pvp",Inputs!$B$43&gt;0),((Skills!G10*((R211-1)*IF(Skills!H10&gt;0,Skills!I10/Skills!H10,1)+IF(Skills!H10&gt;0,MIN(Skills!I10,MAX(0,MAX(0,Inputs!$B$43-B237)-((R211-1)*IF(Inputs!$B$38="pvp",15,MAX(0.1,Skills!D10-IF(Skills!E10=TRUE,Inputs!$B$32,0))))))/Skills!H10,1)))/Inputs!$B$43),G211*Q211))*IF(Inputs!$B$38="pvp",1,(1+(Inputs!$B$21+Skills!Q10+Summary!$B$59)/100)*(MIN(Skills!R10,Inputs!$B$37))),0)</f>
        <v/>
      </c>
    </row>
    <row r="212">
      <c r="A212">
        <f>Skills!A11</f>
        <v/>
      </c>
      <c r="B212">
        <f>Skills!B11</f>
        <v/>
      </c>
      <c r="C212">
        <f>Inputs!$B$3&gt;=35</f>
        <v/>
      </c>
      <c r="D212">
        <f>IF(Skills!C11=1,60+Inputs!$B$25+Inputs!$B$29,IF(Skills!C11=2,90+Inputs!$B$26+Inputs!$B$29,IF(Skills!C11=3,120+Inputs!$B$27+Inputs!$B$29,MAX(0,(Inputs!$B$3-100)*3)+Inputs!$B$28+Inputs!$B$29)))</f>
        <v/>
      </c>
      <c r="E212">
        <f>INDEX(FactorTable!$B$2:$Y$301, MATCH(ROUND(MIN(300,MAX(1,D212)),0), FactorTable!$A$2:$A$301,0), Skills!M11+1)</f>
        <v/>
      </c>
      <c r="F212">
        <f>IF(Skills!N11=TRUE,(Skills!L11/10)*(E212/1000),Skills!L11/10)+Skills!O11</f>
        <v/>
      </c>
      <c r="G212">
        <f>Skills!G11*IF(Skills!H11&gt;0,Skills!I11/Skills!H11,1)</f>
        <v/>
      </c>
      <c r="H212">
        <f>1-(1-Skills!J11/100)^Skills!K11</f>
        <v/>
      </c>
      <c r="I212" t="inlineStr">
        <is>
          <t>1</t>
        </is>
      </c>
      <c r="J212">
        <f>((Inputs!$B$6*(1+Inputs!$B$7/100))+(((Inputs!$B$12*(1+Inputs!$B$13/100))-(Inputs!$B$12*(1+Inputs!$B$13/100)))+0.25*(Inputs!$B$14-Inputs!$B$14))*(1+Inputs!$B$7/100))*(F212/100)</f>
        <v/>
      </c>
      <c r="K212">
        <f>J212*(1+((Inputs!$B$12*(1+Inputs!$B$13/100))*0.01+Inputs!$B$14*0.0025)/100)*(1+Inputs!$B$15/100)*(1+(Inputs!$B$16+1)/100)*(5000/(6000+Inputs!$B$42*(1-(Inputs!$B$19+0)/100)))*(1+(Inputs!$B$24+((C226=TRUE)*(F226-Calc!F25))+B236)/100)*(1+4.0*IF(C213=TRUE,F213,0)/100)*(1+IF(Skills!A11="ENHANCED_RAGING_BLOW",IF(Inputs!$B$3&gt;=134,MAX(0,IF(Inputs!$B$3&gt;=110,7,5)-5)*50,0),0)/100)*(1+(IF(Skills!A11="RAGING_BLOW",Inputs!$B$17+((C222=TRUE)*(F222-Calc!F21)),Inputs!$B$18+((C224=TRUE)*(F224-Calc!F23))))/100)*((1+(((C214=TRUE)*F214*IF(Inputs!$B$3&gt;=110,7,5))+((C216=TRUE)*F216*IF(AND(Inputs!$B$38&lt;&gt;"pvp",Inputs!$B$43&gt;0),(((R216-1)*(Skills!T15*(1+Inputs!$B$34/100))+MIN((Skills!T15*(1+Inputs!$B$34/100)),MAX(0,Inputs!$B$43-((R216-1)*Skills!D15))))/Inputs!$B$43),IF(Inputs!$B$38="pvp",MIN((Skills!T15*(1+Inputs!$B$34/100)),15)/15,(Skills!T15*(1+Inputs!$B$34/100))/Skills!D15)))+0)/100)*I212)</f>
        <v/>
      </c>
      <c r="L212">
        <f>K212*(MIN(Inputs!$B$22+((C223=TRUE)*(F223-Calc!F22)),Inputs!$B$23+((C225=TRUE)*(F225-Calc!F24)))/100+(Inputs!$B$23+((C225=TRUE)*(F225-Calc!F24)))/100)/2</f>
        <v/>
      </c>
      <c r="M212">
        <f>L212*(1+(Inputs!$B$10+0+B235)/100)</f>
        <v/>
      </c>
      <c r="N212">
        <f>L212*(1-MIN((Inputs!$B$9+((C227=TRUE)*(F227-Calc!F26))+B230),100)/100)+M212*(MIN((Inputs!$B$9+((C227=TRUE)*(F227-Calc!F26))+B230),100)/100)</f>
        <v/>
      </c>
      <c r="O212">
        <f>(1-Summary!$B$55)*T212+Summary!$B$55*V212</f>
        <v/>
      </c>
      <c r="P212">
        <f>IF(B240=0,0,O212/B240)</f>
        <v/>
      </c>
      <c r="Q212">
        <f>IFERROR(1/IF(Inputs!$B$38="pvp",15,MAX(0.1,Skills!D11-IF(Skills!E11=TRUE,Inputs!$B$32,0))),0)</f>
        <v/>
      </c>
      <c r="R212">
        <f>IF(AND(Inputs!$B$38&lt;&gt;"pvp",Inputs!$B$43&gt;0),IF(MAX(0,Inputs!$B$43-B237)&lt;=0,0,(INT(MAX(0,Inputs!$B$43-B237)/IF(Inputs!$B$38="pvp",15,MAX(0.1,Skills!D11-IF(Skills!E11=TRUE,Inputs!$B$32,0))))+1)),0)</f>
        <v/>
      </c>
      <c r="S212">
        <f>IFERROR(O212/N212,0)</f>
        <v/>
      </c>
      <c r="T212">
        <f>IF(C212,(H212*N212*IF(AND(Inputs!$B$38&lt;&gt;"pvp",Inputs!$B$43&gt;0),((Skills!G11*((R212-1)*IF(Skills!H11&gt;0,Skills!I11/Skills!H11,1)+IF(Skills!H11&gt;0,MIN(Skills!I11,MAX(0,MAX(0,Inputs!$B$43-B237)-((R212-1)*IF(Inputs!$B$38="pvp",15,MAX(0.1,Skills!D11-IF(Skills!E11=TRUE,Inputs!$B$32,0))))))/Skills!H11,1)))/Inputs!$B$43),G212*Q212))*IF(Inputs!$B$38="pvp",1,1+(Inputs!$B$20+0+Skills!P11+Summary!$B$59)/100),0)</f>
        <v/>
      </c>
      <c r="V212">
        <f>IF(C212,(H212*N212*IF(AND(Inputs!$B$38&lt;&gt;"pvp",Inputs!$B$43&gt;0),((Skills!G11*((R212-1)*IF(Skills!H11&gt;0,Skills!I11/Skills!H11,1)+IF(Skills!H11&gt;0,MIN(Skills!I11,MAX(0,MAX(0,Inputs!$B$43-B237)-((R212-1)*IF(Inputs!$B$38="pvp",15,MAX(0.1,Skills!D11-IF(Skills!E11=TRUE,Inputs!$B$32,0))))))/Skills!H11,1)))/Inputs!$B$43),G212*Q212))*IF(Inputs!$B$38="pvp",1,(1+(Inputs!$B$21+Skills!Q11+Summary!$B$59)/100)*(MIN(Skills!R11,Inputs!$B$37))),0)</f>
        <v/>
      </c>
    </row>
    <row r="213">
      <c r="A213">
        <f>Skills!A12</f>
        <v/>
      </c>
      <c r="B213">
        <f>Skills!B12</f>
        <v/>
      </c>
      <c r="C213">
        <f>Inputs!$B$3&gt;=100</f>
        <v/>
      </c>
      <c r="D213">
        <f>IF(Skills!C12=1,60+Inputs!$B$25+Inputs!$B$29,IF(Skills!C12=2,90+Inputs!$B$26+Inputs!$B$29,IF(Skills!C12=3,120+Inputs!$B$27+Inputs!$B$29,MAX(0,(Inputs!$B$3-100)*3)+Inputs!$B$28+Inputs!$B$29)))</f>
        <v/>
      </c>
      <c r="E213">
        <f>INDEX(FactorTable!$B$2:$Y$301, MATCH(ROUND(MIN(300,MAX(1,D213)),0), FactorTable!$A$2:$A$301,0), Skills!M12+1)</f>
        <v/>
      </c>
      <c r="F213">
        <f>IF(Skills!N12=TRUE,(Skills!L12/10)*(E213/1000),Skills!L12/10)+Skills!O12</f>
        <v/>
      </c>
      <c r="G213" t="inlineStr"/>
      <c r="H213" t="inlineStr"/>
      <c r="I213" t="inlineStr">
        <is>
          <t>1</t>
        </is>
      </c>
      <c r="J213" t="inlineStr"/>
      <c r="K213" t="inlineStr"/>
      <c r="L213" t="inlineStr"/>
      <c r="M213" t="inlineStr"/>
      <c r="N213" t="inlineStr"/>
      <c r="O213" t="inlineStr"/>
      <c r="P213" t="inlineStr"/>
      <c r="Q213" t="inlineStr"/>
      <c r="R213" t="inlineStr"/>
      <c r="S213" t="inlineStr"/>
    </row>
    <row r="214">
      <c r="A214">
        <f>Skills!A13</f>
        <v/>
      </c>
      <c r="B214">
        <f>Skills!B13</f>
        <v/>
      </c>
      <c r="C214">
        <f>Inputs!$B$3&gt;=45</f>
        <v/>
      </c>
      <c r="D214">
        <f>IF(Skills!C13=1,60+Inputs!$B$25+Inputs!$B$29,IF(Skills!C13=2,90+Inputs!$B$26+Inputs!$B$29,IF(Skills!C13=3,120+Inputs!$B$27+Inputs!$B$29,MAX(0,(Inputs!$B$3-100)*3)+Inputs!$B$28+Inputs!$B$29)))</f>
        <v/>
      </c>
      <c r="E214">
        <f>INDEX(FactorTable!$B$2:$Y$301, MATCH(ROUND(MIN(300,MAX(1,D214)),0), FactorTable!$A$2:$A$301,0), Skills!M13+1)</f>
        <v/>
      </c>
      <c r="F214">
        <f>IF(Skills!N13=TRUE,(Skills!L13/10)*(E214/1000),Skills!L13/10)+Skills!O13</f>
        <v/>
      </c>
      <c r="G214">
        <f>Skills!G13*IF(Skills!H13&gt;0,Skills!I13/Skills!H13,1)</f>
        <v/>
      </c>
      <c r="H214">
        <f>1-(1-Skills!J13/100)^Skills!K13</f>
        <v/>
      </c>
      <c r="I214" t="inlineStr">
        <is>
          <t>1</t>
        </is>
      </c>
      <c r="J214" t="inlineStr"/>
      <c r="K214" t="inlineStr"/>
      <c r="L214" t="inlineStr"/>
      <c r="M214" t="inlineStr"/>
      <c r="N214" t="inlineStr"/>
      <c r="O214">
        <f>(1-Summary!$B$55)*T214+Summary!$B$55*V214</f>
        <v/>
      </c>
      <c r="P214">
        <f>IF(B240=0,0,O214/B240)</f>
        <v/>
      </c>
      <c r="Q214" t="n">
        <v>0</v>
      </c>
      <c r="R214" t="n">
        <v>0</v>
      </c>
      <c r="S214">
        <f>IFERROR(O214/N214,0)</f>
        <v/>
      </c>
      <c r="T214" t="n">
        <v>0</v>
      </c>
      <c r="V214" t="n">
        <v>0</v>
      </c>
    </row>
    <row r="215">
      <c r="A215">
        <f>Skills!A14</f>
        <v/>
      </c>
      <c r="B215">
        <f>Skills!B14</f>
        <v/>
      </c>
      <c r="C215">
        <f>Inputs!$B$3&gt;=75</f>
        <v/>
      </c>
      <c r="D215">
        <f>IF(Skills!C14=1,60+Inputs!$B$25+Inputs!$B$29,IF(Skills!C14=2,90+Inputs!$B$26+Inputs!$B$29,IF(Skills!C14=3,120+Inputs!$B$27+Inputs!$B$29,MAX(0,(Inputs!$B$3-100)*3)+Inputs!$B$28+Inputs!$B$29)))</f>
        <v/>
      </c>
      <c r="E215">
        <f>INDEX(FactorTable!$B$2:$Y$301, MATCH(ROUND(MIN(300,MAX(1,D215)),0), FactorTable!$A$2:$A$301,0), Skills!M14+1)</f>
        <v/>
      </c>
      <c r="F215">
        <f>IF(Skills!N14=TRUE,(Skills!L14/10)*(E215/1000),Skills!L14/10)+Skills!O14</f>
        <v/>
      </c>
      <c r="G215">
        <f>Skills!G14*IF(Skills!H14&gt;0,Skills!I14/Skills!H14,1)</f>
        <v/>
      </c>
      <c r="H215">
        <f>1-(1-Skills!J14/100)^Skills!K14</f>
        <v/>
      </c>
      <c r="I215" t="inlineStr">
        <is>
          <t>1</t>
        </is>
      </c>
      <c r="J215" t="inlineStr"/>
      <c r="K215" t="inlineStr"/>
      <c r="L215" t="inlineStr"/>
      <c r="M215" t="inlineStr"/>
      <c r="N215" t="inlineStr"/>
      <c r="O215">
        <f>(1-Summary!$B$55)*T215+Summary!$B$55*V215</f>
        <v/>
      </c>
      <c r="P215">
        <f>IF(B240=0,0,O215/B240)</f>
        <v/>
      </c>
      <c r="Q215" t="n">
        <v>0</v>
      </c>
      <c r="R215" t="n">
        <v>0</v>
      </c>
      <c r="S215">
        <f>IFERROR(O215/N215,0)</f>
        <v/>
      </c>
      <c r="T215" t="n">
        <v>0</v>
      </c>
      <c r="V215" t="n">
        <v>0</v>
      </c>
    </row>
    <row r="216">
      <c r="A216">
        <f>Skills!A15</f>
        <v/>
      </c>
      <c r="B216">
        <f>Skills!B15</f>
        <v/>
      </c>
      <c r="C216">
        <f>Inputs!$B$3&gt;=40</f>
        <v/>
      </c>
      <c r="D216">
        <f>IF(Skills!C15=1,60+Inputs!$B$25+Inputs!$B$29,IF(Skills!C15=2,90+Inputs!$B$26+Inputs!$B$29,IF(Skills!C15=3,120+Inputs!$B$27+Inputs!$B$29,MAX(0,(Inputs!$B$3-100)*3)+Inputs!$B$28+Inputs!$B$29)))</f>
        <v/>
      </c>
      <c r="E216">
        <f>INDEX(FactorTable!$B$2:$Y$301, MATCH(ROUND(MIN(300,MAX(1,D216)),0), FactorTable!$A$2:$A$301,0), Skills!M15+1)</f>
        <v/>
      </c>
      <c r="F216">
        <f>IF(Skills!N15=TRUE,(Skills!L15/10)*(E216/1000),Skills!L15/10)+Skills!O15</f>
        <v/>
      </c>
      <c r="G216">
        <f>Skills!G15*IF(Skills!H15&gt;0,Skills!I15/Skills!H15,1)</f>
        <v/>
      </c>
      <c r="H216">
        <f>1-(1-Skills!J15/100)^Skills!K15</f>
        <v/>
      </c>
      <c r="I216" t="inlineStr">
        <is>
          <t>1</t>
        </is>
      </c>
      <c r="J216" t="inlineStr"/>
      <c r="K216" t="inlineStr"/>
      <c r="L216" t="inlineStr"/>
      <c r="M216" t="inlineStr"/>
      <c r="N216" t="inlineStr"/>
      <c r="O216">
        <f>(1-Summary!$B$55)*T216+Summary!$B$55*V216</f>
        <v/>
      </c>
      <c r="P216">
        <f>IF(B240=0,0,O216/B240)</f>
        <v/>
      </c>
      <c r="Q216">
        <f>IFERROR(1/IF(Inputs!$B$38="pvp",15,MAX(0.1,Skills!D15-IF(Skills!E15=TRUE,Inputs!$B$32,0))),0)</f>
        <v/>
      </c>
      <c r="R216">
        <f>IF(AND(Inputs!$B$38&lt;&gt;"pvp",Inputs!$B$43&gt;0),IF(Inputs!$B$43&lt;=0,0,(INT(Inputs!$B$43/IF(Inputs!$B$38="pvp",15,MAX(0.1,Skills!D15-IF(Skills!E15=TRUE,Inputs!$B$32,0))))+1)),0)</f>
        <v/>
      </c>
      <c r="S216">
        <f>IFERROR(O216/N216,0)</f>
        <v/>
      </c>
      <c r="T216" t="n">
        <v>0</v>
      </c>
      <c r="V216" t="n">
        <v>0</v>
      </c>
    </row>
    <row r="217">
      <c r="A217">
        <f>Skills!A16</f>
        <v/>
      </c>
      <c r="B217">
        <f>Skills!B16</f>
        <v/>
      </c>
      <c r="C217">
        <f>Inputs!$B$3&gt;=66</f>
        <v/>
      </c>
      <c r="D217">
        <f>IF(Skills!C16=1,60+Inputs!$B$25+Inputs!$B$29,IF(Skills!C16=2,90+Inputs!$B$26+Inputs!$B$29,IF(Skills!C16=3,120+Inputs!$B$27+Inputs!$B$29,MAX(0,(Inputs!$B$3-100)*3)+Inputs!$B$28+Inputs!$B$29)))</f>
        <v/>
      </c>
      <c r="E217">
        <f>INDEX(FactorTable!$B$2:$Y$301, MATCH(ROUND(MIN(300,MAX(1,D217)),0), FactorTable!$A$2:$A$301,0), Skills!M16+1)</f>
        <v/>
      </c>
      <c r="F217">
        <f>IF(Skills!N16=TRUE,(Skills!L16/10)*(E217/1000),Skills!L16/10)+Skills!O16</f>
        <v/>
      </c>
      <c r="G217">
        <f>Skills!G16*IF(Skills!H16&gt;0,Skills!I16/Skills!H16,1)</f>
        <v/>
      </c>
      <c r="H217">
        <f>1-(1-Skills!J16/100)^Skills!K16</f>
        <v/>
      </c>
      <c r="I217" t="inlineStr">
        <is>
          <t>1</t>
        </is>
      </c>
      <c r="J217" t="inlineStr"/>
      <c r="K217" t="inlineStr"/>
      <c r="L217" t="inlineStr"/>
      <c r="M217" t="inlineStr"/>
      <c r="N217" t="inlineStr"/>
      <c r="O217">
        <f>(1-Summary!$B$55)*T217+Summary!$B$55*V217</f>
        <v/>
      </c>
      <c r="P217">
        <f>IF(B240=0,0,O217/B240)</f>
        <v/>
      </c>
      <c r="Q217">
        <f>IFERROR(1/IF(Inputs!$B$38="pvp",15,MAX(0.1,Skills!D16-IF(Skills!E16=TRUE,Inputs!$B$32,0))),0)</f>
        <v/>
      </c>
      <c r="R217">
        <f>IF(AND(Inputs!$B$38&lt;&gt;"pvp",Inputs!$B$43&gt;0),IF(Inputs!$B$43&lt;=0,0,(INT(Inputs!$B$43/IF(Inputs!$B$38="pvp",15,MAX(0.1,Skills!D16-IF(Skills!E16=TRUE,Inputs!$B$32,0))))+1)),0)</f>
        <v/>
      </c>
      <c r="S217">
        <f>IFERROR(O217/N217,0)</f>
        <v/>
      </c>
      <c r="T217" t="n">
        <v>0</v>
      </c>
      <c r="V217" t="n">
        <v>0</v>
      </c>
    </row>
    <row r="218">
      <c r="A218">
        <f>Skills!A17</f>
        <v/>
      </c>
      <c r="B218">
        <f>Skills!B17</f>
        <v/>
      </c>
      <c r="C218">
        <f>Inputs!$B$3&gt;=115</f>
        <v/>
      </c>
      <c r="D218">
        <f>IF(Skills!C17=1,60+Inputs!$B$25+Inputs!$B$29,IF(Skills!C17=2,90+Inputs!$B$26+Inputs!$B$29,IF(Skills!C17=3,120+Inputs!$B$27+Inputs!$B$29,MAX(0,(Inputs!$B$3-100)*3)+Inputs!$B$28+Inputs!$B$29)))</f>
        <v/>
      </c>
      <c r="E218">
        <f>INDEX(FactorTable!$B$2:$Y$301, MATCH(ROUND(MIN(300,MAX(1,D218)),0), FactorTable!$A$2:$A$301,0), Skills!M17+1)</f>
        <v/>
      </c>
      <c r="F218">
        <f>IF(Skills!N17=TRUE,(Skills!L17/10)*(E218/1000),Skills!L17/10)+Skills!O17</f>
        <v/>
      </c>
      <c r="G218">
        <f>Skills!G17*IF(Skills!H17&gt;0,Skills!I17/Skills!H17,1)</f>
        <v/>
      </c>
      <c r="H218">
        <f>1-(1-Skills!J17/100)^Skills!K17</f>
        <v/>
      </c>
      <c r="I218" t="inlineStr">
        <is>
          <t>1</t>
        </is>
      </c>
      <c r="J218" t="inlineStr"/>
      <c r="K218" t="inlineStr"/>
      <c r="L218" t="inlineStr"/>
      <c r="M218" t="inlineStr"/>
      <c r="N218" t="inlineStr"/>
      <c r="O218">
        <f>(1-Summary!$B$55)*T218+Summary!$B$55*V218</f>
        <v/>
      </c>
      <c r="P218">
        <f>IF(B240=0,0,O218/B240)</f>
        <v/>
      </c>
      <c r="Q218">
        <f>IFERROR(1/IF(Inputs!$B$38="pvp",15,MAX(0.1,Skills!D17-IF(Skills!E17=TRUE,Inputs!$B$32,0))),0)</f>
        <v/>
      </c>
      <c r="R218">
        <f>IF(AND(Inputs!$B$38&lt;&gt;"pvp",Inputs!$B$43&gt;0),IF(Inputs!$B$43&lt;=0,0,(INT(Inputs!$B$43/IF(Inputs!$B$38="pvp",15,MAX(0.1,Skills!D17-IF(Skills!E17=TRUE,Inputs!$B$32,0))))+1)),0)</f>
        <v/>
      </c>
      <c r="S218">
        <f>IFERROR(O218/N218,0)</f>
        <v/>
      </c>
      <c r="T218" t="n">
        <v>0</v>
      </c>
      <c r="V218" t="n">
        <v>0</v>
      </c>
    </row>
    <row r="219">
      <c r="A219">
        <f>Skills!A18</f>
        <v/>
      </c>
      <c r="B219">
        <f>Skills!B18</f>
        <v/>
      </c>
      <c r="C219">
        <f>Inputs!$B$3&gt;=115</f>
        <v/>
      </c>
      <c r="D219">
        <f>IF(Skills!C18=1,60+Inputs!$B$25+Inputs!$B$29,IF(Skills!C18=2,90+Inputs!$B$26+Inputs!$B$29,IF(Skills!C18=3,120+Inputs!$B$27+Inputs!$B$29,MAX(0,(Inputs!$B$3-100)*3)+Inputs!$B$28+Inputs!$B$29)))</f>
        <v/>
      </c>
      <c r="E219">
        <f>INDEX(FactorTable!$B$2:$Y$301, MATCH(ROUND(MIN(300,MAX(1,D219)),0), FactorTable!$A$2:$A$301,0), Skills!M18+1)</f>
        <v/>
      </c>
      <c r="F219">
        <f>IF(Skills!N18=TRUE,(Skills!L18/10)*(E219/1000),Skills!L18/10)+Skills!O18</f>
        <v/>
      </c>
      <c r="G219">
        <f>Skills!G18*IF(Skills!H18&gt;0,Skills!I18/Skills!H18,1)</f>
        <v/>
      </c>
      <c r="H219">
        <f>1-(1-Skills!J18/100)^Skills!K18</f>
        <v/>
      </c>
      <c r="I219" t="inlineStr">
        <is>
          <t>1</t>
        </is>
      </c>
      <c r="J219" t="inlineStr"/>
      <c r="K219" t="inlineStr"/>
      <c r="L219" t="inlineStr"/>
      <c r="M219" t="inlineStr"/>
      <c r="N219" t="inlineStr"/>
      <c r="O219">
        <f>(1-Summary!$B$55)*T219+Summary!$B$55*V219</f>
        <v/>
      </c>
      <c r="P219">
        <f>IF(B240=0,0,O219/B240)</f>
        <v/>
      </c>
      <c r="Q219">
        <f>IFERROR(1/IF(Inputs!$B$38="pvp",15,MAX(0.1,Skills!D18-IF(Skills!E18=TRUE,Inputs!$B$32,0))),0)</f>
        <v/>
      </c>
      <c r="R219">
        <f>IF(AND(Inputs!$B$38&lt;&gt;"pvp",Inputs!$B$43&gt;0),IF(Inputs!$B$43&lt;=0,0,(INT(Inputs!$B$43/IF(Inputs!$B$38="pvp",15,MAX(0.1,Skills!D18-IF(Skills!E18=TRUE,Inputs!$B$32,0))))+1)),0)</f>
        <v/>
      </c>
      <c r="S219">
        <f>IFERROR(O219/N219,0)</f>
        <v/>
      </c>
      <c r="T219" t="n">
        <v>0</v>
      </c>
      <c r="V219" t="n">
        <v>0</v>
      </c>
    </row>
    <row r="220">
      <c r="A220">
        <f>Skills!A19</f>
        <v/>
      </c>
      <c r="B220">
        <f>Skills!B19</f>
        <v/>
      </c>
      <c r="C220">
        <f>TRUE</f>
        <v/>
      </c>
      <c r="D220">
        <f>IF(Skills!C19=1,60+Inputs!$B$25+Inputs!$B$29,IF(Skills!C19=2,90+Inputs!$B$26+Inputs!$B$29,IF(Skills!C19=3,120+Inputs!$B$27+Inputs!$B$29,MAX(0,(Inputs!$B$3-100)*3)+Inputs!$B$28+Inputs!$B$29)))</f>
        <v/>
      </c>
      <c r="E220">
        <f>INDEX(FactorTable!$B$2:$Y$301, MATCH(ROUND(MIN(300,MAX(1,D220)),0), FactorTable!$A$2:$A$301,0), Skills!M19+1)</f>
        <v/>
      </c>
      <c r="F220">
        <f>IF(Skills!N19=TRUE,(Skills!L19/10)*(E220/1000),Skills!L19/10)+Skills!O19</f>
        <v/>
      </c>
      <c r="G220">
        <f>Skills!G19*IF(Skills!H19&gt;0,Skills!I19/Skills!H19,1)</f>
        <v/>
      </c>
      <c r="H220">
        <f>1-(1-Skills!J19/100)^Skills!K19</f>
        <v/>
      </c>
      <c r="I220" t="inlineStr">
        <is>
          <t>1</t>
        </is>
      </c>
      <c r="J220" t="inlineStr"/>
      <c r="K220" t="inlineStr"/>
      <c r="L220" t="inlineStr"/>
      <c r="M220" t="inlineStr"/>
      <c r="N220" t="inlineStr"/>
      <c r="O220">
        <f>(1-Summary!$B$55)*T220+Summary!$B$55*V220</f>
        <v/>
      </c>
      <c r="P220">
        <f>IF(B240=0,0,O220/B240)</f>
        <v/>
      </c>
      <c r="Q220">
        <f>IFERROR(1/IF(Inputs!$B$38="pvp",15,MAX(0.1,Skills!D19-IF(Skills!E19=TRUE,Inputs!$B$32,0))),0)</f>
        <v/>
      </c>
      <c r="R220">
        <f>IF(AND(Inputs!$B$38&lt;&gt;"pvp",Inputs!$B$43&gt;0),IF(Inputs!$B$43&lt;=0,0,(INT(Inputs!$B$43/IF(Inputs!$B$38="pvp",15,MAX(0.1,Skills!D19-IF(Skills!E19=TRUE,Inputs!$B$32,0))))+1)),0)</f>
        <v/>
      </c>
      <c r="S220">
        <f>IFERROR(O220/N220,0)</f>
        <v/>
      </c>
      <c r="T220" t="n">
        <v>0</v>
      </c>
      <c r="V220" t="n">
        <v>0</v>
      </c>
    </row>
    <row r="221">
      <c r="A221">
        <f>Skills!A20</f>
        <v/>
      </c>
      <c r="B221">
        <f>Skills!B20</f>
        <v/>
      </c>
      <c r="C221">
        <f>Inputs!$B$3&gt;=33</f>
        <v/>
      </c>
      <c r="D221">
        <f>IF(Skills!C20=1,60+Inputs!$B$25+Inputs!$B$29,IF(Skills!C20=2,90+Inputs!$B$26+Inputs!$B$29,IF(Skills!C20=3,120+Inputs!$B$27+Inputs!$B$29,MAX(0,(Inputs!$B$3-100)*3)+Inputs!$B$28+Inputs!$B$29)))</f>
        <v/>
      </c>
      <c r="E221">
        <f>INDEX(FactorTable!$B$2:$Y$301, MATCH(ROUND(MIN(300,MAX(1,D221)),0), FactorTable!$A$2:$A$301,0), Skills!M20+1)</f>
        <v/>
      </c>
      <c r="F221">
        <f>IF(Skills!N20=TRUE,(Skills!L20/10)*(E221/1000),Skills!L20/10)+Skills!O20</f>
        <v/>
      </c>
      <c r="G221">
        <f>Skills!G20*IF(Skills!H20&gt;0,Skills!I20/Skills!H20,1)</f>
        <v/>
      </c>
      <c r="H221">
        <f>1-(1-Skills!J20/100)^Skills!K20</f>
        <v/>
      </c>
      <c r="I221" t="inlineStr">
        <is>
          <t>1</t>
        </is>
      </c>
      <c r="J221" t="inlineStr"/>
      <c r="K221" t="inlineStr"/>
      <c r="L221" t="inlineStr"/>
      <c r="M221" t="inlineStr"/>
      <c r="N221" t="inlineStr"/>
      <c r="O221">
        <f>(1-Summary!$B$55)*T221+Summary!$B$55*V221</f>
        <v/>
      </c>
      <c r="P221">
        <f>IF(B240=0,0,O221/B240)</f>
        <v/>
      </c>
      <c r="Q221" t="n">
        <v>0</v>
      </c>
      <c r="R221" t="n">
        <v>0</v>
      </c>
      <c r="S221">
        <f>IFERROR(O221/N221,0)</f>
        <v/>
      </c>
      <c r="T221" t="n">
        <v>0</v>
      </c>
      <c r="V221" t="n">
        <v>0</v>
      </c>
    </row>
    <row r="222">
      <c r="A222">
        <f>Skills!A21</f>
        <v/>
      </c>
      <c r="B222">
        <f>Skills!B21</f>
        <v/>
      </c>
      <c r="C222">
        <f>Inputs!$B$3&gt;=38</f>
        <v/>
      </c>
      <c r="D222">
        <f>IF(Skills!C21=1,60+Inputs!$B$25+Inputs!$B$29,IF(Skills!C21=2,90+Inputs!$B$26+Inputs!$B$29,IF(Skills!C21=3,120+Inputs!$B$27+Inputs!$B$29,MAX(0,(Inputs!$B$3-100)*3)+Inputs!$B$28+Inputs!$B$29)))</f>
        <v/>
      </c>
      <c r="E222">
        <f>INDEX(FactorTable!$B$2:$Y$301, MATCH(ROUND(MIN(300,MAX(1,D222)),0), FactorTable!$A$2:$A$301,0), Skills!M21+1)</f>
        <v/>
      </c>
      <c r="F222">
        <f>IF(Skills!N21=TRUE,(Skills!L21/10)*(E222/1000),Skills!L21/10)+Skills!O21</f>
        <v/>
      </c>
      <c r="G222">
        <f>Skills!G21*IF(Skills!H21&gt;0,Skills!I21/Skills!H21,1)</f>
        <v/>
      </c>
      <c r="H222">
        <f>1-(1-Skills!J21/100)^Skills!K21</f>
        <v/>
      </c>
      <c r="I222" t="inlineStr">
        <is>
          <t>1</t>
        </is>
      </c>
      <c r="J222" t="inlineStr"/>
      <c r="K222" t="inlineStr"/>
      <c r="L222" t="inlineStr"/>
      <c r="M222" t="inlineStr"/>
      <c r="N222" t="inlineStr"/>
      <c r="O222">
        <f>(1-Summary!$B$55)*T222+Summary!$B$55*V222</f>
        <v/>
      </c>
      <c r="P222">
        <f>IF(B240=0,0,O222/B240)</f>
        <v/>
      </c>
      <c r="Q222" t="n">
        <v>0</v>
      </c>
      <c r="R222" t="n">
        <v>0</v>
      </c>
      <c r="S222">
        <f>IFERROR(O222/N222,0)</f>
        <v/>
      </c>
      <c r="T222" t="n">
        <v>0</v>
      </c>
      <c r="V222" t="n">
        <v>0</v>
      </c>
    </row>
    <row r="223">
      <c r="A223">
        <f>Skills!A22</f>
        <v/>
      </c>
      <c r="B223">
        <f>Skills!B22</f>
        <v/>
      </c>
      <c r="C223">
        <f>Inputs!$B$3&gt;=43</f>
        <v/>
      </c>
      <c r="D223">
        <f>IF(Skills!C22=1,60+Inputs!$B$25+Inputs!$B$29,IF(Skills!C22=2,90+Inputs!$B$26+Inputs!$B$29,IF(Skills!C22=3,120+Inputs!$B$27+Inputs!$B$29,MAX(0,(Inputs!$B$3-100)*3)+Inputs!$B$28+Inputs!$B$29)))</f>
        <v/>
      </c>
      <c r="E223">
        <f>INDEX(FactorTable!$B$2:$Y$301, MATCH(ROUND(MIN(300,MAX(1,D223)),0), FactorTable!$A$2:$A$301,0), Skills!M22+1)</f>
        <v/>
      </c>
      <c r="F223">
        <f>IF(Skills!N22=TRUE,(Skills!L22/10)*(E223/1000),Skills!L22/10)+Skills!O22</f>
        <v/>
      </c>
      <c r="G223">
        <f>Skills!G22*IF(Skills!H22&gt;0,Skills!I22/Skills!H22,1)</f>
        <v/>
      </c>
      <c r="H223">
        <f>1-(1-Skills!J22/100)^Skills!K22</f>
        <v/>
      </c>
      <c r="I223" t="inlineStr">
        <is>
          <t>1</t>
        </is>
      </c>
      <c r="J223" t="inlineStr"/>
      <c r="K223" t="inlineStr"/>
      <c r="L223" t="inlineStr"/>
      <c r="M223" t="inlineStr"/>
      <c r="N223" t="inlineStr"/>
      <c r="O223">
        <f>(1-Summary!$B$55)*T223+Summary!$B$55*V223</f>
        <v/>
      </c>
      <c r="P223">
        <f>IF(B240=0,0,O223/B240)</f>
        <v/>
      </c>
      <c r="Q223" t="n">
        <v>0</v>
      </c>
      <c r="R223" t="n">
        <v>0</v>
      </c>
      <c r="S223">
        <f>IFERROR(O223/N223,0)</f>
        <v/>
      </c>
      <c r="T223" t="n">
        <v>0</v>
      </c>
      <c r="V223" t="n">
        <v>0</v>
      </c>
    </row>
    <row r="224">
      <c r="A224">
        <f>Skills!A23</f>
        <v/>
      </c>
      <c r="B224">
        <f>Skills!B23</f>
        <v/>
      </c>
      <c r="C224">
        <f>Inputs!$B$3&gt;=120</f>
        <v/>
      </c>
      <c r="D224">
        <f>IF(Skills!C23=1,60+Inputs!$B$25+Inputs!$B$29,IF(Skills!C23=2,90+Inputs!$B$26+Inputs!$B$29,IF(Skills!C23=3,120+Inputs!$B$27+Inputs!$B$29,MAX(0,(Inputs!$B$3-100)*3)+Inputs!$B$28+Inputs!$B$29)))</f>
        <v/>
      </c>
      <c r="E224">
        <f>INDEX(FactorTable!$B$2:$Y$301, MATCH(ROUND(MIN(300,MAX(1,D224)),0), FactorTable!$A$2:$A$301,0), Skills!M23+1)</f>
        <v/>
      </c>
      <c r="F224">
        <f>IF(Skills!N23=TRUE,(Skills!L23/10)*(E224/1000),Skills!L23/10)+Skills!O23</f>
        <v/>
      </c>
      <c r="G224">
        <f>Skills!G23*IF(Skills!H23&gt;0,Skills!I23/Skills!H23,1)</f>
        <v/>
      </c>
      <c r="H224">
        <f>1-(1-Skills!J23/100)^Skills!K23</f>
        <v/>
      </c>
      <c r="I224" t="inlineStr">
        <is>
          <t>1</t>
        </is>
      </c>
      <c r="J224" t="inlineStr"/>
      <c r="K224" t="inlineStr"/>
      <c r="L224" t="inlineStr"/>
      <c r="M224" t="inlineStr"/>
      <c r="N224" t="inlineStr"/>
      <c r="O224">
        <f>(1-Summary!$B$55)*T224+Summary!$B$55*V224</f>
        <v/>
      </c>
      <c r="P224">
        <f>IF(B240=0,0,O224/B240)</f>
        <v/>
      </c>
      <c r="Q224" t="n">
        <v>0</v>
      </c>
      <c r="R224" t="n">
        <v>0</v>
      </c>
      <c r="S224">
        <f>IFERROR(O224/N224,0)</f>
        <v/>
      </c>
      <c r="T224" t="n">
        <v>0</v>
      </c>
      <c r="V224" t="n">
        <v>0</v>
      </c>
    </row>
    <row r="225">
      <c r="A225">
        <f>Skills!A24</f>
        <v/>
      </c>
      <c r="B225">
        <f>Skills!B24</f>
        <v/>
      </c>
      <c r="C225">
        <f>Inputs!$B$3&gt;=120</f>
        <v/>
      </c>
      <c r="D225">
        <f>IF(Skills!C24=1,60+Inputs!$B$25+Inputs!$B$29,IF(Skills!C24=2,90+Inputs!$B$26+Inputs!$B$29,IF(Skills!C24=3,120+Inputs!$B$27+Inputs!$B$29,MAX(0,(Inputs!$B$3-100)*3)+Inputs!$B$28+Inputs!$B$29)))</f>
        <v/>
      </c>
      <c r="E225">
        <f>INDEX(FactorTable!$B$2:$Y$301, MATCH(ROUND(MIN(300,MAX(1,D225)),0), FactorTable!$A$2:$A$301,0), Skills!M24+1)</f>
        <v/>
      </c>
      <c r="F225">
        <f>IF(Skills!N24=TRUE,(Skills!L24/10)*(E225/1000),Skills!L24/10)+Skills!O24</f>
        <v/>
      </c>
      <c r="G225">
        <f>Skills!G24*IF(Skills!H24&gt;0,Skills!I24/Skills!H24,1)</f>
        <v/>
      </c>
      <c r="H225">
        <f>1-(1-Skills!J24/100)^Skills!K24</f>
        <v/>
      </c>
      <c r="I225" t="inlineStr">
        <is>
          <t>1</t>
        </is>
      </c>
      <c r="J225" t="inlineStr"/>
      <c r="K225" t="inlineStr"/>
      <c r="L225" t="inlineStr"/>
      <c r="M225" t="inlineStr"/>
      <c r="N225" t="inlineStr"/>
      <c r="O225">
        <f>(1-Summary!$B$55)*T225+Summary!$B$55*V225</f>
        <v/>
      </c>
      <c r="P225">
        <f>IF(B240=0,0,O225/B240)</f>
        <v/>
      </c>
      <c r="Q225" t="n">
        <v>0</v>
      </c>
      <c r="R225" t="n">
        <v>0</v>
      </c>
      <c r="S225">
        <f>IFERROR(O225/N225,0)</f>
        <v/>
      </c>
      <c r="T225" t="n">
        <v>0</v>
      </c>
      <c r="V225" t="n">
        <v>0</v>
      </c>
    </row>
    <row r="226">
      <c r="A226">
        <f>Skills!A25</f>
        <v/>
      </c>
      <c r="B226">
        <f>Skills!B25</f>
        <v/>
      </c>
      <c r="C226">
        <f>Inputs!$B$3&gt;=125</f>
        <v/>
      </c>
      <c r="D226">
        <f>IF(Skills!C25=1,60+Inputs!$B$25+Inputs!$B$29,IF(Skills!C25=2,90+Inputs!$B$26+Inputs!$B$29,IF(Skills!C25=3,120+Inputs!$B$27+Inputs!$B$29,MAX(0,(Inputs!$B$3-100)*3)+Inputs!$B$28+Inputs!$B$29)))</f>
        <v/>
      </c>
      <c r="E226">
        <f>INDEX(FactorTable!$B$2:$Y$301, MATCH(ROUND(MIN(300,MAX(1,D226)),0), FactorTable!$A$2:$A$301,0), Skills!M25+1)</f>
        <v/>
      </c>
      <c r="F226">
        <f>IF(Skills!N25=TRUE,(Skills!L25/10)*(E226/1000),Skills!L25/10)+Skills!O25</f>
        <v/>
      </c>
      <c r="G226">
        <f>Skills!G25*IF(Skills!H25&gt;0,Skills!I25/Skills!H25,1)</f>
        <v/>
      </c>
      <c r="H226">
        <f>1-(1-Skills!J25/100)^Skills!K25</f>
        <v/>
      </c>
      <c r="I226" t="inlineStr">
        <is>
          <t>1</t>
        </is>
      </c>
      <c r="J226" t="inlineStr"/>
      <c r="K226" t="inlineStr"/>
      <c r="L226" t="inlineStr"/>
      <c r="M226" t="inlineStr"/>
      <c r="N226" t="inlineStr"/>
      <c r="O226">
        <f>(1-Summary!$B$55)*T226+Summary!$B$55*V226</f>
        <v/>
      </c>
      <c r="P226">
        <f>IF(B240=0,0,O226/B240)</f>
        <v/>
      </c>
      <c r="Q226" t="n">
        <v>0</v>
      </c>
      <c r="R226" t="n">
        <v>0</v>
      </c>
      <c r="S226">
        <f>IFERROR(O226/N226,0)</f>
        <v/>
      </c>
      <c r="T226" t="n">
        <v>0</v>
      </c>
      <c r="V226" t="n">
        <v>0</v>
      </c>
    </row>
    <row r="227">
      <c r="A227">
        <f>Skills!A26</f>
        <v/>
      </c>
      <c r="B227">
        <f>Skills!B26</f>
        <v/>
      </c>
      <c r="C227">
        <f>Inputs!$B$3&gt;=72</f>
        <v/>
      </c>
      <c r="D227">
        <f>IF(Skills!C26=1,60+Inputs!$B$25+Inputs!$B$29,IF(Skills!C26=2,90+Inputs!$B$26+Inputs!$B$29,IF(Skills!C26=3,120+Inputs!$B$27+Inputs!$B$29,MAX(0,(Inputs!$B$3-100)*3)+Inputs!$B$28+Inputs!$B$29)))</f>
        <v/>
      </c>
      <c r="E227">
        <f>INDEX(FactorTable!$B$2:$Y$301, MATCH(ROUND(MIN(300,MAX(1,D227)),0), FactorTable!$A$2:$A$301,0), Skills!M26+1)</f>
        <v/>
      </c>
      <c r="F227">
        <f>IF(Skills!N26=TRUE,(Skills!L26/10)*(E227/1000),Skills!L26/10)+Skills!O26</f>
        <v/>
      </c>
      <c r="G227">
        <f>Skills!G26*IF(Skills!H26&gt;0,Skills!I26/Skills!H26,1)</f>
        <v/>
      </c>
      <c r="H227">
        <f>1-(1-Skills!J26/100)^Skills!K26</f>
        <v/>
      </c>
      <c r="I227" t="inlineStr">
        <is>
          <t>1</t>
        </is>
      </c>
      <c r="J227" t="inlineStr"/>
      <c r="K227" t="inlineStr"/>
      <c r="L227" t="inlineStr"/>
      <c r="M227" t="inlineStr"/>
      <c r="N227" t="inlineStr"/>
      <c r="O227">
        <f>(1-Summary!$B$55)*T227+Summary!$B$55*V227</f>
        <v/>
      </c>
      <c r="P227">
        <f>IF(B240=0,0,O227/B240)</f>
        <v/>
      </c>
      <c r="Q227" t="n">
        <v>0</v>
      </c>
      <c r="R227" t="n">
        <v>0</v>
      </c>
      <c r="S227">
        <f>IFERROR(O227/N227,0)</f>
        <v/>
      </c>
      <c r="T227" t="n">
        <v>0</v>
      </c>
      <c r="V227" t="n">
        <v>0</v>
      </c>
    </row>
    <row r="229">
      <c r="A229" t="inlineStr">
        <is>
          <t>Attack% Bucket Multiplier</t>
        </is>
      </c>
      <c r="B229">
        <f>(1+(((C214=TRUE)*F214*IF(Inputs!$B$3&gt;=110,7,5))+((C216=TRUE)*F216*IF(AND(Inputs!$B$38&lt;&gt;"pvp",Inputs!$B$43&gt;0),(((R216-1)*(Skills!T15*(1+Inputs!$B$34/100))+MIN((Skills!T15*(1+Inputs!$B$34/100)),MAX(0,Inputs!$B$43-((R216-1)*Skills!D15))))/Inputs!$B$43),IF(Inputs!$B$38="pvp",MIN((Skills!T15*(1+Inputs!$B$34/100)),15)/15,(Skills!T15*(1+Inputs!$B$34/100))/Skills!D15)))+0)/100)</f>
        <v/>
      </c>
    </row>
    <row r="230">
      <c r="A230" t="inlineStr">
        <is>
          <t>Global Crit Rate Bonus %</t>
        </is>
      </c>
      <c r="B230" t="n">
        <v>0</v>
      </c>
    </row>
    <row r="231">
      <c r="A231" t="inlineStr">
        <is>
          <t>Attack Speed Buff Bonus %</t>
        </is>
      </c>
      <c r="B231">
        <f>((C220=TRUE)*F220*IF(AND(Inputs!$B$38&lt;&gt;"pvp",Inputs!$B$43&gt;0),(((R220-1)*(Skills!T19*(1+Inputs!$B$34/100))+MIN((Skills!T19*(1+Inputs!$B$34/100)),MAX(0,Inputs!$B$43-((R220-1)*Skills!D19))))/Inputs!$B$43),IF(Inputs!$B$38="pvp",MIN((Skills!T19*(1+Inputs!$B$34/100)),15)/15,(Skills!T19*(1+Inputs!$B$34/100))/Skills!D19)))</f>
        <v/>
      </c>
    </row>
    <row r="232">
      <c r="A232" t="inlineStr">
        <is>
          <t>Actions Per Second</t>
        </is>
      </c>
      <c r="B232">
        <f>1+MIN(150,150*(1-(1-(Inputs!$B$11+((C221=TRUE)*(F221-Calc!F20)))/150)*(1-B231/150)))/100</f>
        <v/>
      </c>
    </row>
    <row r="233">
      <c r="A233" t="inlineStr">
        <is>
          <t>Skill + Buff Cast Rate</t>
        </is>
      </c>
      <c r="B233">
        <f>IF(AND(Inputs!$B$38&lt;&gt;"pvp",Inputs!$B$43&gt;0),SUMPRODUCT((Skills!E2:E26=TRUE)*(C203:C227=TRUE)*R203:R227*Skills!F2:F26)/Inputs!$B$43,SUMPRODUCT((Skills!E2:E26=TRUE)*(C203:C227=TRUE)*Q203:Q227*Skills!F2:F26))</f>
        <v/>
      </c>
    </row>
    <row r="234">
      <c r="A234" t="inlineStr">
        <is>
          <t>Raging Blow Casts Per Second</t>
        </is>
      </c>
      <c r="B234">
        <f>MAX(0,B232-B233)</f>
        <v/>
      </c>
    </row>
    <row r="235">
      <c r="A235" t="inlineStr">
        <is>
          <t>Global Critical Damage Bonus % (Enrage)</t>
        </is>
      </c>
      <c r="B235">
        <f>((C219=TRUE)*F219*IF(AND(Inputs!$B$38&lt;&gt;"pvp",Inputs!$B$43&gt;0),(((R219-1)*(Skills!T18*(1+Inputs!$B$34/100))+MIN((Skills!T18*(1+Inputs!$B$34/100)),MAX(0,Inputs!$B$43-((R219-1)*Skills!D18))))/Inputs!$B$43),IF(Inputs!$B$38="pvp",MIN((Skills!T18*(1+Inputs!$B$34/100)),15)/15,(Skills!T18*(1+Inputs!$B$34/100))/Skills!D18)))</f>
        <v/>
      </c>
    </row>
    <row r="236">
      <c r="A236" t="inlineStr">
        <is>
          <t>Global Final Damage Bonus % (Enrage + Combo Synergy)</t>
        </is>
      </c>
      <c r="B236">
        <f>((C218=TRUE)*F218*IF(AND(Inputs!$B$38&lt;&gt;"pvp",Inputs!$B$43&gt;0),(((R218-1)*(Skills!T17*(1+Inputs!$B$34/100))+MIN((Skills!T17*(1+Inputs!$B$34/100)),MAX(0,Inputs!$B$43-((R218-1)*Skills!D17))))/Inputs!$B$43),IF(Inputs!$B$38="pvp",MIN((Skills!T17*(1+Inputs!$B$34/100)),15)/15,(Skills!T17*(1+Inputs!$B$34/100))/Skills!D17)))+((C215=TRUE)*F215*IF(Inputs!$B$3&gt;=110,7,5))</f>
        <v/>
      </c>
    </row>
    <row r="237">
      <c r="A237" t="inlineStr">
        <is>
          <t>Buff-Casting Startup Delay (s, fixed-duration only)</t>
        </is>
      </c>
      <c r="B237">
        <f>IF(AND(Inputs!$B$38&lt;&gt;"pvp",Inputs!$B$43&gt;0),SUMPRODUCT((Skills!T2:T26&gt;0)*(Skills!E2:E26=TRUE)*(C203:C227=TRUE))/B232,0)</f>
        <v/>
      </c>
    </row>
    <row r="238">
      <c r="A238" t="inlineStr">
        <is>
          <t>Boss-Only Total DPS (this block's swept value)</t>
        </is>
      </c>
      <c r="B238">
        <f>SUM(T203:T227)</f>
        <v/>
      </c>
    </row>
    <row r="239">
      <c r="A239" t="inlineStr">
        <is>
          <t>Normal-Only Total DPS (this block's swept value)</t>
        </is>
      </c>
      <c r="B239">
        <f>SUM(V203:V227)</f>
        <v/>
      </c>
    </row>
    <row r="240">
      <c r="A240" s="5" t="inlineStr">
        <is>
          <t>TOTAL DPS</t>
        </is>
      </c>
      <c r="B240" s="5">
        <f>SUM(O203:O227)</f>
        <v/>
      </c>
    </row>
    <row r="243">
      <c r="A243" s="5" t="inlineStr">
        <is>
          <t>Stat: BOSS_DAMAGE %</t>
        </is>
      </c>
    </row>
    <row r="244">
      <c r="A244" s="9" t="inlineStr">
        <is>
          <t>Key</t>
        </is>
      </c>
      <c r="B244" s="9" t="inlineStr">
        <is>
          <t>Name</t>
        </is>
      </c>
      <c r="C244" s="9" t="inlineStr">
        <is>
          <t>Unlocked</t>
        </is>
      </c>
      <c r="D244" s="9" t="inlineStr">
        <is>
          <t>InputLevel</t>
        </is>
      </c>
      <c r="E244" s="9" t="inlineStr">
        <is>
          <t>Factor</t>
        </is>
      </c>
      <c r="F244" s="9" t="inlineStr">
        <is>
          <t>CoefficientPercent</t>
        </is>
      </c>
      <c r="G244" s="9" t="inlineStr">
        <is>
          <t>EffectiveHits</t>
        </is>
      </c>
      <c r="H244" s="9" t="inlineStr">
        <is>
          <t>ProcProbability</t>
        </is>
      </c>
      <c r="I244" s="9" t="inlineStr">
        <is>
          <t>MapleHeroMultiplier</t>
        </is>
      </c>
      <c r="J244" s="9" t="inlineStr">
        <is>
          <t>BaseDamage</t>
        </is>
      </c>
      <c r="K244" s="9" t="inlineStr">
        <is>
          <t>BaseHitDamage</t>
        </is>
      </c>
      <c r="L244" s="9" t="inlineStr">
        <is>
          <t>NonCritAvg</t>
        </is>
      </c>
      <c r="M244" s="9" t="inlineStr">
        <is>
          <t>CritAvg</t>
        </is>
      </c>
      <c r="N244" s="9" t="inlineStr">
        <is>
          <t>ExpectedDamage(perHit)</t>
        </is>
      </c>
      <c r="O244" s="9" t="inlineStr">
        <is>
          <t>DPS</t>
        </is>
      </c>
      <c r="P244" s="9" t="inlineStr">
        <is>
          <t>% of Total</t>
        </is>
      </c>
      <c r="Q244" s="9" t="inlineStr">
        <is>
          <t>InvCooldown</t>
        </is>
      </c>
      <c r="R244" s="9" t="inlineStr">
        <is>
          <t>CastsInFight</t>
        </is>
      </c>
      <c r="S244" s="9" t="inlineStr">
        <is>
          <t>HitRate(perSec)</t>
        </is>
      </c>
      <c r="U244" t="inlineStr">
        <is>
          <t>helpers</t>
        </is>
      </c>
    </row>
    <row r="245">
      <c r="A245">
        <f>Skills!A2</f>
        <v/>
      </c>
      <c r="B245">
        <f>Skills!B2</f>
        <v/>
      </c>
      <c r="C245">
        <f>Inputs!$B$3&gt;=100</f>
        <v/>
      </c>
      <c r="D245" t="inlineStr"/>
      <c r="E245" t="inlineStr"/>
      <c r="F245">
        <f>U247+Skills!O2</f>
        <v/>
      </c>
      <c r="G245">
        <f>Skills!G2*IF(Skills!H2&gt;0,Skills!I2/Skills!H2,1)</f>
        <v/>
      </c>
      <c r="H245">
        <f>1-(1-Skills!J2/100)^Skills!K2</f>
        <v/>
      </c>
      <c r="I245" t="inlineStr">
        <is>
          <t>1</t>
        </is>
      </c>
      <c r="J245">
        <f>((Inputs!$B$6*(1+Inputs!$B$7/100))+(((Inputs!$B$12*(1+Inputs!$B$13/100))-(Inputs!$B$12*(1+Inputs!$B$13/100)))+0.25*(Inputs!$B$14-Inputs!$B$14))*(1+Inputs!$B$7/100))*(F245/100)</f>
        <v/>
      </c>
      <c r="K245">
        <f>J245*(1+((Inputs!$B$12*(1+Inputs!$B$13/100))*0.01+Inputs!$B$14*0.0025)/100)*(1+Inputs!$B$15/100)*(1+Inputs!$B$16/100)*(5000/(6000+Inputs!$B$42*(1-(Inputs!$B$19+0)/100)))*(1+(Inputs!$B$24+((C268=TRUE)*(F268-Calc!F25))+B278)/100)*(1+IF(Skills!A2="ENHANCED_RAGING_BLOW",IF(Inputs!$B$3&gt;=134,MAX(0,IF(Inputs!$B$3&gt;=110,7,5)-5)*50,0),0)/100)*(1+(IF(Skills!A2="RAGING_BLOW",Inputs!$B$17+((C264=TRUE)*(F264-Calc!F21)),Inputs!$B$18+((C266=TRUE)*(F266-Calc!F23))))/100)*((1+(((C256=TRUE)*F256*IF(Inputs!$B$3&gt;=110,7,5))+((C258=TRUE)*F258*IF(AND(Inputs!$B$38&lt;&gt;"pvp",Inputs!$B$43&gt;0),(((R258-1)*(Skills!T15*(1+Inputs!$B$34/100))+MIN((Skills!T15*(1+Inputs!$B$34/100)),MAX(0,Inputs!$B$43-((R258-1)*Skills!D15))))/Inputs!$B$43),IF(Inputs!$B$38="pvp",MIN((Skills!T15*(1+Inputs!$B$34/100)),15)/15,(Skills!T15*(1+Inputs!$B$34/100))/Skills!D15)))+0)/100)*I245)</f>
        <v/>
      </c>
      <c r="L245">
        <f>K245*(MIN(Inputs!$B$22+((C265=TRUE)*(F265-Calc!F22)),Inputs!$B$23+((C267=TRUE)*(F267-Calc!F24)))/100+(Inputs!$B$23+((C267=TRUE)*(F267-Calc!F24)))/100)/2</f>
        <v/>
      </c>
      <c r="M245">
        <f>L245*(1+(Inputs!$B$10+0+B277)/100)</f>
        <v/>
      </c>
      <c r="N245">
        <f>L245*(1-MIN((Inputs!$B$9+((C269=TRUE)*(F269-Calc!F26))+B272),100)/100)+M245*(MIN((Inputs!$B$9+((C269=TRUE)*(F269-Calc!F26))+B272),100)/100)</f>
        <v/>
      </c>
      <c r="O245">
        <f>(1-Summary!$B$55)*T245+Summary!$B$55*V245</f>
        <v/>
      </c>
      <c r="P245">
        <f>IF(B282=0,0,O245/B282)</f>
        <v/>
      </c>
      <c r="Q245" t="n">
        <v>0</v>
      </c>
      <c r="R245" t="n">
        <v>0</v>
      </c>
      <c r="S245">
        <f>IFERROR(O245/N245,0)</f>
        <v/>
      </c>
      <c r="T245">
        <f>IF(C245,(Skills!G2*N245*B276)*IF(Inputs!$B$38="pvp",1,1+((Inputs!$B$20+1)+0+Skills!P2+Summary!$B$59)/100),0)</f>
        <v/>
      </c>
      <c r="U245">
        <f>MAX(0,(Inputs!$B$3-100)*3)+Inputs!$B$28+Inputs!$B$29</f>
        <v/>
      </c>
      <c r="V245">
        <f>IF(C245,(Skills!G2*N245*B276)*IF(Inputs!$B$38="pvp",1,(1+(Inputs!$B$21+Skills!Q2+Summary!$B$59)/100)*(MIN((6+Inputs!$B$33),Inputs!$B$37))),0)</f>
        <v/>
      </c>
    </row>
    <row r="246">
      <c r="A246">
        <f>Skills!A3</f>
        <v/>
      </c>
      <c r="B246">
        <f>Skills!B3</f>
        <v/>
      </c>
      <c r="C246">
        <f>Inputs!$B$3&gt;=50</f>
        <v/>
      </c>
      <c r="D246">
        <f>IF(Skills!C3=1,60+Inputs!$B$25+Inputs!$B$29,IF(Skills!C3=2,90+Inputs!$B$26+Inputs!$B$29,IF(Skills!C3=3,120+Inputs!$B$27+Inputs!$B$29,MAX(0,(Inputs!$B$3-100)*3)+Inputs!$B$28+Inputs!$B$29)))</f>
        <v/>
      </c>
      <c r="E246">
        <f>INDEX(FactorTable!$B$2:$Y$301, MATCH(ROUND(MIN(300,MAX(1,D246)),0), FactorTable!$A$2:$A$301,0), Skills!M3+1)</f>
        <v/>
      </c>
      <c r="F246">
        <f>IF(Skills!N3=TRUE,(Skills!L3/10)*(E246/1000),Skills!L3/10)+Skills!O3</f>
        <v/>
      </c>
      <c r="G246" t="inlineStr"/>
      <c r="H246" t="inlineStr"/>
      <c r="I246" t="inlineStr">
        <is>
          <t>1</t>
        </is>
      </c>
      <c r="J246" t="inlineStr"/>
      <c r="K246" t="inlineStr"/>
      <c r="L246" t="inlineStr"/>
      <c r="M246" t="inlineStr"/>
      <c r="N246" t="inlineStr"/>
      <c r="O246" t="inlineStr"/>
      <c r="P246" t="inlineStr"/>
      <c r="Q246" t="inlineStr"/>
      <c r="R246" t="inlineStr"/>
      <c r="S246" t="inlineStr"/>
      <c r="U246">
        <f>INDEX(FactorTable!$B$2:$Y$301, MATCH(ROUND(MIN(300,MAX(1,U245)),0), FactorTable!$A$2:$A$301,0), 22)</f>
        <v/>
      </c>
    </row>
    <row r="247">
      <c r="A247">
        <f>Skills!A4</f>
        <v/>
      </c>
      <c r="B247">
        <f>Skills!B4</f>
        <v/>
      </c>
      <c r="C247">
        <f>Inputs!$B$3&gt;=105</f>
        <v/>
      </c>
      <c r="D247">
        <f>IF(Skills!C4=1,60+Inputs!$B$25+Inputs!$B$29,IF(Skills!C4=2,90+Inputs!$B$26+Inputs!$B$29,IF(Skills!C4=3,120+Inputs!$B$27+Inputs!$B$29,MAX(0,(Inputs!$B$3-100)*3)+Inputs!$B$28+Inputs!$B$29)))</f>
        <v/>
      </c>
      <c r="E247">
        <f>INDEX(FactorTable!$B$2:$Y$301, MATCH(ROUND(MIN(300,MAX(1,D247)),0), FactorTable!$A$2:$A$301,0), Skills!M4+1)</f>
        <v/>
      </c>
      <c r="F247">
        <f>IF(Skills!N4=TRUE,(Skills!L4/10)*(E247/1000),Skills!L4/10)+Skills!O4</f>
        <v/>
      </c>
      <c r="G247" t="inlineStr"/>
      <c r="H247" t="inlineStr"/>
      <c r="I247" t="inlineStr">
        <is>
          <t>1</t>
        </is>
      </c>
      <c r="J247" t="inlineStr"/>
      <c r="K247" t="inlineStr"/>
      <c r="L247" t="inlineStr"/>
      <c r="M247" t="inlineStr"/>
      <c r="N247" t="inlineStr"/>
      <c r="O247" t="inlineStr"/>
      <c r="P247" t="inlineStr"/>
      <c r="Q247" t="inlineStr"/>
      <c r="R247" t="inlineStr"/>
      <c r="S247" t="inlineStr"/>
      <c r="U247">
        <f>290*U246/1000</f>
        <v/>
      </c>
    </row>
    <row r="248">
      <c r="A248">
        <f>Skills!A5</f>
        <v/>
      </c>
      <c r="B248">
        <f>Skills!B5</f>
        <v/>
      </c>
      <c r="C248">
        <f>Inputs!$B$3&gt;=103</f>
        <v/>
      </c>
      <c r="D248">
        <f>IF(Skills!C5=1,60+Inputs!$B$25+Inputs!$B$29,IF(Skills!C5=2,90+Inputs!$B$26+Inputs!$B$29,IF(Skills!C5=3,120+Inputs!$B$27+Inputs!$B$29,MAX(0,(Inputs!$B$3-100)*3)+Inputs!$B$28+Inputs!$B$29)))</f>
        <v/>
      </c>
      <c r="E248">
        <f>INDEX(FactorTable!$B$2:$Y$301, MATCH(ROUND(MIN(300,MAX(1,D248)),0), FactorTable!$A$2:$A$301,0), Skills!M5+1)</f>
        <v/>
      </c>
      <c r="F248">
        <f>IF(Skills!N5=TRUE,(Skills!L5/10)*(E248/1000),Skills!L5/10)+Skills!O5</f>
        <v/>
      </c>
      <c r="G248">
        <f>Skills!G5*IF(Skills!H5&gt;0,Skills!I5/Skills!H5,1)</f>
        <v/>
      </c>
      <c r="H248">
        <f>1-(1-Skills!J5/100)^Skills!K5</f>
        <v/>
      </c>
      <c r="I248" t="inlineStr">
        <is>
          <t>1</t>
        </is>
      </c>
      <c r="J248">
        <f>((Inputs!$B$6*(1+Inputs!$B$7/100))+(((Inputs!$B$12*(1+Inputs!$B$13/100))-(Inputs!$B$12*(1+Inputs!$B$13/100)))+0.25*(Inputs!$B$14-Inputs!$B$14))*(1+Inputs!$B$7/100))*(F248/100)</f>
        <v/>
      </c>
      <c r="K248">
        <f>J248*(1+((Inputs!$B$12*(1+Inputs!$B$13/100))*0.01+Inputs!$B$14*0.0025)/100)*(1+Inputs!$B$15/100)*(1+Inputs!$B$16/100)*(5000/(6000+Inputs!$B$42*(1-(Inputs!$B$19+0)/100)))*(1+(Inputs!$B$24+((C268=TRUE)*(F268-Calc!F25))+B278)/100)*(1+IF(Skills!A5="ENHANCED_RAGING_BLOW",IF(Inputs!$B$3&gt;=134,MAX(0,IF(Inputs!$B$3&gt;=110,7,5)-5)*50,0),0)/100)*(1+(IF(Skills!A5="RAGING_BLOW",Inputs!$B$17+((C264=TRUE)*(F264-Calc!F21)),Inputs!$B$18+((C266=TRUE)*(F266-Calc!F23))))/100)*((1+(((C256=TRUE)*F256*IF(Inputs!$B$3&gt;=110,7,5))+((C258=TRUE)*F258*IF(AND(Inputs!$B$38&lt;&gt;"pvp",Inputs!$B$43&gt;0),(((R258-1)*(Skills!T15*(1+Inputs!$B$34/100))+MIN((Skills!T15*(1+Inputs!$B$34/100)),MAX(0,Inputs!$B$43-((R258-1)*Skills!D15))))/Inputs!$B$43),IF(Inputs!$B$38="pvp",MIN((Skills!T15*(1+Inputs!$B$34/100)),15)/15,(Skills!T15*(1+Inputs!$B$34/100))/Skills!D15)))+0)/100)*I248)</f>
        <v/>
      </c>
      <c r="L248">
        <f>K248*(MIN(Inputs!$B$22+((C265=TRUE)*(F265-Calc!F22)),Inputs!$B$23+((C267=TRUE)*(F267-Calc!F24)))/100+(Inputs!$B$23+((C267=TRUE)*(F267-Calc!F24)))/100)/2</f>
        <v/>
      </c>
      <c r="M248">
        <f>L248*(1+(Inputs!$B$10+0+B277)/100)</f>
        <v/>
      </c>
      <c r="N248">
        <f>L248*(1-MIN((Inputs!$B$9+((C269=TRUE)*(F269-Calc!F26))+B272),100)/100)+M248*(MIN((Inputs!$B$9+((C269=TRUE)*(F269-Calc!F26))+B272),100)/100)</f>
        <v/>
      </c>
      <c r="O248">
        <f>(1-Summary!$B$55)*T248+Summary!$B$55*V248</f>
        <v/>
      </c>
      <c r="P248">
        <f>IF(B282=0,0,O248/B282)</f>
        <v/>
      </c>
      <c r="Q248">
        <f>IFERROR(1/IF(Inputs!$B$38="pvp",15,MAX(0.1,Skills!D5-IF(Skills!E5=TRUE,Inputs!$B$32,0))),0)</f>
        <v/>
      </c>
      <c r="R248">
        <f>IF(AND(Inputs!$B$38&lt;&gt;"pvp",Inputs!$B$43&gt;0),IF(MAX(0,Inputs!$B$43-B279)&lt;=0,0,(INT(MAX(0,Inputs!$B$43-B279)/IF(Inputs!$B$38="pvp",15,MAX(0.1,Skills!D5-IF(Skills!E5=TRUE,Inputs!$B$32,0))))+1)),0)</f>
        <v/>
      </c>
      <c r="S248">
        <f>IFERROR(O248/N248,0)</f>
        <v/>
      </c>
      <c r="T248">
        <f>IF(C248,(H248*N248*IF(AND(Inputs!$B$38&lt;&gt;"pvp",Inputs!$B$43&gt;0),((Skills!G5*((R248-1)*IF(Skills!H5&gt;0,Skills!I5/Skills!H5,1)+IF(Skills!H5&gt;0,MIN(Skills!I5,MAX(0,MAX(0,Inputs!$B$43-B279)-((R248-1)*IF(Inputs!$B$38="pvp",15,MAX(0.1,Skills!D5-IF(Skills!E5=TRUE,Inputs!$B$32,0))))))/Skills!H5,1)))/Inputs!$B$43),G248*Q248))*IF(Inputs!$B$38="pvp",1,1+((Inputs!$B$20+1)+0+Skills!P5+Summary!$B$59)/100),0)</f>
        <v/>
      </c>
      <c r="V248">
        <f>IF(C248,(H248*N248*IF(AND(Inputs!$B$38&lt;&gt;"pvp",Inputs!$B$43&gt;0),((Skills!G5*((R248-1)*IF(Skills!H5&gt;0,Skills!I5/Skills!H5,1)+IF(Skills!H5&gt;0,MIN(Skills!I5,MAX(0,MAX(0,Inputs!$B$43-B279)-((R248-1)*IF(Inputs!$B$38="pvp",15,MAX(0.1,Skills!D5-IF(Skills!E5=TRUE,Inputs!$B$32,0))))))/Skills!H5,1)))/Inputs!$B$43),G248*Q248))*IF(Inputs!$B$38="pvp",1,(1+(Inputs!$B$21+Skills!Q5+Summary!$B$59)/100)*(MIN(Skills!R5,Inputs!$B$37))),0)</f>
        <v/>
      </c>
    </row>
    <row r="249">
      <c r="A249">
        <f>Skills!A6</f>
        <v/>
      </c>
      <c r="B249">
        <f>Skills!B6</f>
        <v/>
      </c>
      <c r="C249">
        <f>Inputs!$B$3&gt;=103</f>
        <v/>
      </c>
      <c r="D249">
        <f>IF(Skills!C6=1,60+Inputs!$B$25+Inputs!$B$29,IF(Skills!C6=2,90+Inputs!$B$26+Inputs!$B$29,IF(Skills!C6=3,120+Inputs!$B$27+Inputs!$B$29,MAX(0,(Inputs!$B$3-100)*3)+Inputs!$B$28+Inputs!$B$29)))</f>
        <v/>
      </c>
      <c r="E249">
        <f>INDEX(FactorTable!$B$2:$Y$301, MATCH(ROUND(MIN(300,MAX(1,D249)),0), FactorTable!$A$2:$A$301,0), Skills!M6+1)</f>
        <v/>
      </c>
      <c r="F249">
        <f>IF(Skills!N6=TRUE,(Skills!L6/10)*(E249/1000),Skills!L6/10)+Skills!O6</f>
        <v/>
      </c>
      <c r="G249">
        <f>Skills!G6*IF(Skills!H6&gt;0,Skills!I6/Skills!H6,1)</f>
        <v/>
      </c>
      <c r="H249">
        <f>1-(1-Skills!J6/100)^Skills!K6</f>
        <v/>
      </c>
      <c r="I249" t="inlineStr">
        <is>
          <t>1</t>
        </is>
      </c>
      <c r="J249">
        <f>((Inputs!$B$6*(1+Inputs!$B$7/100))+(((Inputs!$B$12*(1+Inputs!$B$13/100))-(Inputs!$B$12*(1+Inputs!$B$13/100)))+0.25*(Inputs!$B$14-Inputs!$B$14))*(1+Inputs!$B$7/100))*(F249/100)</f>
        <v/>
      </c>
      <c r="K249">
        <f>J249*(1+((Inputs!$B$12*(1+Inputs!$B$13/100))*0.01+Inputs!$B$14*0.0025)/100)*(1+Inputs!$B$15/100)*(1+Inputs!$B$16/100)*(5000/(6000+Inputs!$B$42*(1-(Inputs!$B$19+0)/100)))*(1+(Inputs!$B$24+((C268=TRUE)*(F268-Calc!F25))+B278)/100)*(1+IF(Skills!A6="ENHANCED_RAGING_BLOW",IF(Inputs!$B$3&gt;=134,MAX(0,IF(Inputs!$B$3&gt;=110,7,5)-5)*50,0),0)/100)*(1+(IF(Skills!A6="RAGING_BLOW",Inputs!$B$17+((C264=TRUE)*(F264-Calc!F21)),Inputs!$B$18+((C266=TRUE)*(F266-Calc!F23))))/100)*((1+(((C256=TRUE)*F256*IF(Inputs!$B$3&gt;=110,7,5))+((C258=TRUE)*F258*IF(AND(Inputs!$B$38&lt;&gt;"pvp",Inputs!$B$43&gt;0),(((R258-1)*(Skills!T15*(1+Inputs!$B$34/100))+MIN((Skills!T15*(1+Inputs!$B$34/100)),MAX(0,Inputs!$B$43-((R258-1)*Skills!D15))))/Inputs!$B$43),IF(Inputs!$B$38="pvp",MIN((Skills!T15*(1+Inputs!$B$34/100)),15)/15,(Skills!T15*(1+Inputs!$B$34/100))/Skills!D15)))+0)/100)*I249)</f>
        <v/>
      </c>
      <c r="L249">
        <f>K249*(MIN(Inputs!$B$22+((C265=TRUE)*(F265-Calc!F22)),Inputs!$B$23+((C267=TRUE)*(F267-Calc!F24)))/100+(Inputs!$B$23+((C267=TRUE)*(F267-Calc!F24)))/100)/2</f>
        <v/>
      </c>
      <c r="M249">
        <f>L249*(1+(Inputs!$B$10+0+B277)/100)</f>
        <v/>
      </c>
      <c r="N249">
        <f>L249*(1-MIN((Inputs!$B$9+((C269=TRUE)*(F269-Calc!F26))+B272),100)/100)+M249*(MIN((Inputs!$B$9+((C269=TRUE)*(F269-Calc!F26))+B272),100)/100)</f>
        <v/>
      </c>
      <c r="O249">
        <f>(1-Summary!$B$55)*T249+Summary!$B$55*V249</f>
        <v/>
      </c>
      <c r="P249">
        <f>IF(B282=0,0,O249/B282)</f>
        <v/>
      </c>
      <c r="Q249">
        <f>IFERROR(1/IF(Inputs!$B$38="pvp",15,MAX(0.1,Skills!D6-IF(Skills!E6=TRUE,Inputs!$B$32,0))),0)</f>
        <v/>
      </c>
      <c r="R249">
        <f>IF(AND(Inputs!$B$38&lt;&gt;"pvp",Inputs!$B$43&gt;0),IF(MAX(0,Inputs!$B$43-B279)&lt;=0,0,(INT(MAX(0,Inputs!$B$43-B279)/IF(Inputs!$B$38="pvp",15,MAX(0.1,Skills!D6-IF(Skills!E6=TRUE,Inputs!$B$32,0))))+1)),0)</f>
        <v/>
      </c>
      <c r="S249">
        <f>IFERROR(O249/N249,0)</f>
        <v/>
      </c>
      <c r="T249">
        <f>IF(C249,(H249*N249*IF(AND(Inputs!$B$38&lt;&gt;"pvp",Inputs!$B$43&gt;0),((Skills!G6*((R249-1)*IF(Skills!H6&gt;0,Skills!I6/Skills!H6,1)+IF(Skills!H6&gt;0,MIN(Skills!I6,MAX(0,MAX(0,Inputs!$B$43-B279)-((R249-1)*IF(Inputs!$B$38="pvp",15,MAX(0.1,Skills!D6-IF(Skills!E6=TRUE,Inputs!$B$32,0))))))/Skills!H6,1)))/Inputs!$B$43),G249*Q249))*IF(Inputs!$B$38="pvp",1,1+((Inputs!$B$20+1)+0+Skills!P6+Summary!$B$59)/100),0)</f>
        <v/>
      </c>
      <c r="V249">
        <f>IF(C249,(H249*N249*IF(AND(Inputs!$B$38&lt;&gt;"pvp",Inputs!$B$43&gt;0),((Skills!G6*((R249-1)*IF(Skills!H6&gt;0,Skills!I6/Skills!H6,1)+IF(Skills!H6&gt;0,MIN(Skills!I6,MAX(0,MAX(0,Inputs!$B$43-B279)-((R249-1)*IF(Inputs!$B$38="pvp",15,MAX(0.1,Skills!D6-IF(Skills!E6=TRUE,Inputs!$B$32,0))))))/Skills!H6,1)))/Inputs!$B$43),G249*Q249))*IF(Inputs!$B$38="pvp",1,(1+(Inputs!$B$21+Skills!Q6+Summary!$B$59)/100)*(MIN(Skills!R6,Inputs!$B$37))),0)</f>
        <v/>
      </c>
    </row>
    <row r="250">
      <c r="A250">
        <f>Skills!A7</f>
        <v/>
      </c>
      <c r="B250">
        <f>Skills!B7</f>
        <v/>
      </c>
      <c r="C250">
        <f>Inputs!$B$3&gt;=107</f>
        <v/>
      </c>
      <c r="D250">
        <f>IF(Skills!C7=1,60+Inputs!$B$25+Inputs!$B$29,IF(Skills!C7=2,90+Inputs!$B$26+Inputs!$B$29,IF(Skills!C7=3,120+Inputs!$B$27+Inputs!$B$29,MAX(0,(Inputs!$B$3-100)*3)+Inputs!$B$28+Inputs!$B$29)))</f>
        <v/>
      </c>
      <c r="E250">
        <f>INDEX(FactorTable!$B$2:$Y$301, MATCH(ROUND(MIN(300,MAX(1,D250)),0), FactorTable!$A$2:$A$301,0), Skills!M7+1)</f>
        <v/>
      </c>
      <c r="F250">
        <f>IF(Skills!N7=TRUE,(Skills!L7/10)*(E250/1000),Skills!L7/10)+Skills!O7</f>
        <v/>
      </c>
      <c r="G250">
        <f>Skills!G7*IF(Skills!H7&gt;0,Skills!I7/Skills!H7,1)</f>
        <v/>
      </c>
      <c r="H250">
        <f>1-(1-Skills!J7/100)^Skills!K7</f>
        <v/>
      </c>
      <c r="I250" t="inlineStr">
        <is>
          <t>1</t>
        </is>
      </c>
      <c r="J250">
        <f>((Inputs!$B$6*(1+Inputs!$B$7/100))+(((Inputs!$B$12*(1+Inputs!$B$13/100))-(Inputs!$B$12*(1+Inputs!$B$13/100)))+0.25*(Inputs!$B$14-Inputs!$B$14))*(1+Inputs!$B$7/100))*(F250/100)</f>
        <v/>
      </c>
      <c r="K250">
        <f>J250*(1+((Inputs!$B$12*(1+Inputs!$B$13/100))*0.01+Inputs!$B$14*0.0025)/100)*(1+Inputs!$B$15/100)*(1+Inputs!$B$16/100)*(5000/(6000+Inputs!$B$42*(1-(Inputs!$B$19+0)/100)))*(1+(Inputs!$B$24+((C268=TRUE)*(F268-Calc!F25))+B278)/100)*(1+IF(Skills!A7="ENHANCED_RAGING_BLOW",IF(Inputs!$B$3&gt;=134,MAX(0,IF(Inputs!$B$3&gt;=110,7,5)-5)*50,0),0)/100)*(1+(IF(Skills!A7="RAGING_BLOW",Inputs!$B$17+((C264=TRUE)*(F264-Calc!F21)),Inputs!$B$18+((C266=TRUE)*(F266-Calc!F23))))/100)*((1+(((C256=TRUE)*F256*IF(Inputs!$B$3&gt;=110,7,5))+((C258=TRUE)*F258*IF(AND(Inputs!$B$38&lt;&gt;"pvp",Inputs!$B$43&gt;0),(((R258-1)*(Skills!T15*(1+Inputs!$B$34/100))+MIN((Skills!T15*(1+Inputs!$B$34/100)),MAX(0,Inputs!$B$43-((R258-1)*Skills!D15))))/Inputs!$B$43),IF(Inputs!$B$38="pvp",MIN((Skills!T15*(1+Inputs!$B$34/100)),15)/15,(Skills!T15*(1+Inputs!$B$34/100))/Skills!D15)))+0)/100)*I250)</f>
        <v/>
      </c>
      <c r="L250">
        <f>K250*(MIN(Inputs!$B$22+((C265=TRUE)*(F265-Calc!F22)),Inputs!$B$23+((C267=TRUE)*(F267-Calc!F24)))/100+(Inputs!$B$23+((C267=TRUE)*(F267-Calc!F24)))/100)/2</f>
        <v/>
      </c>
      <c r="M250">
        <f>L250*(1+(Inputs!$B$10+0+B277)/100)</f>
        <v/>
      </c>
      <c r="N250">
        <f>L250*(1-MIN((Inputs!$B$9+((C269=TRUE)*(F269-Calc!F26))+B272),100)/100)+M250*(MIN((Inputs!$B$9+((C269=TRUE)*(F269-Calc!F26))+B272),100)/100)</f>
        <v/>
      </c>
      <c r="O250">
        <f>(1-Summary!$B$55)*T250+Summary!$B$55*V250</f>
        <v/>
      </c>
      <c r="P250">
        <f>IF(B282=0,0,O250/B282)</f>
        <v/>
      </c>
      <c r="Q250">
        <f>IFERROR(1/IF(Inputs!$B$38="pvp",15,MAX(0.1,Skills!D7-IF(Skills!E7=TRUE,Inputs!$B$32,0))),0)</f>
        <v/>
      </c>
      <c r="R250">
        <f>IF(AND(Inputs!$B$38&lt;&gt;"pvp",Inputs!$B$43&gt;0),IF(MAX(0,Inputs!$B$43-B279)&lt;=0,0,(INT(MAX(0,Inputs!$B$43-B279)/IF(Inputs!$B$38="pvp",15,MAX(0.1,Skills!D7-IF(Skills!E7=TRUE,Inputs!$B$32,0))))+1)),0)</f>
        <v/>
      </c>
      <c r="S250">
        <f>IFERROR(O250/N250,0)</f>
        <v/>
      </c>
      <c r="T250">
        <f>IF(C250,(H250*N250*IF(AND(Inputs!$B$38&lt;&gt;"pvp",Inputs!$B$43&gt;0),((Skills!G7*((R250-1)*IF(Skills!H7&gt;0,Skills!I7/Skills!H7,1)+IF(Skills!H7&gt;0,MIN(Skills!I7,MAX(0,MAX(0,Inputs!$B$43-B279)-((R250-1)*IF(Inputs!$B$38="pvp",15,MAX(0.1,Skills!D7-IF(Skills!E7=TRUE,Inputs!$B$32,0))))))/Skills!H7,1)))/Inputs!$B$43),G250*Q250))*IF(Inputs!$B$38="pvp",1,1+((Inputs!$B$20+1)+0+Skills!P7+Summary!$B$59)/100),0)</f>
        <v/>
      </c>
      <c r="V250">
        <f>IF(C250,(H250*N250*IF(AND(Inputs!$B$38&lt;&gt;"pvp",Inputs!$B$43&gt;0),((Skills!G7*((R250-1)*IF(Skills!H7&gt;0,Skills!I7/Skills!H7,1)+IF(Skills!H7&gt;0,MIN(Skills!I7,MAX(0,MAX(0,Inputs!$B$43-B279)-((R250-1)*IF(Inputs!$B$38="pvp",15,MAX(0.1,Skills!D7-IF(Skills!E7=TRUE,Inputs!$B$32,0))))))/Skills!H7,1)))/Inputs!$B$43),G250*Q250))*IF(Inputs!$B$38="pvp",1,(1+(Inputs!$B$21+Skills!Q7+Summary!$B$59)/100)*(MIN(Skills!R7,Inputs!$B$37))),0)</f>
        <v/>
      </c>
    </row>
    <row r="251">
      <c r="A251">
        <f>Skills!A8</f>
        <v/>
      </c>
      <c r="B251">
        <f>Skills!B8</f>
        <v/>
      </c>
      <c r="C251">
        <f>Inputs!$B$3&gt;=117</f>
        <v/>
      </c>
      <c r="D251">
        <f>IF(Skills!C8=1,60+Inputs!$B$25+Inputs!$B$29,IF(Skills!C8=2,90+Inputs!$B$26+Inputs!$B$29,IF(Skills!C8=3,120+Inputs!$B$27+Inputs!$B$29,MAX(0,(Inputs!$B$3-100)*3)+Inputs!$B$28+Inputs!$B$29)))</f>
        <v/>
      </c>
      <c r="E251">
        <f>INDEX(FactorTable!$B$2:$Y$301, MATCH(ROUND(MIN(300,MAX(1,D251)),0), FactorTable!$A$2:$A$301,0), Skills!M8+1)</f>
        <v/>
      </c>
      <c r="F251">
        <f>IF(Skills!N8=TRUE,(Skills!L8/10)*(E251/1000),Skills!L8/10)+Skills!O8</f>
        <v/>
      </c>
      <c r="G251">
        <f>Skills!G8*IF(Skills!H8&gt;0,Skills!I8/Skills!H8,1)</f>
        <v/>
      </c>
      <c r="H251">
        <f>1-(1-Skills!J8/100)^Skills!K8</f>
        <v/>
      </c>
      <c r="I251" t="inlineStr">
        <is>
          <t>1</t>
        </is>
      </c>
      <c r="J251">
        <f>((Inputs!$B$6*(1+Inputs!$B$7/100))+(((Inputs!$B$12*(1+Inputs!$B$13/100))-(Inputs!$B$12*(1+Inputs!$B$13/100)))+0.25*(Inputs!$B$14-Inputs!$B$14))*(1+Inputs!$B$7/100))*(F251/100)</f>
        <v/>
      </c>
      <c r="K251">
        <f>J251*(1+((Inputs!$B$12*(1+Inputs!$B$13/100))*0.01+Inputs!$B$14*0.0025)/100)*(1+Inputs!$B$15/100)*(1+Inputs!$B$16/100)*(5000/(6000+Inputs!$B$42*(1-(Inputs!$B$19+0)/100)))*(1+(Inputs!$B$24+((C268=TRUE)*(F268-Calc!F25))+B278)/100)*(1+IF(Skills!A8="ENHANCED_RAGING_BLOW",IF(Inputs!$B$3&gt;=134,MAX(0,IF(Inputs!$B$3&gt;=110,7,5)-5)*50,0),0)/100)*(1+(IF(Skills!A8="RAGING_BLOW",Inputs!$B$17+((C264=TRUE)*(F264-Calc!F21)),Inputs!$B$18+((C266=TRUE)*(F266-Calc!F23))))/100)*((1+(((C256=TRUE)*F256*IF(Inputs!$B$3&gt;=110,7,5))+((C258=TRUE)*F258*IF(AND(Inputs!$B$38&lt;&gt;"pvp",Inputs!$B$43&gt;0),(((R258-1)*(Skills!T15*(1+Inputs!$B$34/100))+MIN((Skills!T15*(1+Inputs!$B$34/100)),MAX(0,Inputs!$B$43-((R258-1)*Skills!D15))))/Inputs!$B$43),IF(Inputs!$B$38="pvp",MIN((Skills!T15*(1+Inputs!$B$34/100)),15)/15,(Skills!T15*(1+Inputs!$B$34/100))/Skills!D15)))+0)/100)*I251)</f>
        <v/>
      </c>
      <c r="L251">
        <f>K251*(MIN(Inputs!$B$22+((C265=TRUE)*(F265-Calc!F22)),Inputs!$B$23+((C267=TRUE)*(F267-Calc!F24)))/100+(Inputs!$B$23+((C267=TRUE)*(F267-Calc!F24)))/100)/2</f>
        <v/>
      </c>
      <c r="M251">
        <f>L251*(1+(Inputs!$B$10+0+B277)/100)</f>
        <v/>
      </c>
      <c r="N251">
        <f>L251*(1-MIN((Inputs!$B$9+((C269=TRUE)*(F269-Calc!F26))+B272),100)/100)+M251*(MIN((Inputs!$B$9+((C269=TRUE)*(F269-Calc!F26))+B272),100)/100)</f>
        <v/>
      </c>
      <c r="O251">
        <f>(1-Summary!$B$55)*T251+Summary!$B$55*V251</f>
        <v/>
      </c>
      <c r="P251">
        <f>IF(B282=0,0,O251/B282)</f>
        <v/>
      </c>
      <c r="Q251">
        <f>IFERROR(1/IF(Inputs!$B$38="pvp",15,MAX(0.1,Skills!D8-IF(Skills!E8=TRUE,Inputs!$B$32,0))),0)</f>
        <v/>
      </c>
      <c r="R251">
        <f>IF(AND(Inputs!$B$38&lt;&gt;"pvp",Inputs!$B$43&gt;0),IF(MAX(0,Inputs!$B$43-B279)&lt;=0,0,(INT(MAX(0,Inputs!$B$43-B279)/IF(Inputs!$B$38="pvp",15,MAX(0.1,Skills!D8-IF(Skills!E8=TRUE,Inputs!$B$32,0))))+1)),0)</f>
        <v/>
      </c>
      <c r="S251">
        <f>IFERROR(O251/N251,0)</f>
        <v/>
      </c>
      <c r="T251">
        <f>IF(C251,(H251*N251*IF(AND(Inputs!$B$38&lt;&gt;"pvp",Inputs!$B$43&gt;0),((Skills!G8*((R251-1)*IF(Skills!H8&gt;0,Skills!I8/Skills!H8,1)+IF(Skills!H8&gt;0,MIN(Skills!I8,MAX(0,MAX(0,Inputs!$B$43-B279)-((R251-1)*IF(Inputs!$B$38="pvp",15,MAX(0.1,Skills!D8-IF(Skills!E8=TRUE,Inputs!$B$32,0))))))/Skills!H8,1)))/Inputs!$B$43),G251*Q251))*IF(Inputs!$B$38="pvp",1,1+((Inputs!$B$20+1)+0+Skills!P8+Summary!$B$59)/100),0)</f>
        <v/>
      </c>
      <c r="V251">
        <f>IF(C251,(H251*N251*IF(AND(Inputs!$B$38&lt;&gt;"pvp",Inputs!$B$43&gt;0),((Skills!G8*((R251-1)*IF(Skills!H8&gt;0,Skills!I8/Skills!H8,1)+IF(Skills!H8&gt;0,MIN(Skills!I8,MAX(0,MAX(0,Inputs!$B$43-B279)-((R251-1)*IF(Inputs!$B$38="pvp",15,MAX(0.1,Skills!D8-IF(Skills!E8=TRUE,Inputs!$B$32,0))))))/Skills!H8,1)))/Inputs!$B$43),G251*Q251))*IF(Inputs!$B$38="pvp",1,(1+(Inputs!$B$21+Skills!Q8+Summary!$B$59)/100)*(MIN(Skills!R8,Inputs!$B$37))),0)</f>
        <v/>
      </c>
    </row>
    <row r="252">
      <c r="A252">
        <f>Skills!A9</f>
        <v/>
      </c>
      <c r="B252">
        <f>Skills!B9</f>
        <v/>
      </c>
      <c r="C252">
        <f>Inputs!$B$3&gt;=69</f>
        <v/>
      </c>
      <c r="D252">
        <f>IF(Skills!C9=1,60+Inputs!$B$25+Inputs!$B$29,IF(Skills!C9=2,90+Inputs!$B$26+Inputs!$B$29,IF(Skills!C9=3,120+Inputs!$B$27+Inputs!$B$29,MAX(0,(Inputs!$B$3-100)*3)+Inputs!$B$28+Inputs!$B$29)))</f>
        <v/>
      </c>
      <c r="E252">
        <f>INDEX(FactorTable!$B$2:$Y$301, MATCH(ROUND(MIN(300,MAX(1,D252)),0), FactorTable!$A$2:$A$301,0), Skills!M9+1)</f>
        <v/>
      </c>
      <c r="F252">
        <f>IF(Skills!N9=TRUE,(Skills!L9/10)*(E252/1000),Skills!L9/10)+Skills!O9</f>
        <v/>
      </c>
      <c r="G252">
        <f>Skills!G9*IF(Skills!H9&gt;0,Skills!I9/Skills!H9,1)</f>
        <v/>
      </c>
      <c r="H252">
        <f>1-(1-Skills!J9/100)^Skills!K9</f>
        <v/>
      </c>
      <c r="I252" t="inlineStr">
        <is>
          <t>1</t>
        </is>
      </c>
      <c r="J252">
        <f>((Inputs!$B$6*(1+Inputs!$B$7/100))+(((Inputs!$B$12*(1+Inputs!$B$13/100))-(Inputs!$B$12*(1+Inputs!$B$13/100)))+0.25*(Inputs!$B$14-Inputs!$B$14))*(1+Inputs!$B$7/100))*(F252/100)</f>
        <v/>
      </c>
      <c r="K252">
        <f>J252*(1+((Inputs!$B$12*(1+Inputs!$B$13/100))*0.01+Inputs!$B$14*0.0025)/100)*(1+Inputs!$B$15/100)*(1+Inputs!$B$16/100)*(5000/(6000+Inputs!$B$42*(1-(Inputs!$B$19+0)/100)))*(1+(Inputs!$B$24+((C268=TRUE)*(F268-Calc!F25))+B278)/100)*(1+1.0*IF(C255=TRUE,F255,0)/100)*(1+IF(Skills!A9="ENHANCED_RAGING_BLOW",IF(Inputs!$B$3&gt;=134,MAX(0,IF(Inputs!$B$3&gt;=110,7,5)-5)*50,0),0)/100)*(1+(IF(Skills!A9="RAGING_BLOW",Inputs!$B$17+((C264=TRUE)*(F264-Calc!F21)),Inputs!$B$18+((C266=TRUE)*(F266-Calc!F23))))/100)*((1+(((C256=TRUE)*F256*IF(Inputs!$B$3&gt;=110,7,5))+((C258=TRUE)*F258*IF(AND(Inputs!$B$38&lt;&gt;"pvp",Inputs!$B$43&gt;0),(((R258-1)*(Skills!T15*(1+Inputs!$B$34/100))+MIN((Skills!T15*(1+Inputs!$B$34/100)),MAX(0,Inputs!$B$43-((R258-1)*Skills!D15))))/Inputs!$B$43),IF(Inputs!$B$38="pvp",MIN((Skills!T15*(1+Inputs!$B$34/100)),15)/15,(Skills!T15*(1+Inputs!$B$34/100))/Skills!D15)))+0)/100)*I252)</f>
        <v/>
      </c>
      <c r="L252">
        <f>K252*(MIN(Inputs!$B$22+((C265=TRUE)*(F265-Calc!F22)),Inputs!$B$23+((C267=TRUE)*(F267-Calc!F24)))/100+(Inputs!$B$23+((C267=TRUE)*(F267-Calc!F24)))/100)/2</f>
        <v/>
      </c>
      <c r="M252">
        <f>L252*(1+(Inputs!$B$10+0+B277)/100)</f>
        <v/>
      </c>
      <c r="N252">
        <f>L252*(1-MIN((Inputs!$B$9+((C269=TRUE)*(F269-Calc!F26))+B272),100)/100)+M252*(MIN((Inputs!$B$9+((C269=TRUE)*(F269-Calc!F26))+B272),100)/100)</f>
        <v/>
      </c>
      <c r="O252">
        <f>(1-Summary!$B$55)*T252+Summary!$B$55*V252</f>
        <v/>
      </c>
      <c r="P252">
        <f>IF(B282=0,0,O252/B282)</f>
        <v/>
      </c>
      <c r="Q252">
        <f>IFERROR(1/IF(Inputs!$B$38="pvp",15,MAX(0.1,Skills!D9-IF(Skills!E9=TRUE,Inputs!$B$32,0))),0)</f>
        <v/>
      </c>
      <c r="R252">
        <f>IF(AND(Inputs!$B$38&lt;&gt;"pvp",Inputs!$B$43&gt;0),IF(MAX(0,Inputs!$B$43-B279)&lt;=0,0,(INT(MAX(0,Inputs!$B$43-B279)/IF(Inputs!$B$38="pvp",15,MAX(0.1,Skills!D9-IF(Skills!E9=TRUE,Inputs!$B$32,0))))+1)),0)</f>
        <v/>
      </c>
      <c r="S252">
        <f>IFERROR(O252/N252,0)</f>
        <v/>
      </c>
      <c r="T252">
        <f>IF(C252,(H252*N252*IF(AND(Inputs!$B$38&lt;&gt;"pvp",Inputs!$B$43&gt;0),((Skills!G9*((R252-1)*IF(Skills!H9&gt;0,Skills!I9/Skills!H9,1)+IF(Skills!H9&gt;0,MIN(Skills!I9,MAX(0,MAX(0,Inputs!$B$43-B279)-((R252-1)*IF(Inputs!$B$38="pvp",15,MAX(0.1,Skills!D9-IF(Skills!E9=TRUE,Inputs!$B$32,0))))))/Skills!H9,1)))/Inputs!$B$43),G252*Q252))*IF(Inputs!$B$38="pvp",1,1+((Inputs!$B$20+1)+0+Skills!P9+Summary!$B$59)/100),0)</f>
        <v/>
      </c>
      <c r="V252">
        <f>IF(C252,(H252*N252*IF(AND(Inputs!$B$38&lt;&gt;"pvp",Inputs!$B$43&gt;0),((Skills!G9*((R252-1)*IF(Skills!H9&gt;0,Skills!I9/Skills!H9,1)+IF(Skills!H9&gt;0,MIN(Skills!I9,MAX(0,MAX(0,Inputs!$B$43-B279)-((R252-1)*IF(Inputs!$B$38="pvp",15,MAX(0.1,Skills!D9-IF(Skills!E9=TRUE,Inputs!$B$32,0))))))/Skills!H9,1)))/Inputs!$B$43),G252*Q252))*IF(Inputs!$B$38="pvp",1,(1+(Inputs!$B$21+Skills!Q9+Summary!$B$59)/100)*(MIN(Skills!R9,Inputs!$B$37))),0)</f>
        <v/>
      </c>
    </row>
    <row r="253">
      <c r="A253">
        <f>Skills!A10</f>
        <v/>
      </c>
      <c r="B253">
        <f>Skills!B10</f>
        <v/>
      </c>
      <c r="C253">
        <f>Inputs!$B$3&gt;=63</f>
        <v/>
      </c>
      <c r="D253">
        <f>IF(Skills!C10=1,60+Inputs!$B$25+Inputs!$B$29,IF(Skills!C10=2,90+Inputs!$B$26+Inputs!$B$29,IF(Skills!C10=3,120+Inputs!$B$27+Inputs!$B$29,MAX(0,(Inputs!$B$3-100)*3)+Inputs!$B$28+Inputs!$B$29)))</f>
        <v/>
      </c>
      <c r="E253">
        <f>INDEX(FactorTable!$B$2:$Y$301, MATCH(ROUND(MIN(300,MAX(1,D253)),0), FactorTable!$A$2:$A$301,0), Skills!M10+1)</f>
        <v/>
      </c>
      <c r="F253">
        <f>IF(Skills!N10=TRUE,(Skills!L10/10)*(E253/1000),Skills!L10/10)+Skills!O10</f>
        <v/>
      </c>
      <c r="G253">
        <f>Skills!G10*IF(Skills!H10&gt;0,Skills!I10/Skills!H10,1)</f>
        <v/>
      </c>
      <c r="H253">
        <f>1-(1-Skills!J10/100)^Skills!K10</f>
        <v/>
      </c>
      <c r="I253" t="inlineStr">
        <is>
          <t>1</t>
        </is>
      </c>
      <c r="J253">
        <f>((Inputs!$B$6*(1+Inputs!$B$7/100))+(((Inputs!$B$12*(1+Inputs!$B$13/100))-(Inputs!$B$12*(1+Inputs!$B$13/100)))+0.25*(Inputs!$B$14-Inputs!$B$14))*(1+Inputs!$B$7/100))*(F253/100)</f>
        <v/>
      </c>
      <c r="K253">
        <f>J253*(1+((Inputs!$B$12*(1+Inputs!$B$13/100))*0.01+Inputs!$B$14*0.0025)/100)*(1+Inputs!$B$15/100)*(1+Inputs!$B$16/100)*(5000/(6000+Inputs!$B$42*(1-(Inputs!$B$19+0)/100)))*(1+(Inputs!$B$24+((C268=TRUE)*(F268-Calc!F25))+B278)/100)*(1+1.5*IF(C255=TRUE,F255,0)/100)*(1+IF(Skills!A10="ENHANCED_RAGING_BLOW",IF(Inputs!$B$3&gt;=134,MAX(0,IF(Inputs!$B$3&gt;=110,7,5)-5)*50,0),0)/100)*(1+(IF(Skills!A10="RAGING_BLOW",Inputs!$B$17+((C264=TRUE)*(F264-Calc!F21)),Inputs!$B$18+((C266=TRUE)*(F266-Calc!F23))))/100)*((1+(((C256=TRUE)*F256*IF(Inputs!$B$3&gt;=110,7,5))+((C258=TRUE)*F258*IF(AND(Inputs!$B$38&lt;&gt;"pvp",Inputs!$B$43&gt;0),(((R258-1)*(Skills!T15*(1+Inputs!$B$34/100))+MIN((Skills!T15*(1+Inputs!$B$34/100)),MAX(0,Inputs!$B$43-((R258-1)*Skills!D15))))/Inputs!$B$43),IF(Inputs!$B$38="pvp",MIN((Skills!T15*(1+Inputs!$B$34/100)),15)/15,(Skills!T15*(1+Inputs!$B$34/100))/Skills!D15)))+0)/100)*I253)</f>
        <v/>
      </c>
      <c r="L253">
        <f>K253*(MIN(Inputs!$B$22+((C265=TRUE)*(F265-Calc!F22)),Inputs!$B$23+((C267=TRUE)*(F267-Calc!F24)))/100+(Inputs!$B$23+((C267=TRUE)*(F267-Calc!F24)))/100)/2</f>
        <v/>
      </c>
      <c r="M253">
        <f>L253*(1+(Inputs!$B$10+0+B277)/100)</f>
        <v/>
      </c>
      <c r="N253">
        <f>L253*(1-MIN((Inputs!$B$9+((C269=TRUE)*(F269-Calc!F26))+B272),100)/100)+M253*(MIN((Inputs!$B$9+((C269=TRUE)*(F269-Calc!F26))+B272),100)/100)</f>
        <v/>
      </c>
      <c r="O253">
        <f>(1-Summary!$B$55)*T253+Summary!$B$55*V253</f>
        <v/>
      </c>
      <c r="P253">
        <f>IF(B282=0,0,O253/B282)</f>
        <v/>
      </c>
      <c r="Q253">
        <f>IFERROR(1/IF(Inputs!$B$38="pvp",15,MAX(0.1,Skills!D10-IF(Skills!E10=TRUE,Inputs!$B$32,0))),0)</f>
        <v/>
      </c>
      <c r="R253">
        <f>IF(AND(Inputs!$B$38&lt;&gt;"pvp",Inputs!$B$43&gt;0),IF(MAX(0,Inputs!$B$43-B279)&lt;=0,0,(INT(MAX(0,Inputs!$B$43-B279)/IF(Inputs!$B$38="pvp",15,MAX(0.1,Skills!D10-IF(Skills!E10=TRUE,Inputs!$B$32,0))))+1)),0)</f>
        <v/>
      </c>
      <c r="S253">
        <f>IFERROR(O253/N253,0)</f>
        <v/>
      </c>
      <c r="T253">
        <f>IF(C253,(H253*N253*IF(AND(Inputs!$B$38&lt;&gt;"pvp",Inputs!$B$43&gt;0),((Skills!G10*((R253-1)*IF(Skills!H10&gt;0,Skills!I10/Skills!H10,1)+IF(Skills!H10&gt;0,MIN(Skills!I10,MAX(0,MAX(0,Inputs!$B$43-B279)-((R253-1)*IF(Inputs!$B$38="pvp",15,MAX(0.1,Skills!D10-IF(Skills!E10=TRUE,Inputs!$B$32,0))))))/Skills!H10,1)))/Inputs!$B$43),G253*Q253))*IF(Inputs!$B$38="pvp",1,1+((Inputs!$B$20+1)+0+Skills!P10+Summary!$B$59)/100),0)</f>
        <v/>
      </c>
      <c r="V253">
        <f>IF(C253,(H253*N253*IF(AND(Inputs!$B$38&lt;&gt;"pvp",Inputs!$B$43&gt;0),((Skills!G10*((R253-1)*IF(Skills!H10&gt;0,Skills!I10/Skills!H10,1)+IF(Skills!H10&gt;0,MIN(Skills!I10,MAX(0,MAX(0,Inputs!$B$43-B279)-((R253-1)*IF(Inputs!$B$38="pvp",15,MAX(0.1,Skills!D10-IF(Skills!E10=TRUE,Inputs!$B$32,0))))))/Skills!H10,1)))/Inputs!$B$43),G253*Q253))*IF(Inputs!$B$38="pvp",1,(1+(Inputs!$B$21+Skills!Q10+Summary!$B$59)/100)*(MIN(Skills!R10,Inputs!$B$37))),0)</f>
        <v/>
      </c>
    </row>
    <row r="254">
      <c r="A254">
        <f>Skills!A11</f>
        <v/>
      </c>
      <c r="B254">
        <f>Skills!B11</f>
        <v/>
      </c>
      <c r="C254">
        <f>Inputs!$B$3&gt;=35</f>
        <v/>
      </c>
      <c r="D254">
        <f>IF(Skills!C11=1,60+Inputs!$B$25+Inputs!$B$29,IF(Skills!C11=2,90+Inputs!$B$26+Inputs!$B$29,IF(Skills!C11=3,120+Inputs!$B$27+Inputs!$B$29,MAX(0,(Inputs!$B$3-100)*3)+Inputs!$B$28+Inputs!$B$29)))</f>
        <v/>
      </c>
      <c r="E254">
        <f>INDEX(FactorTable!$B$2:$Y$301, MATCH(ROUND(MIN(300,MAX(1,D254)),0), FactorTable!$A$2:$A$301,0), Skills!M11+1)</f>
        <v/>
      </c>
      <c r="F254">
        <f>IF(Skills!N11=TRUE,(Skills!L11/10)*(E254/1000),Skills!L11/10)+Skills!O11</f>
        <v/>
      </c>
      <c r="G254">
        <f>Skills!G11*IF(Skills!H11&gt;0,Skills!I11/Skills!H11,1)</f>
        <v/>
      </c>
      <c r="H254">
        <f>1-(1-Skills!J11/100)^Skills!K11</f>
        <v/>
      </c>
      <c r="I254" t="inlineStr">
        <is>
          <t>1</t>
        </is>
      </c>
      <c r="J254">
        <f>((Inputs!$B$6*(1+Inputs!$B$7/100))+(((Inputs!$B$12*(1+Inputs!$B$13/100))-(Inputs!$B$12*(1+Inputs!$B$13/100)))+0.25*(Inputs!$B$14-Inputs!$B$14))*(1+Inputs!$B$7/100))*(F254/100)</f>
        <v/>
      </c>
      <c r="K254">
        <f>J254*(1+((Inputs!$B$12*(1+Inputs!$B$13/100))*0.01+Inputs!$B$14*0.0025)/100)*(1+Inputs!$B$15/100)*(1+Inputs!$B$16/100)*(5000/(6000+Inputs!$B$42*(1-(Inputs!$B$19+0)/100)))*(1+(Inputs!$B$24+((C268=TRUE)*(F268-Calc!F25))+B278)/100)*(1+4.0*IF(C255=TRUE,F255,0)/100)*(1+IF(Skills!A11="ENHANCED_RAGING_BLOW",IF(Inputs!$B$3&gt;=134,MAX(0,IF(Inputs!$B$3&gt;=110,7,5)-5)*50,0),0)/100)*(1+(IF(Skills!A11="RAGING_BLOW",Inputs!$B$17+((C264=TRUE)*(F264-Calc!F21)),Inputs!$B$18+((C266=TRUE)*(F266-Calc!F23))))/100)*((1+(((C256=TRUE)*F256*IF(Inputs!$B$3&gt;=110,7,5))+((C258=TRUE)*F258*IF(AND(Inputs!$B$38&lt;&gt;"pvp",Inputs!$B$43&gt;0),(((R258-1)*(Skills!T15*(1+Inputs!$B$34/100))+MIN((Skills!T15*(1+Inputs!$B$34/100)),MAX(0,Inputs!$B$43-((R258-1)*Skills!D15))))/Inputs!$B$43),IF(Inputs!$B$38="pvp",MIN((Skills!T15*(1+Inputs!$B$34/100)),15)/15,(Skills!T15*(1+Inputs!$B$34/100))/Skills!D15)))+0)/100)*I254)</f>
        <v/>
      </c>
      <c r="L254">
        <f>K254*(MIN(Inputs!$B$22+((C265=TRUE)*(F265-Calc!F22)),Inputs!$B$23+((C267=TRUE)*(F267-Calc!F24)))/100+(Inputs!$B$23+((C267=TRUE)*(F267-Calc!F24)))/100)/2</f>
        <v/>
      </c>
      <c r="M254">
        <f>L254*(1+(Inputs!$B$10+0+B277)/100)</f>
        <v/>
      </c>
      <c r="N254">
        <f>L254*(1-MIN((Inputs!$B$9+((C269=TRUE)*(F269-Calc!F26))+B272),100)/100)+M254*(MIN((Inputs!$B$9+((C269=TRUE)*(F269-Calc!F26))+B272),100)/100)</f>
        <v/>
      </c>
      <c r="O254">
        <f>(1-Summary!$B$55)*T254+Summary!$B$55*V254</f>
        <v/>
      </c>
      <c r="P254">
        <f>IF(B282=0,0,O254/B282)</f>
        <v/>
      </c>
      <c r="Q254">
        <f>IFERROR(1/IF(Inputs!$B$38="pvp",15,MAX(0.1,Skills!D11-IF(Skills!E11=TRUE,Inputs!$B$32,0))),0)</f>
        <v/>
      </c>
      <c r="R254">
        <f>IF(AND(Inputs!$B$38&lt;&gt;"pvp",Inputs!$B$43&gt;0),IF(MAX(0,Inputs!$B$43-B279)&lt;=0,0,(INT(MAX(0,Inputs!$B$43-B279)/IF(Inputs!$B$38="pvp",15,MAX(0.1,Skills!D11-IF(Skills!E11=TRUE,Inputs!$B$32,0))))+1)),0)</f>
        <v/>
      </c>
      <c r="S254">
        <f>IFERROR(O254/N254,0)</f>
        <v/>
      </c>
      <c r="T254">
        <f>IF(C254,(H254*N254*IF(AND(Inputs!$B$38&lt;&gt;"pvp",Inputs!$B$43&gt;0),((Skills!G11*((R254-1)*IF(Skills!H11&gt;0,Skills!I11/Skills!H11,1)+IF(Skills!H11&gt;0,MIN(Skills!I11,MAX(0,MAX(0,Inputs!$B$43-B279)-((R254-1)*IF(Inputs!$B$38="pvp",15,MAX(0.1,Skills!D11-IF(Skills!E11=TRUE,Inputs!$B$32,0))))))/Skills!H11,1)))/Inputs!$B$43),G254*Q254))*IF(Inputs!$B$38="pvp",1,1+((Inputs!$B$20+1)+0+Skills!P11+Summary!$B$59)/100),0)</f>
        <v/>
      </c>
      <c r="V254">
        <f>IF(C254,(H254*N254*IF(AND(Inputs!$B$38&lt;&gt;"pvp",Inputs!$B$43&gt;0),((Skills!G11*((R254-1)*IF(Skills!H11&gt;0,Skills!I11/Skills!H11,1)+IF(Skills!H11&gt;0,MIN(Skills!I11,MAX(0,MAX(0,Inputs!$B$43-B279)-((R254-1)*IF(Inputs!$B$38="pvp",15,MAX(0.1,Skills!D11-IF(Skills!E11=TRUE,Inputs!$B$32,0))))))/Skills!H11,1)))/Inputs!$B$43),G254*Q254))*IF(Inputs!$B$38="pvp",1,(1+(Inputs!$B$21+Skills!Q11+Summary!$B$59)/100)*(MIN(Skills!R11,Inputs!$B$37))),0)</f>
        <v/>
      </c>
    </row>
    <row r="255">
      <c r="A255">
        <f>Skills!A12</f>
        <v/>
      </c>
      <c r="B255">
        <f>Skills!B12</f>
        <v/>
      </c>
      <c r="C255">
        <f>Inputs!$B$3&gt;=100</f>
        <v/>
      </c>
      <c r="D255">
        <f>IF(Skills!C12=1,60+Inputs!$B$25+Inputs!$B$29,IF(Skills!C12=2,90+Inputs!$B$26+Inputs!$B$29,IF(Skills!C12=3,120+Inputs!$B$27+Inputs!$B$29,MAX(0,(Inputs!$B$3-100)*3)+Inputs!$B$28+Inputs!$B$29)))</f>
        <v/>
      </c>
      <c r="E255">
        <f>INDEX(FactorTable!$B$2:$Y$301, MATCH(ROUND(MIN(300,MAX(1,D255)),0), FactorTable!$A$2:$A$301,0), Skills!M12+1)</f>
        <v/>
      </c>
      <c r="F255">
        <f>IF(Skills!N12=TRUE,(Skills!L12/10)*(E255/1000),Skills!L12/10)+Skills!O12</f>
        <v/>
      </c>
      <c r="G255" t="inlineStr"/>
      <c r="H255" t="inlineStr"/>
      <c r="I255" t="inlineStr">
        <is>
          <t>1</t>
        </is>
      </c>
      <c r="J255" t="inlineStr"/>
      <c r="K255" t="inlineStr"/>
      <c r="L255" t="inlineStr"/>
      <c r="M255" t="inlineStr"/>
      <c r="N255" t="inlineStr"/>
      <c r="O255" t="inlineStr"/>
      <c r="P255" t="inlineStr"/>
      <c r="Q255" t="inlineStr"/>
      <c r="R255" t="inlineStr"/>
      <c r="S255" t="inlineStr"/>
    </row>
    <row r="256">
      <c r="A256">
        <f>Skills!A13</f>
        <v/>
      </c>
      <c r="B256">
        <f>Skills!B13</f>
        <v/>
      </c>
      <c r="C256">
        <f>Inputs!$B$3&gt;=45</f>
        <v/>
      </c>
      <c r="D256">
        <f>IF(Skills!C13=1,60+Inputs!$B$25+Inputs!$B$29,IF(Skills!C13=2,90+Inputs!$B$26+Inputs!$B$29,IF(Skills!C13=3,120+Inputs!$B$27+Inputs!$B$29,MAX(0,(Inputs!$B$3-100)*3)+Inputs!$B$28+Inputs!$B$29)))</f>
        <v/>
      </c>
      <c r="E256">
        <f>INDEX(FactorTable!$B$2:$Y$301, MATCH(ROUND(MIN(300,MAX(1,D256)),0), FactorTable!$A$2:$A$301,0), Skills!M13+1)</f>
        <v/>
      </c>
      <c r="F256">
        <f>IF(Skills!N13=TRUE,(Skills!L13/10)*(E256/1000),Skills!L13/10)+Skills!O13</f>
        <v/>
      </c>
      <c r="G256">
        <f>Skills!G13*IF(Skills!H13&gt;0,Skills!I13/Skills!H13,1)</f>
        <v/>
      </c>
      <c r="H256">
        <f>1-(1-Skills!J13/100)^Skills!K13</f>
        <v/>
      </c>
      <c r="I256" t="inlineStr">
        <is>
          <t>1</t>
        </is>
      </c>
      <c r="J256" t="inlineStr"/>
      <c r="K256" t="inlineStr"/>
      <c r="L256" t="inlineStr"/>
      <c r="M256" t="inlineStr"/>
      <c r="N256" t="inlineStr"/>
      <c r="O256">
        <f>(1-Summary!$B$55)*T256+Summary!$B$55*V256</f>
        <v/>
      </c>
      <c r="P256">
        <f>IF(B282=0,0,O256/B282)</f>
        <v/>
      </c>
      <c r="Q256" t="n">
        <v>0</v>
      </c>
      <c r="R256" t="n">
        <v>0</v>
      </c>
      <c r="S256">
        <f>IFERROR(O256/N256,0)</f>
        <v/>
      </c>
      <c r="T256" t="n">
        <v>0</v>
      </c>
      <c r="V256" t="n">
        <v>0</v>
      </c>
    </row>
    <row r="257">
      <c r="A257">
        <f>Skills!A14</f>
        <v/>
      </c>
      <c r="B257">
        <f>Skills!B14</f>
        <v/>
      </c>
      <c r="C257">
        <f>Inputs!$B$3&gt;=75</f>
        <v/>
      </c>
      <c r="D257">
        <f>IF(Skills!C14=1,60+Inputs!$B$25+Inputs!$B$29,IF(Skills!C14=2,90+Inputs!$B$26+Inputs!$B$29,IF(Skills!C14=3,120+Inputs!$B$27+Inputs!$B$29,MAX(0,(Inputs!$B$3-100)*3)+Inputs!$B$28+Inputs!$B$29)))</f>
        <v/>
      </c>
      <c r="E257">
        <f>INDEX(FactorTable!$B$2:$Y$301, MATCH(ROUND(MIN(300,MAX(1,D257)),0), FactorTable!$A$2:$A$301,0), Skills!M14+1)</f>
        <v/>
      </c>
      <c r="F257">
        <f>IF(Skills!N14=TRUE,(Skills!L14/10)*(E257/1000),Skills!L14/10)+Skills!O14</f>
        <v/>
      </c>
      <c r="G257">
        <f>Skills!G14*IF(Skills!H14&gt;0,Skills!I14/Skills!H14,1)</f>
        <v/>
      </c>
      <c r="H257">
        <f>1-(1-Skills!J14/100)^Skills!K14</f>
        <v/>
      </c>
      <c r="I257" t="inlineStr">
        <is>
          <t>1</t>
        </is>
      </c>
      <c r="J257" t="inlineStr"/>
      <c r="K257" t="inlineStr"/>
      <c r="L257" t="inlineStr"/>
      <c r="M257" t="inlineStr"/>
      <c r="N257" t="inlineStr"/>
      <c r="O257">
        <f>(1-Summary!$B$55)*T257+Summary!$B$55*V257</f>
        <v/>
      </c>
      <c r="P257">
        <f>IF(B282=0,0,O257/B282)</f>
        <v/>
      </c>
      <c r="Q257" t="n">
        <v>0</v>
      </c>
      <c r="R257" t="n">
        <v>0</v>
      </c>
      <c r="S257">
        <f>IFERROR(O257/N257,0)</f>
        <v/>
      </c>
      <c r="T257" t="n">
        <v>0</v>
      </c>
      <c r="V257" t="n">
        <v>0</v>
      </c>
    </row>
    <row r="258">
      <c r="A258">
        <f>Skills!A15</f>
        <v/>
      </c>
      <c r="B258">
        <f>Skills!B15</f>
        <v/>
      </c>
      <c r="C258">
        <f>Inputs!$B$3&gt;=40</f>
        <v/>
      </c>
      <c r="D258">
        <f>IF(Skills!C15=1,60+Inputs!$B$25+Inputs!$B$29,IF(Skills!C15=2,90+Inputs!$B$26+Inputs!$B$29,IF(Skills!C15=3,120+Inputs!$B$27+Inputs!$B$29,MAX(0,(Inputs!$B$3-100)*3)+Inputs!$B$28+Inputs!$B$29)))</f>
        <v/>
      </c>
      <c r="E258">
        <f>INDEX(FactorTable!$B$2:$Y$301, MATCH(ROUND(MIN(300,MAX(1,D258)),0), FactorTable!$A$2:$A$301,0), Skills!M15+1)</f>
        <v/>
      </c>
      <c r="F258">
        <f>IF(Skills!N15=TRUE,(Skills!L15/10)*(E258/1000),Skills!L15/10)+Skills!O15</f>
        <v/>
      </c>
      <c r="G258">
        <f>Skills!G15*IF(Skills!H15&gt;0,Skills!I15/Skills!H15,1)</f>
        <v/>
      </c>
      <c r="H258">
        <f>1-(1-Skills!J15/100)^Skills!K15</f>
        <v/>
      </c>
      <c r="I258" t="inlineStr">
        <is>
          <t>1</t>
        </is>
      </c>
      <c r="J258" t="inlineStr"/>
      <c r="K258" t="inlineStr"/>
      <c r="L258" t="inlineStr"/>
      <c r="M258" t="inlineStr"/>
      <c r="N258" t="inlineStr"/>
      <c r="O258">
        <f>(1-Summary!$B$55)*T258+Summary!$B$55*V258</f>
        <v/>
      </c>
      <c r="P258">
        <f>IF(B282=0,0,O258/B282)</f>
        <v/>
      </c>
      <c r="Q258">
        <f>IFERROR(1/IF(Inputs!$B$38="pvp",15,MAX(0.1,Skills!D15-IF(Skills!E15=TRUE,Inputs!$B$32,0))),0)</f>
        <v/>
      </c>
      <c r="R258">
        <f>IF(AND(Inputs!$B$38&lt;&gt;"pvp",Inputs!$B$43&gt;0),IF(Inputs!$B$43&lt;=0,0,(INT(Inputs!$B$43/IF(Inputs!$B$38="pvp",15,MAX(0.1,Skills!D15-IF(Skills!E15=TRUE,Inputs!$B$32,0))))+1)),0)</f>
        <v/>
      </c>
      <c r="S258">
        <f>IFERROR(O258/N258,0)</f>
        <v/>
      </c>
      <c r="T258" t="n">
        <v>0</v>
      </c>
      <c r="V258" t="n">
        <v>0</v>
      </c>
    </row>
    <row r="259">
      <c r="A259">
        <f>Skills!A16</f>
        <v/>
      </c>
      <c r="B259">
        <f>Skills!B16</f>
        <v/>
      </c>
      <c r="C259">
        <f>Inputs!$B$3&gt;=66</f>
        <v/>
      </c>
      <c r="D259">
        <f>IF(Skills!C16=1,60+Inputs!$B$25+Inputs!$B$29,IF(Skills!C16=2,90+Inputs!$B$26+Inputs!$B$29,IF(Skills!C16=3,120+Inputs!$B$27+Inputs!$B$29,MAX(0,(Inputs!$B$3-100)*3)+Inputs!$B$28+Inputs!$B$29)))</f>
        <v/>
      </c>
      <c r="E259">
        <f>INDEX(FactorTable!$B$2:$Y$301, MATCH(ROUND(MIN(300,MAX(1,D259)),0), FactorTable!$A$2:$A$301,0), Skills!M16+1)</f>
        <v/>
      </c>
      <c r="F259">
        <f>IF(Skills!N16=TRUE,(Skills!L16/10)*(E259/1000),Skills!L16/10)+Skills!O16</f>
        <v/>
      </c>
      <c r="G259">
        <f>Skills!G16*IF(Skills!H16&gt;0,Skills!I16/Skills!H16,1)</f>
        <v/>
      </c>
      <c r="H259">
        <f>1-(1-Skills!J16/100)^Skills!K16</f>
        <v/>
      </c>
      <c r="I259" t="inlineStr">
        <is>
          <t>1</t>
        </is>
      </c>
      <c r="J259" t="inlineStr"/>
      <c r="K259" t="inlineStr"/>
      <c r="L259" t="inlineStr"/>
      <c r="M259" t="inlineStr"/>
      <c r="N259" t="inlineStr"/>
      <c r="O259">
        <f>(1-Summary!$B$55)*T259+Summary!$B$55*V259</f>
        <v/>
      </c>
      <c r="P259">
        <f>IF(B282=0,0,O259/B282)</f>
        <v/>
      </c>
      <c r="Q259">
        <f>IFERROR(1/IF(Inputs!$B$38="pvp",15,MAX(0.1,Skills!D16-IF(Skills!E16=TRUE,Inputs!$B$32,0))),0)</f>
        <v/>
      </c>
      <c r="R259">
        <f>IF(AND(Inputs!$B$38&lt;&gt;"pvp",Inputs!$B$43&gt;0),IF(Inputs!$B$43&lt;=0,0,(INT(Inputs!$B$43/IF(Inputs!$B$38="pvp",15,MAX(0.1,Skills!D16-IF(Skills!E16=TRUE,Inputs!$B$32,0))))+1)),0)</f>
        <v/>
      </c>
      <c r="S259">
        <f>IFERROR(O259/N259,0)</f>
        <v/>
      </c>
      <c r="T259" t="n">
        <v>0</v>
      </c>
      <c r="V259" t="n">
        <v>0</v>
      </c>
    </row>
    <row r="260">
      <c r="A260">
        <f>Skills!A17</f>
        <v/>
      </c>
      <c r="B260">
        <f>Skills!B17</f>
        <v/>
      </c>
      <c r="C260">
        <f>Inputs!$B$3&gt;=115</f>
        <v/>
      </c>
      <c r="D260">
        <f>IF(Skills!C17=1,60+Inputs!$B$25+Inputs!$B$29,IF(Skills!C17=2,90+Inputs!$B$26+Inputs!$B$29,IF(Skills!C17=3,120+Inputs!$B$27+Inputs!$B$29,MAX(0,(Inputs!$B$3-100)*3)+Inputs!$B$28+Inputs!$B$29)))</f>
        <v/>
      </c>
      <c r="E260">
        <f>INDEX(FactorTable!$B$2:$Y$301, MATCH(ROUND(MIN(300,MAX(1,D260)),0), FactorTable!$A$2:$A$301,0), Skills!M17+1)</f>
        <v/>
      </c>
      <c r="F260">
        <f>IF(Skills!N17=TRUE,(Skills!L17/10)*(E260/1000),Skills!L17/10)+Skills!O17</f>
        <v/>
      </c>
      <c r="G260">
        <f>Skills!G17*IF(Skills!H17&gt;0,Skills!I17/Skills!H17,1)</f>
        <v/>
      </c>
      <c r="H260">
        <f>1-(1-Skills!J17/100)^Skills!K17</f>
        <v/>
      </c>
      <c r="I260" t="inlineStr">
        <is>
          <t>1</t>
        </is>
      </c>
      <c r="J260" t="inlineStr"/>
      <c r="K260" t="inlineStr"/>
      <c r="L260" t="inlineStr"/>
      <c r="M260" t="inlineStr"/>
      <c r="N260" t="inlineStr"/>
      <c r="O260">
        <f>(1-Summary!$B$55)*T260+Summary!$B$55*V260</f>
        <v/>
      </c>
      <c r="P260">
        <f>IF(B282=0,0,O260/B282)</f>
        <v/>
      </c>
      <c r="Q260">
        <f>IFERROR(1/IF(Inputs!$B$38="pvp",15,MAX(0.1,Skills!D17-IF(Skills!E17=TRUE,Inputs!$B$32,0))),0)</f>
        <v/>
      </c>
      <c r="R260">
        <f>IF(AND(Inputs!$B$38&lt;&gt;"pvp",Inputs!$B$43&gt;0),IF(Inputs!$B$43&lt;=0,0,(INT(Inputs!$B$43/IF(Inputs!$B$38="pvp",15,MAX(0.1,Skills!D17-IF(Skills!E17=TRUE,Inputs!$B$32,0))))+1)),0)</f>
        <v/>
      </c>
      <c r="S260">
        <f>IFERROR(O260/N260,0)</f>
        <v/>
      </c>
      <c r="T260" t="n">
        <v>0</v>
      </c>
      <c r="V260" t="n">
        <v>0</v>
      </c>
    </row>
    <row r="261">
      <c r="A261">
        <f>Skills!A18</f>
        <v/>
      </c>
      <c r="B261">
        <f>Skills!B18</f>
        <v/>
      </c>
      <c r="C261">
        <f>Inputs!$B$3&gt;=115</f>
        <v/>
      </c>
      <c r="D261">
        <f>IF(Skills!C18=1,60+Inputs!$B$25+Inputs!$B$29,IF(Skills!C18=2,90+Inputs!$B$26+Inputs!$B$29,IF(Skills!C18=3,120+Inputs!$B$27+Inputs!$B$29,MAX(0,(Inputs!$B$3-100)*3)+Inputs!$B$28+Inputs!$B$29)))</f>
        <v/>
      </c>
      <c r="E261">
        <f>INDEX(FactorTable!$B$2:$Y$301, MATCH(ROUND(MIN(300,MAX(1,D261)),0), FactorTable!$A$2:$A$301,0), Skills!M18+1)</f>
        <v/>
      </c>
      <c r="F261">
        <f>IF(Skills!N18=TRUE,(Skills!L18/10)*(E261/1000),Skills!L18/10)+Skills!O18</f>
        <v/>
      </c>
      <c r="G261">
        <f>Skills!G18*IF(Skills!H18&gt;0,Skills!I18/Skills!H18,1)</f>
        <v/>
      </c>
      <c r="H261">
        <f>1-(1-Skills!J18/100)^Skills!K18</f>
        <v/>
      </c>
      <c r="I261" t="inlineStr">
        <is>
          <t>1</t>
        </is>
      </c>
      <c r="J261" t="inlineStr"/>
      <c r="K261" t="inlineStr"/>
      <c r="L261" t="inlineStr"/>
      <c r="M261" t="inlineStr"/>
      <c r="N261" t="inlineStr"/>
      <c r="O261">
        <f>(1-Summary!$B$55)*T261+Summary!$B$55*V261</f>
        <v/>
      </c>
      <c r="P261">
        <f>IF(B282=0,0,O261/B282)</f>
        <v/>
      </c>
      <c r="Q261">
        <f>IFERROR(1/IF(Inputs!$B$38="pvp",15,MAX(0.1,Skills!D18-IF(Skills!E18=TRUE,Inputs!$B$32,0))),0)</f>
        <v/>
      </c>
      <c r="R261">
        <f>IF(AND(Inputs!$B$38&lt;&gt;"pvp",Inputs!$B$43&gt;0),IF(Inputs!$B$43&lt;=0,0,(INT(Inputs!$B$43/IF(Inputs!$B$38="pvp",15,MAX(0.1,Skills!D18-IF(Skills!E18=TRUE,Inputs!$B$32,0))))+1)),0)</f>
        <v/>
      </c>
      <c r="S261">
        <f>IFERROR(O261/N261,0)</f>
        <v/>
      </c>
      <c r="T261" t="n">
        <v>0</v>
      </c>
      <c r="V261" t="n">
        <v>0</v>
      </c>
    </row>
    <row r="262">
      <c r="A262">
        <f>Skills!A19</f>
        <v/>
      </c>
      <c r="B262">
        <f>Skills!B19</f>
        <v/>
      </c>
      <c r="C262">
        <f>TRUE</f>
        <v/>
      </c>
      <c r="D262">
        <f>IF(Skills!C19=1,60+Inputs!$B$25+Inputs!$B$29,IF(Skills!C19=2,90+Inputs!$B$26+Inputs!$B$29,IF(Skills!C19=3,120+Inputs!$B$27+Inputs!$B$29,MAX(0,(Inputs!$B$3-100)*3)+Inputs!$B$28+Inputs!$B$29)))</f>
        <v/>
      </c>
      <c r="E262">
        <f>INDEX(FactorTable!$B$2:$Y$301, MATCH(ROUND(MIN(300,MAX(1,D262)),0), FactorTable!$A$2:$A$301,0), Skills!M19+1)</f>
        <v/>
      </c>
      <c r="F262">
        <f>IF(Skills!N19=TRUE,(Skills!L19/10)*(E262/1000),Skills!L19/10)+Skills!O19</f>
        <v/>
      </c>
      <c r="G262">
        <f>Skills!G19*IF(Skills!H19&gt;0,Skills!I19/Skills!H19,1)</f>
        <v/>
      </c>
      <c r="H262">
        <f>1-(1-Skills!J19/100)^Skills!K19</f>
        <v/>
      </c>
      <c r="I262" t="inlineStr">
        <is>
          <t>1</t>
        </is>
      </c>
      <c r="J262" t="inlineStr"/>
      <c r="K262" t="inlineStr"/>
      <c r="L262" t="inlineStr"/>
      <c r="M262" t="inlineStr"/>
      <c r="N262" t="inlineStr"/>
      <c r="O262">
        <f>(1-Summary!$B$55)*T262+Summary!$B$55*V262</f>
        <v/>
      </c>
      <c r="P262">
        <f>IF(B282=0,0,O262/B282)</f>
        <v/>
      </c>
      <c r="Q262">
        <f>IFERROR(1/IF(Inputs!$B$38="pvp",15,MAX(0.1,Skills!D19-IF(Skills!E19=TRUE,Inputs!$B$32,0))),0)</f>
        <v/>
      </c>
      <c r="R262">
        <f>IF(AND(Inputs!$B$38&lt;&gt;"pvp",Inputs!$B$43&gt;0),IF(Inputs!$B$43&lt;=0,0,(INT(Inputs!$B$43/IF(Inputs!$B$38="pvp",15,MAX(0.1,Skills!D19-IF(Skills!E19=TRUE,Inputs!$B$32,0))))+1)),0)</f>
        <v/>
      </c>
      <c r="S262">
        <f>IFERROR(O262/N262,0)</f>
        <v/>
      </c>
      <c r="T262" t="n">
        <v>0</v>
      </c>
      <c r="V262" t="n">
        <v>0</v>
      </c>
    </row>
    <row r="263">
      <c r="A263">
        <f>Skills!A20</f>
        <v/>
      </c>
      <c r="B263">
        <f>Skills!B20</f>
        <v/>
      </c>
      <c r="C263">
        <f>Inputs!$B$3&gt;=33</f>
        <v/>
      </c>
      <c r="D263">
        <f>IF(Skills!C20=1,60+Inputs!$B$25+Inputs!$B$29,IF(Skills!C20=2,90+Inputs!$B$26+Inputs!$B$29,IF(Skills!C20=3,120+Inputs!$B$27+Inputs!$B$29,MAX(0,(Inputs!$B$3-100)*3)+Inputs!$B$28+Inputs!$B$29)))</f>
        <v/>
      </c>
      <c r="E263">
        <f>INDEX(FactorTable!$B$2:$Y$301, MATCH(ROUND(MIN(300,MAX(1,D263)),0), FactorTable!$A$2:$A$301,0), Skills!M20+1)</f>
        <v/>
      </c>
      <c r="F263">
        <f>IF(Skills!N20=TRUE,(Skills!L20/10)*(E263/1000),Skills!L20/10)+Skills!O20</f>
        <v/>
      </c>
      <c r="G263">
        <f>Skills!G20*IF(Skills!H20&gt;0,Skills!I20/Skills!H20,1)</f>
        <v/>
      </c>
      <c r="H263">
        <f>1-(1-Skills!J20/100)^Skills!K20</f>
        <v/>
      </c>
      <c r="I263" t="inlineStr">
        <is>
          <t>1</t>
        </is>
      </c>
      <c r="J263" t="inlineStr"/>
      <c r="K263" t="inlineStr"/>
      <c r="L263" t="inlineStr"/>
      <c r="M263" t="inlineStr"/>
      <c r="N263" t="inlineStr"/>
      <c r="O263">
        <f>(1-Summary!$B$55)*T263+Summary!$B$55*V263</f>
        <v/>
      </c>
      <c r="P263">
        <f>IF(B282=0,0,O263/B282)</f>
        <v/>
      </c>
      <c r="Q263" t="n">
        <v>0</v>
      </c>
      <c r="R263" t="n">
        <v>0</v>
      </c>
      <c r="S263">
        <f>IFERROR(O263/N263,0)</f>
        <v/>
      </c>
      <c r="T263" t="n">
        <v>0</v>
      </c>
      <c r="V263" t="n">
        <v>0</v>
      </c>
    </row>
    <row r="264">
      <c r="A264">
        <f>Skills!A21</f>
        <v/>
      </c>
      <c r="B264">
        <f>Skills!B21</f>
        <v/>
      </c>
      <c r="C264">
        <f>Inputs!$B$3&gt;=38</f>
        <v/>
      </c>
      <c r="D264">
        <f>IF(Skills!C21=1,60+Inputs!$B$25+Inputs!$B$29,IF(Skills!C21=2,90+Inputs!$B$26+Inputs!$B$29,IF(Skills!C21=3,120+Inputs!$B$27+Inputs!$B$29,MAX(0,(Inputs!$B$3-100)*3)+Inputs!$B$28+Inputs!$B$29)))</f>
        <v/>
      </c>
      <c r="E264">
        <f>INDEX(FactorTable!$B$2:$Y$301, MATCH(ROUND(MIN(300,MAX(1,D264)),0), FactorTable!$A$2:$A$301,0), Skills!M21+1)</f>
        <v/>
      </c>
      <c r="F264">
        <f>IF(Skills!N21=TRUE,(Skills!L21/10)*(E264/1000),Skills!L21/10)+Skills!O21</f>
        <v/>
      </c>
      <c r="G264">
        <f>Skills!G21*IF(Skills!H21&gt;0,Skills!I21/Skills!H21,1)</f>
        <v/>
      </c>
      <c r="H264">
        <f>1-(1-Skills!J21/100)^Skills!K21</f>
        <v/>
      </c>
      <c r="I264" t="inlineStr">
        <is>
          <t>1</t>
        </is>
      </c>
      <c r="J264" t="inlineStr"/>
      <c r="K264" t="inlineStr"/>
      <c r="L264" t="inlineStr"/>
      <c r="M264" t="inlineStr"/>
      <c r="N264" t="inlineStr"/>
      <c r="O264">
        <f>(1-Summary!$B$55)*T264+Summary!$B$55*V264</f>
        <v/>
      </c>
      <c r="P264">
        <f>IF(B282=0,0,O264/B282)</f>
        <v/>
      </c>
      <c r="Q264" t="n">
        <v>0</v>
      </c>
      <c r="R264" t="n">
        <v>0</v>
      </c>
      <c r="S264">
        <f>IFERROR(O264/N264,0)</f>
        <v/>
      </c>
      <c r="T264" t="n">
        <v>0</v>
      </c>
      <c r="V264" t="n">
        <v>0</v>
      </c>
    </row>
    <row r="265">
      <c r="A265">
        <f>Skills!A22</f>
        <v/>
      </c>
      <c r="B265">
        <f>Skills!B22</f>
        <v/>
      </c>
      <c r="C265">
        <f>Inputs!$B$3&gt;=43</f>
        <v/>
      </c>
      <c r="D265">
        <f>IF(Skills!C22=1,60+Inputs!$B$25+Inputs!$B$29,IF(Skills!C22=2,90+Inputs!$B$26+Inputs!$B$29,IF(Skills!C22=3,120+Inputs!$B$27+Inputs!$B$29,MAX(0,(Inputs!$B$3-100)*3)+Inputs!$B$28+Inputs!$B$29)))</f>
        <v/>
      </c>
      <c r="E265">
        <f>INDEX(FactorTable!$B$2:$Y$301, MATCH(ROUND(MIN(300,MAX(1,D265)),0), FactorTable!$A$2:$A$301,0), Skills!M22+1)</f>
        <v/>
      </c>
      <c r="F265">
        <f>IF(Skills!N22=TRUE,(Skills!L22/10)*(E265/1000),Skills!L22/10)+Skills!O22</f>
        <v/>
      </c>
      <c r="G265">
        <f>Skills!G22*IF(Skills!H22&gt;0,Skills!I22/Skills!H22,1)</f>
        <v/>
      </c>
      <c r="H265">
        <f>1-(1-Skills!J22/100)^Skills!K22</f>
        <v/>
      </c>
      <c r="I265" t="inlineStr">
        <is>
          <t>1</t>
        </is>
      </c>
      <c r="J265" t="inlineStr"/>
      <c r="K265" t="inlineStr"/>
      <c r="L265" t="inlineStr"/>
      <c r="M265" t="inlineStr"/>
      <c r="N265" t="inlineStr"/>
      <c r="O265">
        <f>(1-Summary!$B$55)*T265+Summary!$B$55*V265</f>
        <v/>
      </c>
      <c r="P265">
        <f>IF(B282=0,0,O265/B282)</f>
        <v/>
      </c>
      <c r="Q265" t="n">
        <v>0</v>
      </c>
      <c r="R265" t="n">
        <v>0</v>
      </c>
      <c r="S265">
        <f>IFERROR(O265/N265,0)</f>
        <v/>
      </c>
      <c r="T265" t="n">
        <v>0</v>
      </c>
      <c r="V265" t="n">
        <v>0</v>
      </c>
    </row>
    <row r="266">
      <c r="A266">
        <f>Skills!A23</f>
        <v/>
      </c>
      <c r="B266">
        <f>Skills!B23</f>
        <v/>
      </c>
      <c r="C266">
        <f>Inputs!$B$3&gt;=120</f>
        <v/>
      </c>
      <c r="D266">
        <f>IF(Skills!C23=1,60+Inputs!$B$25+Inputs!$B$29,IF(Skills!C23=2,90+Inputs!$B$26+Inputs!$B$29,IF(Skills!C23=3,120+Inputs!$B$27+Inputs!$B$29,MAX(0,(Inputs!$B$3-100)*3)+Inputs!$B$28+Inputs!$B$29)))</f>
        <v/>
      </c>
      <c r="E266">
        <f>INDEX(FactorTable!$B$2:$Y$301, MATCH(ROUND(MIN(300,MAX(1,D266)),0), FactorTable!$A$2:$A$301,0), Skills!M23+1)</f>
        <v/>
      </c>
      <c r="F266">
        <f>IF(Skills!N23=TRUE,(Skills!L23/10)*(E266/1000),Skills!L23/10)+Skills!O23</f>
        <v/>
      </c>
      <c r="G266">
        <f>Skills!G23*IF(Skills!H23&gt;0,Skills!I23/Skills!H23,1)</f>
        <v/>
      </c>
      <c r="H266">
        <f>1-(1-Skills!J23/100)^Skills!K23</f>
        <v/>
      </c>
      <c r="I266" t="inlineStr">
        <is>
          <t>1</t>
        </is>
      </c>
      <c r="J266" t="inlineStr"/>
      <c r="K266" t="inlineStr"/>
      <c r="L266" t="inlineStr"/>
      <c r="M266" t="inlineStr"/>
      <c r="N266" t="inlineStr"/>
      <c r="O266">
        <f>(1-Summary!$B$55)*T266+Summary!$B$55*V266</f>
        <v/>
      </c>
      <c r="P266">
        <f>IF(B282=0,0,O266/B282)</f>
        <v/>
      </c>
      <c r="Q266" t="n">
        <v>0</v>
      </c>
      <c r="R266" t="n">
        <v>0</v>
      </c>
      <c r="S266">
        <f>IFERROR(O266/N266,0)</f>
        <v/>
      </c>
      <c r="T266" t="n">
        <v>0</v>
      </c>
      <c r="V266" t="n">
        <v>0</v>
      </c>
    </row>
    <row r="267">
      <c r="A267">
        <f>Skills!A24</f>
        <v/>
      </c>
      <c r="B267">
        <f>Skills!B24</f>
        <v/>
      </c>
      <c r="C267">
        <f>Inputs!$B$3&gt;=120</f>
        <v/>
      </c>
      <c r="D267">
        <f>IF(Skills!C24=1,60+Inputs!$B$25+Inputs!$B$29,IF(Skills!C24=2,90+Inputs!$B$26+Inputs!$B$29,IF(Skills!C24=3,120+Inputs!$B$27+Inputs!$B$29,MAX(0,(Inputs!$B$3-100)*3)+Inputs!$B$28+Inputs!$B$29)))</f>
        <v/>
      </c>
      <c r="E267">
        <f>INDEX(FactorTable!$B$2:$Y$301, MATCH(ROUND(MIN(300,MAX(1,D267)),0), FactorTable!$A$2:$A$301,0), Skills!M24+1)</f>
        <v/>
      </c>
      <c r="F267">
        <f>IF(Skills!N24=TRUE,(Skills!L24/10)*(E267/1000),Skills!L24/10)+Skills!O24</f>
        <v/>
      </c>
      <c r="G267">
        <f>Skills!G24*IF(Skills!H24&gt;0,Skills!I24/Skills!H24,1)</f>
        <v/>
      </c>
      <c r="H267">
        <f>1-(1-Skills!J24/100)^Skills!K24</f>
        <v/>
      </c>
      <c r="I267" t="inlineStr">
        <is>
          <t>1</t>
        </is>
      </c>
      <c r="J267" t="inlineStr"/>
      <c r="K267" t="inlineStr"/>
      <c r="L267" t="inlineStr"/>
      <c r="M267" t="inlineStr"/>
      <c r="N267" t="inlineStr"/>
      <c r="O267">
        <f>(1-Summary!$B$55)*T267+Summary!$B$55*V267</f>
        <v/>
      </c>
      <c r="P267">
        <f>IF(B282=0,0,O267/B282)</f>
        <v/>
      </c>
      <c r="Q267" t="n">
        <v>0</v>
      </c>
      <c r="R267" t="n">
        <v>0</v>
      </c>
      <c r="S267">
        <f>IFERROR(O267/N267,0)</f>
        <v/>
      </c>
      <c r="T267" t="n">
        <v>0</v>
      </c>
      <c r="V267" t="n">
        <v>0</v>
      </c>
    </row>
    <row r="268">
      <c r="A268">
        <f>Skills!A25</f>
        <v/>
      </c>
      <c r="B268">
        <f>Skills!B25</f>
        <v/>
      </c>
      <c r="C268">
        <f>Inputs!$B$3&gt;=125</f>
        <v/>
      </c>
      <c r="D268">
        <f>IF(Skills!C25=1,60+Inputs!$B$25+Inputs!$B$29,IF(Skills!C25=2,90+Inputs!$B$26+Inputs!$B$29,IF(Skills!C25=3,120+Inputs!$B$27+Inputs!$B$29,MAX(0,(Inputs!$B$3-100)*3)+Inputs!$B$28+Inputs!$B$29)))</f>
        <v/>
      </c>
      <c r="E268">
        <f>INDEX(FactorTable!$B$2:$Y$301, MATCH(ROUND(MIN(300,MAX(1,D268)),0), FactorTable!$A$2:$A$301,0), Skills!M25+1)</f>
        <v/>
      </c>
      <c r="F268">
        <f>IF(Skills!N25=TRUE,(Skills!L25/10)*(E268/1000),Skills!L25/10)+Skills!O25</f>
        <v/>
      </c>
      <c r="G268">
        <f>Skills!G25*IF(Skills!H25&gt;0,Skills!I25/Skills!H25,1)</f>
        <v/>
      </c>
      <c r="H268">
        <f>1-(1-Skills!J25/100)^Skills!K25</f>
        <v/>
      </c>
      <c r="I268" t="inlineStr">
        <is>
          <t>1</t>
        </is>
      </c>
      <c r="J268" t="inlineStr"/>
      <c r="K268" t="inlineStr"/>
      <c r="L268" t="inlineStr"/>
      <c r="M268" t="inlineStr"/>
      <c r="N268" t="inlineStr"/>
      <c r="O268">
        <f>(1-Summary!$B$55)*T268+Summary!$B$55*V268</f>
        <v/>
      </c>
      <c r="P268">
        <f>IF(B282=0,0,O268/B282)</f>
        <v/>
      </c>
      <c r="Q268" t="n">
        <v>0</v>
      </c>
      <c r="R268" t="n">
        <v>0</v>
      </c>
      <c r="S268">
        <f>IFERROR(O268/N268,0)</f>
        <v/>
      </c>
      <c r="T268" t="n">
        <v>0</v>
      </c>
      <c r="V268" t="n">
        <v>0</v>
      </c>
    </row>
    <row r="269">
      <c r="A269">
        <f>Skills!A26</f>
        <v/>
      </c>
      <c r="B269">
        <f>Skills!B26</f>
        <v/>
      </c>
      <c r="C269">
        <f>Inputs!$B$3&gt;=72</f>
        <v/>
      </c>
      <c r="D269">
        <f>IF(Skills!C26=1,60+Inputs!$B$25+Inputs!$B$29,IF(Skills!C26=2,90+Inputs!$B$26+Inputs!$B$29,IF(Skills!C26=3,120+Inputs!$B$27+Inputs!$B$29,MAX(0,(Inputs!$B$3-100)*3)+Inputs!$B$28+Inputs!$B$29)))</f>
        <v/>
      </c>
      <c r="E269">
        <f>INDEX(FactorTable!$B$2:$Y$301, MATCH(ROUND(MIN(300,MAX(1,D269)),0), FactorTable!$A$2:$A$301,0), Skills!M26+1)</f>
        <v/>
      </c>
      <c r="F269">
        <f>IF(Skills!N26=TRUE,(Skills!L26/10)*(E269/1000),Skills!L26/10)+Skills!O26</f>
        <v/>
      </c>
      <c r="G269">
        <f>Skills!G26*IF(Skills!H26&gt;0,Skills!I26/Skills!H26,1)</f>
        <v/>
      </c>
      <c r="H269">
        <f>1-(1-Skills!J26/100)^Skills!K26</f>
        <v/>
      </c>
      <c r="I269" t="inlineStr">
        <is>
          <t>1</t>
        </is>
      </c>
      <c r="J269" t="inlineStr"/>
      <c r="K269" t="inlineStr"/>
      <c r="L269" t="inlineStr"/>
      <c r="M269" t="inlineStr"/>
      <c r="N269" t="inlineStr"/>
      <c r="O269">
        <f>(1-Summary!$B$55)*T269+Summary!$B$55*V269</f>
        <v/>
      </c>
      <c r="P269">
        <f>IF(B282=0,0,O269/B282)</f>
        <v/>
      </c>
      <c r="Q269" t="n">
        <v>0</v>
      </c>
      <c r="R269" t="n">
        <v>0</v>
      </c>
      <c r="S269">
        <f>IFERROR(O269/N269,0)</f>
        <v/>
      </c>
      <c r="T269" t="n">
        <v>0</v>
      </c>
      <c r="V269" t="n">
        <v>0</v>
      </c>
    </row>
    <row r="271">
      <c r="A271" t="inlineStr">
        <is>
          <t>Attack% Bucket Multiplier</t>
        </is>
      </c>
      <c r="B271">
        <f>(1+(((C256=TRUE)*F256*IF(Inputs!$B$3&gt;=110,7,5))+((C258=TRUE)*F258*IF(AND(Inputs!$B$38&lt;&gt;"pvp",Inputs!$B$43&gt;0),(((R258-1)*(Skills!T15*(1+Inputs!$B$34/100))+MIN((Skills!T15*(1+Inputs!$B$34/100)),MAX(0,Inputs!$B$43-((R258-1)*Skills!D15))))/Inputs!$B$43),IF(Inputs!$B$38="pvp",MIN((Skills!T15*(1+Inputs!$B$34/100)),15)/15,(Skills!T15*(1+Inputs!$B$34/100))/Skills!D15)))+0)/100)</f>
        <v/>
      </c>
    </row>
    <row r="272">
      <c r="A272" t="inlineStr">
        <is>
          <t>Global Crit Rate Bonus %</t>
        </is>
      </c>
      <c r="B272" t="n">
        <v>0</v>
      </c>
    </row>
    <row r="273">
      <c r="A273" t="inlineStr">
        <is>
          <t>Attack Speed Buff Bonus %</t>
        </is>
      </c>
      <c r="B273">
        <f>((C262=TRUE)*F262*IF(AND(Inputs!$B$38&lt;&gt;"pvp",Inputs!$B$43&gt;0),(((R262-1)*(Skills!T19*(1+Inputs!$B$34/100))+MIN((Skills!T19*(1+Inputs!$B$34/100)),MAX(0,Inputs!$B$43-((R262-1)*Skills!D19))))/Inputs!$B$43),IF(Inputs!$B$38="pvp",MIN((Skills!T19*(1+Inputs!$B$34/100)),15)/15,(Skills!T19*(1+Inputs!$B$34/100))/Skills!D19)))</f>
        <v/>
      </c>
    </row>
    <row r="274">
      <c r="A274" t="inlineStr">
        <is>
          <t>Actions Per Second</t>
        </is>
      </c>
      <c r="B274">
        <f>1+MIN(150,150*(1-(1-(Inputs!$B$11+((C263=TRUE)*(F263-Calc!F20)))/150)*(1-B273/150)))/100</f>
        <v/>
      </c>
    </row>
    <row r="275">
      <c r="A275" t="inlineStr">
        <is>
          <t>Skill + Buff Cast Rate</t>
        </is>
      </c>
      <c r="B275">
        <f>IF(AND(Inputs!$B$38&lt;&gt;"pvp",Inputs!$B$43&gt;0),SUMPRODUCT((Skills!E2:E26=TRUE)*(C245:C269=TRUE)*R245:R269*Skills!F2:F26)/Inputs!$B$43,SUMPRODUCT((Skills!E2:E26=TRUE)*(C245:C269=TRUE)*Q245:Q269*Skills!F2:F26))</f>
        <v/>
      </c>
    </row>
    <row r="276">
      <c r="A276" t="inlineStr">
        <is>
          <t>Raging Blow Casts Per Second</t>
        </is>
      </c>
      <c r="B276">
        <f>MAX(0,B274-B275)</f>
        <v/>
      </c>
    </row>
    <row r="277">
      <c r="A277" t="inlineStr">
        <is>
          <t>Global Critical Damage Bonus % (Enrage)</t>
        </is>
      </c>
      <c r="B277">
        <f>((C261=TRUE)*F261*IF(AND(Inputs!$B$38&lt;&gt;"pvp",Inputs!$B$43&gt;0),(((R261-1)*(Skills!T18*(1+Inputs!$B$34/100))+MIN((Skills!T18*(1+Inputs!$B$34/100)),MAX(0,Inputs!$B$43-((R261-1)*Skills!D18))))/Inputs!$B$43),IF(Inputs!$B$38="pvp",MIN((Skills!T18*(1+Inputs!$B$34/100)),15)/15,(Skills!T18*(1+Inputs!$B$34/100))/Skills!D18)))</f>
        <v/>
      </c>
    </row>
    <row r="278">
      <c r="A278" t="inlineStr">
        <is>
          <t>Global Final Damage Bonus % (Enrage + Combo Synergy)</t>
        </is>
      </c>
      <c r="B278">
        <f>((C260=TRUE)*F260*IF(AND(Inputs!$B$38&lt;&gt;"pvp",Inputs!$B$43&gt;0),(((R260-1)*(Skills!T17*(1+Inputs!$B$34/100))+MIN((Skills!T17*(1+Inputs!$B$34/100)),MAX(0,Inputs!$B$43-((R260-1)*Skills!D17))))/Inputs!$B$43),IF(Inputs!$B$38="pvp",MIN((Skills!T17*(1+Inputs!$B$34/100)),15)/15,(Skills!T17*(1+Inputs!$B$34/100))/Skills!D17)))+((C257=TRUE)*F257*IF(Inputs!$B$3&gt;=110,7,5))</f>
        <v/>
      </c>
    </row>
    <row r="279">
      <c r="A279" t="inlineStr">
        <is>
          <t>Buff-Casting Startup Delay (s, fixed-duration only)</t>
        </is>
      </c>
      <c r="B279">
        <f>IF(AND(Inputs!$B$38&lt;&gt;"pvp",Inputs!$B$43&gt;0),SUMPRODUCT((Skills!T2:T26&gt;0)*(Skills!E2:E26=TRUE)*(C245:C269=TRUE))/B274,0)</f>
        <v/>
      </c>
    </row>
    <row r="280">
      <c r="A280" t="inlineStr">
        <is>
          <t>Boss-Only Total DPS (this block's swept value)</t>
        </is>
      </c>
      <c r="B280">
        <f>SUM(T245:T269)</f>
        <v/>
      </c>
    </row>
    <row r="281">
      <c r="A281" t="inlineStr">
        <is>
          <t>Normal-Only Total DPS (this block's swept value)</t>
        </is>
      </c>
      <c r="B281">
        <f>SUM(V245:V269)</f>
        <v/>
      </c>
    </row>
    <row r="282">
      <c r="A282" s="5" t="inlineStr">
        <is>
          <t>TOTAL DPS</t>
        </is>
      </c>
      <c r="B282" s="5">
        <f>SUM(O245:O269)</f>
        <v/>
      </c>
    </row>
    <row r="285">
      <c r="A285" s="5" t="inlineStr">
        <is>
          <t>Stat: NORMAL_DAMAGE %</t>
        </is>
      </c>
    </row>
    <row r="286">
      <c r="A286" s="9" t="inlineStr">
        <is>
          <t>Key</t>
        </is>
      </c>
      <c r="B286" s="9" t="inlineStr">
        <is>
          <t>Name</t>
        </is>
      </c>
      <c r="C286" s="9" t="inlineStr">
        <is>
          <t>Unlocked</t>
        </is>
      </c>
      <c r="D286" s="9" t="inlineStr">
        <is>
          <t>InputLevel</t>
        </is>
      </c>
      <c r="E286" s="9" t="inlineStr">
        <is>
          <t>Factor</t>
        </is>
      </c>
      <c r="F286" s="9" t="inlineStr">
        <is>
          <t>CoefficientPercent</t>
        </is>
      </c>
      <c r="G286" s="9" t="inlineStr">
        <is>
          <t>EffectiveHits</t>
        </is>
      </c>
      <c r="H286" s="9" t="inlineStr">
        <is>
          <t>ProcProbability</t>
        </is>
      </c>
      <c r="I286" s="9" t="inlineStr">
        <is>
          <t>MapleHeroMultiplier</t>
        </is>
      </c>
      <c r="J286" s="9" t="inlineStr">
        <is>
          <t>BaseDamage</t>
        </is>
      </c>
      <c r="K286" s="9" t="inlineStr">
        <is>
          <t>BaseHitDamage</t>
        </is>
      </c>
      <c r="L286" s="9" t="inlineStr">
        <is>
          <t>NonCritAvg</t>
        </is>
      </c>
      <c r="M286" s="9" t="inlineStr">
        <is>
          <t>CritAvg</t>
        </is>
      </c>
      <c r="N286" s="9" t="inlineStr">
        <is>
          <t>ExpectedDamage(perHit)</t>
        </is>
      </c>
      <c r="O286" s="9" t="inlineStr">
        <is>
          <t>DPS</t>
        </is>
      </c>
      <c r="P286" s="9" t="inlineStr">
        <is>
          <t>% of Total</t>
        </is>
      </c>
      <c r="Q286" s="9" t="inlineStr">
        <is>
          <t>InvCooldown</t>
        </is>
      </c>
      <c r="R286" s="9" t="inlineStr">
        <is>
          <t>CastsInFight</t>
        </is>
      </c>
      <c r="S286" s="9" t="inlineStr">
        <is>
          <t>HitRate(perSec)</t>
        </is>
      </c>
      <c r="U286" t="inlineStr">
        <is>
          <t>helpers</t>
        </is>
      </c>
    </row>
    <row r="287">
      <c r="A287">
        <f>Skills!A2</f>
        <v/>
      </c>
      <c r="B287">
        <f>Skills!B2</f>
        <v/>
      </c>
      <c r="C287">
        <f>Inputs!$B$3&gt;=100</f>
        <v/>
      </c>
      <c r="D287" t="inlineStr"/>
      <c r="E287" t="inlineStr"/>
      <c r="F287">
        <f>U289+Skills!O2</f>
        <v/>
      </c>
      <c r="G287">
        <f>Skills!G2*IF(Skills!H2&gt;0,Skills!I2/Skills!H2,1)</f>
        <v/>
      </c>
      <c r="H287">
        <f>1-(1-Skills!J2/100)^Skills!K2</f>
        <v/>
      </c>
      <c r="I287" t="inlineStr">
        <is>
          <t>1</t>
        </is>
      </c>
      <c r="J287">
        <f>((Inputs!$B$6*(1+Inputs!$B$7/100))+(((Inputs!$B$12*(1+Inputs!$B$13/100))-(Inputs!$B$12*(1+Inputs!$B$13/100)))+0.25*(Inputs!$B$14-Inputs!$B$14))*(1+Inputs!$B$7/100))*(F287/100)</f>
        <v/>
      </c>
      <c r="K287">
        <f>J287*(1+((Inputs!$B$12*(1+Inputs!$B$13/100))*0.01+Inputs!$B$14*0.0025)/100)*(1+Inputs!$B$15/100)*(1+Inputs!$B$16/100)*(5000/(6000+Inputs!$B$42*(1-(Inputs!$B$19+0)/100)))*(1+(Inputs!$B$24+((C310=TRUE)*(F310-Calc!F25))+B320)/100)*(1+IF(Skills!A2="ENHANCED_RAGING_BLOW",IF(Inputs!$B$3&gt;=134,MAX(0,IF(Inputs!$B$3&gt;=110,7,5)-5)*50,0),0)/100)*(1+(IF(Skills!A2="RAGING_BLOW",Inputs!$B$17+((C306=TRUE)*(F306-Calc!F21)),Inputs!$B$18+((C308=TRUE)*(F308-Calc!F23))))/100)*((1+(((C298=TRUE)*F298*IF(Inputs!$B$3&gt;=110,7,5))+((C300=TRUE)*F300*IF(AND(Inputs!$B$38&lt;&gt;"pvp",Inputs!$B$43&gt;0),(((R300-1)*(Skills!T15*(1+Inputs!$B$34/100))+MIN((Skills!T15*(1+Inputs!$B$34/100)),MAX(0,Inputs!$B$43-((R300-1)*Skills!D15))))/Inputs!$B$43),IF(Inputs!$B$38="pvp",MIN((Skills!T15*(1+Inputs!$B$34/100)),15)/15,(Skills!T15*(1+Inputs!$B$34/100))/Skills!D15)))+0)/100)*I287)</f>
        <v/>
      </c>
      <c r="L287">
        <f>K287*(MIN(Inputs!$B$22+((C307=TRUE)*(F307-Calc!F22)),Inputs!$B$23+((C309=TRUE)*(F309-Calc!F24)))/100+(Inputs!$B$23+((C309=TRUE)*(F309-Calc!F24)))/100)/2</f>
        <v/>
      </c>
      <c r="M287">
        <f>L287*(1+(Inputs!$B$10+0+B319)/100)</f>
        <v/>
      </c>
      <c r="N287">
        <f>L287*(1-MIN((Inputs!$B$9+((C311=TRUE)*(F311-Calc!F26))+B314),100)/100)+M287*(MIN((Inputs!$B$9+((C311=TRUE)*(F311-Calc!F26))+B314),100)/100)</f>
        <v/>
      </c>
      <c r="O287">
        <f>(1-Summary!$B$55)*T287+Summary!$B$55*V287</f>
        <v/>
      </c>
      <c r="P287">
        <f>IF(B324=0,0,O287/B324)</f>
        <v/>
      </c>
      <c r="Q287" t="n">
        <v>0</v>
      </c>
      <c r="R287" t="n">
        <v>0</v>
      </c>
      <c r="S287">
        <f>IFERROR(O287/N287,0)</f>
        <v/>
      </c>
      <c r="T287">
        <f>IF(C287,(Skills!G2*N287*B318)*IF(Inputs!$B$38="pvp",1,1+(Inputs!$B$20+0+Skills!P2+Summary!$B$59)/100),0)</f>
        <v/>
      </c>
      <c r="U287">
        <f>MAX(0,(Inputs!$B$3-100)*3)+Inputs!$B$28+Inputs!$B$29</f>
        <v/>
      </c>
      <c r="V287">
        <f>IF(C287,(Skills!G2*N287*B318)*IF(Inputs!$B$38="pvp",1,(1+((Inputs!$B$21+1)+Skills!Q2+Summary!$B$59)/100)*(MIN((6+Inputs!$B$33),Inputs!$B$37))),0)</f>
        <v/>
      </c>
    </row>
    <row r="288">
      <c r="A288">
        <f>Skills!A3</f>
        <v/>
      </c>
      <c r="B288">
        <f>Skills!B3</f>
        <v/>
      </c>
      <c r="C288">
        <f>Inputs!$B$3&gt;=50</f>
        <v/>
      </c>
      <c r="D288">
        <f>IF(Skills!C3=1,60+Inputs!$B$25+Inputs!$B$29,IF(Skills!C3=2,90+Inputs!$B$26+Inputs!$B$29,IF(Skills!C3=3,120+Inputs!$B$27+Inputs!$B$29,MAX(0,(Inputs!$B$3-100)*3)+Inputs!$B$28+Inputs!$B$29)))</f>
        <v/>
      </c>
      <c r="E288">
        <f>INDEX(FactorTable!$B$2:$Y$301, MATCH(ROUND(MIN(300,MAX(1,D288)),0), FactorTable!$A$2:$A$301,0), Skills!M3+1)</f>
        <v/>
      </c>
      <c r="F288">
        <f>IF(Skills!N3=TRUE,(Skills!L3/10)*(E288/1000),Skills!L3/10)+Skills!O3</f>
        <v/>
      </c>
      <c r="G288" t="inlineStr"/>
      <c r="H288" t="inlineStr"/>
      <c r="I288" t="inlineStr">
        <is>
          <t>1</t>
        </is>
      </c>
      <c r="J288" t="inlineStr"/>
      <c r="K288" t="inlineStr"/>
      <c r="L288" t="inlineStr"/>
      <c r="M288" t="inlineStr"/>
      <c r="N288" t="inlineStr"/>
      <c r="O288" t="inlineStr"/>
      <c r="P288" t="inlineStr"/>
      <c r="Q288" t="inlineStr"/>
      <c r="R288" t="inlineStr"/>
      <c r="S288" t="inlineStr"/>
      <c r="U288">
        <f>INDEX(FactorTable!$B$2:$Y$301, MATCH(ROUND(MIN(300,MAX(1,U287)),0), FactorTable!$A$2:$A$301,0), 22)</f>
        <v/>
      </c>
    </row>
    <row r="289">
      <c r="A289">
        <f>Skills!A4</f>
        <v/>
      </c>
      <c r="B289">
        <f>Skills!B4</f>
        <v/>
      </c>
      <c r="C289">
        <f>Inputs!$B$3&gt;=105</f>
        <v/>
      </c>
      <c r="D289">
        <f>IF(Skills!C4=1,60+Inputs!$B$25+Inputs!$B$29,IF(Skills!C4=2,90+Inputs!$B$26+Inputs!$B$29,IF(Skills!C4=3,120+Inputs!$B$27+Inputs!$B$29,MAX(0,(Inputs!$B$3-100)*3)+Inputs!$B$28+Inputs!$B$29)))</f>
        <v/>
      </c>
      <c r="E289">
        <f>INDEX(FactorTable!$B$2:$Y$301, MATCH(ROUND(MIN(300,MAX(1,D289)),0), FactorTable!$A$2:$A$301,0), Skills!M4+1)</f>
        <v/>
      </c>
      <c r="F289">
        <f>IF(Skills!N4=TRUE,(Skills!L4/10)*(E289/1000),Skills!L4/10)+Skills!O4</f>
        <v/>
      </c>
      <c r="G289" t="inlineStr"/>
      <c r="H289" t="inlineStr"/>
      <c r="I289" t="inlineStr">
        <is>
          <t>1</t>
        </is>
      </c>
      <c r="J289" t="inlineStr"/>
      <c r="K289" t="inlineStr"/>
      <c r="L289" t="inlineStr"/>
      <c r="M289" t="inlineStr"/>
      <c r="N289" t="inlineStr"/>
      <c r="O289" t="inlineStr"/>
      <c r="P289" t="inlineStr"/>
      <c r="Q289" t="inlineStr"/>
      <c r="R289" t="inlineStr"/>
      <c r="S289" t="inlineStr"/>
      <c r="U289">
        <f>290*U288/1000</f>
        <v/>
      </c>
    </row>
    <row r="290">
      <c r="A290">
        <f>Skills!A5</f>
        <v/>
      </c>
      <c r="B290">
        <f>Skills!B5</f>
        <v/>
      </c>
      <c r="C290">
        <f>Inputs!$B$3&gt;=103</f>
        <v/>
      </c>
      <c r="D290">
        <f>IF(Skills!C5=1,60+Inputs!$B$25+Inputs!$B$29,IF(Skills!C5=2,90+Inputs!$B$26+Inputs!$B$29,IF(Skills!C5=3,120+Inputs!$B$27+Inputs!$B$29,MAX(0,(Inputs!$B$3-100)*3)+Inputs!$B$28+Inputs!$B$29)))</f>
        <v/>
      </c>
      <c r="E290">
        <f>INDEX(FactorTable!$B$2:$Y$301, MATCH(ROUND(MIN(300,MAX(1,D290)),0), FactorTable!$A$2:$A$301,0), Skills!M5+1)</f>
        <v/>
      </c>
      <c r="F290">
        <f>IF(Skills!N5=TRUE,(Skills!L5/10)*(E290/1000),Skills!L5/10)+Skills!O5</f>
        <v/>
      </c>
      <c r="G290">
        <f>Skills!G5*IF(Skills!H5&gt;0,Skills!I5/Skills!H5,1)</f>
        <v/>
      </c>
      <c r="H290">
        <f>1-(1-Skills!J5/100)^Skills!K5</f>
        <v/>
      </c>
      <c r="I290" t="inlineStr">
        <is>
          <t>1</t>
        </is>
      </c>
      <c r="J290">
        <f>((Inputs!$B$6*(1+Inputs!$B$7/100))+(((Inputs!$B$12*(1+Inputs!$B$13/100))-(Inputs!$B$12*(1+Inputs!$B$13/100)))+0.25*(Inputs!$B$14-Inputs!$B$14))*(1+Inputs!$B$7/100))*(F290/100)</f>
        <v/>
      </c>
      <c r="K290">
        <f>J290*(1+((Inputs!$B$12*(1+Inputs!$B$13/100))*0.01+Inputs!$B$14*0.0025)/100)*(1+Inputs!$B$15/100)*(1+Inputs!$B$16/100)*(5000/(6000+Inputs!$B$42*(1-(Inputs!$B$19+0)/100)))*(1+(Inputs!$B$24+((C310=TRUE)*(F310-Calc!F25))+B320)/100)*(1+IF(Skills!A5="ENHANCED_RAGING_BLOW",IF(Inputs!$B$3&gt;=134,MAX(0,IF(Inputs!$B$3&gt;=110,7,5)-5)*50,0),0)/100)*(1+(IF(Skills!A5="RAGING_BLOW",Inputs!$B$17+((C306=TRUE)*(F306-Calc!F21)),Inputs!$B$18+((C308=TRUE)*(F308-Calc!F23))))/100)*((1+(((C298=TRUE)*F298*IF(Inputs!$B$3&gt;=110,7,5))+((C300=TRUE)*F300*IF(AND(Inputs!$B$38&lt;&gt;"pvp",Inputs!$B$43&gt;0),(((R300-1)*(Skills!T15*(1+Inputs!$B$34/100))+MIN((Skills!T15*(1+Inputs!$B$34/100)),MAX(0,Inputs!$B$43-((R300-1)*Skills!D15))))/Inputs!$B$43),IF(Inputs!$B$38="pvp",MIN((Skills!T15*(1+Inputs!$B$34/100)),15)/15,(Skills!T15*(1+Inputs!$B$34/100))/Skills!D15)))+0)/100)*I290)</f>
        <v/>
      </c>
      <c r="L290">
        <f>K290*(MIN(Inputs!$B$22+((C307=TRUE)*(F307-Calc!F22)),Inputs!$B$23+((C309=TRUE)*(F309-Calc!F24)))/100+(Inputs!$B$23+((C309=TRUE)*(F309-Calc!F24)))/100)/2</f>
        <v/>
      </c>
      <c r="M290">
        <f>L290*(1+(Inputs!$B$10+0+B319)/100)</f>
        <v/>
      </c>
      <c r="N290">
        <f>L290*(1-MIN((Inputs!$B$9+((C311=TRUE)*(F311-Calc!F26))+B314),100)/100)+M290*(MIN((Inputs!$B$9+((C311=TRUE)*(F311-Calc!F26))+B314),100)/100)</f>
        <v/>
      </c>
      <c r="O290">
        <f>(1-Summary!$B$55)*T290+Summary!$B$55*V290</f>
        <v/>
      </c>
      <c r="P290">
        <f>IF(B324=0,0,O290/B324)</f>
        <v/>
      </c>
      <c r="Q290">
        <f>IFERROR(1/IF(Inputs!$B$38="pvp",15,MAX(0.1,Skills!D5-IF(Skills!E5=TRUE,Inputs!$B$32,0))),0)</f>
        <v/>
      </c>
      <c r="R290">
        <f>IF(AND(Inputs!$B$38&lt;&gt;"pvp",Inputs!$B$43&gt;0),IF(MAX(0,Inputs!$B$43-B321)&lt;=0,0,(INT(MAX(0,Inputs!$B$43-B321)/IF(Inputs!$B$38="pvp",15,MAX(0.1,Skills!D5-IF(Skills!E5=TRUE,Inputs!$B$32,0))))+1)),0)</f>
        <v/>
      </c>
      <c r="S290">
        <f>IFERROR(O290/N290,0)</f>
        <v/>
      </c>
      <c r="T290">
        <f>IF(C290,(H290*N290*IF(AND(Inputs!$B$38&lt;&gt;"pvp",Inputs!$B$43&gt;0),((Skills!G5*((R290-1)*IF(Skills!H5&gt;0,Skills!I5/Skills!H5,1)+IF(Skills!H5&gt;0,MIN(Skills!I5,MAX(0,MAX(0,Inputs!$B$43-B321)-((R290-1)*IF(Inputs!$B$38="pvp",15,MAX(0.1,Skills!D5-IF(Skills!E5=TRUE,Inputs!$B$32,0))))))/Skills!H5,1)))/Inputs!$B$43),G290*Q290))*IF(Inputs!$B$38="pvp",1,1+(Inputs!$B$20+0+Skills!P5+Summary!$B$59)/100),0)</f>
        <v/>
      </c>
      <c r="V290">
        <f>IF(C290,(H290*N290*IF(AND(Inputs!$B$38&lt;&gt;"pvp",Inputs!$B$43&gt;0),((Skills!G5*((R290-1)*IF(Skills!H5&gt;0,Skills!I5/Skills!H5,1)+IF(Skills!H5&gt;0,MIN(Skills!I5,MAX(0,MAX(0,Inputs!$B$43-B321)-((R290-1)*IF(Inputs!$B$38="pvp",15,MAX(0.1,Skills!D5-IF(Skills!E5=TRUE,Inputs!$B$32,0))))))/Skills!H5,1)))/Inputs!$B$43),G290*Q290))*IF(Inputs!$B$38="pvp",1,(1+((Inputs!$B$21+1)+Skills!Q5+Summary!$B$59)/100)*(MIN(Skills!R5,Inputs!$B$37))),0)</f>
        <v/>
      </c>
    </row>
    <row r="291">
      <c r="A291">
        <f>Skills!A6</f>
        <v/>
      </c>
      <c r="B291">
        <f>Skills!B6</f>
        <v/>
      </c>
      <c r="C291">
        <f>Inputs!$B$3&gt;=103</f>
        <v/>
      </c>
      <c r="D291">
        <f>IF(Skills!C6=1,60+Inputs!$B$25+Inputs!$B$29,IF(Skills!C6=2,90+Inputs!$B$26+Inputs!$B$29,IF(Skills!C6=3,120+Inputs!$B$27+Inputs!$B$29,MAX(0,(Inputs!$B$3-100)*3)+Inputs!$B$28+Inputs!$B$29)))</f>
        <v/>
      </c>
      <c r="E291">
        <f>INDEX(FactorTable!$B$2:$Y$301, MATCH(ROUND(MIN(300,MAX(1,D291)),0), FactorTable!$A$2:$A$301,0), Skills!M6+1)</f>
        <v/>
      </c>
      <c r="F291">
        <f>IF(Skills!N6=TRUE,(Skills!L6/10)*(E291/1000),Skills!L6/10)+Skills!O6</f>
        <v/>
      </c>
      <c r="G291">
        <f>Skills!G6*IF(Skills!H6&gt;0,Skills!I6/Skills!H6,1)</f>
        <v/>
      </c>
      <c r="H291">
        <f>1-(1-Skills!J6/100)^Skills!K6</f>
        <v/>
      </c>
      <c r="I291" t="inlineStr">
        <is>
          <t>1</t>
        </is>
      </c>
      <c r="J291">
        <f>((Inputs!$B$6*(1+Inputs!$B$7/100))+(((Inputs!$B$12*(1+Inputs!$B$13/100))-(Inputs!$B$12*(1+Inputs!$B$13/100)))+0.25*(Inputs!$B$14-Inputs!$B$14))*(1+Inputs!$B$7/100))*(F291/100)</f>
        <v/>
      </c>
      <c r="K291">
        <f>J291*(1+((Inputs!$B$12*(1+Inputs!$B$13/100))*0.01+Inputs!$B$14*0.0025)/100)*(1+Inputs!$B$15/100)*(1+Inputs!$B$16/100)*(5000/(6000+Inputs!$B$42*(1-(Inputs!$B$19+0)/100)))*(1+(Inputs!$B$24+((C310=TRUE)*(F310-Calc!F25))+B320)/100)*(1+IF(Skills!A6="ENHANCED_RAGING_BLOW",IF(Inputs!$B$3&gt;=134,MAX(0,IF(Inputs!$B$3&gt;=110,7,5)-5)*50,0),0)/100)*(1+(IF(Skills!A6="RAGING_BLOW",Inputs!$B$17+((C306=TRUE)*(F306-Calc!F21)),Inputs!$B$18+((C308=TRUE)*(F308-Calc!F23))))/100)*((1+(((C298=TRUE)*F298*IF(Inputs!$B$3&gt;=110,7,5))+((C300=TRUE)*F300*IF(AND(Inputs!$B$38&lt;&gt;"pvp",Inputs!$B$43&gt;0),(((R300-1)*(Skills!T15*(1+Inputs!$B$34/100))+MIN((Skills!T15*(1+Inputs!$B$34/100)),MAX(0,Inputs!$B$43-((R300-1)*Skills!D15))))/Inputs!$B$43),IF(Inputs!$B$38="pvp",MIN((Skills!T15*(1+Inputs!$B$34/100)),15)/15,(Skills!T15*(1+Inputs!$B$34/100))/Skills!D15)))+0)/100)*I291)</f>
        <v/>
      </c>
      <c r="L291">
        <f>K291*(MIN(Inputs!$B$22+((C307=TRUE)*(F307-Calc!F22)),Inputs!$B$23+((C309=TRUE)*(F309-Calc!F24)))/100+(Inputs!$B$23+((C309=TRUE)*(F309-Calc!F24)))/100)/2</f>
        <v/>
      </c>
      <c r="M291">
        <f>L291*(1+(Inputs!$B$10+0+B319)/100)</f>
        <v/>
      </c>
      <c r="N291">
        <f>L291*(1-MIN((Inputs!$B$9+((C311=TRUE)*(F311-Calc!F26))+B314),100)/100)+M291*(MIN((Inputs!$B$9+((C311=TRUE)*(F311-Calc!F26))+B314),100)/100)</f>
        <v/>
      </c>
      <c r="O291">
        <f>(1-Summary!$B$55)*T291+Summary!$B$55*V291</f>
        <v/>
      </c>
      <c r="P291">
        <f>IF(B324=0,0,O291/B324)</f>
        <v/>
      </c>
      <c r="Q291">
        <f>IFERROR(1/IF(Inputs!$B$38="pvp",15,MAX(0.1,Skills!D6-IF(Skills!E6=TRUE,Inputs!$B$32,0))),0)</f>
        <v/>
      </c>
      <c r="R291">
        <f>IF(AND(Inputs!$B$38&lt;&gt;"pvp",Inputs!$B$43&gt;0),IF(MAX(0,Inputs!$B$43-B321)&lt;=0,0,(INT(MAX(0,Inputs!$B$43-B321)/IF(Inputs!$B$38="pvp",15,MAX(0.1,Skills!D6-IF(Skills!E6=TRUE,Inputs!$B$32,0))))+1)),0)</f>
        <v/>
      </c>
      <c r="S291">
        <f>IFERROR(O291/N291,0)</f>
        <v/>
      </c>
      <c r="T291">
        <f>IF(C291,(H291*N291*IF(AND(Inputs!$B$38&lt;&gt;"pvp",Inputs!$B$43&gt;0),((Skills!G6*((R291-1)*IF(Skills!H6&gt;0,Skills!I6/Skills!H6,1)+IF(Skills!H6&gt;0,MIN(Skills!I6,MAX(0,MAX(0,Inputs!$B$43-B321)-((R291-1)*IF(Inputs!$B$38="pvp",15,MAX(0.1,Skills!D6-IF(Skills!E6=TRUE,Inputs!$B$32,0))))))/Skills!H6,1)))/Inputs!$B$43),G291*Q291))*IF(Inputs!$B$38="pvp",1,1+(Inputs!$B$20+0+Skills!P6+Summary!$B$59)/100),0)</f>
        <v/>
      </c>
      <c r="V291">
        <f>IF(C291,(H291*N291*IF(AND(Inputs!$B$38&lt;&gt;"pvp",Inputs!$B$43&gt;0),((Skills!G6*((R291-1)*IF(Skills!H6&gt;0,Skills!I6/Skills!H6,1)+IF(Skills!H6&gt;0,MIN(Skills!I6,MAX(0,MAX(0,Inputs!$B$43-B321)-((R291-1)*IF(Inputs!$B$38="pvp",15,MAX(0.1,Skills!D6-IF(Skills!E6=TRUE,Inputs!$B$32,0))))))/Skills!H6,1)))/Inputs!$B$43),G291*Q291))*IF(Inputs!$B$38="pvp",1,(1+((Inputs!$B$21+1)+Skills!Q6+Summary!$B$59)/100)*(MIN(Skills!R6,Inputs!$B$37))),0)</f>
        <v/>
      </c>
    </row>
    <row r="292">
      <c r="A292">
        <f>Skills!A7</f>
        <v/>
      </c>
      <c r="B292">
        <f>Skills!B7</f>
        <v/>
      </c>
      <c r="C292">
        <f>Inputs!$B$3&gt;=107</f>
        <v/>
      </c>
      <c r="D292">
        <f>IF(Skills!C7=1,60+Inputs!$B$25+Inputs!$B$29,IF(Skills!C7=2,90+Inputs!$B$26+Inputs!$B$29,IF(Skills!C7=3,120+Inputs!$B$27+Inputs!$B$29,MAX(0,(Inputs!$B$3-100)*3)+Inputs!$B$28+Inputs!$B$29)))</f>
        <v/>
      </c>
      <c r="E292">
        <f>INDEX(FactorTable!$B$2:$Y$301, MATCH(ROUND(MIN(300,MAX(1,D292)),0), FactorTable!$A$2:$A$301,0), Skills!M7+1)</f>
        <v/>
      </c>
      <c r="F292">
        <f>IF(Skills!N7=TRUE,(Skills!L7/10)*(E292/1000),Skills!L7/10)+Skills!O7</f>
        <v/>
      </c>
      <c r="G292">
        <f>Skills!G7*IF(Skills!H7&gt;0,Skills!I7/Skills!H7,1)</f>
        <v/>
      </c>
      <c r="H292">
        <f>1-(1-Skills!J7/100)^Skills!K7</f>
        <v/>
      </c>
      <c r="I292" t="inlineStr">
        <is>
          <t>1</t>
        </is>
      </c>
      <c r="J292">
        <f>((Inputs!$B$6*(1+Inputs!$B$7/100))+(((Inputs!$B$12*(1+Inputs!$B$13/100))-(Inputs!$B$12*(1+Inputs!$B$13/100)))+0.25*(Inputs!$B$14-Inputs!$B$14))*(1+Inputs!$B$7/100))*(F292/100)</f>
        <v/>
      </c>
      <c r="K292">
        <f>J292*(1+((Inputs!$B$12*(1+Inputs!$B$13/100))*0.01+Inputs!$B$14*0.0025)/100)*(1+Inputs!$B$15/100)*(1+Inputs!$B$16/100)*(5000/(6000+Inputs!$B$42*(1-(Inputs!$B$19+0)/100)))*(1+(Inputs!$B$24+((C310=TRUE)*(F310-Calc!F25))+B320)/100)*(1+IF(Skills!A7="ENHANCED_RAGING_BLOW",IF(Inputs!$B$3&gt;=134,MAX(0,IF(Inputs!$B$3&gt;=110,7,5)-5)*50,0),0)/100)*(1+(IF(Skills!A7="RAGING_BLOW",Inputs!$B$17+((C306=TRUE)*(F306-Calc!F21)),Inputs!$B$18+((C308=TRUE)*(F308-Calc!F23))))/100)*((1+(((C298=TRUE)*F298*IF(Inputs!$B$3&gt;=110,7,5))+((C300=TRUE)*F300*IF(AND(Inputs!$B$38&lt;&gt;"pvp",Inputs!$B$43&gt;0),(((R300-1)*(Skills!T15*(1+Inputs!$B$34/100))+MIN((Skills!T15*(1+Inputs!$B$34/100)),MAX(0,Inputs!$B$43-((R300-1)*Skills!D15))))/Inputs!$B$43),IF(Inputs!$B$38="pvp",MIN((Skills!T15*(1+Inputs!$B$34/100)),15)/15,(Skills!T15*(1+Inputs!$B$34/100))/Skills!D15)))+0)/100)*I292)</f>
        <v/>
      </c>
      <c r="L292">
        <f>K292*(MIN(Inputs!$B$22+((C307=TRUE)*(F307-Calc!F22)),Inputs!$B$23+((C309=TRUE)*(F309-Calc!F24)))/100+(Inputs!$B$23+((C309=TRUE)*(F309-Calc!F24)))/100)/2</f>
        <v/>
      </c>
      <c r="M292">
        <f>L292*(1+(Inputs!$B$10+0+B319)/100)</f>
        <v/>
      </c>
      <c r="N292">
        <f>L292*(1-MIN((Inputs!$B$9+((C311=TRUE)*(F311-Calc!F26))+B314),100)/100)+M292*(MIN((Inputs!$B$9+((C311=TRUE)*(F311-Calc!F26))+B314),100)/100)</f>
        <v/>
      </c>
      <c r="O292">
        <f>(1-Summary!$B$55)*T292+Summary!$B$55*V292</f>
        <v/>
      </c>
      <c r="P292">
        <f>IF(B324=0,0,O292/B324)</f>
        <v/>
      </c>
      <c r="Q292">
        <f>IFERROR(1/IF(Inputs!$B$38="pvp",15,MAX(0.1,Skills!D7-IF(Skills!E7=TRUE,Inputs!$B$32,0))),0)</f>
        <v/>
      </c>
      <c r="R292">
        <f>IF(AND(Inputs!$B$38&lt;&gt;"pvp",Inputs!$B$43&gt;0),IF(MAX(0,Inputs!$B$43-B321)&lt;=0,0,(INT(MAX(0,Inputs!$B$43-B321)/IF(Inputs!$B$38="pvp",15,MAX(0.1,Skills!D7-IF(Skills!E7=TRUE,Inputs!$B$32,0))))+1)),0)</f>
        <v/>
      </c>
      <c r="S292">
        <f>IFERROR(O292/N292,0)</f>
        <v/>
      </c>
      <c r="T292">
        <f>IF(C292,(H292*N292*IF(AND(Inputs!$B$38&lt;&gt;"pvp",Inputs!$B$43&gt;0),((Skills!G7*((R292-1)*IF(Skills!H7&gt;0,Skills!I7/Skills!H7,1)+IF(Skills!H7&gt;0,MIN(Skills!I7,MAX(0,MAX(0,Inputs!$B$43-B321)-((R292-1)*IF(Inputs!$B$38="pvp",15,MAX(0.1,Skills!D7-IF(Skills!E7=TRUE,Inputs!$B$32,0))))))/Skills!H7,1)))/Inputs!$B$43),G292*Q292))*IF(Inputs!$B$38="pvp",1,1+(Inputs!$B$20+0+Skills!P7+Summary!$B$59)/100),0)</f>
        <v/>
      </c>
      <c r="V292">
        <f>IF(C292,(H292*N292*IF(AND(Inputs!$B$38&lt;&gt;"pvp",Inputs!$B$43&gt;0),((Skills!G7*((R292-1)*IF(Skills!H7&gt;0,Skills!I7/Skills!H7,1)+IF(Skills!H7&gt;0,MIN(Skills!I7,MAX(0,MAX(0,Inputs!$B$43-B321)-((R292-1)*IF(Inputs!$B$38="pvp",15,MAX(0.1,Skills!D7-IF(Skills!E7=TRUE,Inputs!$B$32,0))))))/Skills!H7,1)))/Inputs!$B$43),G292*Q292))*IF(Inputs!$B$38="pvp",1,(1+((Inputs!$B$21+1)+Skills!Q7+Summary!$B$59)/100)*(MIN(Skills!R7,Inputs!$B$37))),0)</f>
        <v/>
      </c>
    </row>
    <row r="293">
      <c r="A293">
        <f>Skills!A8</f>
        <v/>
      </c>
      <c r="B293">
        <f>Skills!B8</f>
        <v/>
      </c>
      <c r="C293">
        <f>Inputs!$B$3&gt;=117</f>
        <v/>
      </c>
      <c r="D293">
        <f>IF(Skills!C8=1,60+Inputs!$B$25+Inputs!$B$29,IF(Skills!C8=2,90+Inputs!$B$26+Inputs!$B$29,IF(Skills!C8=3,120+Inputs!$B$27+Inputs!$B$29,MAX(0,(Inputs!$B$3-100)*3)+Inputs!$B$28+Inputs!$B$29)))</f>
        <v/>
      </c>
      <c r="E293">
        <f>INDEX(FactorTable!$B$2:$Y$301, MATCH(ROUND(MIN(300,MAX(1,D293)),0), FactorTable!$A$2:$A$301,0), Skills!M8+1)</f>
        <v/>
      </c>
      <c r="F293">
        <f>IF(Skills!N8=TRUE,(Skills!L8/10)*(E293/1000),Skills!L8/10)+Skills!O8</f>
        <v/>
      </c>
      <c r="G293">
        <f>Skills!G8*IF(Skills!H8&gt;0,Skills!I8/Skills!H8,1)</f>
        <v/>
      </c>
      <c r="H293">
        <f>1-(1-Skills!J8/100)^Skills!K8</f>
        <v/>
      </c>
      <c r="I293" t="inlineStr">
        <is>
          <t>1</t>
        </is>
      </c>
      <c r="J293">
        <f>((Inputs!$B$6*(1+Inputs!$B$7/100))+(((Inputs!$B$12*(1+Inputs!$B$13/100))-(Inputs!$B$12*(1+Inputs!$B$13/100)))+0.25*(Inputs!$B$14-Inputs!$B$14))*(1+Inputs!$B$7/100))*(F293/100)</f>
        <v/>
      </c>
      <c r="K293">
        <f>J293*(1+((Inputs!$B$12*(1+Inputs!$B$13/100))*0.01+Inputs!$B$14*0.0025)/100)*(1+Inputs!$B$15/100)*(1+Inputs!$B$16/100)*(5000/(6000+Inputs!$B$42*(1-(Inputs!$B$19+0)/100)))*(1+(Inputs!$B$24+((C310=TRUE)*(F310-Calc!F25))+B320)/100)*(1+IF(Skills!A8="ENHANCED_RAGING_BLOW",IF(Inputs!$B$3&gt;=134,MAX(0,IF(Inputs!$B$3&gt;=110,7,5)-5)*50,0),0)/100)*(1+(IF(Skills!A8="RAGING_BLOW",Inputs!$B$17+((C306=TRUE)*(F306-Calc!F21)),Inputs!$B$18+((C308=TRUE)*(F308-Calc!F23))))/100)*((1+(((C298=TRUE)*F298*IF(Inputs!$B$3&gt;=110,7,5))+((C300=TRUE)*F300*IF(AND(Inputs!$B$38&lt;&gt;"pvp",Inputs!$B$43&gt;0),(((R300-1)*(Skills!T15*(1+Inputs!$B$34/100))+MIN((Skills!T15*(1+Inputs!$B$34/100)),MAX(0,Inputs!$B$43-((R300-1)*Skills!D15))))/Inputs!$B$43),IF(Inputs!$B$38="pvp",MIN((Skills!T15*(1+Inputs!$B$34/100)),15)/15,(Skills!T15*(1+Inputs!$B$34/100))/Skills!D15)))+0)/100)*I293)</f>
        <v/>
      </c>
      <c r="L293">
        <f>K293*(MIN(Inputs!$B$22+((C307=TRUE)*(F307-Calc!F22)),Inputs!$B$23+((C309=TRUE)*(F309-Calc!F24)))/100+(Inputs!$B$23+((C309=TRUE)*(F309-Calc!F24)))/100)/2</f>
        <v/>
      </c>
      <c r="M293">
        <f>L293*(1+(Inputs!$B$10+0+B319)/100)</f>
        <v/>
      </c>
      <c r="N293">
        <f>L293*(1-MIN((Inputs!$B$9+((C311=TRUE)*(F311-Calc!F26))+B314),100)/100)+M293*(MIN((Inputs!$B$9+((C311=TRUE)*(F311-Calc!F26))+B314),100)/100)</f>
        <v/>
      </c>
      <c r="O293">
        <f>(1-Summary!$B$55)*T293+Summary!$B$55*V293</f>
        <v/>
      </c>
      <c r="P293">
        <f>IF(B324=0,0,O293/B324)</f>
        <v/>
      </c>
      <c r="Q293">
        <f>IFERROR(1/IF(Inputs!$B$38="pvp",15,MAX(0.1,Skills!D8-IF(Skills!E8=TRUE,Inputs!$B$32,0))),0)</f>
        <v/>
      </c>
      <c r="R293">
        <f>IF(AND(Inputs!$B$38&lt;&gt;"pvp",Inputs!$B$43&gt;0),IF(MAX(0,Inputs!$B$43-B321)&lt;=0,0,(INT(MAX(0,Inputs!$B$43-B321)/IF(Inputs!$B$38="pvp",15,MAX(0.1,Skills!D8-IF(Skills!E8=TRUE,Inputs!$B$32,0))))+1)),0)</f>
        <v/>
      </c>
      <c r="S293">
        <f>IFERROR(O293/N293,0)</f>
        <v/>
      </c>
      <c r="T293">
        <f>IF(C293,(H293*N293*IF(AND(Inputs!$B$38&lt;&gt;"pvp",Inputs!$B$43&gt;0),((Skills!G8*((R293-1)*IF(Skills!H8&gt;0,Skills!I8/Skills!H8,1)+IF(Skills!H8&gt;0,MIN(Skills!I8,MAX(0,MAX(0,Inputs!$B$43-B321)-((R293-1)*IF(Inputs!$B$38="pvp",15,MAX(0.1,Skills!D8-IF(Skills!E8=TRUE,Inputs!$B$32,0))))))/Skills!H8,1)))/Inputs!$B$43),G293*Q293))*IF(Inputs!$B$38="pvp",1,1+(Inputs!$B$20+0+Skills!P8+Summary!$B$59)/100),0)</f>
        <v/>
      </c>
      <c r="V293">
        <f>IF(C293,(H293*N293*IF(AND(Inputs!$B$38&lt;&gt;"pvp",Inputs!$B$43&gt;0),((Skills!G8*((R293-1)*IF(Skills!H8&gt;0,Skills!I8/Skills!H8,1)+IF(Skills!H8&gt;0,MIN(Skills!I8,MAX(0,MAX(0,Inputs!$B$43-B321)-((R293-1)*IF(Inputs!$B$38="pvp",15,MAX(0.1,Skills!D8-IF(Skills!E8=TRUE,Inputs!$B$32,0))))))/Skills!H8,1)))/Inputs!$B$43),G293*Q293))*IF(Inputs!$B$38="pvp",1,(1+((Inputs!$B$21+1)+Skills!Q8+Summary!$B$59)/100)*(MIN(Skills!R8,Inputs!$B$37))),0)</f>
        <v/>
      </c>
    </row>
    <row r="294">
      <c r="A294">
        <f>Skills!A9</f>
        <v/>
      </c>
      <c r="B294">
        <f>Skills!B9</f>
        <v/>
      </c>
      <c r="C294">
        <f>Inputs!$B$3&gt;=69</f>
        <v/>
      </c>
      <c r="D294">
        <f>IF(Skills!C9=1,60+Inputs!$B$25+Inputs!$B$29,IF(Skills!C9=2,90+Inputs!$B$26+Inputs!$B$29,IF(Skills!C9=3,120+Inputs!$B$27+Inputs!$B$29,MAX(0,(Inputs!$B$3-100)*3)+Inputs!$B$28+Inputs!$B$29)))</f>
        <v/>
      </c>
      <c r="E294">
        <f>INDEX(FactorTable!$B$2:$Y$301, MATCH(ROUND(MIN(300,MAX(1,D294)),0), FactorTable!$A$2:$A$301,0), Skills!M9+1)</f>
        <v/>
      </c>
      <c r="F294">
        <f>IF(Skills!N9=TRUE,(Skills!L9/10)*(E294/1000),Skills!L9/10)+Skills!O9</f>
        <v/>
      </c>
      <c r="G294">
        <f>Skills!G9*IF(Skills!H9&gt;0,Skills!I9/Skills!H9,1)</f>
        <v/>
      </c>
      <c r="H294">
        <f>1-(1-Skills!J9/100)^Skills!K9</f>
        <v/>
      </c>
      <c r="I294" t="inlineStr">
        <is>
          <t>1</t>
        </is>
      </c>
      <c r="J294">
        <f>((Inputs!$B$6*(1+Inputs!$B$7/100))+(((Inputs!$B$12*(1+Inputs!$B$13/100))-(Inputs!$B$12*(1+Inputs!$B$13/100)))+0.25*(Inputs!$B$14-Inputs!$B$14))*(1+Inputs!$B$7/100))*(F294/100)</f>
        <v/>
      </c>
      <c r="K294">
        <f>J294*(1+((Inputs!$B$12*(1+Inputs!$B$13/100))*0.01+Inputs!$B$14*0.0025)/100)*(1+Inputs!$B$15/100)*(1+Inputs!$B$16/100)*(5000/(6000+Inputs!$B$42*(1-(Inputs!$B$19+0)/100)))*(1+(Inputs!$B$24+((C310=TRUE)*(F310-Calc!F25))+B320)/100)*(1+1.0*IF(C297=TRUE,F297,0)/100)*(1+IF(Skills!A9="ENHANCED_RAGING_BLOW",IF(Inputs!$B$3&gt;=134,MAX(0,IF(Inputs!$B$3&gt;=110,7,5)-5)*50,0),0)/100)*(1+(IF(Skills!A9="RAGING_BLOW",Inputs!$B$17+((C306=TRUE)*(F306-Calc!F21)),Inputs!$B$18+((C308=TRUE)*(F308-Calc!F23))))/100)*((1+(((C298=TRUE)*F298*IF(Inputs!$B$3&gt;=110,7,5))+((C300=TRUE)*F300*IF(AND(Inputs!$B$38&lt;&gt;"pvp",Inputs!$B$43&gt;0),(((R300-1)*(Skills!T15*(1+Inputs!$B$34/100))+MIN((Skills!T15*(1+Inputs!$B$34/100)),MAX(0,Inputs!$B$43-((R300-1)*Skills!D15))))/Inputs!$B$43),IF(Inputs!$B$38="pvp",MIN((Skills!T15*(1+Inputs!$B$34/100)),15)/15,(Skills!T15*(1+Inputs!$B$34/100))/Skills!D15)))+0)/100)*I294)</f>
        <v/>
      </c>
      <c r="L294">
        <f>K294*(MIN(Inputs!$B$22+((C307=TRUE)*(F307-Calc!F22)),Inputs!$B$23+((C309=TRUE)*(F309-Calc!F24)))/100+(Inputs!$B$23+((C309=TRUE)*(F309-Calc!F24)))/100)/2</f>
        <v/>
      </c>
      <c r="M294">
        <f>L294*(1+(Inputs!$B$10+0+B319)/100)</f>
        <v/>
      </c>
      <c r="N294">
        <f>L294*(1-MIN((Inputs!$B$9+((C311=TRUE)*(F311-Calc!F26))+B314),100)/100)+M294*(MIN((Inputs!$B$9+((C311=TRUE)*(F311-Calc!F26))+B314),100)/100)</f>
        <v/>
      </c>
      <c r="O294">
        <f>(1-Summary!$B$55)*T294+Summary!$B$55*V294</f>
        <v/>
      </c>
      <c r="P294">
        <f>IF(B324=0,0,O294/B324)</f>
        <v/>
      </c>
      <c r="Q294">
        <f>IFERROR(1/IF(Inputs!$B$38="pvp",15,MAX(0.1,Skills!D9-IF(Skills!E9=TRUE,Inputs!$B$32,0))),0)</f>
        <v/>
      </c>
      <c r="R294">
        <f>IF(AND(Inputs!$B$38&lt;&gt;"pvp",Inputs!$B$43&gt;0),IF(MAX(0,Inputs!$B$43-B321)&lt;=0,0,(INT(MAX(0,Inputs!$B$43-B321)/IF(Inputs!$B$38="pvp",15,MAX(0.1,Skills!D9-IF(Skills!E9=TRUE,Inputs!$B$32,0))))+1)),0)</f>
        <v/>
      </c>
      <c r="S294">
        <f>IFERROR(O294/N294,0)</f>
        <v/>
      </c>
      <c r="T294">
        <f>IF(C294,(H294*N294*IF(AND(Inputs!$B$38&lt;&gt;"pvp",Inputs!$B$43&gt;0),((Skills!G9*((R294-1)*IF(Skills!H9&gt;0,Skills!I9/Skills!H9,1)+IF(Skills!H9&gt;0,MIN(Skills!I9,MAX(0,MAX(0,Inputs!$B$43-B321)-((R294-1)*IF(Inputs!$B$38="pvp",15,MAX(0.1,Skills!D9-IF(Skills!E9=TRUE,Inputs!$B$32,0))))))/Skills!H9,1)))/Inputs!$B$43),G294*Q294))*IF(Inputs!$B$38="pvp",1,1+(Inputs!$B$20+0+Skills!P9+Summary!$B$59)/100),0)</f>
        <v/>
      </c>
      <c r="V294">
        <f>IF(C294,(H294*N294*IF(AND(Inputs!$B$38&lt;&gt;"pvp",Inputs!$B$43&gt;0),((Skills!G9*((R294-1)*IF(Skills!H9&gt;0,Skills!I9/Skills!H9,1)+IF(Skills!H9&gt;0,MIN(Skills!I9,MAX(0,MAX(0,Inputs!$B$43-B321)-((R294-1)*IF(Inputs!$B$38="pvp",15,MAX(0.1,Skills!D9-IF(Skills!E9=TRUE,Inputs!$B$32,0))))))/Skills!H9,1)))/Inputs!$B$43),G294*Q294))*IF(Inputs!$B$38="pvp",1,(1+((Inputs!$B$21+1)+Skills!Q9+Summary!$B$59)/100)*(MIN(Skills!R9,Inputs!$B$37))),0)</f>
        <v/>
      </c>
    </row>
    <row r="295">
      <c r="A295">
        <f>Skills!A10</f>
        <v/>
      </c>
      <c r="B295">
        <f>Skills!B10</f>
        <v/>
      </c>
      <c r="C295">
        <f>Inputs!$B$3&gt;=63</f>
        <v/>
      </c>
      <c r="D295">
        <f>IF(Skills!C10=1,60+Inputs!$B$25+Inputs!$B$29,IF(Skills!C10=2,90+Inputs!$B$26+Inputs!$B$29,IF(Skills!C10=3,120+Inputs!$B$27+Inputs!$B$29,MAX(0,(Inputs!$B$3-100)*3)+Inputs!$B$28+Inputs!$B$29)))</f>
        <v/>
      </c>
      <c r="E295">
        <f>INDEX(FactorTable!$B$2:$Y$301, MATCH(ROUND(MIN(300,MAX(1,D295)),0), FactorTable!$A$2:$A$301,0), Skills!M10+1)</f>
        <v/>
      </c>
      <c r="F295">
        <f>IF(Skills!N10=TRUE,(Skills!L10/10)*(E295/1000),Skills!L10/10)+Skills!O10</f>
        <v/>
      </c>
      <c r="G295">
        <f>Skills!G10*IF(Skills!H10&gt;0,Skills!I10/Skills!H10,1)</f>
        <v/>
      </c>
      <c r="H295">
        <f>1-(1-Skills!J10/100)^Skills!K10</f>
        <v/>
      </c>
      <c r="I295" t="inlineStr">
        <is>
          <t>1</t>
        </is>
      </c>
      <c r="J295">
        <f>((Inputs!$B$6*(1+Inputs!$B$7/100))+(((Inputs!$B$12*(1+Inputs!$B$13/100))-(Inputs!$B$12*(1+Inputs!$B$13/100)))+0.25*(Inputs!$B$14-Inputs!$B$14))*(1+Inputs!$B$7/100))*(F295/100)</f>
        <v/>
      </c>
      <c r="K295">
        <f>J295*(1+((Inputs!$B$12*(1+Inputs!$B$13/100))*0.01+Inputs!$B$14*0.0025)/100)*(1+Inputs!$B$15/100)*(1+Inputs!$B$16/100)*(5000/(6000+Inputs!$B$42*(1-(Inputs!$B$19+0)/100)))*(1+(Inputs!$B$24+((C310=TRUE)*(F310-Calc!F25))+B320)/100)*(1+1.5*IF(C297=TRUE,F297,0)/100)*(1+IF(Skills!A10="ENHANCED_RAGING_BLOW",IF(Inputs!$B$3&gt;=134,MAX(0,IF(Inputs!$B$3&gt;=110,7,5)-5)*50,0),0)/100)*(1+(IF(Skills!A10="RAGING_BLOW",Inputs!$B$17+((C306=TRUE)*(F306-Calc!F21)),Inputs!$B$18+((C308=TRUE)*(F308-Calc!F23))))/100)*((1+(((C298=TRUE)*F298*IF(Inputs!$B$3&gt;=110,7,5))+((C300=TRUE)*F300*IF(AND(Inputs!$B$38&lt;&gt;"pvp",Inputs!$B$43&gt;0),(((R300-1)*(Skills!T15*(1+Inputs!$B$34/100))+MIN((Skills!T15*(1+Inputs!$B$34/100)),MAX(0,Inputs!$B$43-((R300-1)*Skills!D15))))/Inputs!$B$43),IF(Inputs!$B$38="pvp",MIN((Skills!T15*(1+Inputs!$B$34/100)),15)/15,(Skills!T15*(1+Inputs!$B$34/100))/Skills!D15)))+0)/100)*I295)</f>
        <v/>
      </c>
      <c r="L295">
        <f>K295*(MIN(Inputs!$B$22+((C307=TRUE)*(F307-Calc!F22)),Inputs!$B$23+((C309=TRUE)*(F309-Calc!F24)))/100+(Inputs!$B$23+((C309=TRUE)*(F309-Calc!F24)))/100)/2</f>
        <v/>
      </c>
      <c r="M295">
        <f>L295*(1+(Inputs!$B$10+0+B319)/100)</f>
        <v/>
      </c>
      <c r="N295">
        <f>L295*(1-MIN((Inputs!$B$9+((C311=TRUE)*(F311-Calc!F26))+B314),100)/100)+M295*(MIN((Inputs!$B$9+((C311=TRUE)*(F311-Calc!F26))+B314),100)/100)</f>
        <v/>
      </c>
      <c r="O295">
        <f>(1-Summary!$B$55)*T295+Summary!$B$55*V295</f>
        <v/>
      </c>
      <c r="P295">
        <f>IF(B324=0,0,O295/B324)</f>
        <v/>
      </c>
      <c r="Q295">
        <f>IFERROR(1/IF(Inputs!$B$38="pvp",15,MAX(0.1,Skills!D10-IF(Skills!E10=TRUE,Inputs!$B$32,0))),0)</f>
        <v/>
      </c>
      <c r="R295">
        <f>IF(AND(Inputs!$B$38&lt;&gt;"pvp",Inputs!$B$43&gt;0),IF(MAX(0,Inputs!$B$43-B321)&lt;=0,0,(INT(MAX(0,Inputs!$B$43-B321)/IF(Inputs!$B$38="pvp",15,MAX(0.1,Skills!D10-IF(Skills!E10=TRUE,Inputs!$B$32,0))))+1)),0)</f>
        <v/>
      </c>
      <c r="S295">
        <f>IFERROR(O295/N295,0)</f>
        <v/>
      </c>
      <c r="T295">
        <f>IF(C295,(H295*N295*IF(AND(Inputs!$B$38&lt;&gt;"pvp",Inputs!$B$43&gt;0),((Skills!G10*((R295-1)*IF(Skills!H10&gt;0,Skills!I10/Skills!H10,1)+IF(Skills!H10&gt;0,MIN(Skills!I10,MAX(0,MAX(0,Inputs!$B$43-B321)-((R295-1)*IF(Inputs!$B$38="pvp",15,MAX(0.1,Skills!D10-IF(Skills!E10=TRUE,Inputs!$B$32,0))))))/Skills!H10,1)))/Inputs!$B$43),G295*Q295))*IF(Inputs!$B$38="pvp",1,1+(Inputs!$B$20+0+Skills!P10+Summary!$B$59)/100),0)</f>
        <v/>
      </c>
      <c r="V295">
        <f>IF(C295,(H295*N295*IF(AND(Inputs!$B$38&lt;&gt;"pvp",Inputs!$B$43&gt;0),((Skills!G10*((R295-1)*IF(Skills!H10&gt;0,Skills!I10/Skills!H10,1)+IF(Skills!H10&gt;0,MIN(Skills!I10,MAX(0,MAX(0,Inputs!$B$43-B321)-((R295-1)*IF(Inputs!$B$38="pvp",15,MAX(0.1,Skills!D10-IF(Skills!E10=TRUE,Inputs!$B$32,0))))))/Skills!H10,1)))/Inputs!$B$43),G295*Q295))*IF(Inputs!$B$38="pvp",1,(1+((Inputs!$B$21+1)+Skills!Q10+Summary!$B$59)/100)*(MIN(Skills!R10,Inputs!$B$37))),0)</f>
        <v/>
      </c>
    </row>
    <row r="296">
      <c r="A296">
        <f>Skills!A11</f>
        <v/>
      </c>
      <c r="B296">
        <f>Skills!B11</f>
        <v/>
      </c>
      <c r="C296">
        <f>Inputs!$B$3&gt;=35</f>
        <v/>
      </c>
      <c r="D296">
        <f>IF(Skills!C11=1,60+Inputs!$B$25+Inputs!$B$29,IF(Skills!C11=2,90+Inputs!$B$26+Inputs!$B$29,IF(Skills!C11=3,120+Inputs!$B$27+Inputs!$B$29,MAX(0,(Inputs!$B$3-100)*3)+Inputs!$B$28+Inputs!$B$29)))</f>
        <v/>
      </c>
      <c r="E296">
        <f>INDEX(FactorTable!$B$2:$Y$301, MATCH(ROUND(MIN(300,MAX(1,D296)),0), FactorTable!$A$2:$A$301,0), Skills!M11+1)</f>
        <v/>
      </c>
      <c r="F296">
        <f>IF(Skills!N11=TRUE,(Skills!L11/10)*(E296/1000),Skills!L11/10)+Skills!O11</f>
        <v/>
      </c>
      <c r="G296">
        <f>Skills!G11*IF(Skills!H11&gt;0,Skills!I11/Skills!H11,1)</f>
        <v/>
      </c>
      <c r="H296">
        <f>1-(1-Skills!J11/100)^Skills!K11</f>
        <v/>
      </c>
      <c r="I296" t="inlineStr">
        <is>
          <t>1</t>
        </is>
      </c>
      <c r="J296">
        <f>((Inputs!$B$6*(1+Inputs!$B$7/100))+(((Inputs!$B$12*(1+Inputs!$B$13/100))-(Inputs!$B$12*(1+Inputs!$B$13/100)))+0.25*(Inputs!$B$14-Inputs!$B$14))*(1+Inputs!$B$7/100))*(F296/100)</f>
        <v/>
      </c>
      <c r="K296">
        <f>J296*(1+((Inputs!$B$12*(1+Inputs!$B$13/100))*0.01+Inputs!$B$14*0.0025)/100)*(1+Inputs!$B$15/100)*(1+Inputs!$B$16/100)*(5000/(6000+Inputs!$B$42*(1-(Inputs!$B$19+0)/100)))*(1+(Inputs!$B$24+((C310=TRUE)*(F310-Calc!F25))+B320)/100)*(1+4.0*IF(C297=TRUE,F297,0)/100)*(1+IF(Skills!A11="ENHANCED_RAGING_BLOW",IF(Inputs!$B$3&gt;=134,MAX(0,IF(Inputs!$B$3&gt;=110,7,5)-5)*50,0),0)/100)*(1+(IF(Skills!A11="RAGING_BLOW",Inputs!$B$17+((C306=TRUE)*(F306-Calc!F21)),Inputs!$B$18+((C308=TRUE)*(F308-Calc!F23))))/100)*((1+(((C298=TRUE)*F298*IF(Inputs!$B$3&gt;=110,7,5))+((C300=TRUE)*F300*IF(AND(Inputs!$B$38&lt;&gt;"pvp",Inputs!$B$43&gt;0),(((R300-1)*(Skills!T15*(1+Inputs!$B$34/100))+MIN((Skills!T15*(1+Inputs!$B$34/100)),MAX(0,Inputs!$B$43-((R300-1)*Skills!D15))))/Inputs!$B$43),IF(Inputs!$B$38="pvp",MIN((Skills!T15*(1+Inputs!$B$34/100)),15)/15,(Skills!T15*(1+Inputs!$B$34/100))/Skills!D15)))+0)/100)*I296)</f>
        <v/>
      </c>
      <c r="L296">
        <f>K296*(MIN(Inputs!$B$22+((C307=TRUE)*(F307-Calc!F22)),Inputs!$B$23+((C309=TRUE)*(F309-Calc!F24)))/100+(Inputs!$B$23+((C309=TRUE)*(F309-Calc!F24)))/100)/2</f>
        <v/>
      </c>
      <c r="M296">
        <f>L296*(1+(Inputs!$B$10+0+B319)/100)</f>
        <v/>
      </c>
      <c r="N296">
        <f>L296*(1-MIN((Inputs!$B$9+((C311=TRUE)*(F311-Calc!F26))+B314),100)/100)+M296*(MIN((Inputs!$B$9+((C311=TRUE)*(F311-Calc!F26))+B314),100)/100)</f>
        <v/>
      </c>
      <c r="O296">
        <f>(1-Summary!$B$55)*T296+Summary!$B$55*V296</f>
        <v/>
      </c>
      <c r="P296">
        <f>IF(B324=0,0,O296/B324)</f>
        <v/>
      </c>
      <c r="Q296">
        <f>IFERROR(1/IF(Inputs!$B$38="pvp",15,MAX(0.1,Skills!D11-IF(Skills!E11=TRUE,Inputs!$B$32,0))),0)</f>
        <v/>
      </c>
      <c r="R296">
        <f>IF(AND(Inputs!$B$38&lt;&gt;"pvp",Inputs!$B$43&gt;0),IF(MAX(0,Inputs!$B$43-B321)&lt;=0,0,(INT(MAX(0,Inputs!$B$43-B321)/IF(Inputs!$B$38="pvp",15,MAX(0.1,Skills!D11-IF(Skills!E11=TRUE,Inputs!$B$32,0))))+1)),0)</f>
        <v/>
      </c>
      <c r="S296">
        <f>IFERROR(O296/N296,0)</f>
        <v/>
      </c>
      <c r="T296">
        <f>IF(C296,(H296*N296*IF(AND(Inputs!$B$38&lt;&gt;"pvp",Inputs!$B$43&gt;0),((Skills!G11*((R296-1)*IF(Skills!H11&gt;0,Skills!I11/Skills!H11,1)+IF(Skills!H11&gt;0,MIN(Skills!I11,MAX(0,MAX(0,Inputs!$B$43-B321)-((R296-1)*IF(Inputs!$B$38="pvp",15,MAX(0.1,Skills!D11-IF(Skills!E11=TRUE,Inputs!$B$32,0))))))/Skills!H11,1)))/Inputs!$B$43),G296*Q296))*IF(Inputs!$B$38="pvp",1,1+(Inputs!$B$20+0+Skills!P11+Summary!$B$59)/100),0)</f>
        <v/>
      </c>
      <c r="V296">
        <f>IF(C296,(H296*N296*IF(AND(Inputs!$B$38&lt;&gt;"pvp",Inputs!$B$43&gt;0),((Skills!G11*((R296-1)*IF(Skills!H11&gt;0,Skills!I11/Skills!H11,1)+IF(Skills!H11&gt;0,MIN(Skills!I11,MAX(0,MAX(0,Inputs!$B$43-B321)-((R296-1)*IF(Inputs!$B$38="pvp",15,MAX(0.1,Skills!D11-IF(Skills!E11=TRUE,Inputs!$B$32,0))))))/Skills!H11,1)))/Inputs!$B$43),G296*Q296))*IF(Inputs!$B$38="pvp",1,(1+((Inputs!$B$21+1)+Skills!Q11+Summary!$B$59)/100)*(MIN(Skills!R11,Inputs!$B$37))),0)</f>
        <v/>
      </c>
    </row>
    <row r="297">
      <c r="A297">
        <f>Skills!A12</f>
        <v/>
      </c>
      <c r="B297">
        <f>Skills!B12</f>
        <v/>
      </c>
      <c r="C297">
        <f>Inputs!$B$3&gt;=100</f>
        <v/>
      </c>
      <c r="D297">
        <f>IF(Skills!C12=1,60+Inputs!$B$25+Inputs!$B$29,IF(Skills!C12=2,90+Inputs!$B$26+Inputs!$B$29,IF(Skills!C12=3,120+Inputs!$B$27+Inputs!$B$29,MAX(0,(Inputs!$B$3-100)*3)+Inputs!$B$28+Inputs!$B$29)))</f>
        <v/>
      </c>
      <c r="E297">
        <f>INDEX(FactorTable!$B$2:$Y$301, MATCH(ROUND(MIN(300,MAX(1,D297)),0), FactorTable!$A$2:$A$301,0), Skills!M12+1)</f>
        <v/>
      </c>
      <c r="F297">
        <f>IF(Skills!N12=TRUE,(Skills!L12/10)*(E297/1000),Skills!L12/10)+Skills!O12</f>
        <v/>
      </c>
      <c r="G297" t="inlineStr"/>
      <c r="H297" t="inlineStr"/>
      <c r="I297" t="inlineStr">
        <is>
          <t>1</t>
        </is>
      </c>
      <c r="J297" t="inlineStr"/>
      <c r="K297" t="inlineStr"/>
      <c r="L297" t="inlineStr"/>
      <c r="M297" t="inlineStr"/>
      <c r="N297" t="inlineStr"/>
      <c r="O297" t="inlineStr"/>
      <c r="P297" t="inlineStr"/>
      <c r="Q297" t="inlineStr"/>
      <c r="R297" t="inlineStr"/>
      <c r="S297" t="inlineStr"/>
    </row>
    <row r="298">
      <c r="A298">
        <f>Skills!A13</f>
        <v/>
      </c>
      <c r="B298">
        <f>Skills!B13</f>
        <v/>
      </c>
      <c r="C298">
        <f>Inputs!$B$3&gt;=45</f>
        <v/>
      </c>
      <c r="D298">
        <f>IF(Skills!C13=1,60+Inputs!$B$25+Inputs!$B$29,IF(Skills!C13=2,90+Inputs!$B$26+Inputs!$B$29,IF(Skills!C13=3,120+Inputs!$B$27+Inputs!$B$29,MAX(0,(Inputs!$B$3-100)*3)+Inputs!$B$28+Inputs!$B$29)))</f>
        <v/>
      </c>
      <c r="E298">
        <f>INDEX(FactorTable!$B$2:$Y$301, MATCH(ROUND(MIN(300,MAX(1,D298)),0), FactorTable!$A$2:$A$301,0), Skills!M13+1)</f>
        <v/>
      </c>
      <c r="F298">
        <f>IF(Skills!N13=TRUE,(Skills!L13/10)*(E298/1000),Skills!L13/10)+Skills!O13</f>
        <v/>
      </c>
      <c r="G298">
        <f>Skills!G13*IF(Skills!H13&gt;0,Skills!I13/Skills!H13,1)</f>
        <v/>
      </c>
      <c r="H298">
        <f>1-(1-Skills!J13/100)^Skills!K13</f>
        <v/>
      </c>
      <c r="I298" t="inlineStr">
        <is>
          <t>1</t>
        </is>
      </c>
      <c r="J298" t="inlineStr"/>
      <c r="K298" t="inlineStr"/>
      <c r="L298" t="inlineStr"/>
      <c r="M298" t="inlineStr"/>
      <c r="N298" t="inlineStr"/>
      <c r="O298">
        <f>(1-Summary!$B$55)*T298+Summary!$B$55*V298</f>
        <v/>
      </c>
      <c r="P298">
        <f>IF(B324=0,0,O298/B324)</f>
        <v/>
      </c>
      <c r="Q298" t="n">
        <v>0</v>
      </c>
      <c r="R298" t="n">
        <v>0</v>
      </c>
      <c r="S298">
        <f>IFERROR(O298/N298,0)</f>
        <v/>
      </c>
      <c r="T298" t="n">
        <v>0</v>
      </c>
      <c r="V298" t="n">
        <v>0</v>
      </c>
    </row>
    <row r="299">
      <c r="A299">
        <f>Skills!A14</f>
        <v/>
      </c>
      <c r="B299">
        <f>Skills!B14</f>
        <v/>
      </c>
      <c r="C299">
        <f>Inputs!$B$3&gt;=75</f>
        <v/>
      </c>
      <c r="D299">
        <f>IF(Skills!C14=1,60+Inputs!$B$25+Inputs!$B$29,IF(Skills!C14=2,90+Inputs!$B$26+Inputs!$B$29,IF(Skills!C14=3,120+Inputs!$B$27+Inputs!$B$29,MAX(0,(Inputs!$B$3-100)*3)+Inputs!$B$28+Inputs!$B$29)))</f>
        <v/>
      </c>
      <c r="E299">
        <f>INDEX(FactorTable!$B$2:$Y$301, MATCH(ROUND(MIN(300,MAX(1,D299)),0), FactorTable!$A$2:$A$301,0), Skills!M14+1)</f>
        <v/>
      </c>
      <c r="F299">
        <f>IF(Skills!N14=TRUE,(Skills!L14/10)*(E299/1000),Skills!L14/10)+Skills!O14</f>
        <v/>
      </c>
      <c r="G299">
        <f>Skills!G14*IF(Skills!H14&gt;0,Skills!I14/Skills!H14,1)</f>
        <v/>
      </c>
      <c r="H299">
        <f>1-(1-Skills!J14/100)^Skills!K14</f>
        <v/>
      </c>
      <c r="I299" t="inlineStr">
        <is>
          <t>1</t>
        </is>
      </c>
      <c r="J299" t="inlineStr"/>
      <c r="K299" t="inlineStr"/>
      <c r="L299" t="inlineStr"/>
      <c r="M299" t="inlineStr"/>
      <c r="N299" t="inlineStr"/>
      <c r="O299">
        <f>(1-Summary!$B$55)*T299+Summary!$B$55*V299</f>
        <v/>
      </c>
      <c r="P299">
        <f>IF(B324=0,0,O299/B324)</f>
        <v/>
      </c>
      <c r="Q299" t="n">
        <v>0</v>
      </c>
      <c r="R299" t="n">
        <v>0</v>
      </c>
      <c r="S299">
        <f>IFERROR(O299/N299,0)</f>
        <v/>
      </c>
      <c r="T299" t="n">
        <v>0</v>
      </c>
      <c r="V299" t="n">
        <v>0</v>
      </c>
    </row>
    <row r="300">
      <c r="A300">
        <f>Skills!A15</f>
        <v/>
      </c>
      <c r="B300">
        <f>Skills!B15</f>
        <v/>
      </c>
      <c r="C300">
        <f>Inputs!$B$3&gt;=40</f>
        <v/>
      </c>
      <c r="D300">
        <f>IF(Skills!C15=1,60+Inputs!$B$25+Inputs!$B$29,IF(Skills!C15=2,90+Inputs!$B$26+Inputs!$B$29,IF(Skills!C15=3,120+Inputs!$B$27+Inputs!$B$29,MAX(0,(Inputs!$B$3-100)*3)+Inputs!$B$28+Inputs!$B$29)))</f>
        <v/>
      </c>
      <c r="E300">
        <f>INDEX(FactorTable!$B$2:$Y$301, MATCH(ROUND(MIN(300,MAX(1,D300)),0), FactorTable!$A$2:$A$301,0), Skills!M15+1)</f>
        <v/>
      </c>
      <c r="F300">
        <f>IF(Skills!N15=TRUE,(Skills!L15/10)*(E300/1000),Skills!L15/10)+Skills!O15</f>
        <v/>
      </c>
      <c r="G300">
        <f>Skills!G15*IF(Skills!H15&gt;0,Skills!I15/Skills!H15,1)</f>
        <v/>
      </c>
      <c r="H300">
        <f>1-(1-Skills!J15/100)^Skills!K15</f>
        <v/>
      </c>
      <c r="I300" t="inlineStr">
        <is>
          <t>1</t>
        </is>
      </c>
      <c r="J300" t="inlineStr"/>
      <c r="K300" t="inlineStr"/>
      <c r="L300" t="inlineStr"/>
      <c r="M300" t="inlineStr"/>
      <c r="N300" t="inlineStr"/>
      <c r="O300">
        <f>(1-Summary!$B$55)*T300+Summary!$B$55*V300</f>
        <v/>
      </c>
      <c r="P300">
        <f>IF(B324=0,0,O300/B324)</f>
        <v/>
      </c>
      <c r="Q300">
        <f>IFERROR(1/IF(Inputs!$B$38="pvp",15,MAX(0.1,Skills!D15-IF(Skills!E15=TRUE,Inputs!$B$32,0))),0)</f>
        <v/>
      </c>
      <c r="R300">
        <f>IF(AND(Inputs!$B$38&lt;&gt;"pvp",Inputs!$B$43&gt;0),IF(Inputs!$B$43&lt;=0,0,(INT(Inputs!$B$43/IF(Inputs!$B$38="pvp",15,MAX(0.1,Skills!D15-IF(Skills!E15=TRUE,Inputs!$B$32,0))))+1)),0)</f>
        <v/>
      </c>
      <c r="S300">
        <f>IFERROR(O300/N300,0)</f>
        <v/>
      </c>
      <c r="T300" t="n">
        <v>0</v>
      </c>
      <c r="V300" t="n">
        <v>0</v>
      </c>
    </row>
    <row r="301">
      <c r="A301">
        <f>Skills!A16</f>
        <v/>
      </c>
      <c r="B301">
        <f>Skills!B16</f>
        <v/>
      </c>
      <c r="C301">
        <f>Inputs!$B$3&gt;=66</f>
        <v/>
      </c>
      <c r="D301">
        <f>IF(Skills!C16=1,60+Inputs!$B$25+Inputs!$B$29,IF(Skills!C16=2,90+Inputs!$B$26+Inputs!$B$29,IF(Skills!C16=3,120+Inputs!$B$27+Inputs!$B$29,MAX(0,(Inputs!$B$3-100)*3)+Inputs!$B$28+Inputs!$B$29)))</f>
        <v/>
      </c>
      <c r="E301">
        <f>INDEX(FactorTable!$B$2:$Y$301, MATCH(ROUND(MIN(300,MAX(1,D301)),0), FactorTable!$A$2:$A$301,0), Skills!M16+1)</f>
        <v/>
      </c>
      <c r="F301">
        <f>IF(Skills!N16=TRUE,(Skills!L16/10)*(E301/1000),Skills!L16/10)+Skills!O16</f>
        <v/>
      </c>
      <c r="G301">
        <f>Skills!G16*IF(Skills!H16&gt;0,Skills!I16/Skills!H16,1)</f>
        <v/>
      </c>
      <c r="H301">
        <f>1-(1-Skills!J16/100)^Skills!K16</f>
        <v/>
      </c>
      <c r="I301" t="inlineStr">
        <is>
          <t>1</t>
        </is>
      </c>
      <c r="J301" t="inlineStr"/>
      <c r="K301" t="inlineStr"/>
      <c r="L301" t="inlineStr"/>
      <c r="M301" t="inlineStr"/>
      <c r="N301" t="inlineStr"/>
      <c r="O301">
        <f>(1-Summary!$B$55)*T301+Summary!$B$55*V301</f>
        <v/>
      </c>
      <c r="P301">
        <f>IF(B324=0,0,O301/B324)</f>
        <v/>
      </c>
      <c r="Q301">
        <f>IFERROR(1/IF(Inputs!$B$38="pvp",15,MAX(0.1,Skills!D16-IF(Skills!E16=TRUE,Inputs!$B$32,0))),0)</f>
        <v/>
      </c>
      <c r="R301">
        <f>IF(AND(Inputs!$B$38&lt;&gt;"pvp",Inputs!$B$43&gt;0),IF(Inputs!$B$43&lt;=0,0,(INT(Inputs!$B$43/IF(Inputs!$B$38="pvp",15,MAX(0.1,Skills!D16-IF(Skills!E16=TRUE,Inputs!$B$32,0))))+1)),0)</f>
        <v/>
      </c>
      <c r="S301">
        <f>IFERROR(O301/N301,0)</f>
        <v/>
      </c>
      <c r="T301" t="n">
        <v>0</v>
      </c>
      <c r="V301" t="n">
        <v>0</v>
      </c>
    </row>
    <row r="302">
      <c r="A302">
        <f>Skills!A17</f>
        <v/>
      </c>
      <c r="B302">
        <f>Skills!B17</f>
        <v/>
      </c>
      <c r="C302">
        <f>Inputs!$B$3&gt;=115</f>
        <v/>
      </c>
      <c r="D302">
        <f>IF(Skills!C17=1,60+Inputs!$B$25+Inputs!$B$29,IF(Skills!C17=2,90+Inputs!$B$26+Inputs!$B$29,IF(Skills!C17=3,120+Inputs!$B$27+Inputs!$B$29,MAX(0,(Inputs!$B$3-100)*3)+Inputs!$B$28+Inputs!$B$29)))</f>
        <v/>
      </c>
      <c r="E302">
        <f>INDEX(FactorTable!$B$2:$Y$301, MATCH(ROUND(MIN(300,MAX(1,D302)),0), FactorTable!$A$2:$A$301,0), Skills!M17+1)</f>
        <v/>
      </c>
      <c r="F302">
        <f>IF(Skills!N17=TRUE,(Skills!L17/10)*(E302/1000),Skills!L17/10)+Skills!O17</f>
        <v/>
      </c>
      <c r="G302">
        <f>Skills!G17*IF(Skills!H17&gt;0,Skills!I17/Skills!H17,1)</f>
        <v/>
      </c>
      <c r="H302">
        <f>1-(1-Skills!J17/100)^Skills!K17</f>
        <v/>
      </c>
      <c r="I302" t="inlineStr">
        <is>
          <t>1</t>
        </is>
      </c>
      <c r="J302" t="inlineStr"/>
      <c r="K302" t="inlineStr"/>
      <c r="L302" t="inlineStr"/>
      <c r="M302" t="inlineStr"/>
      <c r="N302" t="inlineStr"/>
      <c r="O302">
        <f>(1-Summary!$B$55)*T302+Summary!$B$55*V302</f>
        <v/>
      </c>
      <c r="P302">
        <f>IF(B324=0,0,O302/B324)</f>
        <v/>
      </c>
      <c r="Q302">
        <f>IFERROR(1/IF(Inputs!$B$38="pvp",15,MAX(0.1,Skills!D17-IF(Skills!E17=TRUE,Inputs!$B$32,0))),0)</f>
        <v/>
      </c>
      <c r="R302">
        <f>IF(AND(Inputs!$B$38&lt;&gt;"pvp",Inputs!$B$43&gt;0),IF(Inputs!$B$43&lt;=0,0,(INT(Inputs!$B$43/IF(Inputs!$B$38="pvp",15,MAX(0.1,Skills!D17-IF(Skills!E17=TRUE,Inputs!$B$32,0))))+1)),0)</f>
        <v/>
      </c>
      <c r="S302">
        <f>IFERROR(O302/N302,0)</f>
        <v/>
      </c>
      <c r="T302" t="n">
        <v>0</v>
      </c>
      <c r="V302" t="n">
        <v>0</v>
      </c>
    </row>
    <row r="303">
      <c r="A303">
        <f>Skills!A18</f>
        <v/>
      </c>
      <c r="B303">
        <f>Skills!B18</f>
        <v/>
      </c>
      <c r="C303">
        <f>Inputs!$B$3&gt;=115</f>
        <v/>
      </c>
      <c r="D303">
        <f>IF(Skills!C18=1,60+Inputs!$B$25+Inputs!$B$29,IF(Skills!C18=2,90+Inputs!$B$26+Inputs!$B$29,IF(Skills!C18=3,120+Inputs!$B$27+Inputs!$B$29,MAX(0,(Inputs!$B$3-100)*3)+Inputs!$B$28+Inputs!$B$29)))</f>
        <v/>
      </c>
      <c r="E303">
        <f>INDEX(FactorTable!$B$2:$Y$301, MATCH(ROUND(MIN(300,MAX(1,D303)),0), FactorTable!$A$2:$A$301,0), Skills!M18+1)</f>
        <v/>
      </c>
      <c r="F303">
        <f>IF(Skills!N18=TRUE,(Skills!L18/10)*(E303/1000),Skills!L18/10)+Skills!O18</f>
        <v/>
      </c>
      <c r="G303">
        <f>Skills!G18*IF(Skills!H18&gt;0,Skills!I18/Skills!H18,1)</f>
        <v/>
      </c>
      <c r="H303">
        <f>1-(1-Skills!J18/100)^Skills!K18</f>
        <v/>
      </c>
      <c r="I303" t="inlineStr">
        <is>
          <t>1</t>
        </is>
      </c>
      <c r="J303" t="inlineStr"/>
      <c r="K303" t="inlineStr"/>
      <c r="L303" t="inlineStr"/>
      <c r="M303" t="inlineStr"/>
      <c r="N303" t="inlineStr"/>
      <c r="O303">
        <f>(1-Summary!$B$55)*T303+Summary!$B$55*V303</f>
        <v/>
      </c>
      <c r="P303">
        <f>IF(B324=0,0,O303/B324)</f>
        <v/>
      </c>
      <c r="Q303">
        <f>IFERROR(1/IF(Inputs!$B$38="pvp",15,MAX(0.1,Skills!D18-IF(Skills!E18=TRUE,Inputs!$B$32,0))),0)</f>
        <v/>
      </c>
      <c r="R303">
        <f>IF(AND(Inputs!$B$38&lt;&gt;"pvp",Inputs!$B$43&gt;0),IF(Inputs!$B$43&lt;=0,0,(INT(Inputs!$B$43/IF(Inputs!$B$38="pvp",15,MAX(0.1,Skills!D18-IF(Skills!E18=TRUE,Inputs!$B$32,0))))+1)),0)</f>
        <v/>
      </c>
      <c r="S303">
        <f>IFERROR(O303/N303,0)</f>
        <v/>
      </c>
      <c r="T303" t="n">
        <v>0</v>
      </c>
      <c r="V303" t="n">
        <v>0</v>
      </c>
    </row>
    <row r="304">
      <c r="A304">
        <f>Skills!A19</f>
        <v/>
      </c>
      <c r="B304">
        <f>Skills!B19</f>
        <v/>
      </c>
      <c r="C304">
        <f>TRUE</f>
        <v/>
      </c>
      <c r="D304">
        <f>IF(Skills!C19=1,60+Inputs!$B$25+Inputs!$B$29,IF(Skills!C19=2,90+Inputs!$B$26+Inputs!$B$29,IF(Skills!C19=3,120+Inputs!$B$27+Inputs!$B$29,MAX(0,(Inputs!$B$3-100)*3)+Inputs!$B$28+Inputs!$B$29)))</f>
        <v/>
      </c>
      <c r="E304">
        <f>INDEX(FactorTable!$B$2:$Y$301, MATCH(ROUND(MIN(300,MAX(1,D304)),0), FactorTable!$A$2:$A$301,0), Skills!M19+1)</f>
        <v/>
      </c>
      <c r="F304">
        <f>IF(Skills!N19=TRUE,(Skills!L19/10)*(E304/1000),Skills!L19/10)+Skills!O19</f>
        <v/>
      </c>
      <c r="G304">
        <f>Skills!G19*IF(Skills!H19&gt;0,Skills!I19/Skills!H19,1)</f>
        <v/>
      </c>
      <c r="H304">
        <f>1-(1-Skills!J19/100)^Skills!K19</f>
        <v/>
      </c>
      <c r="I304" t="inlineStr">
        <is>
          <t>1</t>
        </is>
      </c>
      <c r="J304" t="inlineStr"/>
      <c r="K304" t="inlineStr"/>
      <c r="L304" t="inlineStr"/>
      <c r="M304" t="inlineStr"/>
      <c r="N304" t="inlineStr"/>
      <c r="O304">
        <f>(1-Summary!$B$55)*T304+Summary!$B$55*V304</f>
        <v/>
      </c>
      <c r="P304">
        <f>IF(B324=0,0,O304/B324)</f>
        <v/>
      </c>
      <c r="Q304">
        <f>IFERROR(1/IF(Inputs!$B$38="pvp",15,MAX(0.1,Skills!D19-IF(Skills!E19=TRUE,Inputs!$B$32,0))),0)</f>
        <v/>
      </c>
      <c r="R304">
        <f>IF(AND(Inputs!$B$38&lt;&gt;"pvp",Inputs!$B$43&gt;0),IF(Inputs!$B$43&lt;=0,0,(INT(Inputs!$B$43/IF(Inputs!$B$38="pvp",15,MAX(0.1,Skills!D19-IF(Skills!E19=TRUE,Inputs!$B$32,0))))+1)),0)</f>
        <v/>
      </c>
      <c r="S304">
        <f>IFERROR(O304/N304,0)</f>
        <v/>
      </c>
      <c r="T304" t="n">
        <v>0</v>
      </c>
      <c r="V304" t="n">
        <v>0</v>
      </c>
    </row>
    <row r="305">
      <c r="A305">
        <f>Skills!A20</f>
        <v/>
      </c>
      <c r="B305">
        <f>Skills!B20</f>
        <v/>
      </c>
      <c r="C305">
        <f>Inputs!$B$3&gt;=33</f>
        <v/>
      </c>
      <c r="D305">
        <f>IF(Skills!C20=1,60+Inputs!$B$25+Inputs!$B$29,IF(Skills!C20=2,90+Inputs!$B$26+Inputs!$B$29,IF(Skills!C20=3,120+Inputs!$B$27+Inputs!$B$29,MAX(0,(Inputs!$B$3-100)*3)+Inputs!$B$28+Inputs!$B$29)))</f>
        <v/>
      </c>
      <c r="E305">
        <f>INDEX(FactorTable!$B$2:$Y$301, MATCH(ROUND(MIN(300,MAX(1,D305)),0), FactorTable!$A$2:$A$301,0), Skills!M20+1)</f>
        <v/>
      </c>
      <c r="F305">
        <f>IF(Skills!N20=TRUE,(Skills!L20/10)*(E305/1000),Skills!L20/10)+Skills!O20</f>
        <v/>
      </c>
      <c r="G305">
        <f>Skills!G20*IF(Skills!H20&gt;0,Skills!I20/Skills!H20,1)</f>
        <v/>
      </c>
      <c r="H305">
        <f>1-(1-Skills!J20/100)^Skills!K20</f>
        <v/>
      </c>
      <c r="I305" t="inlineStr">
        <is>
          <t>1</t>
        </is>
      </c>
      <c r="J305" t="inlineStr"/>
      <c r="K305" t="inlineStr"/>
      <c r="L305" t="inlineStr"/>
      <c r="M305" t="inlineStr"/>
      <c r="N305" t="inlineStr"/>
      <c r="O305">
        <f>(1-Summary!$B$55)*T305+Summary!$B$55*V305</f>
        <v/>
      </c>
      <c r="P305">
        <f>IF(B324=0,0,O305/B324)</f>
        <v/>
      </c>
      <c r="Q305" t="n">
        <v>0</v>
      </c>
      <c r="R305" t="n">
        <v>0</v>
      </c>
      <c r="S305">
        <f>IFERROR(O305/N305,0)</f>
        <v/>
      </c>
      <c r="T305" t="n">
        <v>0</v>
      </c>
      <c r="V305" t="n">
        <v>0</v>
      </c>
    </row>
    <row r="306">
      <c r="A306">
        <f>Skills!A21</f>
        <v/>
      </c>
      <c r="B306">
        <f>Skills!B21</f>
        <v/>
      </c>
      <c r="C306">
        <f>Inputs!$B$3&gt;=38</f>
        <v/>
      </c>
      <c r="D306">
        <f>IF(Skills!C21=1,60+Inputs!$B$25+Inputs!$B$29,IF(Skills!C21=2,90+Inputs!$B$26+Inputs!$B$29,IF(Skills!C21=3,120+Inputs!$B$27+Inputs!$B$29,MAX(0,(Inputs!$B$3-100)*3)+Inputs!$B$28+Inputs!$B$29)))</f>
        <v/>
      </c>
      <c r="E306">
        <f>INDEX(FactorTable!$B$2:$Y$301, MATCH(ROUND(MIN(300,MAX(1,D306)),0), FactorTable!$A$2:$A$301,0), Skills!M21+1)</f>
        <v/>
      </c>
      <c r="F306">
        <f>IF(Skills!N21=TRUE,(Skills!L21/10)*(E306/1000),Skills!L21/10)+Skills!O21</f>
        <v/>
      </c>
      <c r="G306">
        <f>Skills!G21*IF(Skills!H21&gt;0,Skills!I21/Skills!H21,1)</f>
        <v/>
      </c>
      <c r="H306">
        <f>1-(1-Skills!J21/100)^Skills!K21</f>
        <v/>
      </c>
      <c r="I306" t="inlineStr">
        <is>
          <t>1</t>
        </is>
      </c>
      <c r="J306" t="inlineStr"/>
      <c r="K306" t="inlineStr"/>
      <c r="L306" t="inlineStr"/>
      <c r="M306" t="inlineStr"/>
      <c r="N306" t="inlineStr"/>
      <c r="O306">
        <f>(1-Summary!$B$55)*T306+Summary!$B$55*V306</f>
        <v/>
      </c>
      <c r="P306">
        <f>IF(B324=0,0,O306/B324)</f>
        <v/>
      </c>
      <c r="Q306" t="n">
        <v>0</v>
      </c>
      <c r="R306" t="n">
        <v>0</v>
      </c>
      <c r="S306">
        <f>IFERROR(O306/N306,0)</f>
        <v/>
      </c>
      <c r="T306" t="n">
        <v>0</v>
      </c>
      <c r="V306" t="n">
        <v>0</v>
      </c>
    </row>
    <row r="307">
      <c r="A307">
        <f>Skills!A22</f>
        <v/>
      </c>
      <c r="B307">
        <f>Skills!B22</f>
        <v/>
      </c>
      <c r="C307">
        <f>Inputs!$B$3&gt;=43</f>
        <v/>
      </c>
      <c r="D307">
        <f>IF(Skills!C22=1,60+Inputs!$B$25+Inputs!$B$29,IF(Skills!C22=2,90+Inputs!$B$26+Inputs!$B$29,IF(Skills!C22=3,120+Inputs!$B$27+Inputs!$B$29,MAX(0,(Inputs!$B$3-100)*3)+Inputs!$B$28+Inputs!$B$29)))</f>
        <v/>
      </c>
      <c r="E307">
        <f>INDEX(FactorTable!$B$2:$Y$301, MATCH(ROUND(MIN(300,MAX(1,D307)),0), FactorTable!$A$2:$A$301,0), Skills!M22+1)</f>
        <v/>
      </c>
      <c r="F307">
        <f>IF(Skills!N22=TRUE,(Skills!L22/10)*(E307/1000),Skills!L22/10)+Skills!O22</f>
        <v/>
      </c>
      <c r="G307">
        <f>Skills!G22*IF(Skills!H22&gt;0,Skills!I22/Skills!H22,1)</f>
        <v/>
      </c>
      <c r="H307">
        <f>1-(1-Skills!J22/100)^Skills!K22</f>
        <v/>
      </c>
      <c r="I307" t="inlineStr">
        <is>
          <t>1</t>
        </is>
      </c>
      <c r="J307" t="inlineStr"/>
      <c r="K307" t="inlineStr"/>
      <c r="L307" t="inlineStr"/>
      <c r="M307" t="inlineStr"/>
      <c r="N307" t="inlineStr"/>
      <c r="O307">
        <f>(1-Summary!$B$55)*T307+Summary!$B$55*V307</f>
        <v/>
      </c>
      <c r="P307">
        <f>IF(B324=0,0,O307/B324)</f>
        <v/>
      </c>
      <c r="Q307" t="n">
        <v>0</v>
      </c>
      <c r="R307" t="n">
        <v>0</v>
      </c>
      <c r="S307">
        <f>IFERROR(O307/N307,0)</f>
        <v/>
      </c>
      <c r="T307" t="n">
        <v>0</v>
      </c>
      <c r="V307" t="n">
        <v>0</v>
      </c>
    </row>
    <row r="308">
      <c r="A308">
        <f>Skills!A23</f>
        <v/>
      </c>
      <c r="B308">
        <f>Skills!B23</f>
        <v/>
      </c>
      <c r="C308">
        <f>Inputs!$B$3&gt;=120</f>
        <v/>
      </c>
      <c r="D308">
        <f>IF(Skills!C23=1,60+Inputs!$B$25+Inputs!$B$29,IF(Skills!C23=2,90+Inputs!$B$26+Inputs!$B$29,IF(Skills!C23=3,120+Inputs!$B$27+Inputs!$B$29,MAX(0,(Inputs!$B$3-100)*3)+Inputs!$B$28+Inputs!$B$29)))</f>
        <v/>
      </c>
      <c r="E308">
        <f>INDEX(FactorTable!$B$2:$Y$301, MATCH(ROUND(MIN(300,MAX(1,D308)),0), FactorTable!$A$2:$A$301,0), Skills!M23+1)</f>
        <v/>
      </c>
      <c r="F308">
        <f>IF(Skills!N23=TRUE,(Skills!L23/10)*(E308/1000),Skills!L23/10)+Skills!O23</f>
        <v/>
      </c>
      <c r="G308">
        <f>Skills!G23*IF(Skills!H23&gt;0,Skills!I23/Skills!H23,1)</f>
        <v/>
      </c>
      <c r="H308">
        <f>1-(1-Skills!J23/100)^Skills!K23</f>
        <v/>
      </c>
      <c r="I308" t="inlineStr">
        <is>
          <t>1</t>
        </is>
      </c>
      <c r="J308" t="inlineStr"/>
      <c r="K308" t="inlineStr"/>
      <c r="L308" t="inlineStr"/>
      <c r="M308" t="inlineStr"/>
      <c r="N308" t="inlineStr"/>
      <c r="O308">
        <f>(1-Summary!$B$55)*T308+Summary!$B$55*V308</f>
        <v/>
      </c>
      <c r="P308">
        <f>IF(B324=0,0,O308/B324)</f>
        <v/>
      </c>
      <c r="Q308" t="n">
        <v>0</v>
      </c>
      <c r="R308" t="n">
        <v>0</v>
      </c>
      <c r="S308">
        <f>IFERROR(O308/N308,0)</f>
        <v/>
      </c>
      <c r="T308" t="n">
        <v>0</v>
      </c>
      <c r="V308" t="n">
        <v>0</v>
      </c>
    </row>
    <row r="309">
      <c r="A309">
        <f>Skills!A24</f>
        <v/>
      </c>
      <c r="B309">
        <f>Skills!B24</f>
        <v/>
      </c>
      <c r="C309">
        <f>Inputs!$B$3&gt;=120</f>
        <v/>
      </c>
      <c r="D309">
        <f>IF(Skills!C24=1,60+Inputs!$B$25+Inputs!$B$29,IF(Skills!C24=2,90+Inputs!$B$26+Inputs!$B$29,IF(Skills!C24=3,120+Inputs!$B$27+Inputs!$B$29,MAX(0,(Inputs!$B$3-100)*3)+Inputs!$B$28+Inputs!$B$29)))</f>
        <v/>
      </c>
      <c r="E309">
        <f>INDEX(FactorTable!$B$2:$Y$301, MATCH(ROUND(MIN(300,MAX(1,D309)),0), FactorTable!$A$2:$A$301,0), Skills!M24+1)</f>
        <v/>
      </c>
      <c r="F309">
        <f>IF(Skills!N24=TRUE,(Skills!L24/10)*(E309/1000),Skills!L24/10)+Skills!O24</f>
        <v/>
      </c>
      <c r="G309">
        <f>Skills!G24*IF(Skills!H24&gt;0,Skills!I24/Skills!H24,1)</f>
        <v/>
      </c>
      <c r="H309">
        <f>1-(1-Skills!J24/100)^Skills!K24</f>
        <v/>
      </c>
      <c r="I309" t="inlineStr">
        <is>
          <t>1</t>
        </is>
      </c>
      <c r="J309" t="inlineStr"/>
      <c r="K309" t="inlineStr"/>
      <c r="L309" t="inlineStr"/>
      <c r="M309" t="inlineStr"/>
      <c r="N309" t="inlineStr"/>
      <c r="O309">
        <f>(1-Summary!$B$55)*T309+Summary!$B$55*V309</f>
        <v/>
      </c>
      <c r="P309">
        <f>IF(B324=0,0,O309/B324)</f>
        <v/>
      </c>
      <c r="Q309" t="n">
        <v>0</v>
      </c>
      <c r="R309" t="n">
        <v>0</v>
      </c>
      <c r="S309">
        <f>IFERROR(O309/N309,0)</f>
        <v/>
      </c>
      <c r="T309" t="n">
        <v>0</v>
      </c>
      <c r="V309" t="n">
        <v>0</v>
      </c>
    </row>
    <row r="310">
      <c r="A310">
        <f>Skills!A25</f>
        <v/>
      </c>
      <c r="B310">
        <f>Skills!B25</f>
        <v/>
      </c>
      <c r="C310">
        <f>Inputs!$B$3&gt;=125</f>
        <v/>
      </c>
      <c r="D310">
        <f>IF(Skills!C25=1,60+Inputs!$B$25+Inputs!$B$29,IF(Skills!C25=2,90+Inputs!$B$26+Inputs!$B$29,IF(Skills!C25=3,120+Inputs!$B$27+Inputs!$B$29,MAX(0,(Inputs!$B$3-100)*3)+Inputs!$B$28+Inputs!$B$29)))</f>
        <v/>
      </c>
      <c r="E310">
        <f>INDEX(FactorTable!$B$2:$Y$301, MATCH(ROUND(MIN(300,MAX(1,D310)),0), FactorTable!$A$2:$A$301,0), Skills!M25+1)</f>
        <v/>
      </c>
      <c r="F310">
        <f>IF(Skills!N25=TRUE,(Skills!L25/10)*(E310/1000),Skills!L25/10)+Skills!O25</f>
        <v/>
      </c>
      <c r="G310">
        <f>Skills!G25*IF(Skills!H25&gt;0,Skills!I25/Skills!H25,1)</f>
        <v/>
      </c>
      <c r="H310">
        <f>1-(1-Skills!J25/100)^Skills!K25</f>
        <v/>
      </c>
      <c r="I310" t="inlineStr">
        <is>
          <t>1</t>
        </is>
      </c>
      <c r="J310" t="inlineStr"/>
      <c r="K310" t="inlineStr"/>
      <c r="L310" t="inlineStr"/>
      <c r="M310" t="inlineStr"/>
      <c r="N310" t="inlineStr"/>
      <c r="O310">
        <f>(1-Summary!$B$55)*T310+Summary!$B$55*V310</f>
        <v/>
      </c>
      <c r="P310">
        <f>IF(B324=0,0,O310/B324)</f>
        <v/>
      </c>
      <c r="Q310" t="n">
        <v>0</v>
      </c>
      <c r="R310" t="n">
        <v>0</v>
      </c>
      <c r="S310">
        <f>IFERROR(O310/N310,0)</f>
        <v/>
      </c>
      <c r="T310" t="n">
        <v>0</v>
      </c>
      <c r="V310" t="n">
        <v>0</v>
      </c>
    </row>
    <row r="311">
      <c r="A311">
        <f>Skills!A26</f>
        <v/>
      </c>
      <c r="B311">
        <f>Skills!B26</f>
        <v/>
      </c>
      <c r="C311">
        <f>Inputs!$B$3&gt;=72</f>
        <v/>
      </c>
      <c r="D311">
        <f>IF(Skills!C26=1,60+Inputs!$B$25+Inputs!$B$29,IF(Skills!C26=2,90+Inputs!$B$26+Inputs!$B$29,IF(Skills!C26=3,120+Inputs!$B$27+Inputs!$B$29,MAX(0,(Inputs!$B$3-100)*3)+Inputs!$B$28+Inputs!$B$29)))</f>
        <v/>
      </c>
      <c r="E311">
        <f>INDEX(FactorTable!$B$2:$Y$301, MATCH(ROUND(MIN(300,MAX(1,D311)),0), FactorTable!$A$2:$A$301,0), Skills!M26+1)</f>
        <v/>
      </c>
      <c r="F311">
        <f>IF(Skills!N26=TRUE,(Skills!L26/10)*(E311/1000),Skills!L26/10)+Skills!O26</f>
        <v/>
      </c>
      <c r="G311">
        <f>Skills!G26*IF(Skills!H26&gt;0,Skills!I26/Skills!H26,1)</f>
        <v/>
      </c>
      <c r="H311">
        <f>1-(1-Skills!J26/100)^Skills!K26</f>
        <v/>
      </c>
      <c r="I311" t="inlineStr">
        <is>
          <t>1</t>
        </is>
      </c>
      <c r="J311" t="inlineStr"/>
      <c r="K311" t="inlineStr"/>
      <c r="L311" t="inlineStr"/>
      <c r="M311" t="inlineStr"/>
      <c r="N311" t="inlineStr"/>
      <c r="O311">
        <f>(1-Summary!$B$55)*T311+Summary!$B$55*V311</f>
        <v/>
      </c>
      <c r="P311">
        <f>IF(B324=0,0,O311/B324)</f>
        <v/>
      </c>
      <c r="Q311" t="n">
        <v>0</v>
      </c>
      <c r="R311" t="n">
        <v>0</v>
      </c>
      <c r="S311">
        <f>IFERROR(O311/N311,0)</f>
        <v/>
      </c>
      <c r="T311" t="n">
        <v>0</v>
      </c>
      <c r="V311" t="n">
        <v>0</v>
      </c>
    </row>
    <row r="313">
      <c r="A313" t="inlineStr">
        <is>
          <t>Attack% Bucket Multiplier</t>
        </is>
      </c>
      <c r="B313">
        <f>(1+(((C298=TRUE)*F298*IF(Inputs!$B$3&gt;=110,7,5))+((C300=TRUE)*F300*IF(AND(Inputs!$B$38&lt;&gt;"pvp",Inputs!$B$43&gt;0),(((R300-1)*(Skills!T15*(1+Inputs!$B$34/100))+MIN((Skills!T15*(1+Inputs!$B$34/100)),MAX(0,Inputs!$B$43-((R300-1)*Skills!D15))))/Inputs!$B$43),IF(Inputs!$B$38="pvp",MIN((Skills!T15*(1+Inputs!$B$34/100)),15)/15,(Skills!T15*(1+Inputs!$B$34/100))/Skills!D15)))+0)/100)</f>
        <v/>
      </c>
    </row>
    <row r="314">
      <c r="A314" t="inlineStr">
        <is>
          <t>Global Crit Rate Bonus %</t>
        </is>
      </c>
      <c r="B314" t="n">
        <v>0</v>
      </c>
    </row>
    <row r="315">
      <c r="A315" t="inlineStr">
        <is>
          <t>Attack Speed Buff Bonus %</t>
        </is>
      </c>
      <c r="B315">
        <f>((C304=TRUE)*F304*IF(AND(Inputs!$B$38&lt;&gt;"pvp",Inputs!$B$43&gt;0),(((R304-1)*(Skills!T19*(1+Inputs!$B$34/100))+MIN((Skills!T19*(1+Inputs!$B$34/100)),MAX(0,Inputs!$B$43-((R304-1)*Skills!D19))))/Inputs!$B$43),IF(Inputs!$B$38="pvp",MIN((Skills!T19*(1+Inputs!$B$34/100)),15)/15,(Skills!T19*(1+Inputs!$B$34/100))/Skills!D19)))</f>
        <v/>
      </c>
    </row>
    <row r="316">
      <c r="A316" t="inlineStr">
        <is>
          <t>Actions Per Second</t>
        </is>
      </c>
      <c r="B316">
        <f>1+MIN(150,150*(1-(1-(Inputs!$B$11+((C305=TRUE)*(F305-Calc!F20)))/150)*(1-B315/150)))/100</f>
        <v/>
      </c>
    </row>
    <row r="317">
      <c r="A317" t="inlineStr">
        <is>
          <t>Skill + Buff Cast Rate</t>
        </is>
      </c>
      <c r="B317">
        <f>IF(AND(Inputs!$B$38&lt;&gt;"pvp",Inputs!$B$43&gt;0),SUMPRODUCT((Skills!E2:E26=TRUE)*(C287:C311=TRUE)*R287:R311*Skills!F2:F26)/Inputs!$B$43,SUMPRODUCT((Skills!E2:E26=TRUE)*(C287:C311=TRUE)*Q287:Q311*Skills!F2:F26))</f>
        <v/>
      </c>
    </row>
    <row r="318">
      <c r="A318" t="inlineStr">
        <is>
          <t>Raging Blow Casts Per Second</t>
        </is>
      </c>
      <c r="B318">
        <f>MAX(0,B316-B317)</f>
        <v/>
      </c>
    </row>
    <row r="319">
      <c r="A319" t="inlineStr">
        <is>
          <t>Global Critical Damage Bonus % (Enrage)</t>
        </is>
      </c>
      <c r="B319">
        <f>((C303=TRUE)*F303*IF(AND(Inputs!$B$38&lt;&gt;"pvp",Inputs!$B$43&gt;0),(((R303-1)*(Skills!T18*(1+Inputs!$B$34/100))+MIN((Skills!T18*(1+Inputs!$B$34/100)),MAX(0,Inputs!$B$43-((R303-1)*Skills!D18))))/Inputs!$B$43),IF(Inputs!$B$38="pvp",MIN((Skills!T18*(1+Inputs!$B$34/100)),15)/15,(Skills!T18*(1+Inputs!$B$34/100))/Skills!D18)))</f>
        <v/>
      </c>
    </row>
    <row r="320">
      <c r="A320" t="inlineStr">
        <is>
          <t>Global Final Damage Bonus % (Enrage + Combo Synergy)</t>
        </is>
      </c>
      <c r="B320">
        <f>((C302=TRUE)*F302*IF(AND(Inputs!$B$38&lt;&gt;"pvp",Inputs!$B$43&gt;0),(((R302-1)*(Skills!T17*(1+Inputs!$B$34/100))+MIN((Skills!T17*(1+Inputs!$B$34/100)),MAX(0,Inputs!$B$43-((R302-1)*Skills!D17))))/Inputs!$B$43),IF(Inputs!$B$38="pvp",MIN((Skills!T17*(1+Inputs!$B$34/100)),15)/15,(Skills!T17*(1+Inputs!$B$34/100))/Skills!D17)))+((C299=TRUE)*F299*IF(Inputs!$B$3&gt;=110,7,5))</f>
        <v/>
      </c>
    </row>
    <row r="321">
      <c r="A321" t="inlineStr">
        <is>
          <t>Buff-Casting Startup Delay (s, fixed-duration only)</t>
        </is>
      </c>
      <c r="B321">
        <f>IF(AND(Inputs!$B$38&lt;&gt;"pvp",Inputs!$B$43&gt;0),SUMPRODUCT((Skills!T2:T26&gt;0)*(Skills!E2:E26=TRUE)*(C287:C311=TRUE))/B316,0)</f>
        <v/>
      </c>
    </row>
    <row r="322">
      <c r="A322" t="inlineStr">
        <is>
          <t>Boss-Only Total DPS (this block's swept value)</t>
        </is>
      </c>
      <c r="B322">
        <f>SUM(T287:T311)</f>
        <v/>
      </c>
    </row>
    <row r="323">
      <c r="A323" t="inlineStr">
        <is>
          <t>Normal-Only Total DPS (this block's swept value)</t>
        </is>
      </c>
      <c r="B323">
        <f>SUM(V287:V311)</f>
        <v/>
      </c>
    </row>
    <row r="324">
      <c r="A324" s="5" t="inlineStr">
        <is>
          <t>TOTAL DPS</t>
        </is>
      </c>
      <c r="B324" s="5">
        <f>SUM(O287:O311)</f>
        <v/>
      </c>
    </row>
    <row r="327">
      <c r="A327" s="5" t="inlineStr">
        <is>
          <t>Stat: FINAL_DAMAGE % (multiplicative source)</t>
        </is>
      </c>
    </row>
    <row r="328">
      <c r="A328" s="9" t="inlineStr">
        <is>
          <t>Key</t>
        </is>
      </c>
      <c r="B328" s="9" t="inlineStr">
        <is>
          <t>Name</t>
        </is>
      </c>
      <c r="C328" s="9" t="inlineStr">
        <is>
          <t>Unlocked</t>
        </is>
      </c>
      <c r="D328" s="9" t="inlineStr">
        <is>
          <t>InputLevel</t>
        </is>
      </c>
      <c r="E328" s="9" t="inlineStr">
        <is>
          <t>Factor</t>
        </is>
      </c>
      <c r="F328" s="9" t="inlineStr">
        <is>
          <t>CoefficientPercent</t>
        </is>
      </c>
      <c r="G328" s="9" t="inlineStr">
        <is>
          <t>EffectiveHits</t>
        </is>
      </c>
      <c r="H328" s="9" t="inlineStr">
        <is>
          <t>ProcProbability</t>
        </is>
      </c>
      <c r="I328" s="9" t="inlineStr">
        <is>
          <t>MapleHeroMultiplier</t>
        </is>
      </c>
      <c r="J328" s="9" t="inlineStr">
        <is>
          <t>BaseDamage</t>
        </is>
      </c>
      <c r="K328" s="9" t="inlineStr">
        <is>
          <t>BaseHitDamage</t>
        </is>
      </c>
      <c r="L328" s="9" t="inlineStr">
        <is>
          <t>NonCritAvg</t>
        </is>
      </c>
      <c r="M328" s="9" t="inlineStr">
        <is>
          <t>CritAvg</t>
        </is>
      </c>
      <c r="N328" s="9" t="inlineStr">
        <is>
          <t>ExpectedDamage(perHit)</t>
        </is>
      </c>
      <c r="O328" s="9" t="inlineStr">
        <is>
          <t>DPS</t>
        </is>
      </c>
      <c r="P328" s="9" t="inlineStr">
        <is>
          <t>% of Total</t>
        </is>
      </c>
      <c r="Q328" s="9" t="inlineStr">
        <is>
          <t>InvCooldown</t>
        </is>
      </c>
      <c r="R328" s="9" t="inlineStr">
        <is>
          <t>CastsInFight</t>
        </is>
      </c>
      <c r="S328" s="9" t="inlineStr">
        <is>
          <t>HitRate(perSec)</t>
        </is>
      </c>
      <c r="U328" t="inlineStr">
        <is>
          <t>helpers</t>
        </is>
      </c>
    </row>
    <row r="329">
      <c r="A329">
        <f>Skills!A2</f>
        <v/>
      </c>
      <c r="B329">
        <f>Skills!B2</f>
        <v/>
      </c>
      <c r="C329">
        <f>Inputs!$B$3&gt;=100</f>
        <v/>
      </c>
      <c r="D329" t="inlineStr"/>
      <c r="E329" t="inlineStr"/>
      <c r="F329">
        <f>U331+Skills!O2</f>
        <v/>
      </c>
      <c r="G329">
        <f>Skills!G2*IF(Skills!H2&gt;0,Skills!I2/Skills!H2,1)</f>
        <v/>
      </c>
      <c r="H329">
        <f>1-(1-Skills!J2/100)^Skills!K2</f>
        <v/>
      </c>
      <c r="I329" t="inlineStr">
        <is>
          <t>1</t>
        </is>
      </c>
      <c r="J329">
        <f>((Inputs!$B$6*(1+Inputs!$B$7/100))+(((Inputs!$B$12*(1+Inputs!$B$13/100))-(Inputs!$B$12*(1+Inputs!$B$13/100)))+0.25*(Inputs!$B$14-Inputs!$B$14))*(1+Inputs!$B$7/100))*(F329/100)</f>
        <v/>
      </c>
      <c r="K329">
        <f>J329*(1+((Inputs!$B$12*(1+Inputs!$B$13/100))*0.01+Inputs!$B$14*0.0025)/100)*(1+Inputs!$B$15/100)*(1+Inputs!$B$16/100)*(5000/(6000+Inputs!$B$42*(1-(Inputs!$B$19+0)/100)))*(1+(((((1+Inputs!$B$24/100)*(1.01))-1)*100)+((C352=TRUE)*(F352-Calc!F25))+B362)/100)*(1+IF(Skills!A2="ENHANCED_RAGING_BLOW",IF(Inputs!$B$3&gt;=134,MAX(0,IF(Inputs!$B$3&gt;=110,7,5)-5)*50,0),0)/100)*(1+(IF(Skills!A2="RAGING_BLOW",Inputs!$B$17+((C348=TRUE)*(F348-Calc!F21)),Inputs!$B$18+((C350=TRUE)*(F350-Calc!F23))))/100)*((1+(((C340=TRUE)*F340*IF(Inputs!$B$3&gt;=110,7,5))+((C342=TRUE)*F342*IF(AND(Inputs!$B$38&lt;&gt;"pvp",Inputs!$B$43&gt;0),(((R342-1)*(Skills!T15*(1+Inputs!$B$34/100))+MIN((Skills!T15*(1+Inputs!$B$34/100)),MAX(0,Inputs!$B$43-((R342-1)*Skills!D15))))/Inputs!$B$43),IF(Inputs!$B$38="pvp",MIN((Skills!T15*(1+Inputs!$B$34/100)),15)/15,(Skills!T15*(1+Inputs!$B$34/100))/Skills!D15)))+0)/100)*I329)</f>
        <v/>
      </c>
      <c r="L329">
        <f>K329*(MIN(Inputs!$B$22+((C349=TRUE)*(F349-Calc!F22)),Inputs!$B$23+((C351=TRUE)*(F351-Calc!F24)))/100+(Inputs!$B$23+((C351=TRUE)*(F351-Calc!F24)))/100)/2</f>
        <v/>
      </c>
      <c r="M329">
        <f>L329*(1+(Inputs!$B$10+0+B361)/100)</f>
        <v/>
      </c>
      <c r="N329">
        <f>L329*(1-MIN((Inputs!$B$9+((C353=TRUE)*(F353-Calc!F26))+B356),100)/100)+M329*(MIN((Inputs!$B$9+((C353=TRUE)*(F353-Calc!F26))+B356),100)/100)</f>
        <v/>
      </c>
      <c r="O329">
        <f>(1-Summary!$B$55)*T329+Summary!$B$55*V329</f>
        <v/>
      </c>
      <c r="P329">
        <f>IF(B366=0,0,O329/B366)</f>
        <v/>
      </c>
      <c r="Q329" t="n">
        <v>0</v>
      </c>
      <c r="R329" t="n">
        <v>0</v>
      </c>
      <c r="S329">
        <f>IFERROR(O329/N329,0)</f>
        <v/>
      </c>
      <c r="T329">
        <f>IF(C329,(Skills!G2*N329*B360)*IF(Inputs!$B$38="pvp",1,1+(Inputs!$B$20+0+Skills!P2+Summary!$B$59)/100),0)</f>
        <v/>
      </c>
      <c r="U329">
        <f>MAX(0,(Inputs!$B$3-100)*3)+Inputs!$B$28+Inputs!$B$29</f>
        <v/>
      </c>
      <c r="V329">
        <f>IF(C329,(Skills!G2*N329*B360)*IF(Inputs!$B$38="pvp",1,(1+(Inputs!$B$21+Skills!Q2+Summary!$B$59)/100)*(MIN((6+Inputs!$B$33),Inputs!$B$37))),0)</f>
        <v/>
      </c>
    </row>
    <row r="330">
      <c r="A330">
        <f>Skills!A3</f>
        <v/>
      </c>
      <c r="B330">
        <f>Skills!B3</f>
        <v/>
      </c>
      <c r="C330">
        <f>Inputs!$B$3&gt;=50</f>
        <v/>
      </c>
      <c r="D330">
        <f>IF(Skills!C3=1,60+Inputs!$B$25+Inputs!$B$29,IF(Skills!C3=2,90+Inputs!$B$26+Inputs!$B$29,IF(Skills!C3=3,120+Inputs!$B$27+Inputs!$B$29,MAX(0,(Inputs!$B$3-100)*3)+Inputs!$B$28+Inputs!$B$29)))</f>
        <v/>
      </c>
      <c r="E330">
        <f>INDEX(FactorTable!$B$2:$Y$301, MATCH(ROUND(MIN(300,MAX(1,D330)),0), FactorTable!$A$2:$A$301,0), Skills!M3+1)</f>
        <v/>
      </c>
      <c r="F330">
        <f>IF(Skills!N3=TRUE,(Skills!L3/10)*(E330/1000),Skills!L3/10)+Skills!O3</f>
        <v/>
      </c>
      <c r="G330" t="inlineStr"/>
      <c r="H330" t="inlineStr"/>
      <c r="I330" t="inlineStr">
        <is>
          <t>1</t>
        </is>
      </c>
      <c r="J330" t="inlineStr"/>
      <c r="K330" t="inlineStr"/>
      <c r="L330" t="inlineStr"/>
      <c r="M330" t="inlineStr"/>
      <c r="N330" t="inlineStr"/>
      <c r="O330" t="inlineStr"/>
      <c r="P330" t="inlineStr"/>
      <c r="Q330" t="inlineStr"/>
      <c r="R330" t="inlineStr"/>
      <c r="S330" t="inlineStr"/>
      <c r="U330">
        <f>INDEX(FactorTable!$B$2:$Y$301, MATCH(ROUND(MIN(300,MAX(1,U329)),0), FactorTable!$A$2:$A$301,0), 22)</f>
        <v/>
      </c>
    </row>
    <row r="331">
      <c r="A331">
        <f>Skills!A4</f>
        <v/>
      </c>
      <c r="B331">
        <f>Skills!B4</f>
        <v/>
      </c>
      <c r="C331">
        <f>Inputs!$B$3&gt;=105</f>
        <v/>
      </c>
      <c r="D331">
        <f>IF(Skills!C4=1,60+Inputs!$B$25+Inputs!$B$29,IF(Skills!C4=2,90+Inputs!$B$26+Inputs!$B$29,IF(Skills!C4=3,120+Inputs!$B$27+Inputs!$B$29,MAX(0,(Inputs!$B$3-100)*3)+Inputs!$B$28+Inputs!$B$29)))</f>
        <v/>
      </c>
      <c r="E331">
        <f>INDEX(FactorTable!$B$2:$Y$301, MATCH(ROUND(MIN(300,MAX(1,D331)),0), FactorTable!$A$2:$A$301,0), Skills!M4+1)</f>
        <v/>
      </c>
      <c r="F331">
        <f>IF(Skills!N4=TRUE,(Skills!L4/10)*(E331/1000),Skills!L4/10)+Skills!O4</f>
        <v/>
      </c>
      <c r="G331" t="inlineStr"/>
      <c r="H331" t="inlineStr"/>
      <c r="I331" t="inlineStr">
        <is>
          <t>1</t>
        </is>
      </c>
      <c r="J331" t="inlineStr"/>
      <c r="K331" t="inlineStr"/>
      <c r="L331" t="inlineStr"/>
      <c r="M331" t="inlineStr"/>
      <c r="N331" t="inlineStr"/>
      <c r="O331" t="inlineStr"/>
      <c r="P331" t="inlineStr"/>
      <c r="Q331" t="inlineStr"/>
      <c r="R331" t="inlineStr"/>
      <c r="S331" t="inlineStr"/>
      <c r="U331">
        <f>290*U330/1000</f>
        <v/>
      </c>
    </row>
    <row r="332">
      <c r="A332">
        <f>Skills!A5</f>
        <v/>
      </c>
      <c r="B332">
        <f>Skills!B5</f>
        <v/>
      </c>
      <c r="C332">
        <f>Inputs!$B$3&gt;=103</f>
        <v/>
      </c>
      <c r="D332">
        <f>IF(Skills!C5=1,60+Inputs!$B$25+Inputs!$B$29,IF(Skills!C5=2,90+Inputs!$B$26+Inputs!$B$29,IF(Skills!C5=3,120+Inputs!$B$27+Inputs!$B$29,MAX(0,(Inputs!$B$3-100)*3)+Inputs!$B$28+Inputs!$B$29)))</f>
        <v/>
      </c>
      <c r="E332">
        <f>INDEX(FactorTable!$B$2:$Y$301, MATCH(ROUND(MIN(300,MAX(1,D332)),0), FactorTable!$A$2:$A$301,0), Skills!M5+1)</f>
        <v/>
      </c>
      <c r="F332">
        <f>IF(Skills!N5=TRUE,(Skills!L5/10)*(E332/1000),Skills!L5/10)+Skills!O5</f>
        <v/>
      </c>
      <c r="G332">
        <f>Skills!G5*IF(Skills!H5&gt;0,Skills!I5/Skills!H5,1)</f>
        <v/>
      </c>
      <c r="H332">
        <f>1-(1-Skills!J5/100)^Skills!K5</f>
        <v/>
      </c>
      <c r="I332" t="inlineStr">
        <is>
          <t>1</t>
        </is>
      </c>
      <c r="J332">
        <f>((Inputs!$B$6*(1+Inputs!$B$7/100))+(((Inputs!$B$12*(1+Inputs!$B$13/100))-(Inputs!$B$12*(1+Inputs!$B$13/100)))+0.25*(Inputs!$B$14-Inputs!$B$14))*(1+Inputs!$B$7/100))*(F332/100)</f>
        <v/>
      </c>
      <c r="K332">
        <f>J332*(1+((Inputs!$B$12*(1+Inputs!$B$13/100))*0.01+Inputs!$B$14*0.0025)/100)*(1+Inputs!$B$15/100)*(1+Inputs!$B$16/100)*(5000/(6000+Inputs!$B$42*(1-(Inputs!$B$19+0)/100)))*(1+(((((1+Inputs!$B$24/100)*(1.01))-1)*100)+((C352=TRUE)*(F352-Calc!F25))+B362)/100)*(1+IF(Skills!A5="ENHANCED_RAGING_BLOW",IF(Inputs!$B$3&gt;=134,MAX(0,IF(Inputs!$B$3&gt;=110,7,5)-5)*50,0),0)/100)*(1+(IF(Skills!A5="RAGING_BLOW",Inputs!$B$17+((C348=TRUE)*(F348-Calc!F21)),Inputs!$B$18+((C350=TRUE)*(F350-Calc!F23))))/100)*((1+(((C340=TRUE)*F340*IF(Inputs!$B$3&gt;=110,7,5))+((C342=TRUE)*F342*IF(AND(Inputs!$B$38&lt;&gt;"pvp",Inputs!$B$43&gt;0),(((R342-1)*(Skills!T15*(1+Inputs!$B$34/100))+MIN((Skills!T15*(1+Inputs!$B$34/100)),MAX(0,Inputs!$B$43-((R342-1)*Skills!D15))))/Inputs!$B$43),IF(Inputs!$B$38="pvp",MIN((Skills!T15*(1+Inputs!$B$34/100)),15)/15,(Skills!T15*(1+Inputs!$B$34/100))/Skills!D15)))+0)/100)*I332)</f>
        <v/>
      </c>
      <c r="L332">
        <f>K332*(MIN(Inputs!$B$22+((C349=TRUE)*(F349-Calc!F22)),Inputs!$B$23+((C351=TRUE)*(F351-Calc!F24)))/100+(Inputs!$B$23+((C351=TRUE)*(F351-Calc!F24)))/100)/2</f>
        <v/>
      </c>
      <c r="M332">
        <f>L332*(1+(Inputs!$B$10+0+B361)/100)</f>
        <v/>
      </c>
      <c r="N332">
        <f>L332*(1-MIN((Inputs!$B$9+((C353=TRUE)*(F353-Calc!F26))+B356),100)/100)+M332*(MIN((Inputs!$B$9+((C353=TRUE)*(F353-Calc!F26))+B356),100)/100)</f>
        <v/>
      </c>
      <c r="O332">
        <f>(1-Summary!$B$55)*T332+Summary!$B$55*V332</f>
        <v/>
      </c>
      <c r="P332">
        <f>IF(B366=0,0,O332/B366)</f>
        <v/>
      </c>
      <c r="Q332">
        <f>IFERROR(1/IF(Inputs!$B$38="pvp",15,MAX(0.1,Skills!D5-IF(Skills!E5=TRUE,Inputs!$B$32,0))),0)</f>
        <v/>
      </c>
      <c r="R332">
        <f>IF(AND(Inputs!$B$38&lt;&gt;"pvp",Inputs!$B$43&gt;0),IF(MAX(0,Inputs!$B$43-B363)&lt;=0,0,(INT(MAX(0,Inputs!$B$43-B363)/IF(Inputs!$B$38="pvp",15,MAX(0.1,Skills!D5-IF(Skills!E5=TRUE,Inputs!$B$32,0))))+1)),0)</f>
        <v/>
      </c>
      <c r="S332">
        <f>IFERROR(O332/N332,0)</f>
        <v/>
      </c>
      <c r="T332">
        <f>IF(C332,(H332*N332*IF(AND(Inputs!$B$38&lt;&gt;"pvp",Inputs!$B$43&gt;0),((Skills!G5*((R332-1)*IF(Skills!H5&gt;0,Skills!I5/Skills!H5,1)+IF(Skills!H5&gt;0,MIN(Skills!I5,MAX(0,MAX(0,Inputs!$B$43-B363)-((R332-1)*IF(Inputs!$B$38="pvp",15,MAX(0.1,Skills!D5-IF(Skills!E5=TRUE,Inputs!$B$32,0))))))/Skills!H5,1)))/Inputs!$B$43),G332*Q332))*IF(Inputs!$B$38="pvp",1,1+(Inputs!$B$20+0+Skills!P5+Summary!$B$59)/100),0)</f>
        <v/>
      </c>
      <c r="V332">
        <f>IF(C332,(H332*N332*IF(AND(Inputs!$B$38&lt;&gt;"pvp",Inputs!$B$43&gt;0),((Skills!G5*((R332-1)*IF(Skills!H5&gt;0,Skills!I5/Skills!H5,1)+IF(Skills!H5&gt;0,MIN(Skills!I5,MAX(0,MAX(0,Inputs!$B$43-B363)-((R332-1)*IF(Inputs!$B$38="pvp",15,MAX(0.1,Skills!D5-IF(Skills!E5=TRUE,Inputs!$B$32,0))))))/Skills!H5,1)))/Inputs!$B$43),G332*Q332))*IF(Inputs!$B$38="pvp",1,(1+(Inputs!$B$21+Skills!Q5+Summary!$B$59)/100)*(MIN(Skills!R5,Inputs!$B$37))),0)</f>
        <v/>
      </c>
    </row>
    <row r="333">
      <c r="A333">
        <f>Skills!A6</f>
        <v/>
      </c>
      <c r="B333">
        <f>Skills!B6</f>
        <v/>
      </c>
      <c r="C333">
        <f>Inputs!$B$3&gt;=103</f>
        <v/>
      </c>
      <c r="D333">
        <f>IF(Skills!C6=1,60+Inputs!$B$25+Inputs!$B$29,IF(Skills!C6=2,90+Inputs!$B$26+Inputs!$B$29,IF(Skills!C6=3,120+Inputs!$B$27+Inputs!$B$29,MAX(0,(Inputs!$B$3-100)*3)+Inputs!$B$28+Inputs!$B$29)))</f>
        <v/>
      </c>
      <c r="E333">
        <f>INDEX(FactorTable!$B$2:$Y$301, MATCH(ROUND(MIN(300,MAX(1,D333)),0), FactorTable!$A$2:$A$301,0), Skills!M6+1)</f>
        <v/>
      </c>
      <c r="F333">
        <f>IF(Skills!N6=TRUE,(Skills!L6/10)*(E333/1000),Skills!L6/10)+Skills!O6</f>
        <v/>
      </c>
      <c r="G333">
        <f>Skills!G6*IF(Skills!H6&gt;0,Skills!I6/Skills!H6,1)</f>
        <v/>
      </c>
      <c r="H333">
        <f>1-(1-Skills!J6/100)^Skills!K6</f>
        <v/>
      </c>
      <c r="I333" t="inlineStr">
        <is>
          <t>1</t>
        </is>
      </c>
      <c r="J333">
        <f>((Inputs!$B$6*(1+Inputs!$B$7/100))+(((Inputs!$B$12*(1+Inputs!$B$13/100))-(Inputs!$B$12*(1+Inputs!$B$13/100)))+0.25*(Inputs!$B$14-Inputs!$B$14))*(1+Inputs!$B$7/100))*(F333/100)</f>
        <v/>
      </c>
      <c r="K333">
        <f>J333*(1+((Inputs!$B$12*(1+Inputs!$B$13/100))*0.01+Inputs!$B$14*0.0025)/100)*(1+Inputs!$B$15/100)*(1+Inputs!$B$16/100)*(5000/(6000+Inputs!$B$42*(1-(Inputs!$B$19+0)/100)))*(1+(((((1+Inputs!$B$24/100)*(1.01))-1)*100)+((C352=TRUE)*(F352-Calc!F25))+B362)/100)*(1+IF(Skills!A6="ENHANCED_RAGING_BLOW",IF(Inputs!$B$3&gt;=134,MAX(0,IF(Inputs!$B$3&gt;=110,7,5)-5)*50,0),0)/100)*(1+(IF(Skills!A6="RAGING_BLOW",Inputs!$B$17+((C348=TRUE)*(F348-Calc!F21)),Inputs!$B$18+((C350=TRUE)*(F350-Calc!F23))))/100)*((1+(((C340=TRUE)*F340*IF(Inputs!$B$3&gt;=110,7,5))+((C342=TRUE)*F342*IF(AND(Inputs!$B$38&lt;&gt;"pvp",Inputs!$B$43&gt;0),(((R342-1)*(Skills!T15*(1+Inputs!$B$34/100))+MIN((Skills!T15*(1+Inputs!$B$34/100)),MAX(0,Inputs!$B$43-((R342-1)*Skills!D15))))/Inputs!$B$43),IF(Inputs!$B$38="pvp",MIN((Skills!T15*(1+Inputs!$B$34/100)),15)/15,(Skills!T15*(1+Inputs!$B$34/100))/Skills!D15)))+0)/100)*I333)</f>
        <v/>
      </c>
      <c r="L333">
        <f>K333*(MIN(Inputs!$B$22+((C349=TRUE)*(F349-Calc!F22)),Inputs!$B$23+((C351=TRUE)*(F351-Calc!F24)))/100+(Inputs!$B$23+((C351=TRUE)*(F351-Calc!F24)))/100)/2</f>
        <v/>
      </c>
      <c r="M333">
        <f>L333*(1+(Inputs!$B$10+0+B361)/100)</f>
        <v/>
      </c>
      <c r="N333">
        <f>L333*(1-MIN((Inputs!$B$9+((C353=TRUE)*(F353-Calc!F26))+B356),100)/100)+M333*(MIN((Inputs!$B$9+((C353=TRUE)*(F353-Calc!F26))+B356),100)/100)</f>
        <v/>
      </c>
      <c r="O333">
        <f>(1-Summary!$B$55)*T333+Summary!$B$55*V333</f>
        <v/>
      </c>
      <c r="P333">
        <f>IF(B366=0,0,O333/B366)</f>
        <v/>
      </c>
      <c r="Q333">
        <f>IFERROR(1/IF(Inputs!$B$38="pvp",15,MAX(0.1,Skills!D6-IF(Skills!E6=TRUE,Inputs!$B$32,0))),0)</f>
        <v/>
      </c>
      <c r="R333">
        <f>IF(AND(Inputs!$B$38&lt;&gt;"pvp",Inputs!$B$43&gt;0),IF(MAX(0,Inputs!$B$43-B363)&lt;=0,0,(INT(MAX(0,Inputs!$B$43-B363)/IF(Inputs!$B$38="pvp",15,MAX(0.1,Skills!D6-IF(Skills!E6=TRUE,Inputs!$B$32,0))))+1)),0)</f>
        <v/>
      </c>
      <c r="S333">
        <f>IFERROR(O333/N333,0)</f>
        <v/>
      </c>
      <c r="T333">
        <f>IF(C333,(H333*N333*IF(AND(Inputs!$B$38&lt;&gt;"pvp",Inputs!$B$43&gt;0),((Skills!G6*((R333-1)*IF(Skills!H6&gt;0,Skills!I6/Skills!H6,1)+IF(Skills!H6&gt;0,MIN(Skills!I6,MAX(0,MAX(0,Inputs!$B$43-B363)-((R333-1)*IF(Inputs!$B$38="pvp",15,MAX(0.1,Skills!D6-IF(Skills!E6=TRUE,Inputs!$B$32,0))))))/Skills!H6,1)))/Inputs!$B$43),G333*Q333))*IF(Inputs!$B$38="pvp",1,1+(Inputs!$B$20+0+Skills!P6+Summary!$B$59)/100),0)</f>
        <v/>
      </c>
      <c r="V333">
        <f>IF(C333,(H333*N333*IF(AND(Inputs!$B$38&lt;&gt;"pvp",Inputs!$B$43&gt;0),((Skills!G6*((R333-1)*IF(Skills!H6&gt;0,Skills!I6/Skills!H6,1)+IF(Skills!H6&gt;0,MIN(Skills!I6,MAX(0,MAX(0,Inputs!$B$43-B363)-((R333-1)*IF(Inputs!$B$38="pvp",15,MAX(0.1,Skills!D6-IF(Skills!E6=TRUE,Inputs!$B$32,0))))))/Skills!H6,1)))/Inputs!$B$43),G333*Q333))*IF(Inputs!$B$38="pvp",1,(1+(Inputs!$B$21+Skills!Q6+Summary!$B$59)/100)*(MIN(Skills!R6,Inputs!$B$37))),0)</f>
        <v/>
      </c>
    </row>
    <row r="334">
      <c r="A334">
        <f>Skills!A7</f>
        <v/>
      </c>
      <c r="B334">
        <f>Skills!B7</f>
        <v/>
      </c>
      <c r="C334">
        <f>Inputs!$B$3&gt;=107</f>
        <v/>
      </c>
      <c r="D334">
        <f>IF(Skills!C7=1,60+Inputs!$B$25+Inputs!$B$29,IF(Skills!C7=2,90+Inputs!$B$26+Inputs!$B$29,IF(Skills!C7=3,120+Inputs!$B$27+Inputs!$B$29,MAX(0,(Inputs!$B$3-100)*3)+Inputs!$B$28+Inputs!$B$29)))</f>
        <v/>
      </c>
      <c r="E334">
        <f>INDEX(FactorTable!$B$2:$Y$301, MATCH(ROUND(MIN(300,MAX(1,D334)),0), FactorTable!$A$2:$A$301,0), Skills!M7+1)</f>
        <v/>
      </c>
      <c r="F334">
        <f>IF(Skills!N7=TRUE,(Skills!L7/10)*(E334/1000),Skills!L7/10)+Skills!O7</f>
        <v/>
      </c>
      <c r="G334">
        <f>Skills!G7*IF(Skills!H7&gt;0,Skills!I7/Skills!H7,1)</f>
        <v/>
      </c>
      <c r="H334">
        <f>1-(1-Skills!J7/100)^Skills!K7</f>
        <v/>
      </c>
      <c r="I334" t="inlineStr">
        <is>
          <t>1</t>
        </is>
      </c>
      <c r="J334">
        <f>((Inputs!$B$6*(1+Inputs!$B$7/100))+(((Inputs!$B$12*(1+Inputs!$B$13/100))-(Inputs!$B$12*(1+Inputs!$B$13/100)))+0.25*(Inputs!$B$14-Inputs!$B$14))*(1+Inputs!$B$7/100))*(F334/100)</f>
        <v/>
      </c>
      <c r="K334">
        <f>J334*(1+((Inputs!$B$12*(1+Inputs!$B$13/100))*0.01+Inputs!$B$14*0.0025)/100)*(1+Inputs!$B$15/100)*(1+Inputs!$B$16/100)*(5000/(6000+Inputs!$B$42*(1-(Inputs!$B$19+0)/100)))*(1+(((((1+Inputs!$B$24/100)*(1.01))-1)*100)+((C352=TRUE)*(F352-Calc!F25))+B362)/100)*(1+IF(Skills!A7="ENHANCED_RAGING_BLOW",IF(Inputs!$B$3&gt;=134,MAX(0,IF(Inputs!$B$3&gt;=110,7,5)-5)*50,0),0)/100)*(1+(IF(Skills!A7="RAGING_BLOW",Inputs!$B$17+((C348=TRUE)*(F348-Calc!F21)),Inputs!$B$18+((C350=TRUE)*(F350-Calc!F23))))/100)*((1+(((C340=TRUE)*F340*IF(Inputs!$B$3&gt;=110,7,5))+((C342=TRUE)*F342*IF(AND(Inputs!$B$38&lt;&gt;"pvp",Inputs!$B$43&gt;0),(((R342-1)*(Skills!T15*(1+Inputs!$B$34/100))+MIN((Skills!T15*(1+Inputs!$B$34/100)),MAX(0,Inputs!$B$43-((R342-1)*Skills!D15))))/Inputs!$B$43),IF(Inputs!$B$38="pvp",MIN((Skills!T15*(1+Inputs!$B$34/100)),15)/15,(Skills!T15*(1+Inputs!$B$34/100))/Skills!D15)))+0)/100)*I334)</f>
        <v/>
      </c>
      <c r="L334">
        <f>K334*(MIN(Inputs!$B$22+((C349=TRUE)*(F349-Calc!F22)),Inputs!$B$23+((C351=TRUE)*(F351-Calc!F24)))/100+(Inputs!$B$23+((C351=TRUE)*(F351-Calc!F24)))/100)/2</f>
        <v/>
      </c>
      <c r="M334">
        <f>L334*(1+(Inputs!$B$10+0+B361)/100)</f>
        <v/>
      </c>
      <c r="N334">
        <f>L334*(1-MIN((Inputs!$B$9+((C353=TRUE)*(F353-Calc!F26))+B356),100)/100)+M334*(MIN((Inputs!$B$9+((C353=TRUE)*(F353-Calc!F26))+B356),100)/100)</f>
        <v/>
      </c>
      <c r="O334">
        <f>(1-Summary!$B$55)*T334+Summary!$B$55*V334</f>
        <v/>
      </c>
      <c r="P334">
        <f>IF(B366=0,0,O334/B366)</f>
        <v/>
      </c>
      <c r="Q334">
        <f>IFERROR(1/IF(Inputs!$B$38="pvp",15,MAX(0.1,Skills!D7-IF(Skills!E7=TRUE,Inputs!$B$32,0))),0)</f>
        <v/>
      </c>
      <c r="R334">
        <f>IF(AND(Inputs!$B$38&lt;&gt;"pvp",Inputs!$B$43&gt;0),IF(MAX(0,Inputs!$B$43-B363)&lt;=0,0,(INT(MAX(0,Inputs!$B$43-B363)/IF(Inputs!$B$38="pvp",15,MAX(0.1,Skills!D7-IF(Skills!E7=TRUE,Inputs!$B$32,0))))+1)),0)</f>
        <v/>
      </c>
      <c r="S334">
        <f>IFERROR(O334/N334,0)</f>
        <v/>
      </c>
      <c r="T334">
        <f>IF(C334,(H334*N334*IF(AND(Inputs!$B$38&lt;&gt;"pvp",Inputs!$B$43&gt;0),((Skills!G7*((R334-1)*IF(Skills!H7&gt;0,Skills!I7/Skills!H7,1)+IF(Skills!H7&gt;0,MIN(Skills!I7,MAX(0,MAX(0,Inputs!$B$43-B363)-((R334-1)*IF(Inputs!$B$38="pvp",15,MAX(0.1,Skills!D7-IF(Skills!E7=TRUE,Inputs!$B$32,0))))))/Skills!H7,1)))/Inputs!$B$43),G334*Q334))*IF(Inputs!$B$38="pvp",1,1+(Inputs!$B$20+0+Skills!P7+Summary!$B$59)/100),0)</f>
        <v/>
      </c>
      <c r="V334">
        <f>IF(C334,(H334*N334*IF(AND(Inputs!$B$38&lt;&gt;"pvp",Inputs!$B$43&gt;0),((Skills!G7*((R334-1)*IF(Skills!H7&gt;0,Skills!I7/Skills!H7,1)+IF(Skills!H7&gt;0,MIN(Skills!I7,MAX(0,MAX(0,Inputs!$B$43-B363)-((R334-1)*IF(Inputs!$B$38="pvp",15,MAX(0.1,Skills!D7-IF(Skills!E7=TRUE,Inputs!$B$32,0))))))/Skills!H7,1)))/Inputs!$B$43),G334*Q334))*IF(Inputs!$B$38="pvp",1,(1+(Inputs!$B$21+Skills!Q7+Summary!$B$59)/100)*(MIN(Skills!R7,Inputs!$B$37))),0)</f>
        <v/>
      </c>
    </row>
    <row r="335">
      <c r="A335">
        <f>Skills!A8</f>
        <v/>
      </c>
      <c r="B335">
        <f>Skills!B8</f>
        <v/>
      </c>
      <c r="C335">
        <f>Inputs!$B$3&gt;=117</f>
        <v/>
      </c>
      <c r="D335">
        <f>IF(Skills!C8=1,60+Inputs!$B$25+Inputs!$B$29,IF(Skills!C8=2,90+Inputs!$B$26+Inputs!$B$29,IF(Skills!C8=3,120+Inputs!$B$27+Inputs!$B$29,MAX(0,(Inputs!$B$3-100)*3)+Inputs!$B$28+Inputs!$B$29)))</f>
        <v/>
      </c>
      <c r="E335">
        <f>INDEX(FactorTable!$B$2:$Y$301, MATCH(ROUND(MIN(300,MAX(1,D335)),0), FactorTable!$A$2:$A$301,0), Skills!M8+1)</f>
        <v/>
      </c>
      <c r="F335">
        <f>IF(Skills!N8=TRUE,(Skills!L8/10)*(E335/1000),Skills!L8/10)+Skills!O8</f>
        <v/>
      </c>
      <c r="G335">
        <f>Skills!G8*IF(Skills!H8&gt;0,Skills!I8/Skills!H8,1)</f>
        <v/>
      </c>
      <c r="H335">
        <f>1-(1-Skills!J8/100)^Skills!K8</f>
        <v/>
      </c>
      <c r="I335" t="inlineStr">
        <is>
          <t>1</t>
        </is>
      </c>
      <c r="J335">
        <f>((Inputs!$B$6*(1+Inputs!$B$7/100))+(((Inputs!$B$12*(1+Inputs!$B$13/100))-(Inputs!$B$12*(1+Inputs!$B$13/100)))+0.25*(Inputs!$B$14-Inputs!$B$14))*(1+Inputs!$B$7/100))*(F335/100)</f>
        <v/>
      </c>
      <c r="K335">
        <f>J335*(1+((Inputs!$B$12*(1+Inputs!$B$13/100))*0.01+Inputs!$B$14*0.0025)/100)*(1+Inputs!$B$15/100)*(1+Inputs!$B$16/100)*(5000/(6000+Inputs!$B$42*(1-(Inputs!$B$19+0)/100)))*(1+(((((1+Inputs!$B$24/100)*(1.01))-1)*100)+((C352=TRUE)*(F352-Calc!F25))+B362)/100)*(1+IF(Skills!A8="ENHANCED_RAGING_BLOW",IF(Inputs!$B$3&gt;=134,MAX(0,IF(Inputs!$B$3&gt;=110,7,5)-5)*50,0),0)/100)*(1+(IF(Skills!A8="RAGING_BLOW",Inputs!$B$17+((C348=TRUE)*(F348-Calc!F21)),Inputs!$B$18+((C350=TRUE)*(F350-Calc!F23))))/100)*((1+(((C340=TRUE)*F340*IF(Inputs!$B$3&gt;=110,7,5))+((C342=TRUE)*F342*IF(AND(Inputs!$B$38&lt;&gt;"pvp",Inputs!$B$43&gt;0),(((R342-1)*(Skills!T15*(1+Inputs!$B$34/100))+MIN((Skills!T15*(1+Inputs!$B$34/100)),MAX(0,Inputs!$B$43-((R342-1)*Skills!D15))))/Inputs!$B$43),IF(Inputs!$B$38="pvp",MIN((Skills!T15*(1+Inputs!$B$34/100)),15)/15,(Skills!T15*(1+Inputs!$B$34/100))/Skills!D15)))+0)/100)*I335)</f>
        <v/>
      </c>
      <c r="L335">
        <f>K335*(MIN(Inputs!$B$22+((C349=TRUE)*(F349-Calc!F22)),Inputs!$B$23+((C351=TRUE)*(F351-Calc!F24)))/100+(Inputs!$B$23+((C351=TRUE)*(F351-Calc!F24)))/100)/2</f>
        <v/>
      </c>
      <c r="M335">
        <f>L335*(1+(Inputs!$B$10+0+B361)/100)</f>
        <v/>
      </c>
      <c r="N335">
        <f>L335*(1-MIN((Inputs!$B$9+((C353=TRUE)*(F353-Calc!F26))+B356),100)/100)+M335*(MIN((Inputs!$B$9+((C353=TRUE)*(F353-Calc!F26))+B356),100)/100)</f>
        <v/>
      </c>
      <c r="O335">
        <f>(1-Summary!$B$55)*T335+Summary!$B$55*V335</f>
        <v/>
      </c>
      <c r="P335">
        <f>IF(B366=0,0,O335/B366)</f>
        <v/>
      </c>
      <c r="Q335">
        <f>IFERROR(1/IF(Inputs!$B$38="pvp",15,MAX(0.1,Skills!D8-IF(Skills!E8=TRUE,Inputs!$B$32,0))),0)</f>
        <v/>
      </c>
      <c r="R335">
        <f>IF(AND(Inputs!$B$38&lt;&gt;"pvp",Inputs!$B$43&gt;0),IF(MAX(0,Inputs!$B$43-B363)&lt;=0,0,(INT(MAX(0,Inputs!$B$43-B363)/IF(Inputs!$B$38="pvp",15,MAX(0.1,Skills!D8-IF(Skills!E8=TRUE,Inputs!$B$32,0))))+1)),0)</f>
        <v/>
      </c>
      <c r="S335">
        <f>IFERROR(O335/N335,0)</f>
        <v/>
      </c>
      <c r="T335">
        <f>IF(C335,(H335*N335*IF(AND(Inputs!$B$38&lt;&gt;"pvp",Inputs!$B$43&gt;0),((Skills!G8*((R335-1)*IF(Skills!H8&gt;0,Skills!I8/Skills!H8,1)+IF(Skills!H8&gt;0,MIN(Skills!I8,MAX(0,MAX(0,Inputs!$B$43-B363)-((R335-1)*IF(Inputs!$B$38="pvp",15,MAX(0.1,Skills!D8-IF(Skills!E8=TRUE,Inputs!$B$32,0))))))/Skills!H8,1)))/Inputs!$B$43),G335*Q335))*IF(Inputs!$B$38="pvp",1,1+(Inputs!$B$20+0+Skills!P8+Summary!$B$59)/100),0)</f>
        <v/>
      </c>
      <c r="V335">
        <f>IF(C335,(H335*N335*IF(AND(Inputs!$B$38&lt;&gt;"pvp",Inputs!$B$43&gt;0),((Skills!G8*((R335-1)*IF(Skills!H8&gt;0,Skills!I8/Skills!H8,1)+IF(Skills!H8&gt;0,MIN(Skills!I8,MAX(0,MAX(0,Inputs!$B$43-B363)-((R335-1)*IF(Inputs!$B$38="pvp",15,MAX(0.1,Skills!D8-IF(Skills!E8=TRUE,Inputs!$B$32,0))))))/Skills!H8,1)))/Inputs!$B$43),G335*Q335))*IF(Inputs!$B$38="pvp",1,(1+(Inputs!$B$21+Skills!Q8+Summary!$B$59)/100)*(MIN(Skills!R8,Inputs!$B$37))),0)</f>
        <v/>
      </c>
    </row>
    <row r="336">
      <c r="A336">
        <f>Skills!A9</f>
        <v/>
      </c>
      <c r="B336">
        <f>Skills!B9</f>
        <v/>
      </c>
      <c r="C336">
        <f>Inputs!$B$3&gt;=69</f>
        <v/>
      </c>
      <c r="D336">
        <f>IF(Skills!C9=1,60+Inputs!$B$25+Inputs!$B$29,IF(Skills!C9=2,90+Inputs!$B$26+Inputs!$B$29,IF(Skills!C9=3,120+Inputs!$B$27+Inputs!$B$29,MAX(0,(Inputs!$B$3-100)*3)+Inputs!$B$28+Inputs!$B$29)))</f>
        <v/>
      </c>
      <c r="E336">
        <f>INDEX(FactorTable!$B$2:$Y$301, MATCH(ROUND(MIN(300,MAX(1,D336)),0), FactorTable!$A$2:$A$301,0), Skills!M9+1)</f>
        <v/>
      </c>
      <c r="F336">
        <f>IF(Skills!N9=TRUE,(Skills!L9/10)*(E336/1000),Skills!L9/10)+Skills!O9</f>
        <v/>
      </c>
      <c r="G336">
        <f>Skills!G9*IF(Skills!H9&gt;0,Skills!I9/Skills!H9,1)</f>
        <v/>
      </c>
      <c r="H336">
        <f>1-(1-Skills!J9/100)^Skills!K9</f>
        <v/>
      </c>
      <c r="I336" t="inlineStr">
        <is>
          <t>1</t>
        </is>
      </c>
      <c r="J336">
        <f>((Inputs!$B$6*(1+Inputs!$B$7/100))+(((Inputs!$B$12*(1+Inputs!$B$13/100))-(Inputs!$B$12*(1+Inputs!$B$13/100)))+0.25*(Inputs!$B$14-Inputs!$B$14))*(1+Inputs!$B$7/100))*(F336/100)</f>
        <v/>
      </c>
      <c r="K336">
        <f>J336*(1+((Inputs!$B$12*(1+Inputs!$B$13/100))*0.01+Inputs!$B$14*0.0025)/100)*(1+Inputs!$B$15/100)*(1+Inputs!$B$16/100)*(5000/(6000+Inputs!$B$42*(1-(Inputs!$B$19+0)/100)))*(1+(((((1+Inputs!$B$24/100)*(1.01))-1)*100)+((C352=TRUE)*(F352-Calc!F25))+B362)/100)*(1+1.0*IF(C339=TRUE,F339,0)/100)*(1+IF(Skills!A9="ENHANCED_RAGING_BLOW",IF(Inputs!$B$3&gt;=134,MAX(0,IF(Inputs!$B$3&gt;=110,7,5)-5)*50,0),0)/100)*(1+(IF(Skills!A9="RAGING_BLOW",Inputs!$B$17+((C348=TRUE)*(F348-Calc!F21)),Inputs!$B$18+((C350=TRUE)*(F350-Calc!F23))))/100)*((1+(((C340=TRUE)*F340*IF(Inputs!$B$3&gt;=110,7,5))+((C342=TRUE)*F342*IF(AND(Inputs!$B$38&lt;&gt;"pvp",Inputs!$B$43&gt;0),(((R342-1)*(Skills!T15*(1+Inputs!$B$34/100))+MIN((Skills!T15*(1+Inputs!$B$34/100)),MAX(0,Inputs!$B$43-((R342-1)*Skills!D15))))/Inputs!$B$43),IF(Inputs!$B$38="pvp",MIN((Skills!T15*(1+Inputs!$B$34/100)),15)/15,(Skills!T15*(1+Inputs!$B$34/100))/Skills!D15)))+0)/100)*I336)</f>
        <v/>
      </c>
      <c r="L336">
        <f>K336*(MIN(Inputs!$B$22+((C349=TRUE)*(F349-Calc!F22)),Inputs!$B$23+((C351=TRUE)*(F351-Calc!F24)))/100+(Inputs!$B$23+((C351=TRUE)*(F351-Calc!F24)))/100)/2</f>
        <v/>
      </c>
      <c r="M336">
        <f>L336*(1+(Inputs!$B$10+0+B361)/100)</f>
        <v/>
      </c>
      <c r="N336">
        <f>L336*(1-MIN((Inputs!$B$9+((C353=TRUE)*(F353-Calc!F26))+B356),100)/100)+M336*(MIN((Inputs!$B$9+((C353=TRUE)*(F353-Calc!F26))+B356),100)/100)</f>
        <v/>
      </c>
      <c r="O336">
        <f>(1-Summary!$B$55)*T336+Summary!$B$55*V336</f>
        <v/>
      </c>
      <c r="P336">
        <f>IF(B366=0,0,O336/B366)</f>
        <v/>
      </c>
      <c r="Q336">
        <f>IFERROR(1/IF(Inputs!$B$38="pvp",15,MAX(0.1,Skills!D9-IF(Skills!E9=TRUE,Inputs!$B$32,0))),0)</f>
        <v/>
      </c>
      <c r="R336">
        <f>IF(AND(Inputs!$B$38&lt;&gt;"pvp",Inputs!$B$43&gt;0),IF(MAX(0,Inputs!$B$43-B363)&lt;=0,0,(INT(MAX(0,Inputs!$B$43-B363)/IF(Inputs!$B$38="pvp",15,MAX(0.1,Skills!D9-IF(Skills!E9=TRUE,Inputs!$B$32,0))))+1)),0)</f>
        <v/>
      </c>
      <c r="S336">
        <f>IFERROR(O336/N336,0)</f>
        <v/>
      </c>
      <c r="T336">
        <f>IF(C336,(H336*N336*IF(AND(Inputs!$B$38&lt;&gt;"pvp",Inputs!$B$43&gt;0),((Skills!G9*((R336-1)*IF(Skills!H9&gt;0,Skills!I9/Skills!H9,1)+IF(Skills!H9&gt;0,MIN(Skills!I9,MAX(0,MAX(0,Inputs!$B$43-B363)-((R336-1)*IF(Inputs!$B$38="pvp",15,MAX(0.1,Skills!D9-IF(Skills!E9=TRUE,Inputs!$B$32,0))))))/Skills!H9,1)))/Inputs!$B$43),G336*Q336))*IF(Inputs!$B$38="pvp",1,1+(Inputs!$B$20+0+Skills!P9+Summary!$B$59)/100),0)</f>
        <v/>
      </c>
      <c r="V336">
        <f>IF(C336,(H336*N336*IF(AND(Inputs!$B$38&lt;&gt;"pvp",Inputs!$B$43&gt;0),((Skills!G9*((R336-1)*IF(Skills!H9&gt;0,Skills!I9/Skills!H9,1)+IF(Skills!H9&gt;0,MIN(Skills!I9,MAX(0,MAX(0,Inputs!$B$43-B363)-((R336-1)*IF(Inputs!$B$38="pvp",15,MAX(0.1,Skills!D9-IF(Skills!E9=TRUE,Inputs!$B$32,0))))))/Skills!H9,1)))/Inputs!$B$43),G336*Q336))*IF(Inputs!$B$38="pvp",1,(1+(Inputs!$B$21+Skills!Q9+Summary!$B$59)/100)*(MIN(Skills!R9,Inputs!$B$37))),0)</f>
        <v/>
      </c>
    </row>
    <row r="337">
      <c r="A337">
        <f>Skills!A10</f>
        <v/>
      </c>
      <c r="B337">
        <f>Skills!B10</f>
        <v/>
      </c>
      <c r="C337">
        <f>Inputs!$B$3&gt;=63</f>
        <v/>
      </c>
      <c r="D337">
        <f>IF(Skills!C10=1,60+Inputs!$B$25+Inputs!$B$29,IF(Skills!C10=2,90+Inputs!$B$26+Inputs!$B$29,IF(Skills!C10=3,120+Inputs!$B$27+Inputs!$B$29,MAX(0,(Inputs!$B$3-100)*3)+Inputs!$B$28+Inputs!$B$29)))</f>
        <v/>
      </c>
      <c r="E337">
        <f>INDEX(FactorTable!$B$2:$Y$301, MATCH(ROUND(MIN(300,MAX(1,D337)),0), FactorTable!$A$2:$A$301,0), Skills!M10+1)</f>
        <v/>
      </c>
      <c r="F337">
        <f>IF(Skills!N10=TRUE,(Skills!L10/10)*(E337/1000),Skills!L10/10)+Skills!O10</f>
        <v/>
      </c>
      <c r="G337">
        <f>Skills!G10*IF(Skills!H10&gt;0,Skills!I10/Skills!H10,1)</f>
        <v/>
      </c>
      <c r="H337">
        <f>1-(1-Skills!J10/100)^Skills!K10</f>
        <v/>
      </c>
      <c r="I337" t="inlineStr">
        <is>
          <t>1</t>
        </is>
      </c>
      <c r="J337">
        <f>((Inputs!$B$6*(1+Inputs!$B$7/100))+(((Inputs!$B$12*(1+Inputs!$B$13/100))-(Inputs!$B$12*(1+Inputs!$B$13/100)))+0.25*(Inputs!$B$14-Inputs!$B$14))*(1+Inputs!$B$7/100))*(F337/100)</f>
        <v/>
      </c>
      <c r="K337">
        <f>J337*(1+((Inputs!$B$12*(1+Inputs!$B$13/100))*0.01+Inputs!$B$14*0.0025)/100)*(1+Inputs!$B$15/100)*(1+Inputs!$B$16/100)*(5000/(6000+Inputs!$B$42*(1-(Inputs!$B$19+0)/100)))*(1+(((((1+Inputs!$B$24/100)*(1.01))-1)*100)+((C352=TRUE)*(F352-Calc!F25))+B362)/100)*(1+1.5*IF(C339=TRUE,F339,0)/100)*(1+IF(Skills!A10="ENHANCED_RAGING_BLOW",IF(Inputs!$B$3&gt;=134,MAX(0,IF(Inputs!$B$3&gt;=110,7,5)-5)*50,0),0)/100)*(1+(IF(Skills!A10="RAGING_BLOW",Inputs!$B$17+((C348=TRUE)*(F348-Calc!F21)),Inputs!$B$18+((C350=TRUE)*(F350-Calc!F23))))/100)*((1+(((C340=TRUE)*F340*IF(Inputs!$B$3&gt;=110,7,5))+((C342=TRUE)*F342*IF(AND(Inputs!$B$38&lt;&gt;"pvp",Inputs!$B$43&gt;0),(((R342-1)*(Skills!T15*(1+Inputs!$B$34/100))+MIN((Skills!T15*(1+Inputs!$B$34/100)),MAX(0,Inputs!$B$43-((R342-1)*Skills!D15))))/Inputs!$B$43),IF(Inputs!$B$38="pvp",MIN((Skills!T15*(1+Inputs!$B$34/100)),15)/15,(Skills!T15*(1+Inputs!$B$34/100))/Skills!D15)))+0)/100)*I337)</f>
        <v/>
      </c>
      <c r="L337">
        <f>K337*(MIN(Inputs!$B$22+((C349=TRUE)*(F349-Calc!F22)),Inputs!$B$23+((C351=TRUE)*(F351-Calc!F24)))/100+(Inputs!$B$23+((C351=TRUE)*(F351-Calc!F24)))/100)/2</f>
        <v/>
      </c>
      <c r="M337">
        <f>L337*(1+(Inputs!$B$10+0+B361)/100)</f>
        <v/>
      </c>
      <c r="N337">
        <f>L337*(1-MIN((Inputs!$B$9+((C353=TRUE)*(F353-Calc!F26))+B356),100)/100)+M337*(MIN((Inputs!$B$9+((C353=TRUE)*(F353-Calc!F26))+B356),100)/100)</f>
        <v/>
      </c>
      <c r="O337">
        <f>(1-Summary!$B$55)*T337+Summary!$B$55*V337</f>
        <v/>
      </c>
      <c r="P337">
        <f>IF(B366=0,0,O337/B366)</f>
        <v/>
      </c>
      <c r="Q337">
        <f>IFERROR(1/IF(Inputs!$B$38="pvp",15,MAX(0.1,Skills!D10-IF(Skills!E10=TRUE,Inputs!$B$32,0))),0)</f>
        <v/>
      </c>
      <c r="R337">
        <f>IF(AND(Inputs!$B$38&lt;&gt;"pvp",Inputs!$B$43&gt;0),IF(MAX(0,Inputs!$B$43-B363)&lt;=0,0,(INT(MAX(0,Inputs!$B$43-B363)/IF(Inputs!$B$38="pvp",15,MAX(0.1,Skills!D10-IF(Skills!E10=TRUE,Inputs!$B$32,0))))+1)),0)</f>
        <v/>
      </c>
      <c r="S337">
        <f>IFERROR(O337/N337,0)</f>
        <v/>
      </c>
      <c r="T337">
        <f>IF(C337,(H337*N337*IF(AND(Inputs!$B$38&lt;&gt;"pvp",Inputs!$B$43&gt;0),((Skills!G10*((R337-1)*IF(Skills!H10&gt;0,Skills!I10/Skills!H10,1)+IF(Skills!H10&gt;0,MIN(Skills!I10,MAX(0,MAX(0,Inputs!$B$43-B363)-((R337-1)*IF(Inputs!$B$38="pvp",15,MAX(0.1,Skills!D10-IF(Skills!E10=TRUE,Inputs!$B$32,0))))))/Skills!H10,1)))/Inputs!$B$43),G337*Q337))*IF(Inputs!$B$38="pvp",1,1+(Inputs!$B$20+0+Skills!P10+Summary!$B$59)/100),0)</f>
        <v/>
      </c>
      <c r="V337">
        <f>IF(C337,(H337*N337*IF(AND(Inputs!$B$38&lt;&gt;"pvp",Inputs!$B$43&gt;0),((Skills!G10*((R337-1)*IF(Skills!H10&gt;0,Skills!I10/Skills!H10,1)+IF(Skills!H10&gt;0,MIN(Skills!I10,MAX(0,MAX(0,Inputs!$B$43-B363)-((R337-1)*IF(Inputs!$B$38="pvp",15,MAX(0.1,Skills!D10-IF(Skills!E10=TRUE,Inputs!$B$32,0))))))/Skills!H10,1)))/Inputs!$B$43),G337*Q337))*IF(Inputs!$B$38="pvp",1,(1+(Inputs!$B$21+Skills!Q10+Summary!$B$59)/100)*(MIN(Skills!R10,Inputs!$B$37))),0)</f>
        <v/>
      </c>
    </row>
    <row r="338">
      <c r="A338">
        <f>Skills!A11</f>
        <v/>
      </c>
      <c r="B338">
        <f>Skills!B11</f>
        <v/>
      </c>
      <c r="C338">
        <f>Inputs!$B$3&gt;=35</f>
        <v/>
      </c>
      <c r="D338">
        <f>IF(Skills!C11=1,60+Inputs!$B$25+Inputs!$B$29,IF(Skills!C11=2,90+Inputs!$B$26+Inputs!$B$29,IF(Skills!C11=3,120+Inputs!$B$27+Inputs!$B$29,MAX(0,(Inputs!$B$3-100)*3)+Inputs!$B$28+Inputs!$B$29)))</f>
        <v/>
      </c>
      <c r="E338">
        <f>INDEX(FactorTable!$B$2:$Y$301, MATCH(ROUND(MIN(300,MAX(1,D338)),0), FactorTable!$A$2:$A$301,0), Skills!M11+1)</f>
        <v/>
      </c>
      <c r="F338">
        <f>IF(Skills!N11=TRUE,(Skills!L11/10)*(E338/1000),Skills!L11/10)+Skills!O11</f>
        <v/>
      </c>
      <c r="G338">
        <f>Skills!G11*IF(Skills!H11&gt;0,Skills!I11/Skills!H11,1)</f>
        <v/>
      </c>
      <c r="H338">
        <f>1-(1-Skills!J11/100)^Skills!K11</f>
        <v/>
      </c>
      <c r="I338" t="inlineStr">
        <is>
          <t>1</t>
        </is>
      </c>
      <c r="J338">
        <f>((Inputs!$B$6*(1+Inputs!$B$7/100))+(((Inputs!$B$12*(1+Inputs!$B$13/100))-(Inputs!$B$12*(1+Inputs!$B$13/100)))+0.25*(Inputs!$B$14-Inputs!$B$14))*(1+Inputs!$B$7/100))*(F338/100)</f>
        <v/>
      </c>
      <c r="K338">
        <f>J338*(1+((Inputs!$B$12*(1+Inputs!$B$13/100))*0.01+Inputs!$B$14*0.0025)/100)*(1+Inputs!$B$15/100)*(1+Inputs!$B$16/100)*(5000/(6000+Inputs!$B$42*(1-(Inputs!$B$19+0)/100)))*(1+(((((1+Inputs!$B$24/100)*(1.01))-1)*100)+((C352=TRUE)*(F352-Calc!F25))+B362)/100)*(1+4.0*IF(C339=TRUE,F339,0)/100)*(1+IF(Skills!A11="ENHANCED_RAGING_BLOW",IF(Inputs!$B$3&gt;=134,MAX(0,IF(Inputs!$B$3&gt;=110,7,5)-5)*50,0),0)/100)*(1+(IF(Skills!A11="RAGING_BLOW",Inputs!$B$17+((C348=TRUE)*(F348-Calc!F21)),Inputs!$B$18+((C350=TRUE)*(F350-Calc!F23))))/100)*((1+(((C340=TRUE)*F340*IF(Inputs!$B$3&gt;=110,7,5))+((C342=TRUE)*F342*IF(AND(Inputs!$B$38&lt;&gt;"pvp",Inputs!$B$43&gt;0),(((R342-1)*(Skills!T15*(1+Inputs!$B$34/100))+MIN((Skills!T15*(1+Inputs!$B$34/100)),MAX(0,Inputs!$B$43-((R342-1)*Skills!D15))))/Inputs!$B$43),IF(Inputs!$B$38="pvp",MIN((Skills!T15*(1+Inputs!$B$34/100)),15)/15,(Skills!T15*(1+Inputs!$B$34/100))/Skills!D15)))+0)/100)*I338)</f>
        <v/>
      </c>
      <c r="L338">
        <f>K338*(MIN(Inputs!$B$22+((C349=TRUE)*(F349-Calc!F22)),Inputs!$B$23+((C351=TRUE)*(F351-Calc!F24)))/100+(Inputs!$B$23+((C351=TRUE)*(F351-Calc!F24)))/100)/2</f>
        <v/>
      </c>
      <c r="M338">
        <f>L338*(1+(Inputs!$B$10+0+B361)/100)</f>
        <v/>
      </c>
      <c r="N338">
        <f>L338*(1-MIN((Inputs!$B$9+((C353=TRUE)*(F353-Calc!F26))+B356),100)/100)+M338*(MIN((Inputs!$B$9+((C353=TRUE)*(F353-Calc!F26))+B356),100)/100)</f>
        <v/>
      </c>
      <c r="O338">
        <f>(1-Summary!$B$55)*T338+Summary!$B$55*V338</f>
        <v/>
      </c>
      <c r="P338">
        <f>IF(B366=0,0,O338/B366)</f>
        <v/>
      </c>
      <c r="Q338">
        <f>IFERROR(1/IF(Inputs!$B$38="pvp",15,MAX(0.1,Skills!D11-IF(Skills!E11=TRUE,Inputs!$B$32,0))),0)</f>
        <v/>
      </c>
      <c r="R338">
        <f>IF(AND(Inputs!$B$38&lt;&gt;"pvp",Inputs!$B$43&gt;0),IF(MAX(0,Inputs!$B$43-B363)&lt;=0,0,(INT(MAX(0,Inputs!$B$43-B363)/IF(Inputs!$B$38="pvp",15,MAX(0.1,Skills!D11-IF(Skills!E11=TRUE,Inputs!$B$32,0))))+1)),0)</f>
        <v/>
      </c>
      <c r="S338">
        <f>IFERROR(O338/N338,0)</f>
        <v/>
      </c>
      <c r="T338">
        <f>IF(C338,(H338*N338*IF(AND(Inputs!$B$38&lt;&gt;"pvp",Inputs!$B$43&gt;0),((Skills!G11*((R338-1)*IF(Skills!H11&gt;0,Skills!I11/Skills!H11,1)+IF(Skills!H11&gt;0,MIN(Skills!I11,MAX(0,MAX(0,Inputs!$B$43-B363)-((R338-1)*IF(Inputs!$B$38="pvp",15,MAX(0.1,Skills!D11-IF(Skills!E11=TRUE,Inputs!$B$32,0))))))/Skills!H11,1)))/Inputs!$B$43),G338*Q338))*IF(Inputs!$B$38="pvp",1,1+(Inputs!$B$20+0+Skills!P11+Summary!$B$59)/100),0)</f>
        <v/>
      </c>
      <c r="V338">
        <f>IF(C338,(H338*N338*IF(AND(Inputs!$B$38&lt;&gt;"pvp",Inputs!$B$43&gt;0),((Skills!G11*((R338-1)*IF(Skills!H11&gt;0,Skills!I11/Skills!H11,1)+IF(Skills!H11&gt;0,MIN(Skills!I11,MAX(0,MAX(0,Inputs!$B$43-B363)-((R338-1)*IF(Inputs!$B$38="pvp",15,MAX(0.1,Skills!D11-IF(Skills!E11=TRUE,Inputs!$B$32,0))))))/Skills!H11,1)))/Inputs!$B$43),G338*Q338))*IF(Inputs!$B$38="pvp",1,(1+(Inputs!$B$21+Skills!Q11+Summary!$B$59)/100)*(MIN(Skills!R11,Inputs!$B$37))),0)</f>
        <v/>
      </c>
    </row>
    <row r="339">
      <c r="A339">
        <f>Skills!A12</f>
        <v/>
      </c>
      <c r="B339">
        <f>Skills!B12</f>
        <v/>
      </c>
      <c r="C339">
        <f>Inputs!$B$3&gt;=100</f>
        <v/>
      </c>
      <c r="D339">
        <f>IF(Skills!C12=1,60+Inputs!$B$25+Inputs!$B$29,IF(Skills!C12=2,90+Inputs!$B$26+Inputs!$B$29,IF(Skills!C12=3,120+Inputs!$B$27+Inputs!$B$29,MAX(0,(Inputs!$B$3-100)*3)+Inputs!$B$28+Inputs!$B$29)))</f>
        <v/>
      </c>
      <c r="E339">
        <f>INDEX(FactorTable!$B$2:$Y$301, MATCH(ROUND(MIN(300,MAX(1,D339)),0), FactorTable!$A$2:$A$301,0), Skills!M12+1)</f>
        <v/>
      </c>
      <c r="F339">
        <f>IF(Skills!N12=TRUE,(Skills!L12/10)*(E339/1000),Skills!L12/10)+Skills!O12</f>
        <v/>
      </c>
      <c r="G339" t="inlineStr"/>
      <c r="H339" t="inlineStr"/>
      <c r="I339" t="inlineStr">
        <is>
          <t>1</t>
        </is>
      </c>
      <c r="J339" t="inlineStr"/>
      <c r="K339" t="inlineStr"/>
      <c r="L339" t="inlineStr"/>
      <c r="M339" t="inlineStr"/>
      <c r="N339" t="inlineStr"/>
      <c r="O339" t="inlineStr"/>
      <c r="P339" t="inlineStr"/>
      <c r="Q339" t="inlineStr"/>
      <c r="R339" t="inlineStr"/>
      <c r="S339" t="inlineStr"/>
    </row>
    <row r="340">
      <c r="A340">
        <f>Skills!A13</f>
        <v/>
      </c>
      <c r="B340">
        <f>Skills!B13</f>
        <v/>
      </c>
      <c r="C340">
        <f>Inputs!$B$3&gt;=45</f>
        <v/>
      </c>
      <c r="D340">
        <f>IF(Skills!C13=1,60+Inputs!$B$25+Inputs!$B$29,IF(Skills!C13=2,90+Inputs!$B$26+Inputs!$B$29,IF(Skills!C13=3,120+Inputs!$B$27+Inputs!$B$29,MAX(0,(Inputs!$B$3-100)*3)+Inputs!$B$28+Inputs!$B$29)))</f>
        <v/>
      </c>
      <c r="E340">
        <f>INDEX(FactorTable!$B$2:$Y$301, MATCH(ROUND(MIN(300,MAX(1,D340)),0), FactorTable!$A$2:$A$301,0), Skills!M13+1)</f>
        <v/>
      </c>
      <c r="F340">
        <f>IF(Skills!N13=TRUE,(Skills!L13/10)*(E340/1000),Skills!L13/10)+Skills!O13</f>
        <v/>
      </c>
      <c r="G340">
        <f>Skills!G13*IF(Skills!H13&gt;0,Skills!I13/Skills!H13,1)</f>
        <v/>
      </c>
      <c r="H340">
        <f>1-(1-Skills!J13/100)^Skills!K13</f>
        <v/>
      </c>
      <c r="I340" t="inlineStr">
        <is>
          <t>1</t>
        </is>
      </c>
      <c r="J340" t="inlineStr"/>
      <c r="K340" t="inlineStr"/>
      <c r="L340" t="inlineStr"/>
      <c r="M340" t="inlineStr"/>
      <c r="N340" t="inlineStr"/>
      <c r="O340">
        <f>(1-Summary!$B$55)*T340+Summary!$B$55*V340</f>
        <v/>
      </c>
      <c r="P340">
        <f>IF(B366=0,0,O340/B366)</f>
        <v/>
      </c>
      <c r="Q340" t="n">
        <v>0</v>
      </c>
      <c r="R340" t="n">
        <v>0</v>
      </c>
      <c r="S340">
        <f>IFERROR(O340/N340,0)</f>
        <v/>
      </c>
      <c r="T340" t="n">
        <v>0</v>
      </c>
      <c r="V340" t="n">
        <v>0</v>
      </c>
    </row>
    <row r="341">
      <c r="A341">
        <f>Skills!A14</f>
        <v/>
      </c>
      <c r="B341">
        <f>Skills!B14</f>
        <v/>
      </c>
      <c r="C341">
        <f>Inputs!$B$3&gt;=75</f>
        <v/>
      </c>
      <c r="D341">
        <f>IF(Skills!C14=1,60+Inputs!$B$25+Inputs!$B$29,IF(Skills!C14=2,90+Inputs!$B$26+Inputs!$B$29,IF(Skills!C14=3,120+Inputs!$B$27+Inputs!$B$29,MAX(0,(Inputs!$B$3-100)*3)+Inputs!$B$28+Inputs!$B$29)))</f>
        <v/>
      </c>
      <c r="E341">
        <f>INDEX(FactorTable!$B$2:$Y$301, MATCH(ROUND(MIN(300,MAX(1,D341)),0), FactorTable!$A$2:$A$301,0), Skills!M14+1)</f>
        <v/>
      </c>
      <c r="F341">
        <f>IF(Skills!N14=TRUE,(Skills!L14/10)*(E341/1000),Skills!L14/10)+Skills!O14</f>
        <v/>
      </c>
      <c r="G341">
        <f>Skills!G14*IF(Skills!H14&gt;0,Skills!I14/Skills!H14,1)</f>
        <v/>
      </c>
      <c r="H341">
        <f>1-(1-Skills!J14/100)^Skills!K14</f>
        <v/>
      </c>
      <c r="I341" t="inlineStr">
        <is>
          <t>1</t>
        </is>
      </c>
      <c r="J341" t="inlineStr"/>
      <c r="K341" t="inlineStr"/>
      <c r="L341" t="inlineStr"/>
      <c r="M341" t="inlineStr"/>
      <c r="N341" t="inlineStr"/>
      <c r="O341">
        <f>(1-Summary!$B$55)*T341+Summary!$B$55*V341</f>
        <v/>
      </c>
      <c r="P341">
        <f>IF(B366=0,0,O341/B366)</f>
        <v/>
      </c>
      <c r="Q341" t="n">
        <v>0</v>
      </c>
      <c r="R341" t="n">
        <v>0</v>
      </c>
      <c r="S341">
        <f>IFERROR(O341/N341,0)</f>
        <v/>
      </c>
      <c r="T341" t="n">
        <v>0</v>
      </c>
      <c r="V341" t="n">
        <v>0</v>
      </c>
    </row>
    <row r="342">
      <c r="A342">
        <f>Skills!A15</f>
        <v/>
      </c>
      <c r="B342">
        <f>Skills!B15</f>
        <v/>
      </c>
      <c r="C342">
        <f>Inputs!$B$3&gt;=40</f>
        <v/>
      </c>
      <c r="D342">
        <f>IF(Skills!C15=1,60+Inputs!$B$25+Inputs!$B$29,IF(Skills!C15=2,90+Inputs!$B$26+Inputs!$B$29,IF(Skills!C15=3,120+Inputs!$B$27+Inputs!$B$29,MAX(0,(Inputs!$B$3-100)*3)+Inputs!$B$28+Inputs!$B$29)))</f>
        <v/>
      </c>
      <c r="E342">
        <f>INDEX(FactorTable!$B$2:$Y$301, MATCH(ROUND(MIN(300,MAX(1,D342)),0), FactorTable!$A$2:$A$301,0), Skills!M15+1)</f>
        <v/>
      </c>
      <c r="F342">
        <f>IF(Skills!N15=TRUE,(Skills!L15/10)*(E342/1000),Skills!L15/10)+Skills!O15</f>
        <v/>
      </c>
      <c r="G342">
        <f>Skills!G15*IF(Skills!H15&gt;0,Skills!I15/Skills!H15,1)</f>
        <v/>
      </c>
      <c r="H342">
        <f>1-(1-Skills!J15/100)^Skills!K15</f>
        <v/>
      </c>
      <c r="I342" t="inlineStr">
        <is>
          <t>1</t>
        </is>
      </c>
      <c r="J342" t="inlineStr"/>
      <c r="K342" t="inlineStr"/>
      <c r="L342" t="inlineStr"/>
      <c r="M342" t="inlineStr"/>
      <c r="N342" t="inlineStr"/>
      <c r="O342">
        <f>(1-Summary!$B$55)*T342+Summary!$B$55*V342</f>
        <v/>
      </c>
      <c r="P342">
        <f>IF(B366=0,0,O342/B366)</f>
        <v/>
      </c>
      <c r="Q342">
        <f>IFERROR(1/IF(Inputs!$B$38="pvp",15,MAX(0.1,Skills!D15-IF(Skills!E15=TRUE,Inputs!$B$32,0))),0)</f>
        <v/>
      </c>
      <c r="R342">
        <f>IF(AND(Inputs!$B$38&lt;&gt;"pvp",Inputs!$B$43&gt;0),IF(Inputs!$B$43&lt;=0,0,(INT(Inputs!$B$43/IF(Inputs!$B$38="pvp",15,MAX(0.1,Skills!D15-IF(Skills!E15=TRUE,Inputs!$B$32,0))))+1)),0)</f>
        <v/>
      </c>
      <c r="S342">
        <f>IFERROR(O342/N342,0)</f>
        <v/>
      </c>
      <c r="T342" t="n">
        <v>0</v>
      </c>
      <c r="V342" t="n">
        <v>0</v>
      </c>
    </row>
    <row r="343">
      <c r="A343">
        <f>Skills!A16</f>
        <v/>
      </c>
      <c r="B343">
        <f>Skills!B16</f>
        <v/>
      </c>
      <c r="C343">
        <f>Inputs!$B$3&gt;=66</f>
        <v/>
      </c>
      <c r="D343">
        <f>IF(Skills!C16=1,60+Inputs!$B$25+Inputs!$B$29,IF(Skills!C16=2,90+Inputs!$B$26+Inputs!$B$29,IF(Skills!C16=3,120+Inputs!$B$27+Inputs!$B$29,MAX(0,(Inputs!$B$3-100)*3)+Inputs!$B$28+Inputs!$B$29)))</f>
        <v/>
      </c>
      <c r="E343">
        <f>INDEX(FactorTable!$B$2:$Y$301, MATCH(ROUND(MIN(300,MAX(1,D343)),0), FactorTable!$A$2:$A$301,0), Skills!M16+1)</f>
        <v/>
      </c>
      <c r="F343">
        <f>IF(Skills!N16=TRUE,(Skills!L16/10)*(E343/1000),Skills!L16/10)+Skills!O16</f>
        <v/>
      </c>
      <c r="G343">
        <f>Skills!G16*IF(Skills!H16&gt;0,Skills!I16/Skills!H16,1)</f>
        <v/>
      </c>
      <c r="H343">
        <f>1-(1-Skills!J16/100)^Skills!K16</f>
        <v/>
      </c>
      <c r="I343" t="inlineStr">
        <is>
          <t>1</t>
        </is>
      </c>
      <c r="J343" t="inlineStr"/>
      <c r="K343" t="inlineStr"/>
      <c r="L343" t="inlineStr"/>
      <c r="M343" t="inlineStr"/>
      <c r="N343" t="inlineStr"/>
      <c r="O343">
        <f>(1-Summary!$B$55)*T343+Summary!$B$55*V343</f>
        <v/>
      </c>
      <c r="P343">
        <f>IF(B366=0,0,O343/B366)</f>
        <v/>
      </c>
      <c r="Q343">
        <f>IFERROR(1/IF(Inputs!$B$38="pvp",15,MAX(0.1,Skills!D16-IF(Skills!E16=TRUE,Inputs!$B$32,0))),0)</f>
        <v/>
      </c>
      <c r="R343">
        <f>IF(AND(Inputs!$B$38&lt;&gt;"pvp",Inputs!$B$43&gt;0),IF(Inputs!$B$43&lt;=0,0,(INT(Inputs!$B$43/IF(Inputs!$B$38="pvp",15,MAX(0.1,Skills!D16-IF(Skills!E16=TRUE,Inputs!$B$32,0))))+1)),0)</f>
        <v/>
      </c>
      <c r="S343">
        <f>IFERROR(O343/N343,0)</f>
        <v/>
      </c>
      <c r="T343" t="n">
        <v>0</v>
      </c>
      <c r="V343" t="n">
        <v>0</v>
      </c>
    </row>
    <row r="344">
      <c r="A344">
        <f>Skills!A17</f>
        <v/>
      </c>
      <c r="B344">
        <f>Skills!B17</f>
        <v/>
      </c>
      <c r="C344">
        <f>Inputs!$B$3&gt;=115</f>
        <v/>
      </c>
      <c r="D344">
        <f>IF(Skills!C17=1,60+Inputs!$B$25+Inputs!$B$29,IF(Skills!C17=2,90+Inputs!$B$26+Inputs!$B$29,IF(Skills!C17=3,120+Inputs!$B$27+Inputs!$B$29,MAX(0,(Inputs!$B$3-100)*3)+Inputs!$B$28+Inputs!$B$29)))</f>
        <v/>
      </c>
      <c r="E344">
        <f>INDEX(FactorTable!$B$2:$Y$301, MATCH(ROUND(MIN(300,MAX(1,D344)),0), FactorTable!$A$2:$A$301,0), Skills!M17+1)</f>
        <v/>
      </c>
      <c r="F344">
        <f>IF(Skills!N17=TRUE,(Skills!L17/10)*(E344/1000),Skills!L17/10)+Skills!O17</f>
        <v/>
      </c>
      <c r="G344">
        <f>Skills!G17*IF(Skills!H17&gt;0,Skills!I17/Skills!H17,1)</f>
        <v/>
      </c>
      <c r="H344">
        <f>1-(1-Skills!J17/100)^Skills!K17</f>
        <v/>
      </c>
      <c r="I344" t="inlineStr">
        <is>
          <t>1</t>
        </is>
      </c>
      <c r="J344" t="inlineStr"/>
      <c r="K344" t="inlineStr"/>
      <c r="L344" t="inlineStr"/>
      <c r="M344" t="inlineStr"/>
      <c r="N344" t="inlineStr"/>
      <c r="O344">
        <f>(1-Summary!$B$55)*T344+Summary!$B$55*V344</f>
        <v/>
      </c>
      <c r="P344">
        <f>IF(B366=0,0,O344/B366)</f>
        <v/>
      </c>
      <c r="Q344">
        <f>IFERROR(1/IF(Inputs!$B$38="pvp",15,MAX(0.1,Skills!D17-IF(Skills!E17=TRUE,Inputs!$B$32,0))),0)</f>
        <v/>
      </c>
      <c r="R344">
        <f>IF(AND(Inputs!$B$38&lt;&gt;"pvp",Inputs!$B$43&gt;0),IF(Inputs!$B$43&lt;=0,0,(INT(Inputs!$B$43/IF(Inputs!$B$38="pvp",15,MAX(0.1,Skills!D17-IF(Skills!E17=TRUE,Inputs!$B$32,0))))+1)),0)</f>
        <v/>
      </c>
      <c r="S344">
        <f>IFERROR(O344/N344,0)</f>
        <v/>
      </c>
      <c r="T344" t="n">
        <v>0</v>
      </c>
      <c r="V344" t="n">
        <v>0</v>
      </c>
    </row>
    <row r="345">
      <c r="A345">
        <f>Skills!A18</f>
        <v/>
      </c>
      <c r="B345">
        <f>Skills!B18</f>
        <v/>
      </c>
      <c r="C345">
        <f>Inputs!$B$3&gt;=115</f>
        <v/>
      </c>
      <c r="D345">
        <f>IF(Skills!C18=1,60+Inputs!$B$25+Inputs!$B$29,IF(Skills!C18=2,90+Inputs!$B$26+Inputs!$B$29,IF(Skills!C18=3,120+Inputs!$B$27+Inputs!$B$29,MAX(0,(Inputs!$B$3-100)*3)+Inputs!$B$28+Inputs!$B$29)))</f>
        <v/>
      </c>
      <c r="E345">
        <f>INDEX(FactorTable!$B$2:$Y$301, MATCH(ROUND(MIN(300,MAX(1,D345)),0), FactorTable!$A$2:$A$301,0), Skills!M18+1)</f>
        <v/>
      </c>
      <c r="F345">
        <f>IF(Skills!N18=TRUE,(Skills!L18/10)*(E345/1000),Skills!L18/10)+Skills!O18</f>
        <v/>
      </c>
      <c r="G345">
        <f>Skills!G18*IF(Skills!H18&gt;0,Skills!I18/Skills!H18,1)</f>
        <v/>
      </c>
      <c r="H345">
        <f>1-(1-Skills!J18/100)^Skills!K18</f>
        <v/>
      </c>
      <c r="I345" t="inlineStr">
        <is>
          <t>1</t>
        </is>
      </c>
      <c r="J345" t="inlineStr"/>
      <c r="K345" t="inlineStr"/>
      <c r="L345" t="inlineStr"/>
      <c r="M345" t="inlineStr"/>
      <c r="N345" t="inlineStr"/>
      <c r="O345">
        <f>(1-Summary!$B$55)*T345+Summary!$B$55*V345</f>
        <v/>
      </c>
      <c r="P345">
        <f>IF(B366=0,0,O345/B366)</f>
        <v/>
      </c>
      <c r="Q345">
        <f>IFERROR(1/IF(Inputs!$B$38="pvp",15,MAX(0.1,Skills!D18-IF(Skills!E18=TRUE,Inputs!$B$32,0))),0)</f>
        <v/>
      </c>
      <c r="R345">
        <f>IF(AND(Inputs!$B$38&lt;&gt;"pvp",Inputs!$B$43&gt;0),IF(Inputs!$B$43&lt;=0,0,(INT(Inputs!$B$43/IF(Inputs!$B$38="pvp",15,MAX(0.1,Skills!D18-IF(Skills!E18=TRUE,Inputs!$B$32,0))))+1)),0)</f>
        <v/>
      </c>
      <c r="S345">
        <f>IFERROR(O345/N345,0)</f>
        <v/>
      </c>
      <c r="T345" t="n">
        <v>0</v>
      </c>
      <c r="V345" t="n">
        <v>0</v>
      </c>
    </row>
    <row r="346">
      <c r="A346">
        <f>Skills!A19</f>
        <v/>
      </c>
      <c r="B346">
        <f>Skills!B19</f>
        <v/>
      </c>
      <c r="C346">
        <f>TRUE</f>
        <v/>
      </c>
      <c r="D346">
        <f>IF(Skills!C19=1,60+Inputs!$B$25+Inputs!$B$29,IF(Skills!C19=2,90+Inputs!$B$26+Inputs!$B$29,IF(Skills!C19=3,120+Inputs!$B$27+Inputs!$B$29,MAX(0,(Inputs!$B$3-100)*3)+Inputs!$B$28+Inputs!$B$29)))</f>
        <v/>
      </c>
      <c r="E346">
        <f>INDEX(FactorTable!$B$2:$Y$301, MATCH(ROUND(MIN(300,MAX(1,D346)),0), FactorTable!$A$2:$A$301,0), Skills!M19+1)</f>
        <v/>
      </c>
      <c r="F346">
        <f>IF(Skills!N19=TRUE,(Skills!L19/10)*(E346/1000),Skills!L19/10)+Skills!O19</f>
        <v/>
      </c>
      <c r="G346">
        <f>Skills!G19*IF(Skills!H19&gt;0,Skills!I19/Skills!H19,1)</f>
        <v/>
      </c>
      <c r="H346">
        <f>1-(1-Skills!J19/100)^Skills!K19</f>
        <v/>
      </c>
      <c r="I346" t="inlineStr">
        <is>
          <t>1</t>
        </is>
      </c>
      <c r="J346" t="inlineStr"/>
      <c r="K346" t="inlineStr"/>
      <c r="L346" t="inlineStr"/>
      <c r="M346" t="inlineStr"/>
      <c r="N346" t="inlineStr"/>
      <c r="O346">
        <f>(1-Summary!$B$55)*T346+Summary!$B$55*V346</f>
        <v/>
      </c>
      <c r="P346">
        <f>IF(B366=0,0,O346/B366)</f>
        <v/>
      </c>
      <c r="Q346">
        <f>IFERROR(1/IF(Inputs!$B$38="pvp",15,MAX(0.1,Skills!D19-IF(Skills!E19=TRUE,Inputs!$B$32,0))),0)</f>
        <v/>
      </c>
      <c r="R346">
        <f>IF(AND(Inputs!$B$38&lt;&gt;"pvp",Inputs!$B$43&gt;0),IF(Inputs!$B$43&lt;=0,0,(INT(Inputs!$B$43/IF(Inputs!$B$38="pvp",15,MAX(0.1,Skills!D19-IF(Skills!E19=TRUE,Inputs!$B$32,0))))+1)),0)</f>
        <v/>
      </c>
      <c r="S346">
        <f>IFERROR(O346/N346,0)</f>
        <v/>
      </c>
      <c r="T346" t="n">
        <v>0</v>
      </c>
      <c r="V346" t="n">
        <v>0</v>
      </c>
    </row>
    <row r="347">
      <c r="A347">
        <f>Skills!A20</f>
        <v/>
      </c>
      <c r="B347">
        <f>Skills!B20</f>
        <v/>
      </c>
      <c r="C347">
        <f>Inputs!$B$3&gt;=33</f>
        <v/>
      </c>
      <c r="D347">
        <f>IF(Skills!C20=1,60+Inputs!$B$25+Inputs!$B$29,IF(Skills!C20=2,90+Inputs!$B$26+Inputs!$B$29,IF(Skills!C20=3,120+Inputs!$B$27+Inputs!$B$29,MAX(0,(Inputs!$B$3-100)*3)+Inputs!$B$28+Inputs!$B$29)))</f>
        <v/>
      </c>
      <c r="E347">
        <f>INDEX(FactorTable!$B$2:$Y$301, MATCH(ROUND(MIN(300,MAX(1,D347)),0), FactorTable!$A$2:$A$301,0), Skills!M20+1)</f>
        <v/>
      </c>
      <c r="F347">
        <f>IF(Skills!N20=TRUE,(Skills!L20/10)*(E347/1000),Skills!L20/10)+Skills!O20</f>
        <v/>
      </c>
      <c r="G347">
        <f>Skills!G20*IF(Skills!H20&gt;0,Skills!I20/Skills!H20,1)</f>
        <v/>
      </c>
      <c r="H347">
        <f>1-(1-Skills!J20/100)^Skills!K20</f>
        <v/>
      </c>
      <c r="I347" t="inlineStr">
        <is>
          <t>1</t>
        </is>
      </c>
      <c r="J347" t="inlineStr"/>
      <c r="K347" t="inlineStr"/>
      <c r="L347" t="inlineStr"/>
      <c r="M347" t="inlineStr"/>
      <c r="N347" t="inlineStr"/>
      <c r="O347">
        <f>(1-Summary!$B$55)*T347+Summary!$B$55*V347</f>
        <v/>
      </c>
      <c r="P347">
        <f>IF(B366=0,0,O347/B366)</f>
        <v/>
      </c>
      <c r="Q347" t="n">
        <v>0</v>
      </c>
      <c r="R347" t="n">
        <v>0</v>
      </c>
      <c r="S347">
        <f>IFERROR(O347/N347,0)</f>
        <v/>
      </c>
      <c r="T347" t="n">
        <v>0</v>
      </c>
      <c r="V347" t="n">
        <v>0</v>
      </c>
    </row>
    <row r="348">
      <c r="A348">
        <f>Skills!A21</f>
        <v/>
      </c>
      <c r="B348">
        <f>Skills!B21</f>
        <v/>
      </c>
      <c r="C348">
        <f>Inputs!$B$3&gt;=38</f>
        <v/>
      </c>
      <c r="D348">
        <f>IF(Skills!C21=1,60+Inputs!$B$25+Inputs!$B$29,IF(Skills!C21=2,90+Inputs!$B$26+Inputs!$B$29,IF(Skills!C21=3,120+Inputs!$B$27+Inputs!$B$29,MAX(0,(Inputs!$B$3-100)*3)+Inputs!$B$28+Inputs!$B$29)))</f>
        <v/>
      </c>
      <c r="E348">
        <f>INDEX(FactorTable!$B$2:$Y$301, MATCH(ROUND(MIN(300,MAX(1,D348)),0), FactorTable!$A$2:$A$301,0), Skills!M21+1)</f>
        <v/>
      </c>
      <c r="F348">
        <f>IF(Skills!N21=TRUE,(Skills!L21/10)*(E348/1000),Skills!L21/10)+Skills!O21</f>
        <v/>
      </c>
      <c r="G348">
        <f>Skills!G21*IF(Skills!H21&gt;0,Skills!I21/Skills!H21,1)</f>
        <v/>
      </c>
      <c r="H348">
        <f>1-(1-Skills!J21/100)^Skills!K21</f>
        <v/>
      </c>
      <c r="I348" t="inlineStr">
        <is>
          <t>1</t>
        </is>
      </c>
      <c r="J348" t="inlineStr"/>
      <c r="K348" t="inlineStr"/>
      <c r="L348" t="inlineStr"/>
      <c r="M348" t="inlineStr"/>
      <c r="N348" t="inlineStr"/>
      <c r="O348">
        <f>(1-Summary!$B$55)*T348+Summary!$B$55*V348</f>
        <v/>
      </c>
      <c r="P348">
        <f>IF(B366=0,0,O348/B366)</f>
        <v/>
      </c>
      <c r="Q348" t="n">
        <v>0</v>
      </c>
      <c r="R348" t="n">
        <v>0</v>
      </c>
      <c r="S348">
        <f>IFERROR(O348/N348,0)</f>
        <v/>
      </c>
      <c r="T348" t="n">
        <v>0</v>
      </c>
      <c r="V348" t="n">
        <v>0</v>
      </c>
    </row>
    <row r="349">
      <c r="A349">
        <f>Skills!A22</f>
        <v/>
      </c>
      <c r="B349">
        <f>Skills!B22</f>
        <v/>
      </c>
      <c r="C349">
        <f>Inputs!$B$3&gt;=43</f>
        <v/>
      </c>
      <c r="D349">
        <f>IF(Skills!C22=1,60+Inputs!$B$25+Inputs!$B$29,IF(Skills!C22=2,90+Inputs!$B$26+Inputs!$B$29,IF(Skills!C22=3,120+Inputs!$B$27+Inputs!$B$29,MAX(0,(Inputs!$B$3-100)*3)+Inputs!$B$28+Inputs!$B$29)))</f>
        <v/>
      </c>
      <c r="E349">
        <f>INDEX(FactorTable!$B$2:$Y$301, MATCH(ROUND(MIN(300,MAX(1,D349)),0), FactorTable!$A$2:$A$301,0), Skills!M22+1)</f>
        <v/>
      </c>
      <c r="F349">
        <f>IF(Skills!N22=TRUE,(Skills!L22/10)*(E349/1000),Skills!L22/10)+Skills!O22</f>
        <v/>
      </c>
      <c r="G349">
        <f>Skills!G22*IF(Skills!H22&gt;0,Skills!I22/Skills!H22,1)</f>
        <v/>
      </c>
      <c r="H349">
        <f>1-(1-Skills!J22/100)^Skills!K22</f>
        <v/>
      </c>
      <c r="I349" t="inlineStr">
        <is>
          <t>1</t>
        </is>
      </c>
      <c r="J349" t="inlineStr"/>
      <c r="K349" t="inlineStr"/>
      <c r="L349" t="inlineStr"/>
      <c r="M349" t="inlineStr"/>
      <c r="N349" t="inlineStr"/>
      <c r="O349">
        <f>(1-Summary!$B$55)*T349+Summary!$B$55*V349</f>
        <v/>
      </c>
      <c r="P349">
        <f>IF(B366=0,0,O349/B366)</f>
        <v/>
      </c>
      <c r="Q349" t="n">
        <v>0</v>
      </c>
      <c r="R349" t="n">
        <v>0</v>
      </c>
      <c r="S349">
        <f>IFERROR(O349/N349,0)</f>
        <v/>
      </c>
      <c r="T349" t="n">
        <v>0</v>
      </c>
      <c r="V349" t="n">
        <v>0</v>
      </c>
    </row>
    <row r="350">
      <c r="A350">
        <f>Skills!A23</f>
        <v/>
      </c>
      <c r="B350">
        <f>Skills!B23</f>
        <v/>
      </c>
      <c r="C350">
        <f>Inputs!$B$3&gt;=120</f>
        <v/>
      </c>
      <c r="D350">
        <f>IF(Skills!C23=1,60+Inputs!$B$25+Inputs!$B$29,IF(Skills!C23=2,90+Inputs!$B$26+Inputs!$B$29,IF(Skills!C23=3,120+Inputs!$B$27+Inputs!$B$29,MAX(0,(Inputs!$B$3-100)*3)+Inputs!$B$28+Inputs!$B$29)))</f>
        <v/>
      </c>
      <c r="E350">
        <f>INDEX(FactorTable!$B$2:$Y$301, MATCH(ROUND(MIN(300,MAX(1,D350)),0), FactorTable!$A$2:$A$301,0), Skills!M23+1)</f>
        <v/>
      </c>
      <c r="F350">
        <f>IF(Skills!N23=TRUE,(Skills!L23/10)*(E350/1000),Skills!L23/10)+Skills!O23</f>
        <v/>
      </c>
      <c r="G350">
        <f>Skills!G23*IF(Skills!H23&gt;0,Skills!I23/Skills!H23,1)</f>
        <v/>
      </c>
      <c r="H350">
        <f>1-(1-Skills!J23/100)^Skills!K23</f>
        <v/>
      </c>
      <c r="I350" t="inlineStr">
        <is>
          <t>1</t>
        </is>
      </c>
      <c r="J350" t="inlineStr"/>
      <c r="K350" t="inlineStr"/>
      <c r="L350" t="inlineStr"/>
      <c r="M350" t="inlineStr"/>
      <c r="N350" t="inlineStr"/>
      <c r="O350">
        <f>(1-Summary!$B$55)*T350+Summary!$B$55*V350</f>
        <v/>
      </c>
      <c r="P350">
        <f>IF(B366=0,0,O350/B366)</f>
        <v/>
      </c>
      <c r="Q350" t="n">
        <v>0</v>
      </c>
      <c r="R350" t="n">
        <v>0</v>
      </c>
      <c r="S350">
        <f>IFERROR(O350/N350,0)</f>
        <v/>
      </c>
      <c r="T350" t="n">
        <v>0</v>
      </c>
      <c r="V350" t="n">
        <v>0</v>
      </c>
    </row>
    <row r="351">
      <c r="A351">
        <f>Skills!A24</f>
        <v/>
      </c>
      <c r="B351">
        <f>Skills!B24</f>
        <v/>
      </c>
      <c r="C351">
        <f>Inputs!$B$3&gt;=120</f>
        <v/>
      </c>
      <c r="D351">
        <f>IF(Skills!C24=1,60+Inputs!$B$25+Inputs!$B$29,IF(Skills!C24=2,90+Inputs!$B$26+Inputs!$B$29,IF(Skills!C24=3,120+Inputs!$B$27+Inputs!$B$29,MAX(0,(Inputs!$B$3-100)*3)+Inputs!$B$28+Inputs!$B$29)))</f>
        <v/>
      </c>
      <c r="E351">
        <f>INDEX(FactorTable!$B$2:$Y$301, MATCH(ROUND(MIN(300,MAX(1,D351)),0), FactorTable!$A$2:$A$301,0), Skills!M24+1)</f>
        <v/>
      </c>
      <c r="F351">
        <f>IF(Skills!N24=TRUE,(Skills!L24/10)*(E351/1000),Skills!L24/10)+Skills!O24</f>
        <v/>
      </c>
      <c r="G351">
        <f>Skills!G24*IF(Skills!H24&gt;0,Skills!I24/Skills!H24,1)</f>
        <v/>
      </c>
      <c r="H351">
        <f>1-(1-Skills!J24/100)^Skills!K24</f>
        <v/>
      </c>
      <c r="I351" t="inlineStr">
        <is>
          <t>1</t>
        </is>
      </c>
      <c r="J351" t="inlineStr"/>
      <c r="K351" t="inlineStr"/>
      <c r="L351" t="inlineStr"/>
      <c r="M351" t="inlineStr"/>
      <c r="N351" t="inlineStr"/>
      <c r="O351">
        <f>(1-Summary!$B$55)*T351+Summary!$B$55*V351</f>
        <v/>
      </c>
      <c r="P351">
        <f>IF(B366=0,0,O351/B366)</f>
        <v/>
      </c>
      <c r="Q351" t="n">
        <v>0</v>
      </c>
      <c r="R351" t="n">
        <v>0</v>
      </c>
      <c r="S351">
        <f>IFERROR(O351/N351,0)</f>
        <v/>
      </c>
      <c r="T351" t="n">
        <v>0</v>
      </c>
      <c r="V351" t="n">
        <v>0</v>
      </c>
    </row>
    <row r="352">
      <c r="A352">
        <f>Skills!A25</f>
        <v/>
      </c>
      <c r="B352">
        <f>Skills!B25</f>
        <v/>
      </c>
      <c r="C352">
        <f>Inputs!$B$3&gt;=125</f>
        <v/>
      </c>
      <c r="D352">
        <f>IF(Skills!C25=1,60+Inputs!$B$25+Inputs!$B$29,IF(Skills!C25=2,90+Inputs!$B$26+Inputs!$B$29,IF(Skills!C25=3,120+Inputs!$B$27+Inputs!$B$29,MAX(0,(Inputs!$B$3-100)*3)+Inputs!$B$28+Inputs!$B$29)))</f>
        <v/>
      </c>
      <c r="E352">
        <f>INDEX(FactorTable!$B$2:$Y$301, MATCH(ROUND(MIN(300,MAX(1,D352)),0), FactorTable!$A$2:$A$301,0), Skills!M25+1)</f>
        <v/>
      </c>
      <c r="F352">
        <f>IF(Skills!N25=TRUE,(Skills!L25/10)*(E352/1000),Skills!L25/10)+Skills!O25</f>
        <v/>
      </c>
      <c r="G352">
        <f>Skills!G25*IF(Skills!H25&gt;0,Skills!I25/Skills!H25,1)</f>
        <v/>
      </c>
      <c r="H352">
        <f>1-(1-Skills!J25/100)^Skills!K25</f>
        <v/>
      </c>
      <c r="I352" t="inlineStr">
        <is>
          <t>1</t>
        </is>
      </c>
      <c r="J352" t="inlineStr"/>
      <c r="K352" t="inlineStr"/>
      <c r="L352" t="inlineStr"/>
      <c r="M352" t="inlineStr"/>
      <c r="N352" t="inlineStr"/>
      <c r="O352">
        <f>(1-Summary!$B$55)*T352+Summary!$B$55*V352</f>
        <v/>
      </c>
      <c r="P352">
        <f>IF(B366=0,0,O352/B366)</f>
        <v/>
      </c>
      <c r="Q352" t="n">
        <v>0</v>
      </c>
      <c r="R352" t="n">
        <v>0</v>
      </c>
      <c r="S352">
        <f>IFERROR(O352/N352,0)</f>
        <v/>
      </c>
      <c r="T352" t="n">
        <v>0</v>
      </c>
      <c r="V352" t="n">
        <v>0</v>
      </c>
    </row>
    <row r="353">
      <c r="A353">
        <f>Skills!A26</f>
        <v/>
      </c>
      <c r="B353">
        <f>Skills!B26</f>
        <v/>
      </c>
      <c r="C353">
        <f>Inputs!$B$3&gt;=72</f>
        <v/>
      </c>
      <c r="D353">
        <f>IF(Skills!C26=1,60+Inputs!$B$25+Inputs!$B$29,IF(Skills!C26=2,90+Inputs!$B$26+Inputs!$B$29,IF(Skills!C26=3,120+Inputs!$B$27+Inputs!$B$29,MAX(0,(Inputs!$B$3-100)*3)+Inputs!$B$28+Inputs!$B$29)))</f>
        <v/>
      </c>
      <c r="E353">
        <f>INDEX(FactorTable!$B$2:$Y$301, MATCH(ROUND(MIN(300,MAX(1,D353)),0), FactorTable!$A$2:$A$301,0), Skills!M26+1)</f>
        <v/>
      </c>
      <c r="F353">
        <f>IF(Skills!N26=TRUE,(Skills!L26/10)*(E353/1000),Skills!L26/10)+Skills!O26</f>
        <v/>
      </c>
      <c r="G353">
        <f>Skills!G26*IF(Skills!H26&gt;0,Skills!I26/Skills!H26,1)</f>
        <v/>
      </c>
      <c r="H353">
        <f>1-(1-Skills!J26/100)^Skills!K26</f>
        <v/>
      </c>
      <c r="I353" t="inlineStr">
        <is>
          <t>1</t>
        </is>
      </c>
      <c r="J353" t="inlineStr"/>
      <c r="K353" t="inlineStr"/>
      <c r="L353" t="inlineStr"/>
      <c r="M353" t="inlineStr"/>
      <c r="N353" t="inlineStr"/>
      <c r="O353">
        <f>(1-Summary!$B$55)*T353+Summary!$B$55*V353</f>
        <v/>
      </c>
      <c r="P353">
        <f>IF(B366=0,0,O353/B366)</f>
        <v/>
      </c>
      <c r="Q353" t="n">
        <v>0</v>
      </c>
      <c r="R353" t="n">
        <v>0</v>
      </c>
      <c r="S353">
        <f>IFERROR(O353/N353,0)</f>
        <v/>
      </c>
      <c r="T353" t="n">
        <v>0</v>
      </c>
      <c r="V353" t="n">
        <v>0</v>
      </c>
    </row>
    <row r="355">
      <c r="A355" t="inlineStr">
        <is>
          <t>Attack% Bucket Multiplier</t>
        </is>
      </c>
      <c r="B355">
        <f>(1+(((C340=TRUE)*F340*IF(Inputs!$B$3&gt;=110,7,5))+((C342=TRUE)*F342*IF(AND(Inputs!$B$38&lt;&gt;"pvp",Inputs!$B$43&gt;0),(((R342-1)*(Skills!T15*(1+Inputs!$B$34/100))+MIN((Skills!T15*(1+Inputs!$B$34/100)),MAX(0,Inputs!$B$43-((R342-1)*Skills!D15))))/Inputs!$B$43),IF(Inputs!$B$38="pvp",MIN((Skills!T15*(1+Inputs!$B$34/100)),15)/15,(Skills!T15*(1+Inputs!$B$34/100))/Skills!D15)))+0)/100)</f>
        <v/>
      </c>
    </row>
    <row r="356">
      <c r="A356" t="inlineStr">
        <is>
          <t>Global Crit Rate Bonus %</t>
        </is>
      </c>
      <c r="B356" t="n">
        <v>0</v>
      </c>
    </row>
    <row r="357">
      <c r="A357" t="inlineStr">
        <is>
          <t>Attack Speed Buff Bonus %</t>
        </is>
      </c>
      <c r="B357">
        <f>((C346=TRUE)*F346*IF(AND(Inputs!$B$38&lt;&gt;"pvp",Inputs!$B$43&gt;0),(((R346-1)*(Skills!T19*(1+Inputs!$B$34/100))+MIN((Skills!T19*(1+Inputs!$B$34/100)),MAX(0,Inputs!$B$43-((R346-1)*Skills!D19))))/Inputs!$B$43),IF(Inputs!$B$38="pvp",MIN((Skills!T19*(1+Inputs!$B$34/100)),15)/15,(Skills!T19*(1+Inputs!$B$34/100))/Skills!D19)))</f>
        <v/>
      </c>
    </row>
    <row r="358">
      <c r="A358" t="inlineStr">
        <is>
          <t>Actions Per Second</t>
        </is>
      </c>
      <c r="B358">
        <f>1+MIN(150,150*(1-(1-(Inputs!$B$11+((C347=TRUE)*(F347-Calc!F20)))/150)*(1-B357/150)))/100</f>
        <v/>
      </c>
    </row>
    <row r="359">
      <c r="A359" t="inlineStr">
        <is>
          <t>Skill + Buff Cast Rate</t>
        </is>
      </c>
      <c r="B359">
        <f>IF(AND(Inputs!$B$38&lt;&gt;"pvp",Inputs!$B$43&gt;0),SUMPRODUCT((Skills!E2:E26=TRUE)*(C329:C353=TRUE)*R329:R353*Skills!F2:F26)/Inputs!$B$43,SUMPRODUCT((Skills!E2:E26=TRUE)*(C329:C353=TRUE)*Q329:Q353*Skills!F2:F26))</f>
        <v/>
      </c>
    </row>
    <row r="360">
      <c r="A360" t="inlineStr">
        <is>
          <t>Raging Blow Casts Per Second</t>
        </is>
      </c>
      <c r="B360">
        <f>MAX(0,B358-B359)</f>
        <v/>
      </c>
    </row>
    <row r="361">
      <c r="A361" t="inlineStr">
        <is>
          <t>Global Critical Damage Bonus % (Enrage)</t>
        </is>
      </c>
      <c r="B361">
        <f>((C345=TRUE)*F345*IF(AND(Inputs!$B$38&lt;&gt;"pvp",Inputs!$B$43&gt;0),(((R345-1)*(Skills!T18*(1+Inputs!$B$34/100))+MIN((Skills!T18*(1+Inputs!$B$34/100)),MAX(0,Inputs!$B$43-((R345-1)*Skills!D18))))/Inputs!$B$43),IF(Inputs!$B$38="pvp",MIN((Skills!T18*(1+Inputs!$B$34/100)),15)/15,(Skills!T18*(1+Inputs!$B$34/100))/Skills!D18)))</f>
        <v/>
      </c>
    </row>
    <row r="362">
      <c r="A362" t="inlineStr">
        <is>
          <t>Global Final Damage Bonus % (Enrage + Combo Synergy)</t>
        </is>
      </c>
      <c r="B362">
        <f>((C344=TRUE)*F344*IF(AND(Inputs!$B$38&lt;&gt;"pvp",Inputs!$B$43&gt;0),(((R344-1)*(Skills!T17*(1+Inputs!$B$34/100))+MIN((Skills!T17*(1+Inputs!$B$34/100)),MAX(0,Inputs!$B$43-((R344-1)*Skills!D17))))/Inputs!$B$43),IF(Inputs!$B$38="pvp",MIN((Skills!T17*(1+Inputs!$B$34/100)),15)/15,(Skills!T17*(1+Inputs!$B$34/100))/Skills!D17)))+((C341=TRUE)*F341*IF(Inputs!$B$3&gt;=110,7,5))</f>
        <v/>
      </c>
    </row>
    <row r="363">
      <c r="A363" t="inlineStr">
        <is>
          <t>Buff-Casting Startup Delay (s, fixed-duration only)</t>
        </is>
      </c>
      <c r="B363">
        <f>IF(AND(Inputs!$B$38&lt;&gt;"pvp",Inputs!$B$43&gt;0),SUMPRODUCT((Skills!T2:T26&gt;0)*(Skills!E2:E26=TRUE)*(C329:C353=TRUE))/B358,0)</f>
        <v/>
      </c>
    </row>
    <row r="364">
      <c r="A364" t="inlineStr">
        <is>
          <t>Boss-Only Total DPS (this block's swept value)</t>
        </is>
      </c>
      <c r="B364">
        <f>SUM(T329:T353)</f>
        <v/>
      </c>
    </row>
    <row r="365">
      <c r="A365" t="inlineStr">
        <is>
          <t>Normal-Only Total DPS (this block's swept value)</t>
        </is>
      </c>
      <c r="B365">
        <f>SUM(V329:V353)</f>
        <v/>
      </c>
    </row>
    <row r="366">
      <c r="A366" s="5" t="inlineStr">
        <is>
          <t>TOTAL DPS</t>
        </is>
      </c>
      <c r="B366" s="5">
        <f>SUM(O329:O353)</f>
        <v/>
      </c>
    </row>
    <row r="369">
      <c r="A369" s="5" t="inlineStr">
        <is>
          <t>Stat: MIN_DAMAGE %</t>
        </is>
      </c>
    </row>
    <row r="370">
      <c r="A370" s="9" t="inlineStr">
        <is>
          <t>Key</t>
        </is>
      </c>
      <c r="B370" s="9" t="inlineStr">
        <is>
          <t>Name</t>
        </is>
      </c>
      <c r="C370" s="9" t="inlineStr">
        <is>
          <t>Unlocked</t>
        </is>
      </c>
      <c r="D370" s="9" t="inlineStr">
        <is>
          <t>InputLevel</t>
        </is>
      </c>
      <c r="E370" s="9" t="inlineStr">
        <is>
          <t>Factor</t>
        </is>
      </c>
      <c r="F370" s="9" t="inlineStr">
        <is>
          <t>CoefficientPercent</t>
        </is>
      </c>
      <c r="G370" s="9" t="inlineStr">
        <is>
          <t>EffectiveHits</t>
        </is>
      </c>
      <c r="H370" s="9" t="inlineStr">
        <is>
          <t>ProcProbability</t>
        </is>
      </c>
      <c r="I370" s="9" t="inlineStr">
        <is>
          <t>MapleHeroMultiplier</t>
        </is>
      </c>
      <c r="J370" s="9" t="inlineStr">
        <is>
          <t>BaseDamage</t>
        </is>
      </c>
      <c r="K370" s="9" t="inlineStr">
        <is>
          <t>BaseHitDamage</t>
        </is>
      </c>
      <c r="L370" s="9" t="inlineStr">
        <is>
          <t>NonCritAvg</t>
        </is>
      </c>
      <c r="M370" s="9" t="inlineStr">
        <is>
          <t>CritAvg</t>
        </is>
      </c>
      <c r="N370" s="9" t="inlineStr">
        <is>
          <t>ExpectedDamage(perHit)</t>
        </is>
      </c>
      <c r="O370" s="9" t="inlineStr">
        <is>
          <t>DPS</t>
        </is>
      </c>
      <c r="P370" s="9" t="inlineStr">
        <is>
          <t>% of Total</t>
        </is>
      </c>
      <c r="Q370" s="9" t="inlineStr">
        <is>
          <t>InvCooldown</t>
        </is>
      </c>
      <c r="R370" s="9" t="inlineStr">
        <is>
          <t>CastsInFight</t>
        </is>
      </c>
      <c r="S370" s="9" t="inlineStr">
        <is>
          <t>HitRate(perSec)</t>
        </is>
      </c>
      <c r="U370" t="inlineStr">
        <is>
          <t>helpers</t>
        </is>
      </c>
    </row>
    <row r="371">
      <c r="A371">
        <f>Skills!A2</f>
        <v/>
      </c>
      <c r="B371">
        <f>Skills!B2</f>
        <v/>
      </c>
      <c r="C371">
        <f>Inputs!$B$3&gt;=100</f>
        <v/>
      </c>
      <c r="D371" t="inlineStr"/>
      <c r="E371" t="inlineStr"/>
      <c r="F371">
        <f>U373+Skills!O2</f>
        <v/>
      </c>
      <c r="G371">
        <f>Skills!G2*IF(Skills!H2&gt;0,Skills!I2/Skills!H2,1)</f>
        <v/>
      </c>
      <c r="H371">
        <f>1-(1-Skills!J2/100)^Skills!K2</f>
        <v/>
      </c>
      <c r="I371" t="inlineStr">
        <is>
          <t>1</t>
        </is>
      </c>
      <c r="J371">
        <f>((Inputs!$B$6*(1+Inputs!$B$7/100))+(((Inputs!$B$12*(1+Inputs!$B$13/100))-(Inputs!$B$12*(1+Inputs!$B$13/100)))+0.25*(Inputs!$B$14-Inputs!$B$14))*(1+Inputs!$B$7/100))*(F371/100)</f>
        <v/>
      </c>
      <c r="K371">
        <f>J371*(1+((Inputs!$B$12*(1+Inputs!$B$13/100))*0.01+Inputs!$B$14*0.0025)/100)*(1+Inputs!$B$15/100)*(1+Inputs!$B$16/100)*(5000/(6000+Inputs!$B$42*(1-(Inputs!$B$19+0)/100)))*(1+(Inputs!$B$24+((C394=TRUE)*(F394-Calc!F25))+B404)/100)*(1+IF(Skills!A2="ENHANCED_RAGING_BLOW",IF(Inputs!$B$3&gt;=134,MAX(0,IF(Inputs!$B$3&gt;=110,7,5)-5)*50,0),0)/100)*(1+(IF(Skills!A2="RAGING_BLOW",Inputs!$B$17+((C390=TRUE)*(F390-Calc!F21)),Inputs!$B$18+((C392=TRUE)*(F392-Calc!F23))))/100)*((1+(((C382=TRUE)*F382*IF(Inputs!$B$3&gt;=110,7,5))+((C384=TRUE)*F384*IF(AND(Inputs!$B$38&lt;&gt;"pvp",Inputs!$B$43&gt;0),(((R384-1)*(Skills!T15*(1+Inputs!$B$34/100))+MIN((Skills!T15*(1+Inputs!$B$34/100)),MAX(0,Inputs!$B$43-((R384-1)*Skills!D15))))/Inputs!$B$43),IF(Inputs!$B$38="pvp",MIN((Skills!T15*(1+Inputs!$B$34/100)),15)/15,(Skills!T15*(1+Inputs!$B$34/100))/Skills!D15)))+0)/100)*I371)</f>
        <v/>
      </c>
      <c r="L371">
        <f>K371*(MIN((Inputs!$B$22+1)+((C391=TRUE)*(F391-Calc!F22)),Inputs!$B$23+((C393=TRUE)*(F393-Calc!F24)))/100+(Inputs!$B$23+((C393=TRUE)*(F393-Calc!F24)))/100)/2</f>
        <v/>
      </c>
      <c r="M371">
        <f>L371*(1+(Inputs!$B$10+0+B403)/100)</f>
        <v/>
      </c>
      <c r="N371">
        <f>L371*(1-MIN((Inputs!$B$9+((C395=TRUE)*(F395-Calc!F26))+B398),100)/100)+M371*(MIN((Inputs!$B$9+((C395=TRUE)*(F395-Calc!F26))+B398),100)/100)</f>
        <v/>
      </c>
      <c r="O371">
        <f>(1-Summary!$B$55)*T371+Summary!$B$55*V371</f>
        <v/>
      </c>
      <c r="P371">
        <f>IF(B408=0,0,O371/B408)</f>
        <v/>
      </c>
      <c r="Q371" t="n">
        <v>0</v>
      </c>
      <c r="R371" t="n">
        <v>0</v>
      </c>
      <c r="S371">
        <f>IFERROR(O371/N371,0)</f>
        <v/>
      </c>
      <c r="T371">
        <f>IF(C371,(Skills!G2*N371*B402)*IF(Inputs!$B$38="pvp",1,1+(Inputs!$B$20+0+Skills!P2+Summary!$B$59)/100),0)</f>
        <v/>
      </c>
      <c r="U371">
        <f>MAX(0,(Inputs!$B$3-100)*3)+Inputs!$B$28+Inputs!$B$29</f>
        <v/>
      </c>
      <c r="V371">
        <f>IF(C371,(Skills!G2*N371*B402)*IF(Inputs!$B$38="pvp",1,(1+(Inputs!$B$21+Skills!Q2+Summary!$B$59)/100)*(MIN((6+Inputs!$B$33),Inputs!$B$37))),0)</f>
        <v/>
      </c>
    </row>
    <row r="372">
      <c r="A372">
        <f>Skills!A3</f>
        <v/>
      </c>
      <c r="B372">
        <f>Skills!B3</f>
        <v/>
      </c>
      <c r="C372">
        <f>Inputs!$B$3&gt;=50</f>
        <v/>
      </c>
      <c r="D372">
        <f>IF(Skills!C3=1,60+Inputs!$B$25+Inputs!$B$29,IF(Skills!C3=2,90+Inputs!$B$26+Inputs!$B$29,IF(Skills!C3=3,120+Inputs!$B$27+Inputs!$B$29,MAX(0,(Inputs!$B$3-100)*3)+Inputs!$B$28+Inputs!$B$29)))</f>
        <v/>
      </c>
      <c r="E372">
        <f>INDEX(FactorTable!$B$2:$Y$301, MATCH(ROUND(MIN(300,MAX(1,D372)),0), FactorTable!$A$2:$A$301,0), Skills!M3+1)</f>
        <v/>
      </c>
      <c r="F372">
        <f>IF(Skills!N3=TRUE,(Skills!L3/10)*(E372/1000),Skills!L3/10)+Skills!O3</f>
        <v/>
      </c>
      <c r="G372" t="inlineStr"/>
      <c r="H372" t="inlineStr"/>
      <c r="I372" t="inlineStr">
        <is>
          <t>1</t>
        </is>
      </c>
      <c r="J372" t="inlineStr"/>
      <c r="K372" t="inlineStr"/>
      <c r="L372" t="inlineStr"/>
      <c r="M372" t="inlineStr"/>
      <c r="N372" t="inlineStr"/>
      <c r="O372" t="inlineStr"/>
      <c r="P372" t="inlineStr"/>
      <c r="Q372" t="inlineStr"/>
      <c r="R372" t="inlineStr"/>
      <c r="S372" t="inlineStr"/>
      <c r="U372">
        <f>INDEX(FactorTable!$B$2:$Y$301, MATCH(ROUND(MIN(300,MAX(1,U371)),0), FactorTable!$A$2:$A$301,0), 22)</f>
        <v/>
      </c>
    </row>
    <row r="373">
      <c r="A373">
        <f>Skills!A4</f>
        <v/>
      </c>
      <c r="B373">
        <f>Skills!B4</f>
        <v/>
      </c>
      <c r="C373">
        <f>Inputs!$B$3&gt;=105</f>
        <v/>
      </c>
      <c r="D373">
        <f>IF(Skills!C4=1,60+Inputs!$B$25+Inputs!$B$29,IF(Skills!C4=2,90+Inputs!$B$26+Inputs!$B$29,IF(Skills!C4=3,120+Inputs!$B$27+Inputs!$B$29,MAX(0,(Inputs!$B$3-100)*3)+Inputs!$B$28+Inputs!$B$29)))</f>
        <v/>
      </c>
      <c r="E373">
        <f>INDEX(FactorTable!$B$2:$Y$301, MATCH(ROUND(MIN(300,MAX(1,D373)),0), FactorTable!$A$2:$A$301,0), Skills!M4+1)</f>
        <v/>
      </c>
      <c r="F373">
        <f>IF(Skills!N4=TRUE,(Skills!L4/10)*(E373/1000),Skills!L4/10)+Skills!O4</f>
        <v/>
      </c>
      <c r="G373" t="inlineStr"/>
      <c r="H373" t="inlineStr"/>
      <c r="I373" t="inlineStr">
        <is>
          <t>1</t>
        </is>
      </c>
      <c r="J373" t="inlineStr"/>
      <c r="K373" t="inlineStr"/>
      <c r="L373" t="inlineStr"/>
      <c r="M373" t="inlineStr"/>
      <c r="N373" t="inlineStr"/>
      <c r="O373" t="inlineStr"/>
      <c r="P373" t="inlineStr"/>
      <c r="Q373" t="inlineStr"/>
      <c r="R373" t="inlineStr"/>
      <c r="S373" t="inlineStr"/>
      <c r="U373">
        <f>290*U372/1000</f>
        <v/>
      </c>
    </row>
    <row r="374">
      <c r="A374">
        <f>Skills!A5</f>
        <v/>
      </c>
      <c r="B374">
        <f>Skills!B5</f>
        <v/>
      </c>
      <c r="C374">
        <f>Inputs!$B$3&gt;=103</f>
        <v/>
      </c>
      <c r="D374">
        <f>IF(Skills!C5=1,60+Inputs!$B$25+Inputs!$B$29,IF(Skills!C5=2,90+Inputs!$B$26+Inputs!$B$29,IF(Skills!C5=3,120+Inputs!$B$27+Inputs!$B$29,MAX(0,(Inputs!$B$3-100)*3)+Inputs!$B$28+Inputs!$B$29)))</f>
        <v/>
      </c>
      <c r="E374">
        <f>INDEX(FactorTable!$B$2:$Y$301, MATCH(ROUND(MIN(300,MAX(1,D374)),0), FactorTable!$A$2:$A$301,0), Skills!M5+1)</f>
        <v/>
      </c>
      <c r="F374">
        <f>IF(Skills!N5=TRUE,(Skills!L5/10)*(E374/1000),Skills!L5/10)+Skills!O5</f>
        <v/>
      </c>
      <c r="G374">
        <f>Skills!G5*IF(Skills!H5&gt;0,Skills!I5/Skills!H5,1)</f>
        <v/>
      </c>
      <c r="H374">
        <f>1-(1-Skills!J5/100)^Skills!K5</f>
        <v/>
      </c>
      <c r="I374" t="inlineStr">
        <is>
          <t>1</t>
        </is>
      </c>
      <c r="J374">
        <f>((Inputs!$B$6*(1+Inputs!$B$7/100))+(((Inputs!$B$12*(1+Inputs!$B$13/100))-(Inputs!$B$12*(1+Inputs!$B$13/100)))+0.25*(Inputs!$B$14-Inputs!$B$14))*(1+Inputs!$B$7/100))*(F374/100)</f>
        <v/>
      </c>
      <c r="K374">
        <f>J374*(1+((Inputs!$B$12*(1+Inputs!$B$13/100))*0.01+Inputs!$B$14*0.0025)/100)*(1+Inputs!$B$15/100)*(1+Inputs!$B$16/100)*(5000/(6000+Inputs!$B$42*(1-(Inputs!$B$19+0)/100)))*(1+(Inputs!$B$24+((C394=TRUE)*(F394-Calc!F25))+B404)/100)*(1+IF(Skills!A5="ENHANCED_RAGING_BLOW",IF(Inputs!$B$3&gt;=134,MAX(0,IF(Inputs!$B$3&gt;=110,7,5)-5)*50,0),0)/100)*(1+(IF(Skills!A5="RAGING_BLOW",Inputs!$B$17+((C390=TRUE)*(F390-Calc!F21)),Inputs!$B$18+((C392=TRUE)*(F392-Calc!F23))))/100)*((1+(((C382=TRUE)*F382*IF(Inputs!$B$3&gt;=110,7,5))+((C384=TRUE)*F384*IF(AND(Inputs!$B$38&lt;&gt;"pvp",Inputs!$B$43&gt;0),(((R384-1)*(Skills!T15*(1+Inputs!$B$34/100))+MIN((Skills!T15*(1+Inputs!$B$34/100)),MAX(0,Inputs!$B$43-((R384-1)*Skills!D15))))/Inputs!$B$43),IF(Inputs!$B$38="pvp",MIN((Skills!T15*(1+Inputs!$B$34/100)),15)/15,(Skills!T15*(1+Inputs!$B$34/100))/Skills!D15)))+0)/100)*I374)</f>
        <v/>
      </c>
      <c r="L374">
        <f>K374*(MIN((Inputs!$B$22+1)+((C391=TRUE)*(F391-Calc!F22)),Inputs!$B$23+((C393=TRUE)*(F393-Calc!F24)))/100+(Inputs!$B$23+((C393=TRUE)*(F393-Calc!F24)))/100)/2</f>
        <v/>
      </c>
      <c r="M374">
        <f>L374*(1+(Inputs!$B$10+0+B403)/100)</f>
        <v/>
      </c>
      <c r="N374">
        <f>L374*(1-MIN((Inputs!$B$9+((C395=TRUE)*(F395-Calc!F26))+B398),100)/100)+M374*(MIN((Inputs!$B$9+((C395=TRUE)*(F395-Calc!F26))+B398),100)/100)</f>
        <v/>
      </c>
      <c r="O374">
        <f>(1-Summary!$B$55)*T374+Summary!$B$55*V374</f>
        <v/>
      </c>
      <c r="P374">
        <f>IF(B408=0,0,O374/B408)</f>
        <v/>
      </c>
      <c r="Q374">
        <f>IFERROR(1/IF(Inputs!$B$38="pvp",15,MAX(0.1,Skills!D5-IF(Skills!E5=TRUE,Inputs!$B$32,0))),0)</f>
        <v/>
      </c>
      <c r="R374">
        <f>IF(AND(Inputs!$B$38&lt;&gt;"pvp",Inputs!$B$43&gt;0),IF(MAX(0,Inputs!$B$43-B405)&lt;=0,0,(INT(MAX(0,Inputs!$B$43-B405)/IF(Inputs!$B$38="pvp",15,MAX(0.1,Skills!D5-IF(Skills!E5=TRUE,Inputs!$B$32,0))))+1)),0)</f>
        <v/>
      </c>
      <c r="S374">
        <f>IFERROR(O374/N374,0)</f>
        <v/>
      </c>
      <c r="T374">
        <f>IF(C374,(H374*N374*IF(AND(Inputs!$B$38&lt;&gt;"pvp",Inputs!$B$43&gt;0),((Skills!G5*((R374-1)*IF(Skills!H5&gt;0,Skills!I5/Skills!H5,1)+IF(Skills!H5&gt;0,MIN(Skills!I5,MAX(0,MAX(0,Inputs!$B$43-B405)-((R374-1)*IF(Inputs!$B$38="pvp",15,MAX(0.1,Skills!D5-IF(Skills!E5=TRUE,Inputs!$B$32,0))))))/Skills!H5,1)))/Inputs!$B$43),G374*Q374))*IF(Inputs!$B$38="pvp",1,1+(Inputs!$B$20+0+Skills!P5+Summary!$B$59)/100),0)</f>
        <v/>
      </c>
      <c r="V374">
        <f>IF(C374,(H374*N374*IF(AND(Inputs!$B$38&lt;&gt;"pvp",Inputs!$B$43&gt;0),((Skills!G5*((R374-1)*IF(Skills!H5&gt;0,Skills!I5/Skills!H5,1)+IF(Skills!H5&gt;0,MIN(Skills!I5,MAX(0,MAX(0,Inputs!$B$43-B405)-((R374-1)*IF(Inputs!$B$38="pvp",15,MAX(0.1,Skills!D5-IF(Skills!E5=TRUE,Inputs!$B$32,0))))))/Skills!H5,1)))/Inputs!$B$43),G374*Q374))*IF(Inputs!$B$38="pvp",1,(1+(Inputs!$B$21+Skills!Q5+Summary!$B$59)/100)*(MIN(Skills!R5,Inputs!$B$37))),0)</f>
        <v/>
      </c>
    </row>
    <row r="375">
      <c r="A375">
        <f>Skills!A6</f>
        <v/>
      </c>
      <c r="B375">
        <f>Skills!B6</f>
        <v/>
      </c>
      <c r="C375">
        <f>Inputs!$B$3&gt;=103</f>
        <v/>
      </c>
      <c r="D375">
        <f>IF(Skills!C6=1,60+Inputs!$B$25+Inputs!$B$29,IF(Skills!C6=2,90+Inputs!$B$26+Inputs!$B$29,IF(Skills!C6=3,120+Inputs!$B$27+Inputs!$B$29,MAX(0,(Inputs!$B$3-100)*3)+Inputs!$B$28+Inputs!$B$29)))</f>
        <v/>
      </c>
      <c r="E375">
        <f>INDEX(FactorTable!$B$2:$Y$301, MATCH(ROUND(MIN(300,MAX(1,D375)),0), FactorTable!$A$2:$A$301,0), Skills!M6+1)</f>
        <v/>
      </c>
      <c r="F375">
        <f>IF(Skills!N6=TRUE,(Skills!L6/10)*(E375/1000),Skills!L6/10)+Skills!O6</f>
        <v/>
      </c>
      <c r="G375">
        <f>Skills!G6*IF(Skills!H6&gt;0,Skills!I6/Skills!H6,1)</f>
        <v/>
      </c>
      <c r="H375">
        <f>1-(1-Skills!J6/100)^Skills!K6</f>
        <v/>
      </c>
      <c r="I375" t="inlineStr">
        <is>
          <t>1</t>
        </is>
      </c>
      <c r="J375">
        <f>((Inputs!$B$6*(1+Inputs!$B$7/100))+(((Inputs!$B$12*(1+Inputs!$B$13/100))-(Inputs!$B$12*(1+Inputs!$B$13/100)))+0.25*(Inputs!$B$14-Inputs!$B$14))*(1+Inputs!$B$7/100))*(F375/100)</f>
        <v/>
      </c>
      <c r="K375">
        <f>J375*(1+((Inputs!$B$12*(1+Inputs!$B$13/100))*0.01+Inputs!$B$14*0.0025)/100)*(1+Inputs!$B$15/100)*(1+Inputs!$B$16/100)*(5000/(6000+Inputs!$B$42*(1-(Inputs!$B$19+0)/100)))*(1+(Inputs!$B$24+((C394=TRUE)*(F394-Calc!F25))+B404)/100)*(1+IF(Skills!A6="ENHANCED_RAGING_BLOW",IF(Inputs!$B$3&gt;=134,MAX(0,IF(Inputs!$B$3&gt;=110,7,5)-5)*50,0),0)/100)*(1+(IF(Skills!A6="RAGING_BLOW",Inputs!$B$17+((C390=TRUE)*(F390-Calc!F21)),Inputs!$B$18+((C392=TRUE)*(F392-Calc!F23))))/100)*((1+(((C382=TRUE)*F382*IF(Inputs!$B$3&gt;=110,7,5))+((C384=TRUE)*F384*IF(AND(Inputs!$B$38&lt;&gt;"pvp",Inputs!$B$43&gt;0),(((R384-1)*(Skills!T15*(1+Inputs!$B$34/100))+MIN((Skills!T15*(1+Inputs!$B$34/100)),MAX(0,Inputs!$B$43-((R384-1)*Skills!D15))))/Inputs!$B$43),IF(Inputs!$B$38="pvp",MIN((Skills!T15*(1+Inputs!$B$34/100)),15)/15,(Skills!T15*(1+Inputs!$B$34/100))/Skills!D15)))+0)/100)*I375)</f>
        <v/>
      </c>
      <c r="L375">
        <f>K375*(MIN((Inputs!$B$22+1)+((C391=TRUE)*(F391-Calc!F22)),Inputs!$B$23+((C393=TRUE)*(F393-Calc!F24)))/100+(Inputs!$B$23+((C393=TRUE)*(F393-Calc!F24)))/100)/2</f>
        <v/>
      </c>
      <c r="M375">
        <f>L375*(1+(Inputs!$B$10+0+B403)/100)</f>
        <v/>
      </c>
      <c r="N375">
        <f>L375*(1-MIN((Inputs!$B$9+((C395=TRUE)*(F395-Calc!F26))+B398),100)/100)+M375*(MIN((Inputs!$B$9+((C395=TRUE)*(F395-Calc!F26))+B398),100)/100)</f>
        <v/>
      </c>
      <c r="O375">
        <f>(1-Summary!$B$55)*T375+Summary!$B$55*V375</f>
        <v/>
      </c>
      <c r="P375">
        <f>IF(B408=0,0,O375/B408)</f>
        <v/>
      </c>
      <c r="Q375">
        <f>IFERROR(1/IF(Inputs!$B$38="pvp",15,MAX(0.1,Skills!D6-IF(Skills!E6=TRUE,Inputs!$B$32,0))),0)</f>
        <v/>
      </c>
      <c r="R375">
        <f>IF(AND(Inputs!$B$38&lt;&gt;"pvp",Inputs!$B$43&gt;0),IF(MAX(0,Inputs!$B$43-B405)&lt;=0,0,(INT(MAX(0,Inputs!$B$43-B405)/IF(Inputs!$B$38="pvp",15,MAX(0.1,Skills!D6-IF(Skills!E6=TRUE,Inputs!$B$32,0))))+1)),0)</f>
        <v/>
      </c>
      <c r="S375">
        <f>IFERROR(O375/N375,0)</f>
        <v/>
      </c>
      <c r="T375">
        <f>IF(C375,(H375*N375*IF(AND(Inputs!$B$38&lt;&gt;"pvp",Inputs!$B$43&gt;0),((Skills!G6*((R375-1)*IF(Skills!H6&gt;0,Skills!I6/Skills!H6,1)+IF(Skills!H6&gt;0,MIN(Skills!I6,MAX(0,MAX(0,Inputs!$B$43-B405)-((R375-1)*IF(Inputs!$B$38="pvp",15,MAX(0.1,Skills!D6-IF(Skills!E6=TRUE,Inputs!$B$32,0))))))/Skills!H6,1)))/Inputs!$B$43),G375*Q375))*IF(Inputs!$B$38="pvp",1,1+(Inputs!$B$20+0+Skills!P6+Summary!$B$59)/100),0)</f>
        <v/>
      </c>
      <c r="V375">
        <f>IF(C375,(H375*N375*IF(AND(Inputs!$B$38&lt;&gt;"pvp",Inputs!$B$43&gt;0),((Skills!G6*((R375-1)*IF(Skills!H6&gt;0,Skills!I6/Skills!H6,1)+IF(Skills!H6&gt;0,MIN(Skills!I6,MAX(0,MAX(0,Inputs!$B$43-B405)-((R375-1)*IF(Inputs!$B$38="pvp",15,MAX(0.1,Skills!D6-IF(Skills!E6=TRUE,Inputs!$B$32,0))))))/Skills!H6,1)))/Inputs!$B$43),G375*Q375))*IF(Inputs!$B$38="pvp",1,(1+(Inputs!$B$21+Skills!Q6+Summary!$B$59)/100)*(MIN(Skills!R6,Inputs!$B$37))),0)</f>
        <v/>
      </c>
    </row>
    <row r="376">
      <c r="A376">
        <f>Skills!A7</f>
        <v/>
      </c>
      <c r="B376">
        <f>Skills!B7</f>
        <v/>
      </c>
      <c r="C376">
        <f>Inputs!$B$3&gt;=107</f>
        <v/>
      </c>
      <c r="D376">
        <f>IF(Skills!C7=1,60+Inputs!$B$25+Inputs!$B$29,IF(Skills!C7=2,90+Inputs!$B$26+Inputs!$B$29,IF(Skills!C7=3,120+Inputs!$B$27+Inputs!$B$29,MAX(0,(Inputs!$B$3-100)*3)+Inputs!$B$28+Inputs!$B$29)))</f>
        <v/>
      </c>
      <c r="E376">
        <f>INDEX(FactorTable!$B$2:$Y$301, MATCH(ROUND(MIN(300,MAX(1,D376)),0), FactorTable!$A$2:$A$301,0), Skills!M7+1)</f>
        <v/>
      </c>
      <c r="F376">
        <f>IF(Skills!N7=TRUE,(Skills!L7/10)*(E376/1000),Skills!L7/10)+Skills!O7</f>
        <v/>
      </c>
      <c r="G376">
        <f>Skills!G7*IF(Skills!H7&gt;0,Skills!I7/Skills!H7,1)</f>
        <v/>
      </c>
      <c r="H376">
        <f>1-(1-Skills!J7/100)^Skills!K7</f>
        <v/>
      </c>
      <c r="I376" t="inlineStr">
        <is>
          <t>1</t>
        </is>
      </c>
      <c r="J376">
        <f>((Inputs!$B$6*(1+Inputs!$B$7/100))+(((Inputs!$B$12*(1+Inputs!$B$13/100))-(Inputs!$B$12*(1+Inputs!$B$13/100)))+0.25*(Inputs!$B$14-Inputs!$B$14))*(1+Inputs!$B$7/100))*(F376/100)</f>
        <v/>
      </c>
      <c r="K376">
        <f>J376*(1+((Inputs!$B$12*(1+Inputs!$B$13/100))*0.01+Inputs!$B$14*0.0025)/100)*(1+Inputs!$B$15/100)*(1+Inputs!$B$16/100)*(5000/(6000+Inputs!$B$42*(1-(Inputs!$B$19+0)/100)))*(1+(Inputs!$B$24+((C394=TRUE)*(F394-Calc!F25))+B404)/100)*(1+IF(Skills!A7="ENHANCED_RAGING_BLOW",IF(Inputs!$B$3&gt;=134,MAX(0,IF(Inputs!$B$3&gt;=110,7,5)-5)*50,0),0)/100)*(1+(IF(Skills!A7="RAGING_BLOW",Inputs!$B$17+((C390=TRUE)*(F390-Calc!F21)),Inputs!$B$18+((C392=TRUE)*(F392-Calc!F23))))/100)*((1+(((C382=TRUE)*F382*IF(Inputs!$B$3&gt;=110,7,5))+((C384=TRUE)*F384*IF(AND(Inputs!$B$38&lt;&gt;"pvp",Inputs!$B$43&gt;0),(((R384-1)*(Skills!T15*(1+Inputs!$B$34/100))+MIN((Skills!T15*(1+Inputs!$B$34/100)),MAX(0,Inputs!$B$43-((R384-1)*Skills!D15))))/Inputs!$B$43),IF(Inputs!$B$38="pvp",MIN((Skills!T15*(1+Inputs!$B$34/100)),15)/15,(Skills!T15*(1+Inputs!$B$34/100))/Skills!D15)))+0)/100)*I376)</f>
        <v/>
      </c>
      <c r="L376">
        <f>K376*(MIN((Inputs!$B$22+1)+((C391=TRUE)*(F391-Calc!F22)),Inputs!$B$23+((C393=TRUE)*(F393-Calc!F24)))/100+(Inputs!$B$23+((C393=TRUE)*(F393-Calc!F24)))/100)/2</f>
        <v/>
      </c>
      <c r="M376">
        <f>L376*(1+(Inputs!$B$10+0+B403)/100)</f>
        <v/>
      </c>
      <c r="N376">
        <f>L376*(1-MIN((Inputs!$B$9+((C395=TRUE)*(F395-Calc!F26))+B398),100)/100)+M376*(MIN((Inputs!$B$9+((C395=TRUE)*(F395-Calc!F26))+B398),100)/100)</f>
        <v/>
      </c>
      <c r="O376">
        <f>(1-Summary!$B$55)*T376+Summary!$B$55*V376</f>
        <v/>
      </c>
      <c r="P376">
        <f>IF(B408=0,0,O376/B408)</f>
        <v/>
      </c>
      <c r="Q376">
        <f>IFERROR(1/IF(Inputs!$B$38="pvp",15,MAX(0.1,Skills!D7-IF(Skills!E7=TRUE,Inputs!$B$32,0))),0)</f>
        <v/>
      </c>
      <c r="R376">
        <f>IF(AND(Inputs!$B$38&lt;&gt;"pvp",Inputs!$B$43&gt;0),IF(MAX(0,Inputs!$B$43-B405)&lt;=0,0,(INT(MAX(0,Inputs!$B$43-B405)/IF(Inputs!$B$38="pvp",15,MAX(0.1,Skills!D7-IF(Skills!E7=TRUE,Inputs!$B$32,0))))+1)),0)</f>
        <v/>
      </c>
      <c r="S376">
        <f>IFERROR(O376/N376,0)</f>
        <v/>
      </c>
      <c r="T376">
        <f>IF(C376,(H376*N376*IF(AND(Inputs!$B$38&lt;&gt;"pvp",Inputs!$B$43&gt;0),((Skills!G7*((R376-1)*IF(Skills!H7&gt;0,Skills!I7/Skills!H7,1)+IF(Skills!H7&gt;0,MIN(Skills!I7,MAX(0,MAX(0,Inputs!$B$43-B405)-((R376-1)*IF(Inputs!$B$38="pvp",15,MAX(0.1,Skills!D7-IF(Skills!E7=TRUE,Inputs!$B$32,0))))))/Skills!H7,1)))/Inputs!$B$43),G376*Q376))*IF(Inputs!$B$38="pvp",1,1+(Inputs!$B$20+0+Skills!P7+Summary!$B$59)/100),0)</f>
        <v/>
      </c>
      <c r="V376">
        <f>IF(C376,(H376*N376*IF(AND(Inputs!$B$38&lt;&gt;"pvp",Inputs!$B$43&gt;0),((Skills!G7*((R376-1)*IF(Skills!H7&gt;0,Skills!I7/Skills!H7,1)+IF(Skills!H7&gt;0,MIN(Skills!I7,MAX(0,MAX(0,Inputs!$B$43-B405)-((R376-1)*IF(Inputs!$B$38="pvp",15,MAX(0.1,Skills!D7-IF(Skills!E7=TRUE,Inputs!$B$32,0))))))/Skills!H7,1)))/Inputs!$B$43),G376*Q376))*IF(Inputs!$B$38="pvp",1,(1+(Inputs!$B$21+Skills!Q7+Summary!$B$59)/100)*(MIN(Skills!R7,Inputs!$B$37))),0)</f>
        <v/>
      </c>
    </row>
    <row r="377">
      <c r="A377">
        <f>Skills!A8</f>
        <v/>
      </c>
      <c r="B377">
        <f>Skills!B8</f>
        <v/>
      </c>
      <c r="C377">
        <f>Inputs!$B$3&gt;=117</f>
        <v/>
      </c>
      <c r="D377">
        <f>IF(Skills!C8=1,60+Inputs!$B$25+Inputs!$B$29,IF(Skills!C8=2,90+Inputs!$B$26+Inputs!$B$29,IF(Skills!C8=3,120+Inputs!$B$27+Inputs!$B$29,MAX(0,(Inputs!$B$3-100)*3)+Inputs!$B$28+Inputs!$B$29)))</f>
        <v/>
      </c>
      <c r="E377">
        <f>INDEX(FactorTable!$B$2:$Y$301, MATCH(ROUND(MIN(300,MAX(1,D377)),0), FactorTable!$A$2:$A$301,0), Skills!M8+1)</f>
        <v/>
      </c>
      <c r="F377">
        <f>IF(Skills!N8=TRUE,(Skills!L8/10)*(E377/1000),Skills!L8/10)+Skills!O8</f>
        <v/>
      </c>
      <c r="G377">
        <f>Skills!G8*IF(Skills!H8&gt;0,Skills!I8/Skills!H8,1)</f>
        <v/>
      </c>
      <c r="H377">
        <f>1-(1-Skills!J8/100)^Skills!K8</f>
        <v/>
      </c>
      <c r="I377" t="inlineStr">
        <is>
          <t>1</t>
        </is>
      </c>
      <c r="J377">
        <f>((Inputs!$B$6*(1+Inputs!$B$7/100))+(((Inputs!$B$12*(1+Inputs!$B$13/100))-(Inputs!$B$12*(1+Inputs!$B$13/100)))+0.25*(Inputs!$B$14-Inputs!$B$14))*(1+Inputs!$B$7/100))*(F377/100)</f>
        <v/>
      </c>
      <c r="K377">
        <f>J377*(1+((Inputs!$B$12*(1+Inputs!$B$13/100))*0.01+Inputs!$B$14*0.0025)/100)*(1+Inputs!$B$15/100)*(1+Inputs!$B$16/100)*(5000/(6000+Inputs!$B$42*(1-(Inputs!$B$19+0)/100)))*(1+(Inputs!$B$24+((C394=TRUE)*(F394-Calc!F25))+B404)/100)*(1+IF(Skills!A8="ENHANCED_RAGING_BLOW",IF(Inputs!$B$3&gt;=134,MAX(0,IF(Inputs!$B$3&gt;=110,7,5)-5)*50,0),0)/100)*(1+(IF(Skills!A8="RAGING_BLOW",Inputs!$B$17+((C390=TRUE)*(F390-Calc!F21)),Inputs!$B$18+((C392=TRUE)*(F392-Calc!F23))))/100)*((1+(((C382=TRUE)*F382*IF(Inputs!$B$3&gt;=110,7,5))+((C384=TRUE)*F384*IF(AND(Inputs!$B$38&lt;&gt;"pvp",Inputs!$B$43&gt;0),(((R384-1)*(Skills!T15*(1+Inputs!$B$34/100))+MIN((Skills!T15*(1+Inputs!$B$34/100)),MAX(0,Inputs!$B$43-((R384-1)*Skills!D15))))/Inputs!$B$43),IF(Inputs!$B$38="pvp",MIN((Skills!T15*(1+Inputs!$B$34/100)),15)/15,(Skills!T15*(1+Inputs!$B$34/100))/Skills!D15)))+0)/100)*I377)</f>
        <v/>
      </c>
      <c r="L377">
        <f>K377*(MIN((Inputs!$B$22+1)+((C391=TRUE)*(F391-Calc!F22)),Inputs!$B$23+((C393=TRUE)*(F393-Calc!F24)))/100+(Inputs!$B$23+((C393=TRUE)*(F393-Calc!F24)))/100)/2</f>
        <v/>
      </c>
      <c r="M377">
        <f>L377*(1+(Inputs!$B$10+0+B403)/100)</f>
        <v/>
      </c>
      <c r="N377">
        <f>L377*(1-MIN((Inputs!$B$9+((C395=TRUE)*(F395-Calc!F26))+B398),100)/100)+M377*(MIN((Inputs!$B$9+((C395=TRUE)*(F395-Calc!F26))+B398),100)/100)</f>
        <v/>
      </c>
      <c r="O377">
        <f>(1-Summary!$B$55)*T377+Summary!$B$55*V377</f>
        <v/>
      </c>
      <c r="P377">
        <f>IF(B408=0,0,O377/B408)</f>
        <v/>
      </c>
      <c r="Q377">
        <f>IFERROR(1/IF(Inputs!$B$38="pvp",15,MAX(0.1,Skills!D8-IF(Skills!E8=TRUE,Inputs!$B$32,0))),0)</f>
        <v/>
      </c>
      <c r="R377">
        <f>IF(AND(Inputs!$B$38&lt;&gt;"pvp",Inputs!$B$43&gt;0),IF(MAX(0,Inputs!$B$43-B405)&lt;=0,0,(INT(MAX(0,Inputs!$B$43-B405)/IF(Inputs!$B$38="pvp",15,MAX(0.1,Skills!D8-IF(Skills!E8=TRUE,Inputs!$B$32,0))))+1)),0)</f>
        <v/>
      </c>
      <c r="S377">
        <f>IFERROR(O377/N377,0)</f>
        <v/>
      </c>
      <c r="T377">
        <f>IF(C377,(H377*N377*IF(AND(Inputs!$B$38&lt;&gt;"pvp",Inputs!$B$43&gt;0),((Skills!G8*((R377-1)*IF(Skills!H8&gt;0,Skills!I8/Skills!H8,1)+IF(Skills!H8&gt;0,MIN(Skills!I8,MAX(0,MAX(0,Inputs!$B$43-B405)-((R377-1)*IF(Inputs!$B$38="pvp",15,MAX(0.1,Skills!D8-IF(Skills!E8=TRUE,Inputs!$B$32,0))))))/Skills!H8,1)))/Inputs!$B$43),G377*Q377))*IF(Inputs!$B$38="pvp",1,1+(Inputs!$B$20+0+Skills!P8+Summary!$B$59)/100),0)</f>
        <v/>
      </c>
      <c r="V377">
        <f>IF(C377,(H377*N377*IF(AND(Inputs!$B$38&lt;&gt;"pvp",Inputs!$B$43&gt;0),((Skills!G8*((R377-1)*IF(Skills!H8&gt;0,Skills!I8/Skills!H8,1)+IF(Skills!H8&gt;0,MIN(Skills!I8,MAX(0,MAX(0,Inputs!$B$43-B405)-((R377-1)*IF(Inputs!$B$38="pvp",15,MAX(0.1,Skills!D8-IF(Skills!E8=TRUE,Inputs!$B$32,0))))))/Skills!H8,1)))/Inputs!$B$43),G377*Q377))*IF(Inputs!$B$38="pvp",1,(1+(Inputs!$B$21+Skills!Q8+Summary!$B$59)/100)*(MIN(Skills!R8,Inputs!$B$37))),0)</f>
        <v/>
      </c>
    </row>
    <row r="378">
      <c r="A378">
        <f>Skills!A9</f>
        <v/>
      </c>
      <c r="B378">
        <f>Skills!B9</f>
        <v/>
      </c>
      <c r="C378">
        <f>Inputs!$B$3&gt;=69</f>
        <v/>
      </c>
      <c r="D378">
        <f>IF(Skills!C9=1,60+Inputs!$B$25+Inputs!$B$29,IF(Skills!C9=2,90+Inputs!$B$26+Inputs!$B$29,IF(Skills!C9=3,120+Inputs!$B$27+Inputs!$B$29,MAX(0,(Inputs!$B$3-100)*3)+Inputs!$B$28+Inputs!$B$29)))</f>
        <v/>
      </c>
      <c r="E378">
        <f>INDEX(FactorTable!$B$2:$Y$301, MATCH(ROUND(MIN(300,MAX(1,D378)),0), FactorTable!$A$2:$A$301,0), Skills!M9+1)</f>
        <v/>
      </c>
      <c r="F378">
        <f>IF(Skills!N9=TRUE,(Skills!L9/10)*(E378/1000),Skills!L9/10)+Skills!O9</f>
        <v/>
      </c>
      <c r="G378">
        <f>Skills!G9*IF(Skills!H9&gt;0,Skills!I9/Skills!H9,1)</f>
        <v/>
      </c>
      <c r="H378">
        <f>1-(1-Skills!J9/100)^Skills!K9</f>
        <v/>
      </c>
      <c r="I378" t="inlineStr">
        <is>
          <t>1</t>
        </is>
      </c>
      <c r="J378">
        <f>((Inputs!$B$6*(1+Inputs!$B$7/100))+(((Inputs!$B$12*(1+Inputs!$B$13/100))-(Inputs!$B$12*(1+Inputs!$B$13/100)))+0.25*(Inputs!$B$14-Inputs!$B$14))*(1+Inputs!$B$7/100))*(F378/100)</f>
        <v/>
      </c>
      <c r="K378">
        <f>J378*(1+((Inputs!$B$12*(1+Inputs!$B$13/100))*0.01+Inputs!$B$14*0.0025)/100)*(1+Inputs!$B$15/100)*(1+Inputs!$B$16/100)*(5000/(6000+Inputs!$B$42*(1-(Inputs!$B$19+0)/100)))*(1+(Inputs!$B$24+((C394=TRUE)*(F394-Calc!F25))+B404)/100)*(1+1.0*IF(C381=TRUE,F381,0)/100)*(1+IF(Skills!A9="ENHANCED_RAGING_BLOW",IF(Inputs!$B$3&gt;=134,MAX(0,IF(Inputs!$B$3&gt;=110,7,5)-5)*50,0),0)/100)*(1+(IF(Skills!A9="RAGING_BLOW",Inputs!$B$17+((C390=TRUE)*(F390-Calc!F21)),Inputs!$B$18+((C392=TRUE)*(F392-Calc!F23))))/100)*((1+(((C382=TRUE)*F382*IF(Inputs!$B$3&gt;=110,7,5))+((C384=TRUE)*F384*IF(AND(Inputs!$B$38&lt;&gt;"pvp",Inputs!$B$43&gt;0),(((R384-1)*(Skills!T15*(1+Inputs!$B$34/100))+MIN((Skills!T15*(1+Inputs!$B$34/100)),MAX(0,Inputs!$B$43-((R384-1)*Skills!D15))))/Inputs!$B$43),IF(Inputs!$B$38="pvp",MIN((Skills!T15*(1+Inputs!$B$34/100)),15)/15,(Skills!T15*(1+Inputs!$B$34/100))/Skills!D15)))+0)/100)*I378)</f>
        <v/>
      </c>
      <c r="L378">
        <f>K378*(MIN((Inputs!$B$22+1)+((C391=TRUE)*(F391-Calc!F22)),Inputs!$B$23+((C393=TRUE)*(F393-Calc!F24)))/100+(Inputs!$B$23+((C393=TRUE)*(F393-Calc!F24)))/100)/2</f>
        <v/>
      </c>
      <c r="M378">
        <f>L378*(1+(Inputs!$B$10+0+B403)/100)</f>
        <v/>
      </c>
      <c r="N378">
        <f>L378*(1-MIN((Inputs!$B$9+((C395=TRUE)*(F395-Calc!F26))+B398),100)/100)+M378*(MIN((Inputs!$B$9+((C395=TRUE)*(F395-Calc!F26))+B398),100)/100)</f>
        <v/>
      </c>
      <c r="O378">
        <f>(1-Summary!$B$55)*T378+Summary!$B$55*V378</f>
        <v/>
      </c>
      <c r="P378">
        <f>IF(B408=0,0,O378/B408)</f>
        <v/>
      </c>
      <c r="Q378">
        <f>IFERROR(1/IF(Inputs!$B$38="pvp",15,MAX(0.1,Skills!D9-IF(Skills!E9=TRUE,Inputs!$B$32,0))),0)</f>
        <v/>
      </c>
      <c r="R378">
        <f>IF(AND(Inputs!$B$38&lt;&gt;"pvp",Inputs!$B$43&gt;0),IF(MAX(0,Inputs!$B$43-B405)&lt;=0,0,(INT(MAX(0,Inputs!$B$43-B405)/IF(Inputs!$B$38="pvp",15,MAX(0.1,Skills!D9-IF(Skills!E9=TRUE,Inputs!$B$32,0))))+1)),0)</f>
        <v/>
      </c>
      <c r="S378">
        <f>IFERROR(O378/N378,0)</f>
        <v/>
      </c>
      <c r="T378">
        <f>IF(C378,(H378*N378*IF(AND(Inputs!$B$38&lt;&gt;"pvp",Inputs!$B$43&gt;0),((Skills!G9*((R378-1)*IF(Skills!H9&gt;0,Skills!I9/Skills!H9,1)+IF(Skills!H9&gt;0,MIN(Skills!I9,MAX(0,MAX(0,Inputs!$B$43-B405)-((R378-1)*IF(Inputs!$B$38="pvp",15,MAX(0.1,Skills!D9-IF(Skills!E9=TRUE,Inputs!$B$32,0))))))/Skills!H9,1)))/Inputs!$B$43),G378*Q378))*IF(Inputs!$B$38="pvp",1,1+(Inputs!$B$20+0+Skills!P9+Summary!$B$59)/100),0)</f>
        <v/>
      </c>
      <c r="V378">
        <f>IF(C378,(H378*N378*IF(AND(Inputs!$B$38&lt;&gt;"pvp",Inputs!$B$43&gt;0),((Skills!G9*((R378-1)*IF(Skills!H9&gt;0,Skills!I9/Skills!H9,1)+IF(Skills!H9&gt;0,MIN(Skills!I9,MAX(0,MAX(0,Inputs!$B$43-B405)-((R378-1)*IF(Inputs!$B$38="pvp",15,MAX(0.1,Skills!D9-IF(Skills!E9=TRUE,Inputs!$B$32,0))))))/Skills!H9,1)))/Inputs!$B$43),G378*Q378))*IF(Inputs!$B$38="pvp",1,(1+(Inputs!$B$21+Skills!Q9+Summary!$B$59)/100)*(MIN(Skills!R9,Inputs!$B$37))),0)</f>
        <v/>
      </c>
    </row>
    <row r="379">
      <c r="A379">
        <f>Skills!A10</f>
        <v/>
      </c>
      <c r="B379">
        <f>Skills!B10</f>
        <v/>
      </c>
      <c r="C379">
        <f>Inputs!$B$3&gt;=63</f>
        <v/>
      </c>
      <c r="D379">
        <f>IF(Skills!C10=1,60+Inputs!$B$25+Inputs!$B$29,IF(Skills!C10=2,90+Inputs!$B$26+Inputs!$B$29,IF(Skills!C10=3,120+Inputs!$B$27+Inputs!$B$29,MAX(0,(Inputs!$B$3-100)*3)+Inputs!$B$28+Inputs!$B$29)))</f>
        <v/>
      </c>
      <c r="E379">
        <f>INDEX(FactorTable!$B$2:$Y$301, MATCH(ROUND(MIN(300,MAX(1,D379)),0), FactorTable!$A$2:$A$301,0), Skills!M10+1)</f>
        <v/>
      </c>
      <c r="F379">
        <f>IF(Skills!N10=TRUE,(Skills!L10/10)*(E379/1000),Skills!L10/10)+Skills!O10</f>
        <v/>
      </c>
      <c r="G379">
        <f>Skills!G10*IF(Skills!H10&gt;0,Skills!I10/Skills!H10,1)</f>
        <v/>
      </c>
      <c r="H379">
        <f>1-(1-Skills!J10/100)^Skills!K10</f>
        <v/>
      </c>
      <c r="I379" t="inlineStr">
        <is>
          <t>1</t>
        </is>
      </c>
      <c r="J379">
        <f>((Inputs!$B$6*(1+Inputs!$B$7/100))+(((Inputs!$B$12*(1+Inputs!$B$13/100))-(Inputs!$B$12*(1+Inputs!$B$13/100)))+0.25*(Inputs!$B$14-Inputs!$B$14))*(1+Inputs!$B$7/100))*(F379/100)</f>
        <v/>
      </c>
      <c r="K379">
        <f>J379*(1+((Inputs!$B$12*(1+Inputs!$B$13/100))*0.01+Inputs!$B$14*0.0025)/100)*(1+Inputs!$B$15/100)*(1+Inputs!$B$16/100)*(5000/(6000+Inputs!$B$42*(1-(Inputs!$B$19+0)/100)))*(1+(Inputs!$B$24+((C394=TRUE)*(F394-Calc!F25))+B404)/100)*(1+1.5*IF(C381=TRUE,F381,0)/100)*(1+IF(Skills!A10="ENHANCED_RAGING_BLOW",IF(Inputs!$B$3&gt;=134,MAX(0,IF(Inputs!$B$3&gt;=110,7,5)-5)*50,0),0)/100)*(1+(IF(Skills!A10="RAGING_BLOW",Inputs!$B$17+((C390=TRUE)*(F390-Calc!F21)),Inputs!$B$18+((C392=TRUE)*(F392-Calc!F23))))/100)*((1+(((C382=TRUE)*F382*IF(Inputs!$B$3&gt;=110,7,5))+((C384=TRUE)*F384*IF(AND(Inputs!$B$38&lt;&gt;"pvp",Inputs!$B$43&gt;0),(((R384-1)*(Skills!T15*(1+Inputs!$B$34/100))+MIN((Skills!T15*(1+Inputs!$B$34/100)),MAX(0,Inputs!$B$43-((R384-1)*Skills!D15))))/Inputs!$B$43),IF(Inputs!$B$38="pvp",MIN((Skills!T15*(1+Inputs!$B$34/100)),15)/15,(Skills!T15*(1+Inputs!$B$34/100))/Skills!D15)))+0)/100)*I379)</f>
        <v/>
      </c>
      <c r="L379">
        <f>K379*(MIN((Inputs!$B$22+1)+((C391=TRUE)*(F391-Calc!F22)),Inputs!$B$23+((C393=TRUE)*(F393-Calc!F24)))/100+(Inputs!$B$23+((C393=TRUE)*(F393-Calc!F24)))/100)/2</f>
        <v/>
      </c>
      <c r="M379">
        <f>L379*(1+(Inputs!$B$10+0+B403)/100)</f>
        <v/>
      </c>
      <c r="N379">
        <f>L379*(1-MIN((Inputs!$B$9+((C395=TRUE)*(F395-Calc!F26))+B398),100)/100)+M379*(MIN((Inputs!$B$9+((C395=TRUE)*(F395-Calc!F26))+B398),100)/100)</f>
        <v/>
      </c>
      <c r="O379">
        <f>(1-Summary!$B$55)*T379+Summary!$B$55*V379</f>
        <v/>
      </c>
      <c r="P379">
        <f>IF(B408=0,0,O379/B408)</f>
        <v/>
      </c>
      <c r="Q379">
        <f>IFERROR(1/IF(Inputs!$B$38="pvp",15,MAX(0.1,Skills!D10-IF(Skills!E10=TRUE,Inputs!$B$32,0))),0)</f>
        <v/>
      </c>
      <c r="R379">
        <f>IF(AND(Inputs!$B$38&lt;&gt;"pvp",Inputs!$B$43&gt;0),IF(MAX(0,Inputs!$B$43-B405)&lt;=0,0,(INT(MAX(0,Inputs!$B$43-B405)/IF(Inputs!$B$38="pvp",15,MAX(0.1,Skills!D10-IF(Skills!E10=TRUE,Inputs!$B$32,0))))+1)),0)</f>
        <v/>
      </c>
      <c r="S379">
        <f>IFERROR(O379/N379,0)</f>
        <v/>
      </c>
      <c r="T379">
        <f>IF(C379,(H379*N379*IF(AND(Inputs!$B$38&lt;&gt;"pvp",Inputs!$B$43&gt;0),((Skills!G10*((R379-1)*IF(Skills!H10&gt;0,Skills!I10/Skills!H10,1)+IF(Skills!H10&gt;0,MIN(Skills!I10,MAX(0,MAX(0,Inputs!$B$43-B405)-((R379-1)*IF(Inputs!$B$38="pvp",15,MAX(0.1,Skills!D10-IF(Skills!E10=TRUE,Inputs!$B$32,0))))))/Skills!H10,1)))/Inputs!$B$43),G379*Q379))*IF(Inputs!$B$38="pvp",1,1+(Inputs!$B$20+0+Skills!P10+Summary!$B$59)/100),0)</f>
        <v/>
      </c>
      <c r="V379">
        <f>IF(C379,(H379*N379*IF(AND(Inputs!$B$38&lt;&gt;"pvp",Inputs!$B$43&gt;0),((Skills!G10*((R379-1)*IF(Skills!H10&gt;0,Skills!I10/Skills!H10,1)+IF(Skills!H10&gt;0,MIN(Skills!I10,MAX(0,MAX(0,Inputs!$B$43-B405)-((R379-1)*IF(Inputs!$B$38="pvp",15,MAX(0.1,Skills!D10-IF(Skills!E10=TRUE,Inputs!$B$32,0))))))/Skills!H10,1)))/Inputs!$B$43),G379*Q379))*IF(Inputs!$B$38="pvp",1,(1+(Inputs!$B$21+Skills!Q10+Summary!$B$59)/100)*(MIN(Skills!R10,Inputs!$B$37))),0)</f>
        <v/>
      </c>
    </row>
    <row r="380">
      <c r="A380">
        <f>Skills!A11</f>
        <v/>
      </c>
      <c r="B380">
        <f>Skills!B11</f>
        <v/>
      </c>
      <c r="C380">
        <f>Inputs!$B$3&gt;=35</f>
        <v/>
      </c>
      <c r="D380">
        <f>IF(Skills!C11=1,60+Inputs!$B$25+Inputs!$B$29,IF(Skills!C11=2,90+Inputs!$B$26+Inputs!$B$29,IF(Skills!C11=3,120+Inputs!$B$27+Inputs!$B$29,MAX(0,(Inputs!$B$3-100)*3)+Inputs!$B$28+Inputs!$B$29)))</f>
        <v/>
      </c>
      <c r="E380">
        <f>INDEX(FactorTable!$B$2:$Y$301, MATCH(ROUND(MIN(300,MAX(1,D380)),0), FactorTable!$A$2:$A$301,0), Skills!M11+1)</f>
        <v/>
      </c>
      <c r="F380">
        <f>IF(Skills!N11=TRUE,(Skills!L11/10)*(E380/1000),Skills!L11/10)+Skills!O11</f>
        <v/>
      </c>
      <c r="G380">
        <f>Skills!G11*IF(Skills!H11&gt;0,Skills!I11/Skills!H11,1)</f>
        <v/>
      </c>
      <c r="H380">
        <f>1-(1-Skills!J11/100)^Skills!K11</f>
        <v/>
      </c>
      <c r="I380" t="inlineStr">
        <is>
          <t>1</t>
        </is>
      </c>
      <c r="J380">
        <f>((Inputs!$B$6*(1+Inputs!$B$7/100))+(((Inputs!$B$12*(1+Inputs!$B$13/100))-(Inputs!$B$12*(1+Inputs!$B$13/100)))+0.25*(Inputs!$B$14-Inputs!$B$14))*(1+Inputs!$B$7/100))*(F380/100)</f>
        <v/>
      </c>
      <c r="K380">
        <f>J380*(1+((Inputs!$B$12*(1+Inputs!$B$13/100))*0.01+Inputs!$B$14*0.0025)/100)*(1+Inputs!$B$15/100)*(1+Inputs!$B$16/100)*(5000/(6000+Inputs!$B$42*(1-(Inputs!$B$19+0)/100)))*(1+(Inputs!$B$24+((C394=TRUE)*(F394-Calc!F25))+B404)/100)*(1+4.0*IF(C381=TRUE,F381,0)/100)*(1+IF(Skills!A11="ENHANCED_RAGING_BLOW",IF(Inputs!$B$3&gt;=134,MAX(0,IF(Inputs!$B$3&gt;=110,7,5)-5)*50,0),0)/100)*(1+(IF(Skills!A11="RAGING_BLOW",Inputs!$B$17+((C390=TRUE)*(F390-Calc!F21)),Inputs!$B$18+((C392=TRUE)*(F392-Calc!F23))))/100)*((1+(((C382=TRUE)*F382*IF(Inputs!$B$3&gt;=110,7,5))+((C384=TRUE)*F384*IF(AND(Inputs!$B$38&lt;&gt;"pvp",Inputs!$B$43&gt;0),(((R384-1)*(Skills!T15*(1+Inputs!$B$34/100))+MIN((Skills!T15*(1+Inputs!$B$34/100)),MAX(0,Inputs!$B$43-((R384-1)*Skills!D15))))/Inputs!$B$43),IF(Inputs!$B$38="pvp",MIN((Skills!T15*(1+Inputs!$B$34/100)),15)/15,(Skills!T15*(1+Inputs!$B$34/100))/Skills!D15)))+0)/100)*I380)</f>
        <v/>
      </c>
      <c r="L380">
        <f>K380*(MIN((Inputs!$B$22+1)+((C391=TRUE)*(F391-Calc!F22)),Inputs!$B$23+((C393=TRUE)*(F393-Calc!F24)))/100+(Inputs!$B$23+((C393=TRUE)*(F393-Calc!F24)))/100)/2</f>
        <v/>
      </c>
      <c r="M380">
        <f>L380*(1+(Inputs!$B$10+0+B403)/100)</f>
        <v/>
      </c>
      <c r="N380">
        <f>L380*(1-MIN((Inputs!$B$9+((C395=TRUE)*(F395-Calc!F26))+B398),100)/100)+M380*(MIN((Inputs!$B$9+((C395=TRUE)*(F395-Calc!F26))+B398),100)/100)</f>
        <v/>
      </c>
      <c r="O380">
        <f>(1-Summary!$B$55)*T380+Summary!$B$55*V380</f>
        <v/>
      </c>
      <c r="P380">
        <f>IF(B408=0,0,O380/B408)</f>
        <v/>
      </c>
      <c r="Q380">
        <f>IFERROR(1/IF(Inputs!$B$38="pvp",15,MAX(0.1,Skills!D11-IF(Skills!E11=TRUE,Inputs!$B$32,0))),0)</f>
        <v/>
      </c>
      <c r="R380">
        <f>IF(AND(Inputs!$B$38&lt;&gt;"pvp",Inputs!$B$43&gt;0),IF(MAX(0,Inputs!$B$43-B405)&lt;=0,0,(INT(MAX(0,Inputs!$B$43-B405)/IF(Inputs!$B$38="pvp",15,MAX(0.1,Skills!D11-IF(Skills!E11=TRUE,Inputs!$B$32,0))))+1)),0)</f>
        <v/>
      </c>
      <c r="S380">
        <f>IFERROR(O380/N380,0)</f>
        <v/>
      </c>
      <c r="T380">
        <f>IF(C380,(H380*N380*IF(AND(Inputs!$B$38&lt;&gt;"pvp",Inputs!$B$43&gt;0),((Skills!G11*((R380-1)*IF(Skills!H11&gt;0,Skills!I11/Skills!H11,1)+IF(Skills!H11&gt;0,MIN(Skills!I11,MAX(0,MAX(0,Inputs!$B$43-B405)-((R380-1)*IF(Inputs!$B$38="pvp",15,MAX(0.1,Skills!D11-IF(Skills!E11=TRUE,Inputs!$B$32,0))))))/Skills!H11,1)))/Inputs!$B$43),G380*Q380))*IF(Inputs!$B$38="pvp",1,1+(Inputs!$B$20+0+Skills!P11+Summary!$B$59)/100),0)</f>
        <v/>
      </c>
      <c r="V380">
        <f>IF(C380,(H380*N380*IF(AND(Inputs!$B$38&lt;&gt;"pvp",Inputs!$B$43&gt;0),((Skills!G11*((R380-1)*IF(Skills!H11&gt;0,Skills!I11/Skills!H11,1)+IF(Skills!H11&gt;0,MIN(Skills!I11,MAX(0,MAX(0,Inputs!$B$43-B405)-((R380-1)*IF(Inputs!$B$38="pvp",15,MAX(0.1,Skills!D11-IF(Skills!E11=TRUE,Inputs!$B$32,0))))))/Skills!H11,1)))/Inputs!$B$43),G380*Q380))*IF(Inputs!$B$38="pvp",1,(1+(Inputs!$B$21+Skills!Q11+Summary!$B$59)/100)*(MIN(Skills!R11,Inputs!$B$37))),0)</f>
        <v/>
      </c>
    </row>
    <row r="381">
      <c r="A381">
        <f>Skills!A12</f>
        <v/>
      </c>
      <c r="B381">
        <f>Skills!B12</f>
        <v/>
      </c>
      <c r="C381">
        <f>Inputs!$B$3&gt;=100</f>
        <v/>
      </c>
      <c r="D381">
        <f>IF(Skills!C12=1,60+Inputs!$B$25+Inputs!$B$29,IF(Skills!C12=2,90+Inputs!$B$26+Inputs!$B$29,IF(Skills!C12=3,120+Inputs!$B$27+Inputs!$B$29,MAX(0,(Inputs!$B$3-100)*3)+Inputs!$B$28+Inputs!$B$29)))</f>
        <v/>
      </c>
      <c r="E381">
        <f>INDEX(FactorTable!$B$2:$Y$301, MATCH(ROUND(MIN(300,MAX(1,D381)),0), FactorTable!$A$2:$A$301,0), Skills!M12+1)</f>
        <v/>
      </c>
      <c r="F381">
        <f>IF(Skills!N12=TRUE,(Skills!L12/10)*(E381/1000),Skills!L12/10)+Skills!O12</f>
        <v/>
      </c>
      <c r="G381" t="inlineStr"/>
      <c r="H381" t="inlineStr"/>
      <c r="I381" t="inlineStr">
        <is>
          <t>1</t>
        </is>
      </c>
      <c r="J381" t="inlineStr"/>
      <c r="K381" t="inlineStr"/>
      <c r="L381" t="inlineStr"/>
      <c r="M381" t="inlineStr"/>
      <c r="N381" t="inlineStr"/>
      <c r="O381" t="inlineStr"/>
      <c r="P381" t="inlineStr"/>
      <c r="Q381" t="inlineStr"/>
      <c r="R381" t="inlineStr"/>
      <c r="S381" t="inlineStr"/>
    </row>
    <row r="382">
      <c r="A382">
        <f>Skills!A13</f>
        <v/>
      </c>
      <c r="B382">
        <f>Skills!B13</f>
        <v/>
      </c>
      <c r="C382">
        <f>Inputs!$B$3&gt;=45</f>
        <v/>
      </c>
      <c r="D382">
        <f>IF(Skills!C13=1,60+Inputs!$B$25+Inputs!$B$29,IF(Skills!C13=2,90+Inputs!$B$26+Inputs!$B$29,IF(Skills!C13=3,120+Inputs!$B$27+Inputs!$B$29,MAX(0,(Inputs!$B$3-100)*3)+Inputs!$B$28+Inputs!$B$29)))</f>
        <v/>
      </c>
      <c r="E382">
        <f>INDEX(FactorTable!$B$2:$Y$301, MATCH(ROUND(MIN(300,MAX(1,D382)),0), FactorTable!$A$2:$A$301,0), Skills!M13+1)</f>
        <v/>
      </c>
      <c r="F382">
        <f>IF(Skills!N13=TRUE,(Skills!L13/10)*(E382/1000),Skills!L13/10)+Skills!O13</f>
        <v/>
      </c>
      <c r="G382">
        <f>Skills!G13*IF(Skills!H13&gt;0,Skills!I13/Skills!H13,1)</f>
        <v/>
      </c>
      <c r="H382">
        <f>1-(1-Skills!J13/100)^Skills!K13</f>
        <v/>
      </c>
      <c r="I382" t="inlineStr">
        <is>
          <t>1</t>
        </is>
      </c>
      <c r="J382" t="inlineStr"/>
      <c r="K382" t="inlineStr"/>
      <c r="L382" t="inlineStr"/>
      <c r="M382" t="inlineStr"/>
      <c r="N382" t="inlineStr"/>
      <c r="O382">
        <f>(1-Summary!$B$55)*T382+Summary!$B$55*V382</f>
        <v/>
      </c>
      <c r="P382">
        <f>IF(B408=0,0,O382/B408)</f>
        <v/>
      </c>
      <c r="Q382" t="n">
        <v>0</v>
      </c>
      <c r="R382" t="n">
        <v>0</v>
      </c>
      <c r="S382">
        <f>IFERROR(O382/N382,0)</f>
        <v/>
      </c>
      <c r="T382" t="n">
        <v>0</v>
      </c>
      <c r="V382" t="n">
        <v>0</v>
      </c>
    </row>
    <row r="383">
      <c r="A383">
        <f>Skills!A14</f>
        <v/>
      </c>
      <c r="B383">
        <f>Skills!B14</f>
        <v/>
      </c>
      <c r="C383">
        <f>Inputs!$B$3&gt;=75</f>
        <v/>
      </c>
      <c r="D383">
        <f>IF(Skills!C14=1,60+Inputs!$B$25+Inputs!$B$29,IF(Skills!C14=2,90+Inputs!$B$26+Inputs!$B$29,IF(Skills!C14=3,120+Inputs!$B$27+Inputs!$B$29,MAX(0,(Inputs!$B$3-100)*3)+Inputs!$B$28+Inputs!$B$29)))</f>
        <v/>
      </c>
      <c r="E383">
        <f>INDEX(FactorTable!$B$2:$Y$301, MATCH(ROUND(MIN(300,MAX(1,D383)),0), FactorTable!$A$2:$A$301,0), Skills!M14+1)</f>
        <v/>
      </c>
      <c r="F383">
        <f>IF(Skills!N14=TRUE,(Skills!L14/10)*(E383/1000),Skills!L14/10)+Skills!O14</f>
        <v/>
      </c>
      <c r="G383">
        <f>Skills!G14*IF(Skills!H14&gt;0,Skills!I14/Skills!H14,1)</f>
        <v/>
      </c>
      <c r="H383">
        <f>1-(1-Skills!J14/100)^Skills!K14</f>
        <v/>
      </c>
      <c r="I383" t="inlineStr">
        <is>
          <t>1</t>
        </is>
      </c>
      <c r="J383" t="inlineStr"/>
      <c r="K383" t="inlineStr"/>
      <c r="L383" t="inlineStr"/>
      <c r="M383" t="inlineStr"/>
      <c r="N383" t="inlineStr"/>
      <c r="O383">
        <f>(1-Summary!$B$55)*T383+Summary!$B$55*V383</f>
        <v/>
      </c>
      <c r="P383">
        <f>IF(B408=0,0,O383/B408)</f>
        <v/>
      </c>
      <c r="Q383" t="n">
        <v>0</v>
      </c>
      <c r="R383" t="n">
        <v>0</v>
      </c>
      <c r="S383">
        <f>IFERROR(O383/N383,0)</f>
        <v/>
      </c>
      <c r="T383" t="n">
        <v>0</v>
      </c>
      <c r="V383" t="n">
        <v>0</v>
      </c>
    </row>
    <row r="384">
      <c r="A384">
        <f>Skills!A15</f>
        <v/>
      </c>
      <c r="B384">
        <f>Skills!B15</f>
        <v/>
      </c>
      <c r="C384">
        <f>Inputs!$B$3&gt;=40</f>
        <v/>
      </c>
      <c r="D384">
        <f>IF(Skills!C15=1,60+Inputs!$B$25+Inputs!$B$29,IF(Skills!C15=2,90+Inputs!$B$26+Inputs!$B$29,IF(Skills!C15=3,120+Inputs!$B$27+Inputs!$B$29,MAX(0,(Inputs!$B$3-100)*3)+Inputs!$B$28+Inputs!$B$29)))</f>
        <v/>
      </c>
      <c r="E384">
        <f>INDEX(FactorTable!$B$2:$Y$301, MATCH(ROUND(MIN(300,MAX(1,D384)),0), FactorTable!$A$2:$A$301,0), Skills!M15+1)</f>
        <v/>
      </c>
      <c r="F384">
        <f>IF(Skills!N15=TRUE,(Skills!L15/10)*(E384/1000),Skills!L15/10)+Skills!O15</f>
        <v/>
      </c>
      <c r="G384">
        <f>Skills!G15*IF(Skills!H15&gt;0,Skills!I15/Skills!H15,1)</f>
        <v/>
      </c>
      <c r="H384">
        <f>1-(1-Skills!J15/100)^Skills!K15</f>
        <v/>
      </c>
      <c r="I384" t="inlineStr">
        <is>
          <t>1</t>
        </is>
      </c>
      <c r="J384" t="inlineStr"/>
      <c r="K384" t="inlineStr"/>
      <c r="L384" t="inlineStr"/>
      <c r="M384" t="inlineStr"/>
      <c r="N384" t="inlineStr"/>
      <c r="O384">
        <f>(1-Summary!$B$55)*T384+Summary!$B$55*V384</f>
        <v/>
      </c>
      <c r="P384">
        <f>IF(B408=0,0,O384/B408)</f>
        <v/>
      </c>
      <c r="Q384">
        <f>IFERROR(1/IF(Inputs!$B$38="pvp",15,MAX(0.1,Skills!D15-IF(Skills!E15=TRUE,Inputs!$B$32,0))),0)</f>
        <v/>
      </c>
      <c r="R384">
        <f>IF(AND(Inputs!$B$38&lt;&gt;"pvp",Inputs!$B$43&gt;0),IF(Inputs!$B$43&lt;=0,0,(INT(Inputs!$B$43/IF(Inputs!$B$38="pvp",15,MAX(0.1,Skills!D15-IF(Skills!E15=TRUE,Inputs!$B$32,0))))+1)),0)</f>
        <v/>
      </c>
      <c r="S384">
        <f>IFERROR(O384/N384,0)</f>
        <v/>
      </c>
      <c r="T384" t="n">
        <v>0</v>
      </c>
      <c r="V384" t="n">
        <v>0</v>
      </c>
    </row>
    <row r="385">
      <c r="A385">
        <f>Skills!A16</f>
        <v/>
      </c>
      <c r="B385">
        <f>Skills!B16</f>
        <v/>
      </c>
      <c r="C385">
        <f>Inputs!$B$3&gt;=66</f>
        <v/>
      </c>
      <c r="D385">
        <f>IF(Skills!C16=1,60+Inputs!$B$25+Inputs!$B$29,IF(Skills!C16=2,90+Inputs!$B$26+Inputs!$B$29,IF(Skills!C16=3,120+Inputs!$B$27+Inputs!$B$29,MAX(0,(Inputs!$B$3-100)*3)+Inputs!$B$28+Inputs!$B$29)))</f>
        <v/>
      </c>
      <c r="E385">
        <f>INDEX(FactorTable!$B$2:$Y$301, MATCH(ROUND(MIN(300,MAX(1,D385)),0), FactorTable!$A$2:$A$301,0), Skills!M16+1)</f>
        <v/>
      </c>
      <c r="F385">
        <f>IF(Skills!N16=TRUE,(Skills!L16/10)*(E385/1000),Skills!L16/10)+Skills!O16</f>
        <v/>
      </c>
      <c r="G385">
        <f>Skills!G16*IF(Skills!H16&gt;0,Skills!I16/Skills!H16,1)</f>
        <v/>
      </c>
      <c r="H385">
        <f>1-(1-Skills!J16/100)^Skills!K16</f>
        <v/>
      </c>
      <c r="I385" t="inlineStr">
        <is>
          <t>1</t>
        </is>
      </c>
      <c r="J385" t="inlineStr"/>
      <c r="K385" t="inlineStr"/>
      <c r="L385" t="inlineStr"/>
      <c r="M385" t="inlineStr"/>
      <c r="N385" t="inlineStr"/>
      <c r="O385">
        <f>(1-Summary!$B$55)*T385+Summary!$B$55*V385</f>
        <v/>
      </c>
      <c r="P385">
        <f>IF(B408=0,0,O385/B408)</f>
        <v/>
      </c>
      <c r="Q385">
        <f>IFERROR(1/IF(Inputs!$B$38="pvp",15,MAX(0.1,Skills!D16-IF(Skills!E16=TRUE,Inputs!$B$32,0))),0)</f>
        <v/>
      </c>
      <c r="R385">
        <f>IF(AND(Inputs!$B$38&lt;&gt;"pvp",Inputs!$B$43&gt;0),IF(Inputs!$B$43&lt;=0,0,(INT(Inputs!$B$43/IF(Inputs!$B$38="pvp",15,MAX(0.1,Skills!D16-IF(Skills!E16=TRUE,Inputs!$B$32,0))))+1)),0)</f>
        <v/>
      </c>
      <c r="S385">
        <f>IFERROR(O385/N385,0)</f>
        <v/>
      </c>
      <c r="T385" t="n">
        <v>0</v>
      </c>
      <c r="V385" t="n">
        <v>0</v>
      </c>
    </row>
    <row r="386">
      <c r="A386">
        <f>Skills!A17</f>
        <v/>
      </c>
      <c r="B386">
        <f>Skills!B17</f>
        <v/>
      </c>
      <c r="C386">
        <f>Inputs!$B$3&gt;=115</f>
        <v/>
      </c>
      <c r="D386">
        <f>IF(Skills!C17=1,60+Inputs!$B$25+Inputs!$B$29,IF(Skills!C17=2,90+Inputs!$B$26+Inputs!$B$29,IF(Skills!C17=3,120+Inputs!$B$27+Inputs!$B$29,MAX(0,(Inputs!$B$3-100)*3)+Inputs!$B$28+Inputs!$B$29)))</f>
        <v/>
      </c>
      <c r="E386">
        <f>INDEX(FactorTable!$B$2:$Y$301, MATCH(ROUND(MIN(300,MAX(1,D386)),0), FactorTable!$A$2:$A$301,0), Skills!M17+1)</f>
        <v/>
      </c>
      <c r="F386">
        <f>IF(Skills!N17=TRUE,(Skills!L17/10)*(E386/1000),Skills!L17/10)+Skills!O17</f>
        <v/>
      </c>
      <c r="G386">
        <f>Skills!G17*IF(Skills!H17&gt;0,Skills!I17/Skills!H17,1)</f>
        <v/>
      </c>
      <c r="H386">
        <f>1-(1-Skills!J17/100)^Skills!K17</f>
        <v/>
      </c>
      <c r="I386" t="inlineStr">
        <is>
          <t>1</t>
        </is>
      </c>
      <c r="J386" t="inlineStr"/>
      <c r="K386" t="inlineStr"/>
      <c r="L386" t="inlineStr"/>
      <c r="M386" t="inlineStr"/>
      <c r="N386" t="inlineStr"/>
      <c r="O386">
        <f>(1-Summary!$B$55)*T386+Summary!$B$55*V386</f>
        <v/>
      </c>
      <c r="P386">
        <f>IF(B408=0,0,O386/B408)</f>
        <v/>
      </c>
      <c r="Q386">
        <f>IFERROR(1/IF(Inputs!$B$38="pvp",15,MAX(0.1,Skills!D17-IF(Skills!E17=TRUE,Inputs!$B$32,0))),0)</f>
        <v/>
      </c>
      <c r="R386">
        <f>IF(AND(Inputs!$B$38&lt;&gt;"pvp",Inputs!$B$43&gt;0),IF(Inputs!$B$43&lt;=0,0,(INT(Inputs!$B$43/IF(Inputs!$B$38="pvp",15,MAX(0.1,Skills!D17-IF(Skills!E17=TRUE,Inputs!$B$32,0))))+1)),0)</f>
        <v/>
      </c>
      <c r="S386">
        <f>IFERROR(O386/N386,0)</f>
        <v/>
      </c>
      <c r="T386" t="n">
        <v>0</v>
      </c>
      <c r="V386" t="n">
        <v>0</v>
      </c>
    </row>
    <row r="387">
      <c r="A387">
        <f>Skills!A18</f>
        <v/>
      </c>
      <c r="B387">
        <f>Skills!B18</f>
        <v/>
      </c>
      <c r="C387">
        <f>Inputs!$B$3&gt;=115</f>
        <v/>
      </c>
      <c r="D387">
        <f>IF(Skills!C18=1,60+Inputs!$B$25+Inputs!$B$29,IF(Skills!C18=2,90+Inputs!$B$26+Inputs!$B$29,IF(Skills!C18=3,120+Inputs!$B$27+Inputs!$B$29,MAX(0,(Inputs!$B$3-100)*3)+Inputs!$B$28+Inputs!$B$29)))</f>
        <v/>
      </c>
      <c r="E387">
        <f>INDEX(FactorTable!$B$2:$Y$301, MATCH(ROUND(MIN(300,MAX(1,D387)),0), FactorTable!$A$2:$A$301,0), Skills!M18+1)</f>
        <v/>
      </c>
      <c r="F387">
        <f>IF(Skills!N18=TRUE,(Skills!L18/10)*(E387/1000),Skills!L18/10)+Skills!O18</f>
        <v/>
      </c>
      <c r="G387">
        <f>Skills!G18*IF(Skills!H18&gt;0,Skills!I18/Skills!H18,1)</f>
        <v/>
      </c>
      <c r="H387">
        <f>1-(1-Skills!J18/100)^Skills!K18</f>
        <v/>
      </c>
      <c r="I387" t="inlineStr">
        <is>
          <t>1</t>
        </is>
      </c>
      <c r="J387" t="inlineStr"/>
      <c r="K387" t="inlineStr"/>
      <c r="L387" t="inlineStr"/>
      <c r="M387" t="inlineStr"/>
      <c r="N387" t="inlineStr"/>
      <c r="O387">
        <f>(1-Summary!$B$55)*T387+Summary!$B$55*V387</f>
        <v/>
      </c>
      <c r="P387">
        <f>IF(B408=0,0,O387/B408)</f>
        <v/>
      </c>
      <c r="Q387">
        <f>IFERROR(1/IF(Inputs!$B$38="pvp",15,MAX(0.1,Skills!D18-IF(Skills!E18=TRUE,Inputs!$B$32,0))),0)</f>
        <v/>
      </c>
      <c r="R387">
        <f>IF(AND(Inputs!$B$38&lt;&gt;"pvp",Inputs!$B$43&gt;0),IF(Inputs!$B$43&lt;=0,0,(INT(Inputs!$B$43/IF(Inputs!$B$38="pvp",15,MAX(0.1,Skills!D18-IF(Skills!E18=TRUE,Inputs!$B$32,0))))+1)),0)</f>
        <v/>
      </c>
      <c r="S387">
        <f>IFERROR(O387/N387,0)</f>
        <v/>
      </c>
      <c r="T387" t="n">
        <v>0</v>
      </c>
      <c r="V387" t="n">
        <v>0</v>
      </c>
    </row>
    <row r="388">
      <c r="A388">
        <f>Skills!A19</f>
        <v/>
      </c>
      <c r="B388">
        <f>Skills!B19</f>
        <v/>
      </c>
      <c r="C388">
        <f>TRUE</f>
        <v/>
      </c>
      <c r="D388">
        <f>IF(Skills!C19=1,60+Inputs!$B$25+Inputs!$B$29,IF(Skills!C19=2,90+Inputs!$B$26+Inputs!$B$29,IF(Skills!C19=3,120+Inputs!$B$27+Inputs!$B$29,MAX(0,(Inputs!$B$3-100)*3)+Inputs!$B$28+Inputs!$B$29)))</f>
        <v/>
      </c>
      <c r="E388">
        <f>INDEX(FactorTable!$B$2:$Y$301, MATCH(ROUND(MIN(300,MAX(1,D388)),0), FactorTable!$A$2:$A$301,0), Skills!M19+1)</f>
        <v/>
      </c>
      <c r="F388">
        <f>IF(Skills!N19=TRUE,(Skills!L19/10)*(E388/1000),Skills!L19/10)+Skills!O19</f>
        <v/>
      </c>
      <c r="G388">
        <f>Skills!G19*IF(Skills!H19&gt;0,Skills!I19/Skills!H19,1)</f>
        <v/>
      </c>
      <c r="H388">
        <f>1-(1-Skills!J19/100)^Skills!K19</f>
        <v/>
      </c>
      <c r="I388" t="inlineStr">
        <is>
          <t>1</t>
        </is>
      </c>
      <c r="J388" t="inlineStr"/>
      <c r="K388" t="inlineStr"/>
      <c r="L388" t="inlineStr"/>
      <c r="M388" t="inlineStr"/>
      <c r="N388" t="inlineStr"/>
      <c r="O388">
        <f>(1-Summary!$B$55)*T388+Summary!$B$55*V388</f>
        <v/>
      </c>
      <c r="P388">
        <f>IF(B408=0,0,O388/B408)</f>
        <v/>
      </c>
      <c r="Q388">
        <f>IFERROR(1/IF(Inputs!$B$38="pvp",15,MAX(0.1,Skills!D19-IF(Skills!E19=TRUE,Inputs!$B$32,0))),0)</f>
        <v/>
      </c>
      <c r="R388">
        <f>IF(AND(Inputs!$B$38&lt;&gt;"pvp",Inputs!$B$43&gt;0),IF(Inputs!$B$43&lt;=0,0,(INT(Inputs!$B$43/IF(Inputs!$B$38="pvp",15,MAX(0.1,Skills!D19-IF(Skills!E19=TRUE,Inputs!$B$32,0))))+1)),0)</f>
        <v/>
      </c>
      <c r="S388">
        <f>IFERROR(O388/N388,0)</f>
        <v/>
      </c>
      <c r="T388" t="n">
        <v>0</v>
      </c>
      <c r="V388" t="n">
        <v>0</v>
      </c>
    </row>
    <row r="389">
      <c r="A389">
        <f>Skills!A20</f>
        <v/>
      </c>
      <c r="B389">
        <f>Skills!B20</f>
        <v/>
      </c>
      <c r="C389">
        <f>Inputs!$B$3&gt;=33</f>
        <v/>
      </c>
      <c r="D389">
        <f>IF(Skills!C20=1,60+Inputs!$B$25+Inputs!$B$29,IF(Skills!C20=2,90+Inputs!$B$26+Inputs!$B$29,IF(Skills!C20=3,120+Inputs!$B$27+Inputs!$B$29,MAX(0,(Inputs!$B$3-100)*3)+Inputs!$B$28+Inputs!$B$29)))</f>
        <v/>
      </c>
      <c r="E389">
        <f>INDEX(FactorTable!$B$2:$Y$301, MATCH(ROUND(MIN(300,MAX(1,D389)),0), FactorTable!$A$2:$A$301,0), Skills!M20+1)</f>
        <v/>
      </c>
      <c r="F389">
        <f>IF(Skills!N20=TRUE,(Skills!L20/10)*(E389/1000),Skills!L20/10)+Skills!O20</f>
        <v/>
      </c>
      <c r="G389">
        <f>Skills!G20*IF(Skills!H20&gt;0,Skills!I20/Skills!H20,1)</f>
        <v/>
      </c>
      <c r="H389">
        <f>1-(1-Skills!J20/100)^Skills!K20</f>
        <v/>
      </c>
      <c r="I389" t="inlineStr">
        <is>
          <t>1</t>
        </is>
      </c>
      <c r="J389" t="inlineStr"/>
      <c r="K389" t="inlineStr"/>
      <c r="L389" t="inlineStr"/>
      <c r="M389" t="inlineStr"/>
      <c r="N389" t="inlineStr"/>
      <c r="O389">
        <f>(1-Summary!$B$55)*T389+Summary!$B$55*V389</f>
        <v/>
      </c>
      <c r="P389">
        <f>IF(B408=0,0,O389/B408)</f>
        <v/>
      </c>
      <c r="Q389" t="n">
        <v>0</v>
      </c>
      <c r="R389" t="n">
        <v>0</v>
      </c>
      <c r="S389">
        <f>IFERROR(O389/N389,0)</f>
        <v/>
      </c>
      <c r="T389" t="n">
        <v>0</v>
      </c>
      <c r="V389" t="n">
        <v>0</v>
      </c>
    </row>
    <row r="390">
      <c r="A390">
        <f>Skills!A21</f>
        <v/>
      </c>
      <c r="B390">
        <f>Skills!B21</f>
        <v/>
      </c>
      <c r="C390">
        <f>Inputs!$B$3&gt;=38</f>
        <v/>
      </c>
      <c r="D390">
        <f>IF(Skills!C21=1,60+Inputs!$B$25+Inputs!$B$29,IF(Skills!C21=2,90+Inputs!$B$26+Inputs!$B$29,IF(Skills!C21=3,120+Inputs!$B$27+Inputs!$B$29,MAX(0,(Inputs!$B$3-100)*3)+Inputs!$B$28+Inputs!$B$29)))</f>
        <v/>
      </c>
      <c r="E390">
        <f>INDEX(FactorTable!$B$2:$Y$301, MATCH(ROUND(MIN(300,MAX(1,D390)),0), FactorTable!$A$2:$A$301,0), Skills!M21+1)</f>
        <v/>
      </c>
      <c r="F390">
        <f>IF(Skills!N21=TRUE,(Skills!L21/10)*(E390/1000),Skills!L21/10)+Skills!O21</f>
        <v/>
      </c>
      <c r="G390">
        <f>Skills!G21*IF(Skills!H21&gt;0,Skills!I21/Skills!H21,1)</f>
        <v/>
      </c>
      <c r="H390">
        <f>1-(1-Skills!J21/100)^Skills!K21</f>
        <v/>
      </c>
      <c r="I390" t="inlineStr">
        <is>
          <t>1</t>
        </is>
      </c>
      <c r="J390" t="inlineStr"/>
      <c r="K390" t="inlineStr"/>
      <c r="L390" t="inlineStr"/>
      <c r="M390" t="inlineStr"/>
      <c r="N390" t="inlineStr"/>
      <c r="O390">
        <f>(1-Summary!$B$55)*T390+Summary!$B$55*V390</f>
        <v/>
      </c>
      <c r="P390">
        <f>IF(B408=0,0,O390/B408)</f>
        <v/>
      </c>
      <c r="Q390" t="n">
        <v>0</v>
      </c>
      <c r="R390" t="n">
        <v>0</v>
      </c>
      <c r="S390">
        <f>IFERROR(O390/N390,0)</f>
        <v/>
      </c>
      <c r="T390" t="n">
        <v>0</v>
      </c>
      <c r="V390" t="n">
        <v>0</v>
      </c>
    </row>
    <row r="391">
      <c r="A391">
        <f>Skills!A22</f>
        <v/>
      </c>
      <c r="B391">
        <f>Skills!B22</f>
        <v/>
      </c>
      <c r="C391">
        <f>Inputs!$B$3&gt;=43</f>
        <v/>
      </c>
      <c r="D391">
        <f>IF(Skills!C22=1,60+Inputs!$B$25+Inputs!$B$29,IF(Skills!C22=2,90+Inputs!$B$26+Inputs!$B$29,IF(Skills!C22=3,120+Inputs!$B$27+Inputs!$B$29,MAX(0,(Inputs!$B$3-100)*3)+Inputs!$B$28+Inputs!$B$29)))</f>
        <v/>
      </c>
      <c r="E391">
        <f>INDEX(FactorTable!$B$2:$Y$301, MATCH(ROUND(MIN(300,MAX(1,D391)),0), FactorTable!$A$2:$A$301,0), Skills!M22+1)</f>
        <v/>
      </c>
      <c r="F391">
        <f>IF(Skills!N22=TRUE,(Skills!L22/10)*(E391/1000),Skills!L22/10)+Skills!O22</f>
        <v/>
      </c>
      <c r="G391">
        <f>Skills!G22*IF(Skills!H22&gt;0,Skills!I22/Skills!H22,1)</f>
        <v/>
      </c>
      <c r="H391">
        <f>1-(1-Skills!J22/100)^Skills!K22</f>
        <v/>
      </c>
      <c r="I391" t="inlineStr">
        <is>
          <t>1</t>
        </is>
      </c>
      <c r="J391" t="inlineStr"/>
      <c r="K391" t="inlineStr"/>
      <c r="L391" t="inlineStr"/>
      <c r="M391" t="inlineStr"/>
      <c r="N391" t="inlineStr"/>
      <c r="O391">
        <f>(1-Summary!$B$55)*T391+Summary!$B$55*V391</f>
        <v/>
      </c>
      <c r="P391">
        <f>IF(B408=0,0,O391/B408)</f>
        <v/>
      </c>
      <c r="Q391" t="n">
        <v>0</v>
      </c>
      <c r="R391" t="n">
        <v>0</v>
      </c>
      <c r="S391">
        <f>IFERROR(O391/N391,0)</f>
        <v/>
      </c>
      <c r="T391" t="n">
        <v>0</v>
      </c>
      <c r="V391" t="n">
        <v>0</v>
      </c>
    </row>
    <row r="392">
      <c r="A392">
        <f>Skills!A23</f>
        <v/>
      </c>
      <c r="B392">
        <f>Skills!B23</f>
        <v/>
      </c>
      <c r="C392">
        <f>Inputs!$B$3&gt;=120</f>
        <v/>
      </c>
      <c r="D392">
        <f>IF(Skills!C23=1,60+Inputs!$B$25+Inputs!$B$29,IF(Skills!C23=2,90+Inputs!$B$26+Inputs!$B$29,IF(Skills!C23=3,120+Inputs!$B$27+Inputs!$B$29,MAX(0,(Inputs!$B$3-100)*3)+Inputs!$B$28+Inputs!$B$29)))</f>
        <v/>
      </c>
      <c r="E392">
        <f>INDEX(FactorTable!$B$2:$Y$301, MATCH(ROUND(MIN(300,MAX(1,D392)),0), FactorTable!$A$2:$A$301,0), Skills!M23+1)</f>
        <v/>
      </c>
      <c r="F392">
        <f>IF(Skills!N23=TRUE,(Skills!L23/10)*(E392/1000),Skills!L23/10)+Skills!O23</f>
        <v/>
      </c>
      <c r="G392">
        <f>Skills!G23*IF(Skills!H23&gt;0,Skills!I23/Skills!H23,1)</f>
        <v/>
      </c>
      <c r="H392">
        <f>1-(1-Skills!J23/100)^Skills!K23</f>
        <v/>
      </c>
      <c r="I392" t="inlineStr">
        <is>
          <t>1</t>
        </is>
      </c>
      <c r="J392" t="inlineStr"/>
      <c r="K392" t="inlineStr"/>
      <c r="L392" t="inlineStr"/>
      <c r="M392" t="inlineStr"/>
      <c r="N392" t="inlineStr"/>
      <c r="O392">
        <f>(1-Summary!$B$55)*T392+Summary!$B$55*V392</f>
        <v/>
      </c>
      <c r="P392">
        <f>IF(B408=0,0,O392/B408)</f>
        <v/>
      </c>
      <c r="Q392" t="n">
        <v>0</v>
      </c>
      <c r="R392" t="n">
        <v>0</v>
      </c>
      <c r="S392">
        <f>IFERROR(O392/N392,0)</f>
        <v/>
      </c>
      <c r="T392" t="n">
        <v>0</v>
      </c>
      <c r="V392" t="n">
        <v>0</v>
      </c>
    </row>
    <row r="393">
      <c r="A393">
        <f>Skills!A24</f>
        <v/>
      </c>
      <c r="B393">
        <f>Skills!B24</f>
        <v/>
      </c>
      <c r="C393">
        <f>Inputs!$B$3&gt;=120</f>
        <v/>
      </c>
      <c r="D393">
        <f>IF(Skills!C24=1,60+Inputs!$B$25+Inputs!$B$29,IF(Skills!C24=2,90+Inputs!$B$26+Inputs!$B$29,IF(Skills!C24=3,120+Inputs!$B$27+Inputs!$B$29,MAX(0,(Inputs!$B$3-100)*3)+Inputs!$B$28+Inputs!$B$29)))</f>
        <v/>
      </c>
      <c r="E393">
        <f>INDEX(FactorTable!$B$2:$Y$301, MATCH(ROUND(MIN(300,MAX(1,D393)),0), FactorTable!$A$2:$A$301,0), Skills!M24+1)</f>
        <v/>
      </c>
      <c r="F393">
        <f>IF(Skills!N24=TRUE,(Skills!L24/10)*(E393/1000),Skills!L24/10)+Skills!O24</f>
        <v/>
      </c>
      <c r="G393">
        <f>Skills!G24*IF(Skills!H24&gt;0,Skills!I24/Skills!H24,1)</f>
        <v/>
      </c>
      <c r="H393">
        <f>1-(1-Skills!J24/100)^Skills!K24</f>
        <v/>
      </c>
      <c r="I393" t="inlineStr">
        <is>
          <t>1</t>
        </is>
      </c>
      <c r="J393" t="inlineStr"/>
      <c r="K393" t="inlineStr"/>
      <c r="L393" t="inlineStr"/>
      <c r="M393" t="inlineStr"/>
      <c r="N393" t="inlineStr"/>
      <c r="O393">
        <f>(1-Summary!$B$55)*T393+Summary!$B$55*V393</f>
        <v/>
      </c>
      <c r="P393">
        <f>IF(B408=0,0,O393/B408)</f>
        <v/>
      </c>
      <c r="Q393" t="n">
        <v>0</v>
      </c>
      <c r="R393" t="n">
        <v>0</v>
      </c>
      <c r="S393">
        <f>IFERROR(O393/N393,0)</f>
        <v/>
      </c>
      <c r="T393" t="n">
        <v>0</v>
      </c>
      <c r="V393" t="n">
        <v>0</v>
      </c>
    </row>
    <row r="394">
      <c r="A394">
        <f>Skills!A25</f>
        <v/>
      </c>
      <c r="B394">
        <f>Skills!B25</f>
        <v/>
      </c>
      <c r="C394">
        <f>Inputs!$B$3&gt;=125</f>
        <v/>
      </c>
      <c r="D394">
        <f>IF(Skills!C25=1,60+Inputs!$B$25+Inputs!$B$29,IF(Skills!C25=2,90+Inputs!$B$26+Inputs!$B$29,IF(Skills!C25=3,120+Inputs!$B$27+Inputs!$B$29,MAX(0,(Inputs!$B$3-100)*3)+Inputs!$B$28+Inputs!$B$29)))</f>
        <v/>
      </c>
      <c r="E394">
        <f>INDEX(FactorTable!$B$2:$Y$301, MATCH(ROUND(MIN(300,MAX(1,D394)),0), FactorTable!$A$2:$A$301,0), Skills!M25+1)</f>
        <v/>
      </c>
      <c r="F394">
        <f>IF(Skills!N25=TRUE,(Skills!L25/10)*(E394/1000),Skills!L25/10)+Skills!O25</f>
        <v/>
      </c>
      <c r="G394">
        <f>Skills!G25*IF(Skills!H25&gt;0,Skills!I25/Skills!H25,1)</f>
        <v/>
      </c>
      <c r="H394">
        <f>1-(1-Skills!J25/100)^Skills!K25</f>
        <v/>
      </c>
      <c r="I394" t="inlineStr">
        <is>
          <t>1</t>
        </is>
      </c>
      <c r="J394" t="inlineStr"/>
      <c r="K394" t="inlineStr"/>
      <c r="L394" t="inlineStr"/>
      <c r="M394" t="inlineStr"/>
      <c r="N394" t="inlineStr"/>
      <c r="O394">
        <f>(1-Summary!$B$55)*T394+Summary!$B$55*V394</f>
        <v/>
      </c>
      <c r="P394">
        <f>IF(B408=0,0,O394/B408)</f>
        <v/>
      </c>
      <c r="Q394" t="n">
        <v>0</v>
      </c>
      <c r="R394" t="n">
        <v>0</v>
      </c>
      <c r="S394">
        <f>IFERROR(O394/N394,0)</f>
        <v/>
      </c>
      <c r="T394" t="n">
        <v>0</v>
      </c>
      <c r="V394" t="n">
        <v>0</v>
      </c>
    </row>
    <row r="395">
      <c r="A395">
        <f>Skills!A26</f>
        <v/>
      </c>
      <c r="B395">
        <f>Skills!B26</f>
        <v/>
      </c>
      <c r="C395">
        <f>Inputs!$B$3&gt;=72</f>
        <v/>
      </c>
      <c r="D395">
        <f>IF(Skills!C26=1,60+Inputs!$B$25+Inputs!$B$29,IF(Skills!C26=2,90+Inputs!$B$26+Inputs!$B$29,IF(Skills!C26=3,120+Inputs!$B$27+Inputs!$B$29,MAX(0,(Inputs!$B$3-100)*3)+Inputs!$B$28+Inputs!$B$29)))</f>
        <v/>
      </c>
      <c r="E395">
        <f>INDEX(FactorTable!$B$2:$Y$301, MATCH(ROUND(MIN(300,MAX(1,D395)),0), FactorTable!$A$2:$A$301,0), Skills!M26+1)</f>
        <v/>
      </c>
      <c r="F395">
        <f>IF(Skills!N26=TRUE,(Skills!L26/10)*(E395/1000),Skills!L26/10)+Skills!O26</f>
        <v/>
      </c>
      <c r="G395">
        <f>Skills!G26*IF(Skills!H26&gt;0,Skills!I26/Skills!H26,1)</f>
        <v/>
      </c>
      <c r="H395">
        <f>1-(1-Skills!J26/100)^Skills!K26</f>
        <v/>
      </c>
      <c r="I395" t="inlineStr">
        <is>
          <t>1</t>
        </is>
      </c>
      <c r="J395" t="inlineStr"/>
      <c r="K395" t="inlineStr"/>
      <c r="L395" t="inlineStr"/>
      <c r="M395" t="inlineStr"/>
      <c r="N395" t="inlineStr"/>
      <c r="O395">
        <f>(1-Summary!$B$55)*T395+Summary!$B$55*V395</f>
        <v/>
      </c>
      <c r="P395">
        <f>IF(B408=0,0,O395/B408)</f>
        <v/>
      </c>
      <c r="Q395" t="n">
        <v>0</v>
      </c>
      <c r="R395" t="n">
        <v>0</v>
      </c>
      <c r="S395">
        <f>IFERROR(O395/N395,0)</f>
        <v/>
      </c>
      <c r="T395" t="n">
        <v>0</v>
      </c>
      <c r="V395" t="n">
        <v>0</v>
      </c>
    </row>
    <row r="397">
      <c r="A397" t="inlineStr">
        <is>
          <t>Attack% Bucket Multiplier</t>
        </is>
      </c>
      <c r="B397">
        <f>(1+(((C382=TRUE)*F382*IF(Inputs!$B$3&gt;=110,7,5))+((C384=TRUE)*F384*IF(AND(Inputs!$B$38&lt;&gt;"pvp",Inputs!$B$43&gt;0),(((R384-1)*(Skills!T15*(1+Inputs!$B$34/100))+MIN((Skills!T15*(1+Inputs!$B$34/100)),MAX(0,Inputs!$B$43-((R384-1)*Skills!D15))))/Inputs!$B$43),IF(Inputs!$B$38="pvp",MIN((Skills!T15*(1+Inputs!$B$34/100)),15)/15,(Skills!T15*(1+Inputs!$B$34/100))/Skills!D15)))+0)/100)</f>
        <v/>
      </c>
    </row>
    <row r="398">
      <c r="A398" t="inlineStr">
        <is>
          <t>Global Crit Rate Bonus %</t>
        </is>
      </c>
      <c r="B398" t="n">
        <v>0</v>
      </c>
    </row>
    <row r="399">
      <c r="A399" t="inlineStr">
        <is>
          <t>Attack Speed Buff Bonus %</t>
        </is>
      </c>
      <c r="B399">
        <f>((C388=TRUE)*F388*IF(AND(Inputs!$B$38&lt;&gt;"pvp",Inputs!$B$43&gt;0),(((R388-1)*(Skills!T19*(1+Inputs!$B$34/100))+MIN((Skills!T19*(1+Inputs!$B$34/100)),MAX(0,Inputs!$B$43-((R388-1)*Skills!D19))))/Inputs!$B$43),IF(Inputs!$B$38="pvp",MIN((Skills!T19*(1+Inputs!$B$34/100)),15)/15,(Skills!T19*(1+Inputs!$B$34/100))/Skills!D19)))</f>
        <v/>
      </c>
    </row>
    <row r="400">
      <c r="A400" t="inlineStr">
        <is>
          <t>Actions Per Second</t>
        </is>
      </c>
      <c r="B400">
        <f>1+MIN(150,150*(1-(1-(Inputs!$B$11+((C389=TRUE)*(F389-Calc!F20)))/150)*(1-B399/150)))/100</f>
        <v/>
      </c>
    </row>
    <row r="401">
      <c r="A401" t="inlineStr">
        <is>
          <t>Skill + Buff Cast Rate</t>
        </is>
      </c>
      <c r="B401">
        <f>IF(AND(Inputs!$B$38&lt;&gt;"pvp",Inputs!$B$43&gt;0),SUMPRODUCT((Skills!E2:E26=TRUE)*(C371:C395=TRUE)*R371:R395*Skills!F2:F26)/Inputs!$B$43,SUMPRODUCT((Skills!E2:E26=TRUE)*(C371:C395=TRUE)*Q371:Q395*Skills!F2:F26))</f>
        <v/>
      </c>
    </row>
    <row r="402">
      <c r="A402" t="inlineStr">
        <is>
          <t>Raging Blow Casts Per Second</t>
        </is>
      </c>
      <c r="B402">
        <f>MAX(0,B400-B401)</f>
        <v/>
      </c>
    </row>
    <row r="403">
      <c r="A403" t="inlineStr">
        <is>
          <t>Global Critical Damage Bonus % (Enrage)</t>
        </is>
      </c>
      <c r="B403">
        <f>((C387=TRUE)*F387*IF(AND(Inputs!$B$38&lt;&gt;"pvp",Inputs!$B$43&gt;0),(((R387-1)*(Skills!T18*(1+Inputs!$B$34/100))+MIN((Skills!T18*(1+Inputs!$B$34/100)),MAX(0,Inputs!$B$43-((R387-1)*Skills!D18))))/Inputs!$B$43),IF(Inputs!$B$38="pvp",MIN((Skills!T18*(1+Inputs!$B$34/100)),15)/15,(Skills!T18*(1+Inputs!$B$34/100))/Skills!D18)))</f>
        <v/>
      </c>
    </row>
    <row r="404">
      <c r="A404" t="inlineStr">
        <is>
          <t>Global Final Damage Bonus % (Enrage + Combo Synergy)</t>
        </is>
      </c>
      <c r="B404">
        <f>((C386=TRUE)*F386*IF(AND(Inputs!$B$38&lt;&gt;"pvp",Inputs!$B$43&gt;0),(((R386-1)*(Skills!T17*(1+Inputs!$B$34/100))+MIN((Skills!T17*(1+Inputs!$B$34/100)),MAX(0,Inputs!$B$43-((R386-1)*Skills!D17))))/Inputs!$B$43),IF(Inputs!$B$38="pvp",MIN((Skills!T17*(1+Inputs!$B$34/100)),15)/15,(Skills!T17*(1+Inputs!$B$34/100))/Skills!D17)))+((C383=TRUE)*F383*IF(Inputs!$B$3&gt;=110,7,5))</f>
        <v/>
      </c>
    </row>
    <row r="405">
      <c r="A405" t="inlineStr">
        <is>
          <t>Buff-Casting Startup Delay (s, fixed-duration only)</t>
        </is>
      </c>
      <c r="B405">
        <f>IF(AND(Inputs!$B$38&lt;&gt;"pvp",Inputs!$B$43&gt;0),SUMPRODUCT((Skills!T2:T26&gt;0)*(Skills!E2:E26=TRUE)*(C371:C395=TRUE))/B400,0)</f>
        <v/>
      </c>
    </row>
    <row r="406">
      <c r="A406" t="inlineStr">
        <is>
          <t>Boss-Only Total DPS (this block's swept value)</t>
        </is>
      </c>
      <c r="B406">
        <f>SUM(T371:T395)</f>
        <v/>
      </c>
    </row>
    <row r="407">
      <c r="A407" t="inlineStr">
        <is>
          <t>Normal-Only Total DPS (this block's swept value)</t>
        </is>
      </c>
      <c r="B407">
        <f>SUM(V371:V395)</f>
        <v/>
      </c>
    </row>
    <row r="408">
      <c r="A408" s="5" t="inlineStr">
        <is>
          <t>TOTAL DPS</t>
        </is>
      </c>
      <c r="B408" s="5">
        <f>SUM(O371:O395)</f>
        <v/>
      </c>
    </row>
    <row r="411">
      <c r="A411" s="5" t="inlineStr">
        <is>
          <t>Stat: MAX_DAMAGE %</t>
        </is>
      </c>
    </row>
    <row r="412">
      <c r="A412" s="9" t="inlineStr">
        <is>
          <t>Key</t>
        </is>
      </c>
      <c r="B412" s="9" t="inlineStr">
        <is>
          <t>Name</t>
        </is>
      </c>
      <c r="C412" s="9" t="inlineStr">
        <is>
          <t>Unlocked</t>
        </is>
      </c>
      <c r="D412" s="9" t="inlineStr">
        <is>
          <t>InputLevel</t>
        </is>
      </c>
      <c r="E412" s="9" t="inlineStr">
        <is>
          <t>Factor</t>
        </is>
      </c>
      <c r="F412" s="9" t="inlineStr">
        <is>
          <t>CoefficientPercent</t>
        </is>
      </c>
      <c r="G412" s="9" t="inlineStr">
        <is>
          <t>EffectiveHits</t>
        </is>
      </c>
      <c r="H412" s="9" t="inlineStr">
        <is>
          <t>ProcProbability</t>
        </is>
      </c>
      <c r="I412" s="9" t="inlineStr">
        <is>
          <t>MapleHeroMultiplier</t>
        </is>
      </c>
      <c r="J412" s="9" t="inlineStr">
        <is>
          <t>BaseDamage</t>
        </is>
      </c>
      <c r="K412" s="9" t="inlineStr">
        <is>
          <t>BaseHitDamage</t>
        </is>
      </c>
      <c r="L412" s="9" t="inlineStr">
        <is>
          <t>NonCritAvg</t>
        </is>
      </c>
      <c r="M412" s="9" t="inlineStr">
        <is>
          <t>CritAvg</t>
        </is>
      </c>
      <c r="N412" s="9" t="inlineStr">
        <is>
          <t>ExpectedDamage(perHit)</t>
        </is>
      </c>
      <c r="O412" s="9" t="inlineStr">
        <is>
          <t>DPS</t>
        </is>
      </c>
      <c r="P412" s="9" t="inlineStr">
        <is>
          <t>% of Total</t>
        </is>
      </c>
      <c r="Q412" s="9" t="inlineStr">
        <is>
          <t>InvCooldown</t>
        </is>
      </c>
      <c r="R412" s="9" t="inlineStr">
        <is>
          <t>CastsInFight</t>
        </is>
      </c>
      <c r="S412" s="9" t="inlineStr">
        <is>
          <t>HitRate(perSec)</t>
        </is>
      </c>
      <c r="U412" t="inlineStr">
        <is>
          <t>helpers</t>
        </is>
      </c>
    </row>
    <row r="413">
      <c r="A413">
        <f>Skills!A2</f>
        <v/>
      </c>
      <c r="B413">
        <f>Skills!B2</f>
        <v/>
      </c>
      <c r="C413">
        <f>Inputs!$B$3&gt;=100</f>
        <v/>
      </c>
      <c r="D413" t="inlineStr"/>
      <c r="E413" t="inlineStr"/>
      <c r="F413">
        <f>U415+Skills!O2</f>
        <v/>
      </c>
      <c r="G413">
        <f>Skills!G2*IF(Skills!H2&gt;0,Skills!I2/Skills!H2,1)</f>
        <v/>
      </c>
      <c r="H413">
        <f>1-(1-Skills!J2/100)^Skills!K2</f>
        <v/>
      </c>
      <c r="I413" t="inlineStr">
        <is>
          <t>1</t>
        </is>
      </c>
      <c r="J413">
        <f>((Inputs!$B$6*(1+Inputs!$B$7/100))+(((Inputs!$B$12*(1+Inputs!$B$13/100))-(Inputs!$B$12*(1+Inputs!$B$13/100)))+0.25*(Inputs!$B$14-Inputs!$B$14))*(1+Inputs!$B$7/100))*(F413/100)</f>
        <v/>
      </c>
      <c r="K413">
        <f>J413*(1+((Inputs!$B$12*(1+Inputs!$B$13/100))*0.01+Inputs!$B$14*0.0025)/100)*(1+Inputs!$B$15/100)*(1+Inputs!$B$16/100)*(5000/(6000+Inputs!$B$42*(1-(Inputs!$B$19+0)/100)))*(1+(Inputs!$B$24+((C436=TRUE)*(F436-Calc!F25))+B446)/100)*(1+IF(Skills!A2="ENHANCED_RAGING_BLOW",IF(Inputs!$B$3&gt;=134,MAX(0,IF(Inputs!$B$3&gt;=110,7,5)-5)*50,0),0)/100)*(1+(IF(Skills!A2="RAGING_BLOW",Inputs!$B$17+((C432=TRUE)*(F432-Calc!F21)),Inputs!$B$18+((C434=TRUE)*(F434-Calc!F23))))/100)*((1+(((C424=TRUE)*F424*IF(Inputs!$B$3&gt;=110,7,5))+((C426=TRUE)*F426*IF(AND(Inputs!$B$38&lt;&gt;"pvp",Inputs!$B$43&gt;0),(((R426-1)*(Skills!T15*(1+Inputs!$B$34/100))+MIN((Skills!T15*(1+Inputs!$B$34/100)),MAX(0,Inputs!$B$43-((R426-1)*Skills!D15))))/Inputs!$B$43),IF(Inputs!$B$38="pvp",MIN((Skills!T15*(1+Inputs!$B$34/100)),15)/15,(Skills!T15*(1+Inputs!$B$34/100))/Skills!D15)))+0)/100)*I413)</f>
        <v/>
      </c>
      <c r="L413">
        <f>K413*(MIN(Inputs!$B$22+((C433=TRUE)*(F433-Calc!F22)),(Inputs!$B$23+1)+((C435=TRUE)*(F435-Calc!F24)))/100+((Inputs!$B$23+1)+((C435=TRUE)*(F435-Calc!F24)))/100)/2</f>
        <v/>
      </c>
      <c r="M413">
        <f>L413*(1+(Inputs!$B$10+0+B445)/100)</f>
        <v/>
      </c>
      <c r="N413">
        <f>L413*(1-MIN((Inputs!$B$9+((C437=TRUE)*(F437-Calc!F26))+B440),100)/100)+M413*(MIN((Inputs!$B$9+((C437=TRUE)*(F437-Calc!F26))+B440),100)/100)</f>
        <v/>
      </c>
      <c r="O413">
        <f>(1-Summary!$B$55)*T413+Summary!$B$55*V413</f>
        <v/>
      </c>
      <c r="P413">
        <f>IF(B450=0,0,O413/B450)</f>
        <v/>
      </c>
      <c r="Q413" t="n">
        <v>0</v>
      </c>
      <c r="R413" t="n">
        <v>0</v>
      </c>
      <c r="S413">
        <f>IFERROR(O413/N413,0)</f>
        <v/>
      </c>
      <c r="T413">
        <f>IF(C413,(Skills!G2*N413*B444)*IF(Inputs!$B$38="pvp",1,1+(Inputs!$B$20+0+Skills!P2+Summary!$B$59)/100),0)</f>
        <v/>
      </c>
      <c r="U413">
        <f>MAX(0,(Inputs!$B$3-100)*3)+Inputs!$B$28+Inputs!$B$29</f>
        <v/>
      </c>
      <c r="V413">
        <f>IF(C413,(Skills!G2*N413*B444)*IF(Inputs!$B$38="pvp",1,(1+(Inputs!$B$21+Skills!Q2+Summary!$B$59)/100)*(MIN((6+Inputs!$B$33),Inputs!$B$37))),0)</f>
        <v/>
      </c>
    </row>
    <row r="414">
      <c r="A414">
        <f>Skills!A3</f>
        <v/>
      </c>
      <c r="B414">
        <f>Skills!B3</f>
        <v/>
      </c>
      <c r="C414">
        <f>Inputs!$B$3&gt;=50</f>
        <v/>
      </c>
      <c r="D414">
        <f>IF(Skills!C3=1,60+Inputs!$B$25+Inputs!$B$29,IF(Skills!C3=2,90+Inputs!$B$26+Inputs!$B$29,IF(Skills!C3=3,120+Inputs!$B$27+Inputs!$B$29,MAX(0,(Inputs!$B$3-100)*3)+Inputs!$B$28+Inputs!$B$29)))</f>
        <v/>
      </c>
      <c r="E414">
        <f>INDEX(FactorTable!$B$2:$Y$301, MATCH(ROUND(MIN(300,MAX(1,D414)),0), FactorTable!$A$2:$A$301,0), Skills!M3+1)</f>
        <v/>
      </c>
      <c r="F414">
        <f>IF(Skills!N3=TRUE,(Skills!L3/10)*(E414/1000),Skills!L3/10)+Skills!O3</f>
        <v/>
      </c>
      <c r="G414" t="inlineStr"/>
      <c r="H414" t="inlineStr"/>
      <c r="I414" t="inlineStr">
        <is>
          <t>1</t>
        </is>
      </c>
      <c r="J414" t="inlineStr"/>
      <c r="K414" t="inlineStr"/>
      <c r="L414" t="inlineStr"/>
      <c r="M414" t="inlineStr"/>
      <c r="N414" t="inlineStr"/>
      <c r="O414" t="inlineStr"/>
      <c r="P414" t="inlineStr"/>
      <c r="Q414" t="inlineStr"/>
      <c r="R414" t="inlineStr"/>
      <c r="S414" t="inlineStr"/>
      <c r="U414">
        <f>INDEX(FactorTable!$B$2:$Y$301, MATCH(ROUND(MIN(300,MAX(1,U413)),0), FactorTable!$A$2:$A$301,0), 22)</f>
        <v/>
      </c>
    </row>
    <row r="415">
      <c r="A415">
        <f>Skills!A4</f>
        <v/>
      </c>
      <c r="B415">
        <f>Skills!B4</f>
        <v/>
      </c>
      <c r="C415">
        <f>Inputs!$B$3&gt;=105</f>
        <v/>
      </c>
      <c r="D415">
        <f>IF(Skills!C4=1,60+Inputs!$B$25+Inputs!$B$29,IF(Skills!C4=2,90+Inputs!$B$26+Inputs!$B$29,IF(Skills!C4=3,120+Inputs!$B$27+Inputs!$B$29,MAX(0,(Inputs!$B$3-100)*3)+Inputs!$B$28+Inputs!$B$29)))</f>
        <v/>
      </c>
      <c r="E415">
        <f>INDEX(FactorTable!$B$2:$Y$301, MATCH(ROUND(MIN(300,MAX(1,D415)),0), FactorTable!$A$2:$A$301,0), Skills!M4+1)</f>
        <v/>
      </c>
      <c r="F415">
        <f>IF(Skills!N4=TRUE,(Skills!L4/10)*(E415/1000),Skills!L4/10)+Skills!O4</f>
        <v/>
      </c>
      <c r="G415" t="inlineStr"/>
      <c r="H415" t="inlineStr"/>
      <c r="I415" t="inlineStr">
        <is>
          <t>1</t>
        </is>
      </c>
      <c r="J415" t="inlineStr"/>
      <c r="K415" t="inlineStr"/>
      <c r="L415" t="inlineStr"/>
      <c r="M415" t="inlineStr"/>
      <c r="N415" t="inlineStr"/>
      <c r="O415" t="inlineStr"/>
      <c r="P415" t="inlineStr"/>
      <c r="Q415" t="inlineStr"/>
      <c r="R415" t="inlineStr"/>
      <c r="S415" t="inlineStr"/>
      <c r="U415">
        <f>290*U414/1000</f>
        <v/>
      </c>
    </row>
    <row r="416">
      <c r="A416">
        <f>Skills!A5</f>
        <v/>
      </c>
      <c r="B416">
        <f>Skills!B5</f>
        <v/>
      </c>
      <c r="C416">
        <f>Inputs!$B$3&gt;=103</f>
        <v/>
      </c>
      <c r="D416">
        <f>IF(Skills!C5=1,60+Inputs!$B$25+Inputs!$B$29,IF(Skills!C5=2,90+Inputs!$B$26+Inputs!$B$29,IF(Skills!C5=3,120+Inputs!$B$27+Inputs!$B$29,MAX(0,(Inputs!$B$3-100)*3)+Inputs!$B$28+Inputs!$B$29)))</f>
        <v/>
      </c>
      <c r="E416">
        <f>INDEX(FactorTable!$B$2:$Y$301, MATCH(ROUND(MIN(300,MAX(1,D416)),0), FactorTable!$A$2:$A$301,0), Skills!M5+1)</f>
        <v/>
      </c>
      <c r="F416">
        <f>IF(Skills!N5=TRUE,(Skills!L5/10)*(E416/1000),Skills!L5/10)+Skills!O5</f>
        <v/>
      </c>
      <c r="G416">
        <f>Skills!G5*IF(Skills!H5&gt;0,Skills!I5/Skills!H5,1)</f>
        <v/>
      </c>
      <c r="H416">
        <f>1-(1-Skills!J5/100)^Skills!K5</f>
        <v/>
      </c>
      <c r="I416" t="inlineStr">
        <is>
          <t>1</t>
        </is>
      </c>
      <c r="J416">
        <f>((Inputs!$B$6*(1+Inputs!$B$7/100))+(((Inputs!$B$12*(1+Inputs!$B$13/100))-(Inputs!$B$12*(1+Inputs!$B$13/100)))+0.25*(Inputs!$B$14-Inputs!$B$14))*(1+Inputs!$B$7/100))*(F416/100)</f>
        <v/>
      </c>
      <c r="K416">
        <f>J416*(1+((Inputs!$B$12*(1+Inputs!$B$13/100))*0.01+Inputs!$B$14*0.0025)/100)*(1+Inputs!$B$15/100)*(1+Inputs!$B$16/100)*(5000/(6000+Inputs!$B$42*(1-(Inputs!$B$19+0)/100)))*(1+(Inputs!$B$24+((C436=TRUE)*(F436-Calc!F25))+B446)/100)*(1+IF(Skills!A5="ENHANCED_RAGING_BLOW",IF(Inputs!$B$3&gt;=134,MAX(0,IF(Inputs!$B$3&gt;=110,7,5)-5)*50,0),0)/100)*(1+(IF(Skills!A5="RAGING_BLOW",Inputs!$B$17+((C432=TRUE)*(F432-Calc!F21)),Inputs!$B$18+((C434=TRUE)*(F434-Calc!F23))))/100)*((1+(((C424=TRUE)*F424*IF(Inputs!$B$3&gt;=110,7,5))+((C426=TRUE)*F426*IF(AND(Inputs!$B$38&lt;&gt;"pvp",Inputs!$B$43&gt;0),(((R426-1)*(Skills!T15*(1+Inputs!$B$34/100))+MIN((Skills!T15*(1+Inputs!$B$34/100)),MAX(0,Inputs!$B$43-((R426-1)*Skills!D15))))/Inputs!$B$43),IF(Inputs!$B$38="pvp",MIN((Skills!T15*(1+Inputs!$B$34/100)),15)/15,(Skills!T15*(1+Inputs!$B$34/100))/Skills!D15)))+0)/100)*I416)</f>
        <v/>
      </c>
      <c r="L416">
        <f>K416*(MIN(Inputs!$B$22+((C433=TRUE)*(F433-Calc!F22)),(Inputs!$B$23+1)+((C435=TRUE)*(F435-Calc!F24)))/100+((Inputs!$B$23+1)+((C435=TRUE)*(F435-Calc!F24)))/100)/2</f>
        <v/>
      </c>
      <c r="M416">
        <f>L416*(1+(Inputs!$B$10+0+B445)/100)</f>
        <v/>
      </c>
      <c r="N416">
        <f>L416*(1-MIN((Inputs!$B$9+((C437=TRUE)*(F437-Calc!F26))+B440),100)/100)+M416*(MIN((Inputs!$B$9+((C437=TRUE)*(F437-Calc!F26))+B440),100)/100)</f>
        <v/>
      </c>
      <c r="O416">
        <f>(1-Summary!$B$55)*T416+Summary!$B$55*V416</f>
        <v/>
      </c>
      <c r="P416">
        <f>IF(B450=0,0,O416/B450)</f>
        <v/>
      </c>
      <c r="Q416">
        <f>IFERROR(1/IF(Inputs!$B$38="pvp",15,MAX(0.1,Skills!D5-IF(Skills!E5=TRUE,Inputs!$B$32,0))),0)</f>
        <v/>
      </c>
      <c r="R416">
        <f>IF(AND(Inputs!$B$38&lt;&gt;"pvp",Inputs!$B$43&gt;0),IF(MAX(0,Inputs!$B$43-B447)&lt;=0,0,(INT(MAX(0,Inputs!$B$43-B447)/IF(Inputs!$B$38="pvp",15,MAX(0.1,Skills!D5-IF(Skills!E5=TRUE,Inputs!$B$32,0))))+1)),0)</f>
        <v/>
      </c>
      <c r="S416">
        <f>IFERROR(O416/N416,0)</f>
        <v/>
      </c>
      <c r="T416">
        <f>IF(C416,(H416*N416*IF(AND(Inputs!$B$38&lt;&gt;"pvp",Inputs!$B$43&gt;0),((Skills!G5*((R416-1)*IF(Skills!H5&gt;0,Skills!I5/Skills!H5,1)+IF(Skills!H5&gt;0,MIN(Skills!I5,MAX(0,MAX(0,Inputs!$B$43-B447)-((R416-1)*IF(Inputs!$B$38="pvp",15,MAX(0.1,Skills!D5-IF(Skills!E5=TRUE,Inputs!$B$32,0))))))/Skills!H5,1)))/Inputs!$B$43),G416*Q416))*IF(Inputs!$B$38="pvp",1,1+(Inputs!$B$20+0+Skills!P5+Summary!$B$59)/100),0)</f>
        <v/>
      </c>
      <c r="V416">
        <f>IF(C416,(H416*N416*IF(AND(Inputs!$B$38&lt;&gt;"pvp",Inputs!$B$43&gt;0),((Skills!G5*((R416-1)*IF(Skills!H5&gt;0,Skills!I5/Skills!H5,1)+IF(Skills!H5&gt;0,MIN(Skills!I5,MAX(0,MAX(0,Inputs!$B$43-B447)-((R416-1)*IF(Inputs!$B$38="pvp",15,MAX(0.1,Skills!D5-IF(Skills!E5=TRUE,Inputs!$B$32,0))))))/Skills!H5,1)))/Inputs!$B$43),G416*Q416))*IF(Inputs!$B$38="pvp",1,(1+(Inputs!$B$21+Skills!Q5+Summary!$B$59)/100)*(MIN(Skills!R5,Inputs!$B$37))),0)</f>
        <v/>
      </c>
    </row>
    <row r="417">
      <c r="A417">
        <f>Skills!A6</f>
        <v/>
      </c>
      <c r="B417">
        <f>Skills!B6</f>
        <v/>
      </c>
      <c r="C417">
        <f>Inputs!$B$3&gt;=103</f>
        <v/>
      </c>
      <c r="D417">
        <f>IF(Skills!C6=1,60+Inputs!$B$25+Inputs!$B$29,IF(Skills!C6=2,90+Inputs!$B$26+Inputs!$B$29,IF(Skills!C6=3,120+Inputs!$B$27+Inputs!$B$29,MAX(0,(Inputs!$B$3-100)*3)+Inputs!$B$28+Inputs!$B$29)))</f>
        <v/>
      </c>
      <c r="E417">
        <f>INDEX(FactorTable!$B$2:$Y$301, MATCH(ROUND(MIN(300,MAX(1,D417)),0), FactorTable!$A$2:$A$301,0), Skills!M6+1)</f>
        <v/>
      </c>
      <c r="F417">
        <f>IF(Skills!N6=TRUE,(Skills!L6/10)*(E417/1000),Skills!L6/10)+Skills!O6</f>
        <v/>
      </c>
      <c r="G417">
        <f>Skills!G6*IF(Skills!H6&gt;0,Skills!I6/Skills!H6,1)</f>
        <v/>
      </c>
      <c r="H417">
        <f>1-(1-Skills!J6/100)^Skills!K6</f>
        <v/>
      </c>
      <c r="I417" t="inlineStr">
        <is>
          <t>1</t>
        </is>
      </c>
      <c r="J417">
        <f>((Inputs!$B$6*(1+Inputs!$B$7/100))+(((Inputs!$B$12*(1+Inputs!$B$13/100))-(Inputs!$B$12*(1+Inputs!$B$13/100)))+0.25*(Inputs!$B$14-Inputs!$B$14))*(1+Inputs!$B$7/100))*(F417/100)</f>
        <v/>
      </c>
      <c r="K417">
        <f>J417*(1+((Inputs!$B$12*(1+Inputs!$B$13/100))*0.01+Inputs!$B$14*0.0025)/100)*(1+Inputs!$B$15/100)*(1+Inputs!$B$16/100)*(5000/(6000+Inputs!$B$42*(1-(Inputs!$B$19+0)/100)))*(1+(Inputs!$B$24+((C436=TRUE)*(F436-Calc!F25))+B446)/100)*(1+IF(Skills!A6="ENHANCED_RAGING_BLOW",IF(Inputs!$B$3&gt;=134,MAX(0,IF(Inputs!$B$3&gt;=110,7,5)-5)*50,0),0)/100)*(1+(IF(Skills!A6="RAGING_BLOW",Inputs!$B$17+((C432=TRUE)*(F432-Calc!F21)),Inputs!$B$18+((C434=TRUE)*(F434-Calc!F23))))/100)*((1+(((C424=TRUE)*F424*IF(Inputs!$B$3&gt;=110,7,5))+((C426=TRUE)*F426*IF(AND(Inputs!$B$38&lt;&gt;"pvp",Inputs!$B$43&gt;0),(((R426-1)*(Skills!T15*(1+Inputs!$B$34/100))+MIN((Skills!T15*(1+Inputs!$B$34/100)),MAX(0,Inputs!$B$43-((R426-1)*Skills!D15))))/Inputs!$B$43),IF(Inputs!$B$38="pvp",MIN((Skills!T15*(1+Inputs!$B$34/100)),15)/15,(Skills!T15*(1+Inputs!$B$34/100))/Skills!D15)))+0)/100)*I417)</f>
        <v/>
      </c>
      <c r="L417">
        <f>K417*(MIN(Inputs!$B$22+((C433=TRUE)*(F433-Calc!F22)),(Inputs!$B$23+1)+((C435=TRUE)*(F435-Calc!F24)))/100+((Inputs!$B$23+1)+((C435=TRUE)*(F435-Calc!F24)))/100)/2</f>
        <v/>
      </c>
      <c r="M417">
        <f>L417*(1+(Inputs!$B$10+0+B445)/100)</f>
        <v/>
      </c>
      <c r="N417">
        <f>L417*(1-MIN((Inputs!$B$9+((C437=TRUE)*(F437-Calc!F26))+B440),100)/100)+M417*(MIN((Inputs!$B$9+((C437=TRUE)*(F437-Calc!F26))+B440),100)/100)</f>
        <v/>
      </c>
      <c r="O417">
        <f>(1-Summary!$B$55)*T417+Summary!$B$55*V417</f>
        <v/>
      </c>
      <c r="P417">
        <f>IF(B450=0,0,O417/B450)</f>
        <v/>
      </c>
      <c r="Q417">
        <f>IFERROR(1/IF(Inputs!$B$38="pvp",15,MAX(0.1,Skills!D6-IF(Skills!E6=TRUE,Inputs!$B$32,0))),0)</f>
        <v/>
      </c>
      <c r="R417">
        <f>IF(AND(Inputs!$B$38&lt;&gt;"pvp",Inputs!$B$43&gt;0),IF(MAX(0,Inputs!$B$43-B447)&lt;=0,0,(INT(MAX(0,Inputs!$B$43-B447)/IF(Inputs!$B$38="pvp",15,MAX(0.1,Skills!D6-IF(Skills!E6=TRUE,Inputs!$B$32,0))))+1)),0)</f>
        <v/>
      </c>
      <c r="S417">
        <f>IFERROR(O417/N417,0)</f>
        <v/>
      </c>
      <c r="T417">
        <f>IF(C417,(H417*N417*IF(AND(Inputs!$B$38&lt;&gt;"pvp",Inputs!$B$43&gt;0),((Skills!G6*((R417-1)*IF(Skills!H6&gt;0,Skills!I6/Skills!H6,1)+IF(Skills!H6&gt;0,MIN(Skills!I6,MAX(0,MAX(0,Inputs!$B$43-B447)-((R417-1)*IF(Inputs!$B$38="pvp",15,MAX(0.1,Skills!D6-IF(Skills!E6=TRUE,Inputs!$B$32,0))))))/Skills!H6,1)))/Inputs!$B$43),G417*Q417))*IF(Inputs!$B$38="pvp",1,1+(Inputs!$B$20+0+Skills!P6+Summary!$B$59)/100),0)</f>
        <v/>
      </c>
      <c r="V417">
        <f>IF(C417,(H417*N417*IF(AND(Inputs!$B$38&lt;&gt;"pvp",Inputs!$B$43&gt;0),((Skills!G6*((R417-1)*IF(Skills!H6&gt;0,Skills!I6/Skills!H6,1)+IF(Skills!H6&gt;0,MIN(Skills!I6,MAX(0,MAX(0,Inputs!$B$43-B447)-((R417-1)*IF(Inputs!$B$38="pvp",15,MAX(0.1,Skills!D6-IF(Skills!E6=TRUE,Inputs!$B$32,0))))))/Skills!H6,1)))/Inputs!$B$43),G417*Q417))*IF(Inputs!$B$38="pvp",1,(1+(Inputs!$B$21+Skills!Q6+Summary!$B$59)/100)*(MIN(Skills!R6,Inputs!$B$37))),0)</f>
        <v/>
      </c>
    </row>
    <row r="418">
      <c r="A418">
        <f>Skills!A7</f>
        <v/>
      </c>
      <c r="B418">
        <f>Skills!B7</f>
        <v/>
      </c>
      <c r="C418">
        <f>Inputs!$B$3&gt;=107</f>
        <v/>
      </c>
      <c r="D418">
        <f>IF(Skills!C7=1,60+Inputs!$B$25+Inputs!$B$29,IF(Skills!C7=2,90+Inputs!$B$26+Inputs!$B$29,IF(Skills!C7=3,120+Inputs!$B$27+Inputs!$B$29,MAX(0,(Inputs!$B$3-100)*3)+Inputs!$B$28+Inputs!$B$29)))</f>
        <v/>
      </c>
      <c r="E418">
        <f>INDEX(FactorTable!$B$2:$Y$301, MATCH(ROUND(MIN(300,MAX(1,D418)),0), FactorTable!$A$2:$A$301,0), Skills!M7+1)</f>
        <v/>
      </c>
      <c r="F418">
        <f>IF(Skills!N7=TRUE,(Skills!L7/10)*(E418/1000),Skills!L7/10)+Skills!O7</f>
        <v/>
      </c>
      <c r="G418">
        <f>Skills!G7*IF(Skills!H7&gt;0,Skills!I7/Skills!H7,1)</f>
        <v/>
      </c>
      <c r="H418">
        <f>1-(1-Skills!J7/100)^Skills!K7</f>
        <v/>
      </c>
      <c r="I418" t="inlineStr">
        <is>
          <t>1</t>
        </is>
      </c>
      <c r="J418">
        <f>((Inputs!$B$6*(1+Inputs!$B$7/100))+(((Inputs!$B$12*(1+Inputs!$B$13/100))-(Inputs!$B$12*(1+Inputs!$B$13/100)))+0.25*(Inputs!$B$14-Inputs!$B$14))*(1+Inputs!$B$7/100))*(F418/100)</f>
        <v/>
      </c>
      <c r="K418">
        <f>J418*(1+((Inputs!$B$12*(1+Inputs!$B$13/100))*0.01+Inputs!$B$14*0.0025)/100)*(1+Inputs!$B$15/100)*(1+Inputs!$B$16/100)*(5000/(6000+Inputs!$B$42*(1-(Inputs!$B$19+0)/100)))*(1+(Inputs!$B$24+((C436=TRUE)*(F436-Calc!F25))+B446)/100)*(1+IF(Skills!A7="ENHANCED_RAGING_BLOW",IF(Inputs!$B$3&gt;=134,MAX(0,IF(Inputs!$B$3&gt;=110,7,5)-5)*50,0),0)/100)*(1+(IF(Skills!A7="RAGING_BLOW",Inputs!$B$17+((C432=TRUE)*(F432-Calc!F21)),Inputs!$B$18+((C434=TRUE)*(F434-Calc!F23))))/100)*((1+(((C424=TRUE)*F424*IF(Inputs!$B$3&gt;=110,7,5))+((C426=TRUE)*F426*IF(AND(Inputs!$B$38&lt;&gt;"pvp",Inputs!$B$43&gt;0),(((R426-1)*(Skills!T15*(1+Inputs!$B$34/100))+MIN((Skills!T15*(1+Inputs!$B$34/100)),MAX(0,Inputs!$B$43-((R426-1)*Skills!D15))))/Inputs!$B$43),IF(Inputs!$B$38="pvp",MIN((Skills!T15*(1+Inputs!$B$34/100)),15)/15,(Skills!T15*(1+Inputs!$B$34/100))/Skills!D15)))+0)/100)*I418)</f>
        <v/>
      </c>
      <c r="L418">
        <f>K418*(MIN(Inputs!$B$22+((C433=TRUE)*(F433-Calc!F22)),(Inputs!$B$23+1)+((C435=TRUE)*(F435-Calc!F24)))/100+((Inputs!$B$23+1)+((C435=TRUE)*(F435-Calc!F24)))/100)/2</f>
        <v/>
      </c>
      <c r="M418">
        <f>L418*(1+(Inputs!$B$10+0+B445)/100)</f>
        <v/>
      </c>
      <c r="N418">
        <f>L418*(1-MIN((Inputs!$B$9+((C437=TRUE)*(F437-Calc!F26))+B440),100)/100)+M418*(MIN((Inputs!$B$9+((C437=TRUE)*(F437-Calc!F26))+B440),100)/100)</f>
        <v/>
      </c>
      <c r="O418">
        <f>(1-Summary!$B$55)*T418+Summary!$B$55*V418</f>
        <v/>
      </c>
      <c r="P418">
        <f>IF(B450=0,0,O418/B450)</f>
        <v/>
      </c>
      <c r="Q418">
        <f>IFERROR(1/IF(Inputs!$B$38="pvp",15,MAX(0.1,Skills!D7-IF(Skills!E7=TRUE,Inputs!$B$32,0))),0)</f>
        <v/>
      </c>
      <c r="R418">
        <f>IF(AND(Inputs!$B$38&lt;&gt;"pvp",Inputs!$B$43&gt;0),IF(MAX(0,Inputs!$B$43-B447)&lt;=0,0,(INT(MAX(0,Inputs!$B$43-B447)/IF(Inputs!$B$38="pvp",15,MAX(0.1,Skills!D7-IF(Skills!E7=TRUE,Inputs!$B$32,0))))+1)),0)</f>
        <v/>
      </c>
      <c r="S418">
        <f>IFERROR(O418/N418,0)</f>
        <v/>
      </c>
      <c r="T418">
        <f>IF(C418,(H418*N418*IF(AND(Inputs!$B$38&lt;&gt;"pvp",Inputs!$B$43&gt;0),((Skills!G7*((R418-1)*IF(Skills!H7&gt;0,Skills!I7/Skills!H7,1)+IF(Skills!H7&gt;0,MIN(Skills!I7,MAX(0,MAX(0,Inputs!$B$43-B447)-((R418-1)*IF(Inputs!$B$38="pvp",15,MAX(0.1,Skills!D7-IF(Skills!E7=TRUE,Inputs!$B$32,0))))))/Skills!H7,1)))/Inputs!$B$43),G418*Q418))*IF(Inputs!$B$38="pvp",1,1+(Inputs!$B$20+0+Skills!P7+Summary!$B$59)/100),0)</f>
        <v/>
      </c>
      <c r="V418">
        <f>IF(C418,(H418*N418*IF(AND(Inputs!$B$38&lt;&gt;"pvp",Inputs!$B$43&gt;0),((Skills!G7*((R418-1)*IF(Skills!H7&gt;0,Skills!I7/Skills!H7,1)+IF(Skills!H7&gt;0,MIN(Skills!I7,MAX(0,MAX(0,Inputs!$B$43-B447)-((R418-1)*IF(Inputs!$B$38="pvp",15,MAX(0.1,Skills!D7-IF(Skills!E7=TRUE,Inputs!$B$32,0))))))/Skills!H7,1)))/Inputs!$B$43),G418*Q418))*IF(Inputs!$B$38="pvp",1,(1+(Inputs!$B$21+Skills!Q7+Summary!$B$59)/100)*(MIN(Skills!R7,Inputs!$B$37))),0)</f>
        <v/>
      </c>
    </row>
    <row r="419">
      <c r="A419">
        <f>Skills!A8</f>
        <v/>
      </c>
      <c r="B419">
        <f>Skills!B8</f>
        <v/>
      </c>
      <c r="C419">
        <f>Inputs!$B$3&gt;=117</f>
        <v/>
      </c>
      <c r="D419">
        <f>IF(Skills!C8=1,60+Inputs!$B$25+Inputs!$B$29,IF(Skills!C8=2,90+Inputs!$B$26+Inputs!$B$29,IF(Skills!C8=3,120+Inputs!$B$27+Inputs!$B$29,MAX(0,(Inputs!$B$3-100)*3)+Inputs!$B$28+Inputs!$B$29)))</f>
        <v/>
      </c>
      <c r="E419">
        <f>INDEX(FactorTable!$B$2:$Y$301, MATCH(ROUND(MIN(300,MAX(1,D419)),0), FactorTable!$A$2:$A$301,0), Skills!M8+1)</f>
        <v/>
      </c>
      <c r="F419">
        <f>IF(Skills!N8=TRUE,(Skills!L8/10)*(E419/1000),Skills!L8/10)+Skills!O8</f>
        <v/>
      </c>
      <c r="G419">
        <f>Skills!G8*IF(Skills!H8&gt;0,Skills!I8/Skills!H8,1)</f>
        <v/>
      </c>
      <c r="H419">
        <f>1-(1-Skills!J8/100)^Skills!K8</f>
        <v/>
      </c>
      <c r="I419" t="inlineStr">
        <is>
          <t>1</t>
        </is>
      </c>
      <c r="J419">
        <f>((Inputs!$B$6*(1+Inputs!$B$7/100))+(((Inputs!$B$12*(1+Inputs!$B$13/100))-(Inputs!$B$12*(1+Inputs!$B$13/100)))+0.25*(Inputs!$B$14-Inputs!$B$14))*(1+Inputs!$B$7/100))*(F419/100)</f>
        <v/>
      </c>
      <c r="K419">
        <f>J419*(1+((Inputs!$B$12*(1+Inputs!$B$13/100))*0.01+Inputs!$B$14*0.0025)/100)*(1+Inputs!$B$15/100)*(1+Inputs!$B$16/100)*(5000/(6000+Inputs!$B$42*(1-(Inputs!$B$19+0)/100)))*(1+(Inputs!$B$24+((C436=TRUE)*(F436-Calc!F25))+B446)/100)*(1+IF(Skills!A8="ENHANCED_RAGING_BLOW",IF(Inputs!$B$3&gt;=134,MAX(0,IF(Inputs!$B$3&gt;=110,7,5)-5)*50,0),0)/100)*(1+(IF(Skills!A8="RAGING_BLOW",Inputs!$B$17+((C432=TRUE)*(F432-Calc!F21)),Inputs!$B$18+((C434=TRUE)*(F434-Calc!F23))))/100)*((1+(((C424=TRUE)*F424*IF(Inputs!$B$3&gt;=110,7,5))+((C426=TRUE)*F426*IF(AND(Inputs!$B$38&lt;&gt;"pvp",Inputs!$B$43&gt;0),(((R426-1)*(Skills!T15*(1+Inputs!$B$34/100))+MIN((Skills!T15*(1+Inputs!$B$34/100)),MAX(0,Inputs!$B$43-((R426-1)*Skills!D15))))/Inputs!$B$43),IF(Inputs!$B$38="pvp",MIN((Skills!T15*(1+Inputs!$B$34/100)),15)/15,(Skills!T15*(1+Inputs!$B$34/100))/Skills!D15)))+0)/100)*I419)</f>
        <v/>
      </c>
      <c r="L419">
        <f>K419*(MIN(Inputs!$B$22+((C433=TRUE)*(F433-Calc!F22)),(Inputs!$B$23+1)+((C435=TRUE)*(F435-Calc!F24)))/100+((Inputs!$B$23+1)+((C435=TRUE)*(F435-Calc!F24)))/100)/2</f>
        <v/>
      </c>
      <c r="M419">
        <f>L419*(1+(Inputs!$B$10+0+B445)/100)</f>
        <v/>
      </c>
      <c r="N419">
        <f>L419*(1-MIN((Inputs!$B$9+((C437=TRUE)*(F437-Calc!F26))+B440),100)/100)+M419*(MIN((Inputs!$B$9+((C437=TRUE)*(F437-Calc!F26))+B440),100)/100)</f>
        <v/>
      </c>
      <c r="O419">
        <f>(1-Summary!$B$55)*T419+Summary!$B$55*V419</f>
        <v/>
      </c>
      <c r="P419">
        <f>IF(B450=0,0,O419/B450)</f>
        <v/>
      </c>
      <c r="Q419">
        <f>IFERROR(1/IF(Inputs!$B$38="pvp",15,MAX(0.1,Skills!D8-IF(Skills!E8=TRUE,Inputs!$B$32,0))),0)</f>
        <v/>
      </c>
      <c r="R419">
        <f>IF(AND(Inputs!$B$38&lt;&gt;"pvp",Inputs!$B$43&gt;0),IF(MAX(0,Inputs!$B$43-B447)&lt;=0,0,(INT(MAX(0,Inputs!$B$43-B447)/IF(Inputs!$B$38="pvp",15,MAX(0.1,Skills!D8-IF(Skills!E8=TRUE,Inputs!$B$32,0))))+1)),0)</f>
        <v/>
      </c>
      <c r="S419">
        <f>IFERROR(O419/N419,0)</f>
        <v/>
      </c>
      <c r="T419">
        <f>IF(C419,(H419*N419*IF(AND(Inputs!$B$38&lt;&gt;"pvp",Inputs!$B$43&gt;0),((Skills!G8*((R419-1)*IF(Skills!H8&gt;0,Skills!I8/Skills!H8,1)+IF(Skills!H8&gt;0,MIN(Skills!I8,MAX(0,MAX(0,Inputs!$B$43-B447)-((R419-1)*IF(Inputs!$B$38="pvp",15,MAX(0.1,Skills!D8-IF(Skills!E8=TRUE,Inputs!$B$32,0))))))/Skills!H8,1)))/Inputs!$B$43),G419*Q419))*IF(Inputs!$B$38="pvp",1,1+(Inputs!$B$20+0+Skills!P8+Summary!$B$59)/100),0)</f>
        <v/>
      </c>
      <c r="V419">
        <f>IF(C419,(H419*N419*IF(AND(Inputs!$B$38&lt;&gt;"pvp",Inputs!$B$43&gt;0),((Skills!G8*((R419-1)*IF(Skills!H8&gt;0,Skills!I8/Skills!H8,1)+IF(Skills!H8&gt;0,MIN(Skills!I8,MAX(0,MAX(0,Inputs!$B$43-B447)-((R419-1)*IF(Inputs!$B$38="pvp",15,MAX(0.1,Skills!D8-IF(Skills!E8=TRUE,Inputs!$B$32,0))))))/Skills!H8,1)))/Inputs!$B$43),G419*Q419))*IF(Inputs!$B$38="pvp",1,(1+(Inputs!$B$21+Skills!Q8+Summary!$B$59)/100)*(MIN(Skills!R8,Inputs!$B$37))),0)</f>
        <v/>
      </c>
    </row>
    <row r="420">
      <c r="A420">
        <f>Skills!A9</f>
        <v/>
      </c>
      <c r="B420">
        <f>Skills!B9</f>
        <v/>
      </c>
      <c r="C420">
        <f>Inputs!$B$3&gt;=69</f>
        <v/>
      </c>
      <c r="D420">
        <f>IF(Skills!C9=1,60+Inputs!$B$25+Inputs!$B$29,IF(Skills!C9=2,90+Inputs!$B$26+Inputs!$B$29,IF(Skills!C9=3,120+Inputs!$B$27+Inputs!$B$29,MAX(0,(Inputs!$B$3-100)*3)+Inputs!$B$28+Inputs!$B$29)))</f>
        <v/>
      </c>
      <c r="E420">
        <f>INDEX(FactorTable!$B$2:$Y$301, MATCH(ROUND(MIN(300,MAX(1,D420)),0), FactorTable!$A$2:$A$301,0), Skills!M9+1)</f>
        <v/>
      </c>
      <c r="F420">
        <f>IF(Skills!N9=TRUE,(Skills!L9/10)*(E420/1000),Skills!L9/10)+Skills!O9</f>
        <v/>
      </c>
      <c r="G420">
        <f>Skills!G9*IF(Skills!H9&gt;0,Skills!I9/Skills!H9,1)</f>
        <v/>
      </c>
      <c r="H420">
        <f>1-(1-Skills!J9/100)^Skills!K9</f>
        <v/>
      </c>
      <c r="I420" t="inlineStr">
        <is>
          <t>1</t>
        </is>
      </c>
      <c r="J420">
        <f>((Inputs!$B$6*(1+Inputs!$B$7/100))+(((Inputs!$B$12*(1+Inputs!$B$13/100))-(Inputs!$B$12*(1+Inputs!$B$13/100)))+0.25*(Inputs!$B$14-Inputs!$B$14))*(1+Inputs!$B$7/100))*(F420/100)</f>
        <v/>
      </c>
      <c r="K420">
        <f>J420*(1+((Inputs!$B$12*(1+Inputs!$B$13/100))*0.01+Inputs!$B$14*0.0025)/100)*(1+Inputs!$B$15/100)*(1+Inputs!$B$16/100)*(5000/(6000+Inputs!$B$42*(1-(Inputs!$B$19+0)/100)))*(1+(Inputs!$B$24+((C436=TRUE)*(F436-Calc!F25))+B446)/100)*(1+1.0*IF(C423=TRUE,F423,0)/100)*(1+IF(Skills!A9="ENHANCED_RAGING_BLOW",IF(Inputs!$B$3&gt;=134,MAX(0,IF(Inputs!$B$3&gt;=110,7,5)-5)*50,0),0)/100)*(1+(IF(Skills!A9="RAGING_BLOW",Inputs!$B$17+((C432=TRUE)*(F432-Calc!F21)),Inputs!$B$18+((C434=TRUE)*(F434-Calc!F23))))/100)*((1+(((C424=TRUE)*F424*IF(Inputs!$B$3&gt;=110,7,5))+((C426=TRUE)*F426*IF(AND(Inputs!$B$38&lt;&gt;"pvp",Inputs!$B$43&gt;0),(((R426-1)*(Skills!T15*(1+Inputs!$B$34/100))+MIN((Skills!T15*(1+Inputs!$B$34/100)),MAX(0,Inputs!$B$43-((R426-1)*Skills!D15))))/Inputs!$B$43),IF(Inputs!$B$38="pvp",MIN((Skills!T15*(1+Inputs!$B$34/100)),15)/15,(Skills!T15*(1+Inputs!$B$34/100))/Skills!D15)))+0)/100)*I420)</f>
        <v/>
      </c>
      <c r="L420">
        <f>K420*(MIN(Inputs!$B$22+((C433=TRUE)*(F433-Calc!F22)),(Inputs!$B$23+1)+((C435=TRUE)*(F435-Calc!F24)))/100+((Inputs!$B$23+1)+((C435=TRUE)*(F435-Calc!F24)))/100)/2</f>
        <v/>
      </c>
      <c r="M420">
        <f>L420*(1+(Inputs!$B$10+0+B445)/100)</f>
        <v/>
      </c>
      <c r="N420">
        <f>L420*(1-MIN((Inputs!$B$9+((C437=TRUE)*(F437-Calc!F26))+B440),100)/100)+M420*(MIN((Inputs!$B$9+((C437=TRUE)*(F437-Calc!F26))+B440),100)/100)</f>
        <v/>
      </c>
      <c r="O420">
        <f>(1-Summary!$B$55)*T420+Summary!$B$55*V420</f>
        <v/>
      </c>
      <c r="P420">
        <f>IF(B450=0,0,O420/B450)</f>
        <v/>
      </c>
      <c r="Q420">
        <f>IFERROR(1/IF(Inputs!$B$38="pvp",15,MAX(0.1,Skills!D9-IF(Skills!E9=TRUE,Inputs!$B$32,0))),0)</f>
        <v/>
      </c>
      <c r="R420">
        <f>IF(AND(Inputs!$B$38&lt;&gt;"pvp",Inputs!$B$43&gt;0),IF(MAX(0,Inputs!$B$43-B447)&lt;=0,0,(INT(MAX(0,Inputs!$B$43-B447)/IF(Inputs!$B$38="pvp",15,MAX(0.1,Skills!D9-IF(Skills!E9=TRUE,Inputs!$B$32,0))))+1)),0)</f>
        <v/>
      </c>
      <c r="S420">
        <f>IFERROR(O420/N420,0)</f>
        <v/>
      </c>
      <c r="T420">
        <f>IF(C420,(H420*N420*IF(AND(Inputs!$B$38&lt;&gt;"pvp",Inputs!$B$43&gt;0),((Skills!G9*((R420-1)*IF(Skills!H9&gt;0,Skills!I9/Skills!H9,1)+IF(Skills!H9&gt;0,MIN(Skills!I9,MAX(0,MAX(0,Inputs!$B$43-B447)-((R420-1)*IF(Inputs!$B$38="pvp",15,MAX(0.1,Skills!D9-IF(Skills!E9=TRUE,Inputs!$B$32,0))))))/Skills!H9,1)))/Inputs!$B$43),G420*Q420))*IF(Inputs!$B$38="pvp",1,1+(Inputs!$B$20+0+Skills!P9+Summary!$B$59)/100),0)</f>
        <v/>
      </c>
      <c r="V420">
        <f>IF(C420,(H420*N420*IF(AND(Inputs!$B$38&lt;&gt;"pvp",Inputs!$B$43&gt;0),((Skills!G9*((R420-1)*IF(Skills!H9&gt;0,Skills!I9/Skills!H9,1)+IF(Skills!H9&gt;0,MIN(Skills!I9,MAX(0,MAX(0,Inputs!$B$43-B447)-((R420-1)*IF(Inputs!$B$38="pvp",15,MAX(0.1,Skills!D9-IF(Skills!E9=TRUE,Inputs!$B$32,0))))))/Skills!H9,1)))/Inputs!$B$43),G420*Q420))*IF(Inputs!$B$38="pvp",1,(1+(Inputs!$B$21+Skills!Q9+Summary!$B$59)/100)*(MIN(Skills!R9,Inputs!$B$37))),0)</f>
        <v/>
      </c>
    </row>
    <row r="421">
      <c r="A421">
        <f>Skills!A10</f>
        <v/>
      </c>
      <c r="B421">
        <f>Skills!B10</f>
        <v/>
      </c>
      <c r="C421">
        <f>Inputs!$B$3&gt;=63</f>
        <v/>
      </c>
      <c r="D421">
        <f>IF(Skills!C10=1,60+Inputs!$B$25+Inputs!$B$29,IF(Skills!C10=2,90+Inputs!$B$26+Inputs!$B$29,IF(Skills!C10=3,120+Inputs!$B$27+Inputs!$B$29,MAX(0,(Inputs!$B$3-100)*3)+Inputs!$B$28+Inputs!$B$29)))</f>
        <v/>
      </c>
      <c r="E421">
        <f>INDEX(FactorTable!$B$2:$Y$301, MATCH(ROUND(MIN(300,MAX(1,D421)),0), FactorTable!$A$2:$A$301,0), Skills!M10+1)</f>
        <v/>
      </c>
      <c r="F421">
        <f>IF(Skills!N10=TRUE,(Skills!L10/10)*(E421/1000),Skills!L10/10)+Skills!O10</f>
        <v/>
      </c>
      <c r="G421">
        <f>Skills!G10*IF(Skills!H10&gt;0,Skills!I10/Skills!H10,1)</f>
        <v/>
      </c>
      <c r="H421">
        <f>1-(1-Skills!J10/100)^Skills!K10</f>
        <v/>
      </c>
      <c r="I421" t="inlineStr">
        <is>
          <t>1</t>
        </is>
      </c>
      <c r="J421">
        <f>((Inputs!$B$6*(1+Inputs!$B$7/100))+(((Inputs!$B$12*(1+Inputs!$B$13/100))-(Inputs!$B$12*(1+Inputs!$B$13/100)))+0.25*(Inputs!$B$14-Inputs!$B$14))*(1+Inputs!$B$7/100))*(F421/100)</f>
        <v/>
      </c>
      <c r="K421">
        <f>J421*(1+((Inputs!$B$12*(1+Inputs!$B$13/100))*0.01+Inputs!$B$14*0.0025)/100)*(1+Inputs!$B$15/100)*(1+Inputs!$B$16/100)*(5000/(6000+Inputs!$B$42*(1-(Inputs!$B$19+0)/100)))*(1+(Inputs!$B$24+((C436=TRUE)*(F436-Calc!F25))+B446)/100)*(1+1.5*IF(C423=TRUE,F423,0)/100)*(1+IF(Skills!A10="ENHANCED_RAGING_BLOW",IF(Inputs!$B$3&gt;=134,MAX(0,IF(Inputs!$B$3&gt;=110,7,5)-5)*50,0),0)/100)*(1+(IF(Skills!A10="RAGING_BLOW",Inputs!$B$17+((C432=TRUE)*(F432-Calc!F21)),Inputs!$B$18+((C434=TRUE)*(F434-Calc!F23))))/100)*((1+(((C424=TRUE)*F424*IF(Inputs!$B$3&gt;=110,7,5))+((C426=TRUE)*F426*IF(AND(Inputs!$B$38&lt;&gt;"pvp",Inputs!$B$43&gt;0),(((R426-1)*(Skills!T15*(1+Inputs!$B$34/100))+MIN((Skills!T15*(1+Inputs!$B$34/100)),MAX(0,Inputs!$B$43-((R426-1)*Skills!D15))))/Inputs!$B$43),IF(Inputs!$B$38="pvp",MIN((Skills!T15*(1+Inputs!$B$34/100)),15)/15,(Skills!T15*(1+Inputs!$B$34/100))/Skills!D15)))+0)/100)*I421)</f>
        <v/>
      </c>
      <c r="L421">
        <f>K421*(MIN(Inputs!$B$22+((C433=TRUE)*(F433-Calc!F22)),(Inputs!$B$23+1)+((C435=TRUE)*(F435-Calc!F24)))/100+((Inputs!$B$23+1)+((C435=TRUE)*(F435-Calc!F24)))/100)/2</f>
        <v/>
      </c>
      <c r="M421">
        <f>L421*(1+(Inputs!$B$10+0+B445)/100)</f>
        <v/>
      </c>
      <c r="N421">
        <f>L421*(1-MIN((Inputs!$B$9+((C437=TRUE)*(F437-Calc!F26))+B440),100)/100)+M421*(MIN((Inputs!$B$9+((C437=TRUE)*(F437-Calc!F26))+B440),100)/100)</f>
        <v/>
      </c>
      <c r="O421">
        <f>(1-Summary!$B$55)*T421+Summary!$B$55*V421</f>
        <v/>
      </c>
      <c r="P421">
        <f>IF(B450=0,0,O421/B450)</f>
        <v/>
      </c>
      <c r="Q421">
        <f>IFERROR(1/IF(Inputs!$B$38="pvp",15,MAX(0.1,Skills!D10-IF(Skills!E10=TRUE,Inputs!$B$32,0))),0)</f>
        <v/>
      </c>
      <c r="R421">
        <f>IF(AND(Inputs!$B$38&lt;&gt;"pvp",Inputs!$B$43&gt;0),IF(MAX(0,Inputs!$B$43-B447)&lt;=0,0,(INT(MAX(0,Inputs!$B$43-B447)/IF(Inputs!$B$38="pvp",15,MAX(0.1,Skills!D10-IF(Skills!E10=TRUE,Inputs!$B$32,0))))+1)),0)</f>
        <v/>
      </c>
      <c r="S421">
        <f>IFERROR(O421/N421,0)</f>
        <v/>
      </c>
      <c r="T421">
        <f>IF(C421,(H421*N421*IF(AND(Inputs!$B$38&lt;&gt;"pvp",Inputs!$B$43&gt;0),((Skills!G10*((R421-1)*IF(Skills!H10&gt;0,Skills!I10/Skills!H10,1)+IF(Skills!H10&gt;0,MIN(Skills!I10,MAX(0,MAX(0,Inputs!$B$43-B447)-((R421-1)*IF(Inputs!$B$38="pvp",15,MAX(0.1,Skills!D10-IF(Skills!E10=TRUE,Inputs!$B$32,0))))))/Skills!H10,1)))/Inputs!$B$43),G421*Q421))*IF(Inputs!$B$38="pvp",1,1+(Inputs!$B$20+0+Skills!P10+Summary!$B$59)/100),0)</f>
        <v/>
      </c>
      <c r="V421">
        <f>IF(C421,(H421*N421*IF(AND(Inputs!$B$38&lt;&gt;"pvp",Inputs!$B$43&gt;0),((Skills!G10*((R421-1)*IF(Skills!H10&gt;0,Skills!I10/Skills!H10,1)+IF(Skills!H10&gt;0,MIN(Skills!I10,MAX(0,MAX(0,Inputs!$B$43-B447)-((R421-1)*IF(Inputs!$B$38="pvp",15,MAX(0.1,Skills!D10-IF(Skills!E10=TRUE,Inputs!$B$32,0))))))/Skills!H10,1)))/Inputs!$B$43),G421*Q421))*IF(Inputs!$B$38="pvp",1,(1+(Inputs!$B$21+Skills!Q10+Summary!$B$59)/100)*(MIN(Skills!R10,Inputs!$B$37))),0)</f>
        <v/>
      </c>
    </row>
    <row r="422">
      <c r="A422">
        <f>Skills!A11</f>
        <v/>
      </c>
      <c r="B422">
        <f>Skills!B11</f>
        <v/>
      </c>
      <c r="C422">
        <f>Inputs!$B$3&gt;=35</f>
        <v/>
      </c>
      <c r="D422">
        <f>IF(Skills!C11=1,60+Inputs!$B$25+Inputs!$B$29,IF(Skills!C11=2,90+Inputs!$B$26+Inputs!$B$29,IF(Skills!C11=3,120+Inputs!$B$27+Inputs!$B$29,MAX(0,(Inputs!$B$3-100)*3)+Inputs!$B$28+Inputs!$B$29)))</f>
        <v/>
      </c>
      <c r="E422">
        <f>INDEX(FactorTable!$B$2:$Y$301, MATCH(ROUND(MIN(300,MAX(1,D422)),0), FactorTable!$A$2:$A$301,0), Skills!M11+1)</f>
        <v/>
      </c>
      <c r="F422">
        <f>IF(Skills!N11=TRUE,(Skills!L11/10)*(E422/1000),Skills!L11/10)+Skills!O11</f>
        <v/>
      </c>
      <c r="G422">
        <f>Skills!G11*IF(Skills!H11&gt;0,Skills!I11/Skills!H11,1)</f>
        <v/>
      </c>
      <c r="H422">
        <f>1-(1-Skills!J11/100)^Skills!K11</f>
        <v/>
      </c>
      <c r="I422" t="inlineStr">
        <is>
          <t>1</t>
        </is>
      </c>
      <c r="J422">
        <f>((Inputs!$B$6*(1+Inputs!$B$7/100))+(((Inputs!$B$12*(1+Inputs!$B$13/100))-(Inputs!$B$12*(1+Inputs!$B$13/100)))+0.25*(Inputs!$B$14-Inputs!$B$14))*(1+Inputs!$B$7/100))*(F422/100)</f>
        <v/>
      </c>
      <c r="K422">
        <f>J422*(1+((Inputs!$B$12*(1+Inputs!$B$13/100))*0.01+Inputs!$B$14*0.0025)/100)*(1+Inputs!$B$15/100)*(1+Inputs!$B$16/100)*(5000/(6000+Inputs!$B$42*(1-(Inputs!$B$19+0)/100)))*(1+(Inputs!$B$24+((C436=TRUE)*(F436-Calc!F25))+B446)/100)*(1+4.0*IF(C423=TRUE,F423,0)/100)*(1+IF(Skills!A11="ENHANCED_RAGING_BLOW",IF(Inputs!$B$3&gt;=134,MAX(0,IF(Inputs!$B$3&gt;=110,7,5)-5)*50,0),0)/100)*(1+(IF(Skills!A11="RAGING_BLOW",Inputs!$B$17+((C432=TRUE)*(F432-Calc!F21)),Inputs!$B$18+((C434=TRUE)*(F434-Calc!F23))))/100)*((1+(((C424=TRUE)*F424*IF(Inputs!$B$3&gt;=110,7,5))+((C426=TRUE)*F426*IF(AND(Inputs!$B$38&lt;&gt;"pvp",Inputs!$B$43&gt;0),(((R426-1)*(Skills!T15*(1+Inputs!$B$34/100))+MIN((Skills!T15*(1+Inputs!$B$34/100)),MAX(0,Inputs!$B$43-((R426-1)*Skills!D15))))/Inputs!$B$43),IF(Inputs!$B$38="pvp",MIN((Skills!T15*(1+Inputs!$B$34/100)),15)/15,(Skills!T15*(1+Inputs!$B$34/100))/Skills!D15)))+0)/100)*I422)</f>
        <v/>
      </c>
      <c r="L422">
        <f>K422*(MIN(Inputs!$B$22+((C433=TRUE)*(F433-Calc!F22)),(Inputs!$B$23+1)+((C435=TRUE)*(F435-Calc!F24)))/100+((Inputs!$B$23+1)+((C435=TRUE)*(F435-Calc!F24)))/100)/2</f>
        <v/>
      </c>
      <c r="M422">
        <f>L422*(1+(Inputs!$B$10+0+B445)/100)</f>
        <v/>
      </c>
      <c r="N422">
        <f>L422*(1-MIN((Inputs!$B$9+((C437=TRUE)*(F437-Calc!F26))+B440),100)/100)+M422*(MIN((Inputs!$B$9+((C437=TRUE)*(F437-Calc!F26))+B440),100)/100)</f>
        <v/>
      </c>
      <c r="O422">
        <f>(1-Summary!$B$55)*T422+Summary!$B$55*V422</f>
        <v/>
      </c>
      <c r="P422">
        <f>IF(B450=0,0,O422/B450)</f>
        <v/>
      </c>
      <c r="Q422">
        <f>IFERROR(1/IF(Inputs!$B$38="pvp",15,MAX(0.1,Skills!D11-IF(Skills!E11=TRUE,Inputs!$B$32,0))),0)</f>
        <v/>
      </c>
      <c r="R422">
        <f>IF(AND(Inputs!$B$38&lt;&gt;"pvp",Inputs!$B$43&gt;0),IF(MAX(0,Inputs!$B$43-B447)&lt;=0,0,(INT(MAX(0,Inputs!$B$43-B447)/IF(Inputs!$B$38="pvp",15,MAX(0.1,Skills!D11-IF(Skills!E11=TRUE,Inputs!$B$32,0))))+1)),0)</f>
        <v/>
      </c>
      <c r="S422">
        <f>IFERROR(O422/N422,0)</f>
        <v/>
      </c>
      <c r="T422">
        <f>IF(C422,(H422*N422*IF(AND(Inputs!$B$38&lt;&gt;"pvp",Inputs!$B$43&gt;0),((Skills!G11*((R422-1)*IF(Skills!H11&gt;0,Skills!I11/Skills!H11,1)+IF(Skills!H11&gt;0,MIN(Skills!I11,MAX(0,MAX(0,Inputs!$B$43-B447)-((R422-1)*IF(Inputs!$B$38="pvp",15,MAX(0.1,Skills!D11-IF(Skills!E11=TRUE,Inputs!$B$32,0))))))/Skills!H11,1)))/Inputs!$B$43),G422*Q422))*IF(Inputs!$B$38="pvp",1,1+(Inputs!$B$20+0+Skills!P11+Summary!$B$59)/100),0)</f>
        <v/>
      </c>
      <c r="V422">
        <f>IF(C422,(H422*N422*IF(AND(Inputs!$B$38&lt;&gt;"pvp",Inputs!$B$43&gt;0),((Skills!G11*((R422-1)*IF(Skills!H11&gt;0,Skills!I11/Skills!H11,1)+IF(Skills!H11&gt;0,MIN(Skills!I11,MAX(0,MAX(0,Inputs!$B$43-B447)-((R422-1)*IF(Inputs!$B$38="pvp",15,MAX(0.1,Skills!D11-IF(Skills!E11=TRUE,Inputs!$B$32,0))))))/Skills!H11,1)))/Inputs!$B$43),G422*Q422))*IF(Inputs!$B$38="pvp",1,(1+(Inputs!$B$21+Skills!Q11+Summary!$B$59)/100)*(MIN(Skills!R11,Inputs!$B$37))),0)</f>
        <v/>
      </c>
    </row>
    <row r="423">
      <c r="A423">
        <f>Skills!A12</f>
        <v/>
      </c>
      <c r="B423">
        <f>Skills!B12</f>
        <v/>
      </c>
      <c r="C423">
        <f>Inputs!$B$3&gt;=100</f>
        <v/>
      </c>
      <c r="D423">
        <f>IF(Skills!C12=1,60+Inputs!$B$25+Inputs!$B$29,IF(Skills!C12=2,90+Inputs!$B$26+Inputs!$B$29,IF(Skills!C12=3,120+Inputs!$B$27+Inputs!$B$29,MAX(0,(Inputs!$B$3-100)*3)+Inputs!$B$28+Inputs!$B$29)))</f>
        <v/>
      </c>
      <c r="E423">
        <f>INDEX(FactorTable!$B$2:$Y$301, MATCH(ROUND(MIN(300,MAX(1,D423)),0), FactorTable!$A$2:$A$301,0), Skills!M12+1)</f>
        <v/>
      </c>
      <c r="F423">
        <f>IF(Skills!N12=TRUE,(Skills!L12/10)*(E423/1000),Skills!L12/10)+Skills!O12</f>
        <v/>
      </c>
      <c r="G423" t="inlineStr"/>
      <c r="H423" t="inlineStr"/>
      <c r="I423" t="inlineStr">
        <is>
          <t>1</t>
        </is>
      </c>
      <c r="J423" t="inlineStr"/>
      <c r="K423" t="inlineStr"/>
      <c r="L423" t="inlineStr"/>
      <c r="M423" t="inlineStr"/>
      <c r="N423" t="inlineStr"/>
      <c r="O423" t="inlineStr"/>
      <c r="P423" t="inlineStr"/>
      <c r="Q423" t="inlineStr"/>
      <c r="R423" t="inlineStr"/>
      <c r="S423" t="inlineStr"/>
    </row>
    <row r="424">
      <c r="A424">
        <f>Skills!A13</f>
        <v/>
      </c>
      <c r="B424">
        <f>Skills!B13</f>
        <v/>
      </c>
      <c r="C424">
        <f>Inputs!$B$3&gt;=45</f>
        <v/>
      </c>
      <c r="D424">
        <f>IF(Skills!C13=1,60+Inputs!$B$25+Inputs!$B$29,IF(Skills!C13=2,90+Inputs!$B$26+Inputs!$B$29,IF(Skills!C13=3,120+Inputs!$B$27+Inputs!$B$29,MAX(0,(Inputs!$B$3-100)*3)+Inputs!$B$28+Inputs!$B$29)))</f>
        <v/>
      </c>
      <c r="E424">
        <f>INDEX(FactorTable!$B$2:$Y$301, MATCH(ROUND(MIN(300,MAX(1,D424)),0), FactorTable!$A$2:$A$301,0), Skills!M13+1)</f>
        <v/>
      </c>
      <c r="F424">
        <f>IF(Skills!N13=TRUE,(Skills!L13/10)*(E424/1000),Skills!L13/10)+Skills!O13</f>
        <v/>
      </c>
      <c r="G424">
        <f>Skills!G13*IF(Skills!H13&gt;0,Skills!I13/Skills!H13,1)</f>
        <v/>
      </c>
      <c r="H424">
        <f>1-(1-Skills!J13/100)^Skills!K13</f>
        <v/>
      </c>
      <c r="I424" t="inlineStr">
        <is>
          <t>1</t>
        </is>
      </c>
      <c r="J424" t="inlineStr"/>
      <c r="K424" t="inlineStr"/>
      <c r="L424" t="inlineStr"/>
      <c r="M424" t="inlineStr"/>
      <c r="N424" t="inlineStr"/>
      <c r="O424">
        <f>(1-Summary!$B$55)*T424+Summary!$B$55*V424</f>
        <v/>
      </c>
      <c r="P424">
        <f>IF(B450=0,0,O424/B450)</f>
        <v/>
      </c>
      <c r="Q424" t="n">
        <v>0</v>
      </c>
      <c r="R424" t="n">
        <v>0</v>
      </c>
      <c r="S424">
        <f>IFERROR(O424/N424,0)</f>
        <v/>
      </c>
      <c r="T424" t="n">
        <v>0</v>
      </c>
      <c r="V424" t="n">
        <v>0</v>
      </c>
    </row>
    <row r="425">
      <c r="A425">
        <f>Skills!A14</f>
        <v/>
      </c>
      <c r="B425">
        <f>Skills!B14</f>
        <v/>
      </c>
      <c r="C425">
        <f>Inputs!$B$3&gt;=75</f>
        <v/>
      </c>
      <c r="D425">
        <f>IF(Skills!C14=1,60+Inputs!$B$25+Inputs!$B$29,IF(Skills!C14=2,90+Inputs!$B$26+Inputs!$B$29,IF(Skills!C14=3,120+Inputs!$B$27+Inputs!$B$29,MAX(0,(Inputs!$B$3-100)*3)+Inputs!$B$28+Inputs!$B$29)))</f>
        <v/>
      </c>
      <c r="E425">
        <f>INDEX(FactorTable!$B$2:$Y$301, MATCH(ROUND(MIN(300,MAX(1,D425)),0), FactorTable!$A$2:$A$301,0), Skills!M14+1)</f>
        <v/>
      </c>
      <c r="F425">
        <f>IF(Skills!N14=TRUE,(Skills!L14/10)*(E425/1000),Skills!L14/10)+Skills!O14</f>
        <v/>
      </c>
      <c r="G425">
        <f>Skills!G14*IF(Skills!H14&gt;0,Skills!I14/Skills!H14,1)</f>
        <v/>
      </c>
      <c r="H425">
        <f>1-(1-Skills!J14/100)^Skills!K14</f>
        <v/>
      </c>
      <c r="I425" t="inlineStr">
        <is>
          <t>1</t>
        </is>
      </c>
      <c r="J425" t="inlineStr"/>
      <c r="K425" t="inlineStr"/>
      <c r="L425" t="inlineStr"/>
      <c r="M425" t="inlineStr"/>
      <c r="N425" t="inlineStr"/>
      <c r="O425">
        <f>(1-Summary!$B$55)*T425+Summary!$B$55*V425</f>
        <v/>
      </c>
      <c r="P425">
        <f>IF(B450=0,0,O425/B450)</f>
        <v/>
      </c>
      <c r="Q425" t="n">
        <v>0</v>
      </c>
      <c r="R425" t="n">
        <v>0</v>
      </c>
      <c r="S425">
        <f>IFERROR(O425/N425,0)</f>
        <v/>
      </c>
      <c r="T425" t="n">
        <v>0</v>
      </c>
      <c r="V425" t="n">
        <v>0</v>
      </c>
    </row>
    <row r="426">
      <c r="A426">
        <f>Skills!A15</f>
        <v/>
      </c>
      <c r="B426">
        <f>Skills!B15</f>
        <v/>
      </c>
      <c r="C426">
        <f>Inputs!$B$3&gt;=40</f>
        <v/>
      </c>
      <c r="D426">
        <f>IF(Skills!C15=1,60+Inputs!$B$25+Inputs!$B$29,IF(Skills!C15=2,90+Inputs!$B$26+Inputs!$B$29,IF(Skills!C15=3,120+Inputs!$B$27+Inputs!$B$29,MAX(0,(Inputs!$B$3-100)*3)+Inputs!$B$28+Inputs!$B$29)))</f>
        <v/>
      </c>
      <c r="E426">
        <f>INDEX(FactorTable!$B$2:$Y$301, MATCH(ROUND(MIN(300,MAX(1,D426)),0), FactorTable!$A$2:$A$301,0), Skills!M15+1)</f>
        <v/>
      </c>
      <c r="F426">
        <f>IF(Skills!N15=TRUE,(Skills!L15/10)*(E426/1000),Skills!L15/10)+Skills!O15</f>
        <v/>
      </c>
      <c r="G426">
        <f>Skills!G15*IF(Skills!H15&gt;0,Skills!I15/Skills!H15,1)</f>
        <v/>
      </c>
      <c r="H426">
        <f>1-(1-Skills!J15/100)^Skills!K15</f>
        <v/>
      </c>
      <c r="I426" t="inlineStr">
        <is>
          <t>1</t>
        </is>
      </c>
      <c r="J426" t="inlineStr"/>
      <c r="K426" t="inlineStr"/>
      <c r="L426" t="inlineStr"/>
      <c r="M426" t="inlineStr"/>
      <c r="N426" t="inlineStr"/>
      <c r="O426">
        <f>(1-Summary!$B$55)*T426+Summary!$B$55*V426</f>
        <v/>
      </c>
      <c r="P426">
        <f>IF(B450=0,0,O426/B450)</f>
        <v/>
      </c>
      <c r="Q426">
        <f>IFERROR(1/IF(Inputs!$B$38="pvp",15,MAX(0.1,Skills!D15-IF(Skills!E15=TRUE,Inputs!$B$32,0))),0)</f>
        <v/>
      </c>
      <c r="R426">
        <f>IF(AND(Inputs!$B$38&lt;&gt;"pvp",Inputs!$B$43&gt;0),IF(Inputs!$B$43&lt;=0,0,(INT(Inputs!$B$43/IF(Inputs!$B$38="pvp",15,MAX(0.1,Skills!D15-IF(Skills!E15=TRUE,Inputs!$B$32,0))))+1)),0)</f>
        <v/>
      </c>
      <c r="S426">
        <f>IFERROR(O426/N426,0)</f>
        <v/>
      </c>
      <c r="T426" t="n">
        <v>0</v>
      </c>
      <c r="V426" t="n">
        <v>0</v>
      </c>
    </row>
    <row r="427">
      <c r="A427">
        <f>Skills!A16</f>
        <v/>
      </c>
      <c r="B427">
        <f>Skills!B16</f>
        <v/>
      </c>
      <c r="C427">
        <f>Inputs!$B$3&gt;=66</f>
        <v/>
      </c>
      <c r="D427">
        <f>IF(Skills!C16=1,60+Inputs!$B$25+Inputs!$B$29,IF(Skills!C16=2,90+Inputs!$B$26+Inputs!$B$29,IF(Skills!C16=3,120+Inputs!$B$27+Inputs!$B$29,MAX(0,(Inputs!$B$3-100)*3)+Inputs!$B$28+Inputs!$B$29)))</f>
        <v/>
      </c>
      <c r="E427">
        <f>INDEX(FactorTable!$B$2:$Y$301, MATCH(ROUND(MIN(300,MAX(1,D427)),0), FactorTable!$A$2:$A$301,0), Skills!M16+1)</f>
        <v/>
      </c>
      <c r="F427">
        <f>IF(Skills!N16=TRUE,(Skills!L16/10)*(E427/1000),Skills!L16/10)+Skills!O16</f>
        <v/>
      </c>
      <c r="G427">
        <f>Skills!G16*IF(Skills!H16&gt;0,Skills!I16/Skills!H16,1)</f>
        <v/>
      </c>
      <c r="H427">
        <f>1-(1-Skills!J16/100)^Skills!K16</f>
        <v/>
      </c>
      <c r="I427" t="inlineStr">
        <is>
          <t>1</t>
        </is>
      </c>
      <c r="J427" t="inlineStr"/>
      <c r="K427" t="inlineStr"/>
      <c r="L427" t="inlineStr"/>
      <c r="M427" t="inlineStr"/>
      <c r="N427" t="inlineStr"/>
      <c r="O427">
        <f>(1-Summary!$B$55)*T427+Summary!$B$55*V427</f>
        <v/>
      </c>
      <c r="P427">
        <f>IF(B450=0,0,O427/B450)</f>
        <v/>
      </c>
      <c r="Q427">
        <f>IFERROR(1/IF(Inputs!$B$38="pvp",15,MAX(0.1,Skills!D16-IF(Skills!E16=TRUE,Inputs!$B$32,0))),0)</f>
        <v/>
      </c>
      <c r="R427">
        <f>IF(AND(Inputs!$B$38&lt;&gt;"pvp",Inputs!$B$43&gt;0),IF(Inputs!$B$43&lt;=0,0,(INT(Inputs!$B$43/IF(Inputs!$B$38="pvp",15,MAX(0.1,Skills!D16-IF(Skills!E16=TRUE,Inputs!$B$32,0))))+1)),0)</f>
        <v/>
      </c>
      <c r="S427">
        <f>IFERROR(O427/N427,0)</f>
        <v/>
      </c>
      <c r="T427" t="n">
        <v>0</v>
      </c>
      <c r="V427" t="n">
        <v>0</v>
      </c>
    </row>
    <row r="428">
      <c r="A428">
        <f>Skills!A17</f>
        <v/>
      </c>
      <c r="B428">
        <f>Skills!B17</f>
        <v/>
      </c>
      <c r="C428">
        <f>Inputs!$B$3&gt;=115</f>
        <v/>
      </c>
      <c r="D428">
        <f>IF(Skills!C17=1,60+Inputs!$B$25+Inputs!$B$29,IF(Skills!C17=2,90+Inputs!$B$26+Inputs!$B$29,IF(Skills!C17=3,120+Inputs!$B$27+Inputs!$B$29,MAX(0,(Inputs!$B$3-100)*3)+Inputs!$B$28+Inputs!$B$29)))</f>
        <v/>
      </c>
      <c r="E428">
        <f>INDEX(FactorTable!$B$2:$Y$301, MATCH(ROUND(MIN(300,MAX(1,D428)),0), FactorTable!$A$2:$A$301,0), Skills!M17+1)</f>
        <v/>
      </c>
      <c r="F428">
        <f>IF(Skills!N17=TRUE,(Skills!L17/10)*(E428/1000),Skills!L17/10)+Skills!O17</f>
        <v/>
      </c>
      <c r="G428">
        <f>Skills!G17*IF(Skills!H17&gt;0,Skills!I17/Skills!H17,1)</f>
        <v/>
      </c>
      <c r="H428">
        <f>1-(1-Skills!J17/100)^Skills!K17</f>
        <v/>
      </c>
      <c r="I428" t="inlineStr">
        <is>
          <t>1</t>
        </is>
      </c>
      <c r="J428" t="inlineStr"/>
      <c r="K428" t="inlineStr"/>
      <c r="L428" t="inlineStr"/>
      <c r="M428" t="inlineStr"/>
      <c r="N428" t="inlineStr"/>
      <c r="O428">
        <f>(1-Summary!$B$55)*T428+Summary!$B$55*V428</f>
        <v/>
      </c>
      <c r="P428">
        <f>IF(B450=0,0,O428/B450)</f>
        <v/>
      </c>
      <c r="Q428">
        <f>IFERROR(1/IF(Inputs!$B$38="pvp",15,MAX(0.1,Skills!D17-IF(Skills!E17=TRUE,Inputs!$B$32,0))),0)</f>
        <v/>
      </c>
      <c r="R428">
        <f>IF(AND(Inputs!$B$38&lt;&gt;"pvp",Inputs!$B$43&gt;0),IF(Inputs!$B$43&lt;=0,0,(INT(Inputs!$B$43/IF(Inputs!$B$38="pvp",15,MAX(0.1,Skills!D17-IF(Skills!E17=TRUE,Inputs!$B$32,0))))+1)),0)</f>
        <v/>
      </c>
      <c r="S428">
        <f>IFERROR(O428/N428,0)</f>
        <v/>
      </c>
      <c r="T428" t="n">
        <v>0</v>
      </c>
      <c r="V428" t="n">
        <v>0</v>
      </c>
    </row>
    <row r="429">
      <c r="A429">
        <f>Skills!A18</f>
        <v/>
      </c>
      <c r="B429">
        <f>Skills!B18</f>
        <v/>
      </c>
      <c r="C429">
        <f>Inputs!$B$3&gt;=115</f>
        <v/>
      </c>
      <c r="D429">
        <f>IF(Skills!C18=1,60+Inputs!$B$25+Inputs!$B$29,IF(Skills!C18=2,90+Inputs!$B$26+Inputs!$B$29,IF(Skills!C18=3,120+Inputs!$B$27+Inputs!$B$29,MAX(0,(Inputs!$B$3-100)*3)+Inputs!$B$28+Inputs!$B$29)))</f>
        <v/>
      </c>
      <c r="E429">
        <f>INDEX(FactorTable!$B$2:$Y$301, MATCH(ROUND(MIN(300,MAX(1,D429)),0), FactorTable!$A$2:$A$301,0), Skills!M18+1)</f>
        <v/>
      </c>
      <c r="F429">
        <f>IF(Skills!N18=TRUE,(Skills!L18/10)*(E429/1000),Skills!L18/10)+Skills!O18</f>
        <v/>
      </c>
      <c r="G429">
        <f>Skills!G18*IF(Skills!H18&gt;0,Skills!I18/Skills!H18,1)</f>
        <v/>
      </c>
      <c r="H429">
        <f>1-(1-Skills!J18/100)^Skills!K18</f>
        <v/>
      </c>
      <c r="I429" t="inlineStr">
        <is>
          <t>1</t>
        </is>
      </c>
      <c r="J429" t="inlineStr"/>
      <c r="K429" t="inlineStr"/>
      <c r="L429" t="inlineStr"/>
      <c r="M429" t="inlineStr"/>
      <c r="N429" t="inlineStr"/>
      <c r="O429">
        <f>(1-Summary!$B$55)*T429+Summary!$B$55*V429</f>
        <v/>
      </c>
      <c r="P429">
        <f>IF(B450=0,0,O429/B450)</f>
        <v/>
      </c>
      <c r="Q429">
        <f>IFERROR(1/IF(Inputs!$B$38="pvp",15,MAX(0.1,Skills!D18-IF(Skills!E18=TRUE,Inputs!$B$32,0))),0)</f>
        <v/>
      </c>
      <c r="R429">
        <f>IF(AND(Inputs!$B$38&lt;&gt;"pvp",Inputs!$B$43&gt;0),IF(Inputs!$B$43&lt;=0,0,(INT(Inputs!$B$43/IF(Inputs!$B$38="pvp",15,MAX(0.1,Skills!D18-IF(Skills!E18=TRUE,Inputs!$B$32,0))))+1)),0)</f>
        <v/>
      </c>
      <c r="S429">
        <f>IFERROR(O429/N429,0)</f>
        <v/>
      </c>
      <c r="T429" t="n">
        <v>0</v>
      </c>
      <c r="V429" t="n">
        <v>0</v>
      </c>
    </row>
    <row r="430">
      <c r="A430">
        <f>Skills!A19</f>
        <v/>
      </c>
      <c r="B430">
        <f>Skills!B19</f>
        <v/>
      </c>
      <c r="C430">
        <f>TRUE</f>
        <v/>
      </c>
      <c r="D430">
        <f>IF(Skills!C19=1,60+Inputs!$B$25+Inputs!$B$29,IF(Skills!C19=2,90+Inputs!$B$26+Inputs!$B$29,IF(Skills!C19=3,120+Inputs!$B$27+Inputs!$B$29,MAX(0,(Inputs!$B$3-100)*3)+Inputs!$B$28+Inputs!$B$29)))</f>
        <v/>
      </c>
      <c r="E430">
        <f>INDEX(FactorTable!$B$2:$Y$301, MATCH(ROUND(MIN(300,MAX(1,D430)),0), FactorTable!$A$2:$A$301,0), Skills!M19+1)</f>
        <v/>
      </c>
      <c r="F430">
        <f>IF(Skills!N19=TRUE,(Skills!L19/10)*(E430/1000),Skills!L19/10)+Skills!O19</f>
        <v/>
      </c>
      <c r="G430">
        <f>Skills!G19*IF(Skills!H19&gt;0,Skills!I19/Skills!H19,1)</f>
        <v/>
      </c>
      <c r="H430">
        <f>1-(1-Skills!J19/100)^Skills!K19</f>
        <v/>
      </c>
      <c r="I430" t="inlineStr">
        <is>
          <t>1</t>
        </is>
      </c>
      <c r="J430" t="inlineStr"/>
      <c r="K430" t="inlineStr"/>
      <c r="L430" t="inlineStr"/>
      <c r="M430" t="inlineStr"/>
      <c r="N430" t="inlineStr"/>
      <c r="O430">
        <f>(1-Summary!$B$55)*T430+Summary!$B$55*V430</f>
        <v/>
      </c>
      <c r="P430">
        <f>IF(B450=0,0,O430/B450)</f>
        <v/>
      </c>
      <c r="Q430">
        <f>IFERROR(1/IF(Inputs!$B$38="pvp",15,MAX(0.1,Skills!D19-IF(Skills!E19=TRUE,Inputs!$B$32,0))),0)</f>
        <v/>
      </c>
      <c r="R430">
        <f>IF(AND(Inputs!$B$38&lt;&gt;"pvp",Inputs!$B$43&gt;0),IF(Inputs!$B$43&lt;=0,0,(INT(Inputs!$B$43/IF(Inputs!$B$38="pvp",15,MAX(0.1,Skills!D19-IF(Skills!E19=TRUE,Inputs!$B$32,0))))+1)),0)</f>
        <v/>
      </c>
      <c r="S430">
        <f>IFERROR(O430/N430,0)</f>
        <v/>
      </c>
      <c r="T430" t="n">
        <v>0</v>
      </c>
      <c r="V430" t="n">
        <v>0</v>
      </c>
    </row>
    <row r="431">
      <c r="A431">
        <f>Skills!A20</f>
        <v/>
      </c>
      <c r="B431">
        <f>Skills!B20</f>
        <v/>
      </c>
      <c r="C431">
        <f>Inputs!$B$3&gt;=33</f>
        <v/>
      </c>
      <c r="D431">
        <f>IF(Skills!C20=1,60+Inputs!$B$25+Inputs!$B$29,IF(Skills!C20=2,90+Inputs!$B$26+Inputs!$B$29,IF(Skills!C20=3,120+Inputs!$B$27+Inputs!$B$29,MAX(0,(Inputs!$B$3-100)*3)+Inputs!$B$28+Inputs!$B$29)))</f>
        <v/>
      </c>
      <c r="E431">
        <f>INDEX(FactorTable!$B$2:$Y$301, MATCH(ROUND(MIN(300,MAX(1,D431)),0), FactorTable!$A$2:$A$301,0), Skills!M20+1)</f>
        <v/>
      </c>
      <c r="F431">
        <f>IF(Skills!N20=TRUE,(Skills!L20/10)*(E431/1000),Skills!L20/10)+Skills!O20</f>
        <v/>
      </c>
      <c r="G431">
        <f>Skills!G20*IF(Skills!H20&gt;0,Skills!I20/Skills!H20,1)</f>
        <v/>
      </c>
      <c r="H431">
        <f>1-(1-Skills!J20/100)^Skills!K20</f>
        <v/>
      </c>
      <c r="I431" t="inlineStr">
        <is>
          <t>1</t>
        </is>
      </c>
      <c r="J431" t="inlineStr"/>
      <c r="K431" t="inlineStr"/>
      <c r="L431" t="inlineStr"/>
      <c r="M431" t="inlineStr"/>
      <c r="N431" t="inlineStr"/>
      <c r="O431">
        <f>(1-Summary!$B$55)*T431+Summary!$B$55*V431</f>
        <v/>
      </c>
      <c r="P431">
        <f>IF(B450=0,0,O431/B450)</f>
        <v/>
      </c>
      <c r="Q431" t="n">
        <v>0</v>
      </c>
      <c r="R431" t="n">
        <v>0</v>
      </c>
      <c r="S431">
        <f>IFERROR(O431/N431,0)</f>
        <v/>
      </c>
      <c r="T431" t="n">
        <v>0</v>
      </c>
      <c r="V431" t="n">
        <v>0</v>
      </c>
    </row>
    <row r="432">
      <c r="A432">
        <f>Skills!A21</f>
        <v/>
      </c>
      <c r="B432">
        <f>Skills!B21</f>
        <v/>
      </c>
      <c r="C432">
        <f>Inputs!$B$3&gt;=38</f>
        <v/>
      </c>
      <c r="D432">
        <f>IF(Skills!C21=1,60+Inputs!$B$25+Inputs!$B$29,IF(Skills!C21=2,90+Inputs!$B$26+Inputs!$B$29,IF(Skills!C21=3,120+Inputs!$B$27+Inputs!$B$29,MAX(0,(Inputs!$B$3-100)*3)+Inputs!$B$28+Inputs!$B$29)))</f>
        <v/>
      </c>
      <c r="E432">
        <f>INDEX(FactorTable!$B$2:$Y$301, MATCH(ROUND(MIN(300,MAX(1,D432)),0), FactorTable!$A$2:$A$301,0), Skills!M21+1)</f>
        <v/>
      </c>
      <c r="F432">
        <f>IF(Skills!N21=TRUE,(Skills!L21/10)*(E432/1000),Skills!L21/10)+Skills!O21</f>
        <v/>
      </c>
      <c r="G432">
        <f>Skills!G21*IF(Skills!H21&gt;0,Skills!I21/Skills!H21,1)</f>
        <v/>
      </c>
      <c r="H432">
        <f>1-(1-Skills!J21/100)^Skills!K21</f>
        <v/>
      </c>
      <c r="I432" t="inlineStr">
        <is>
          <t>1</t>
        </is>
      </c>
      <c r="J432" t="inlineStr"/>
      <c r="K432" t="inlineStr"/>
      <c r="L432" t="inlineStr"/>
      <c r="M432" t="inlineStr"/>
      <c r="N432" t="inlineStr"/>
      <c r="O432">
        <f>(1-Summary!$B$55)*T432+Summary!$B$55*V432</f>
        <v/>
      </c>
      <c r="P432">
        <f>IF(B450=0,0,O432/B450)</f>
        <v/>
      </c>
      <c r="Q432" t="n">
        <v>0</v>
      </c>
      <c r="R432" t="n">
        <v>0</v>
      </c>
      <c r="S432">
        <f>IFERROR(O432/N432,0)</f>
        <v/>
      </c>
      <c r="T432" t="n">
        <v>0</v>
      </c>
      <c r="V432" t="n">
        <v>0</v>
      </c>
    </row>
    <row r="433">
      <c r="A433">
        <f>Skills!A22</f>
        <v/>
      </c>
      <c r="B433">
        <f>Skills!B22</f>
        <v/>
      </c>
      <c r="C433">
        <f>Inputs!$B$3&gt;=43</f>
        <v/>
      </c>
      <c r="D433">
        <f>IF(Skills!C22=1,60+Inputs!$B$25+Inputs!$B$29,IF(Skills!C22=2,90+Inputs!$B$26+Inputs!$B$29,IF(Skills!C22=3,120+Inputs!$B$27+Inputs!$B$29,MAX(0,(Inputs!$B$3-100)*3)+Inputs!$B$28+Inputs!$B$29)))</f>
        <v/>
      </c>
      <c r="E433">
        <f>INDEX(FactorTable!$B$2:$Y$301, MATCH(ROUND(MIN(300,MAX(1,D433)),0), FactorTable!$A$2:$A$301,0), Skills!M22+1)</f>
        <v/>
      </c>
      <c r="F433">
        <f>IF(Skills!N22=TRUE,(Skills!L22/10)*(E433/1000),Skills!L22/10)+Skills!O22</f>
        <v/>
      </c>
      <c r="G433">
        <f>Skills!G22*IF(Skills!H22&gt;0,Skills!I22/Skills!H22,1)</f>
        <v/>
      </c>
      <c r="H433">
        <f>1-(1-Skills!J22/100)^Skills!K22</f>
        <v/>
      </c>
      <c r="I433" t="inlineStr">
        <is>
          <t>1</t>
        </is>
      </c>
      <c r="J433" t="inlineStr"/>
      <c r="K433" t="inlineStr"/>
      <c r="L433" t="inlineStr"/>
      <c r="M433" t="inlineStr"/>
      <c r="N433" t="inlineStr"/>
      <c r="O433">
        <f>(1-Summary!$B$55)*T433+Summary!$B$55*V433</f>
        <v/>
      </c>
      <c r="P433">
        <f>IF(B450=0,0,O433/B450)</f>
        <v/>
      </c>
      <c r="Q433" t="n">
        <v>0</v>
      </c>
      <c r="R433" t="n">
        <v>0</v>
      </c>
      <c r="S433">
        <f>IFERROR(O433/N433,0)</f>
        <v/>
      </c>
      <c r="T433" t="n">
        <v>0</v>
      </c>
      <c r="V433" t="n">
        <v>0</v>
      </c>
    </row>
    <row r="434">
      <c r="A434">
        <f>Skills!A23</f>
        <v/>
      </c>
      <c r="B434">
        <f>Skills!B23</f>
        <v/>
      </c>
      <c r="C434">
        <f>Inputs!$B$3&gt;=120</f>
        <v/>
      </c>
      <c r="D434">
        <f>IF(Skills!C23=1,60+Inputs!$B$25+Inputs!$B$29,IF(Skills!C23=2,90+Inputs!$B$26+Inputs!$B$29,IF(Skills!C23=3,120+Inputs!$B$27+Inputs!$B$29,MAX(0,(Inputs!$B$3-100)*3)+Inputs!$B$28+Inputs!$B$29)))</f>
        <v/>
      </c>
      <c r="E434">
        <f>INDEX(FactorTable!$B$2:$Y$301, MATCH(ROUND(MIN(300,MAX(1,D434)),0), FactorTable!$A$2:$A$301,0), Skills!M23+1)</f>
        <v/>
      </c>
      <c r="F434">
        <f>IF(Skills!N23=TRUE,(Skills!L23/10)*(E434/1000),Skills!L23/10)+Skills!O23</f>
        <v/>
      </c>
      <c r="G434">
        <f>Skills!G23*IF(Skills!H23&gt;0,Skills!I23/Skills!H23,1)</f>
        <v/>
      </c>
      <c r="H434">
        <f>1-(1-Skills!J23/100)^Skills!K23</f>
        <v/>
      </c>
      <c r="I434" t="inlineStr">
        <is>
          <t>1</t>
        </is>
      </c>
      <c r="J434" t="inlineStr"/>
      <c r="K434" t="inlineStr"/>
      <c r="L434" t="inlineStr"/>
      <c r="M434" t="inlineStr"/>
      <c r="N434" t="inlineStr"/>
      <c r="O434">
        <f>(1-Summary!$B$55)*T434+Summary!$B$55*V434</f>
        <v/>
      </c>
      <c r="P434">
        <f>IF(B450=0,0,O434/B450)</f>
        <v/>
      </c>
      <c r="Q434" t="n">
        <v>0</v>
      </c>
      <c r="R434" t="n">
        <v>0</v>
      </c>
      <c r="S434">
        <f>IFERROR(O434/N434,0)</f>
        <v/>
      </c>
      <c r="T434" t="n">
        <v>0</v>
      </c>
      <c r="V434" t="n">
        <v>0</v>
      </c>
    </row>
    <row r="435">
      <c r="A435">
        <f>Skills!A24</f>
        <v/>
      </c>
      <c r="B435">
        <f>Skills!B24</f>
        <v/>
      </c>
      <c r="C435">
        <f>Inputs!$B$3&gt;=120</f>
        <v/>
      </c>
      <c r="D435">
        <f>IF(Skills!C24=1,60+Inputs!$B$25+Inputs!$B$29,IF(Skills!C24=2,90+Inputs!$B$26+Inputs!$B$29,IF(Skills!C24=3,120+Inputs!$B$27+Inputs!$B$29,MAX(0,(Inputs!$B$3-100)*3)+Inputs!$B$28+Inputs!$B$29)))</f>
        <v/>
      </c>
      <c r="E435">
        <f>INDEX(FactorTable!$B$2:$Y$301, MATCH(ROUND(MIN(300,MAX(1,D435)),0), FactorTable!$A$2:$A$301,0), Skills!M24+1)</f>
        <v/>
      </c>
      <c r="F435">
        <f>IF(Skills!N24=TRUE,(Skills!L24/10)*(E435/1000),Skills!L24/10)+Skills!O24</f>
        <v/>
      </c>
      <c r="G435">
        <f>Skills!G24*IF(Skills!H24&gt;0,Skills!I24/Skills!H24,1)</f>
        <v/>
      </c>
      <c r="H435">
        <f>1-(1-Skills!J24/100)^Skills!K24</f>
        <v/>
      </c>
      <c r="I435" t="inlineStr">
        <is>
          <t>1</t>
        </is>
      </c>
      <c r="J435" t="inlineStr"/>
      <c r="K435" t="inlineStr"/>
      <c r="L435" t="inlineStr"/>
      <c r="M435" t="inlineStr"/>
      <c r="N435" t="inlineStr"/>
      <c r="O435">
        <f>(1-Summary!$B$55)*T435+Summary!$B$55*V435</f>
        <v/>
      </c>
      <c r="P435">
        <f>IF(B450=0,0,O435/B450)</f>
        <v/>
      </c>
      <c r="Q435" t="n">
        <v>0</v>
      </c>
      <c r="R435" t="n">
        <v>0</v>
      </c>
      <c r="S435">
        <f>IFERROR(O435/N435,0)</f>
        <v/>
      </c>
      <c r="T435" t="n">
        <v>0</v>
      </c>
      <c r="V435" t="n">
        <v>0</v>
      </c>
    </row>
    <row r="436">
      <c r="A436">
        <f>Skills!A25</f>
        <v/>
      </c>
      <c r="B436">
        <f>Skills!B25</f>
        <v/>
      </c>
      <c r="C436">
        <f>Inputs!$B$3&gt;=125</f>
        <v/>
      </c>
      <c r="D436">
        <f>IF(Skills!C25=1,60+Inputs!$B$25+Inputs!$B$29,IF(Skills!C25=2,90+Inputs!$B$26+Inputs!$B$29,IF(Skills!C25=3,120+Inputs!$B$27+Inputs!$B$29,MAX(0,(Inputs!$B$3-100)*3)+Inputs!$B$28+Inputs!$B$29)))</f>
        <v/>
      </c>
      <c r="E436">
        <f>INDEX(FactorTable!$B$2:$Y$301, MATCH(ROUND(MIN(300,MAX(1,D436)),0), FactorTable!$A$2:$A$301,0), Skills!M25+1)</f>
        <v/>
      </c>
      <c r="F436">
        <f>IF(Skills!N25=TRUE,(Skills!L25/10)*(E436/1000),Skills!L25/10)+Skills!O25</f>
        <v/>
      </c>
      <c r="G436">
        <f>Skills!G25*IF(Skills!H25&gt;0,Skills!I25/Skills!H25,1)</f>
        <v/>
      </c>
      <c r="H436">
        <f>1-(1-Skills!J25/100)^Skills!K25</f>
        <v/>
      </c>
      <c r="I436" t="inlineStr">
        <is>
          <t>1</t>
        </is>
      </c>
      <c r="J436" t="inlineStr"/>
      <c r="K436" t="inlineStr"/>
      <c r="L436" t="inlineStr"/>
      <c r="M436" t="inlineStr"/>
      <c r="N436" t="inlineStr"/>
      <c r="O436">
        <f>(1-Summary!$B$55)*T436+Summary!$B$55*V436</f>
        <v/>
      </c>
      <c r="P436">
        <f>IF(B450=0,0,O436/B450)</f>
        <v/>
      </c>
      <c r="Q436" t="n">
        <v>0</v>
      </c>
      <c r="R436" t="n">
        <v>0</v>
      </c>
      <c r="S436">
        <f>IFERROR(O436/N436,0)</f>
        <v/>
      </c>
      <c r="T436" t="n">
        <v>0</v>
      </c>
      <c r="V436" t="n">
        <v>0</v>
      </c>
    </row>
    <row r="437">
      <c r="A437">
        <f>Skills!A26</f>
        <v/>
      </c>
      <c r="B437">
        <f>Skills!B26</f>
        <v/>
      </c>
      <c r="C437">
        <f>Inputs!$B$3&gt;=72</f>
        <v/>
      </c>
      <c r="D437">
        <f>IF(Skills!C26=1,60+Inputs!$B$25+Inputs!$B$29,IF(Skills!C26=2,90+Inputs!$B$26+Inputs!$B$29,IF(Skills!C26=3,120+Inputs!$B$27+Inputs!$B$29,MAX(0,(Inputs!$B$3-100)*3)+Inputs!$B$28+Inputs!$B$29)))</f>
        <v/>
      </c>
      <c r="E437">
        <f>INDEX(FactorTable!$B$2:$Y$301, MATCH(ROUND(MIN(300,MAX(1,D437)),0), FactorTable!$A$2:$A$301,0), Skills!M26+1)</f>
        <v/>
      </c>
      <c r="F437">
        <f>IF(Skills!N26=TRUE,(Skills!L26/10)*(E437/1000),Skills!L26/10)+Skills!O26</f>
        <v/>
      </c>
      <c r="G437">
        <f>Skills!G26*IF(Skills!H26&gt;0,Skills!I26/Skills!H26,1)</f>
        <v/>
      </c>
      <c r="H437">
        <f>1-(1-Skills!J26/100)^Skills!K26</f>
        <v/>
      </c>
      <c r="I437" t="inlineStr">
        <is>
          <t>1</t>
        </is>
      </c>
      <c r="J437" t="inlineStr"/>
      <c r="K437" t="inlineStr"/>
      <c r="L437" t="inlineStr"/>
      <c r="M437" t="inlineStr"/>
      <c r="N437" t="inlineStr"/>
      <c r="O437">
        <f>(1-Summary!$B$55)*T437+Summary!$B$55*V437</f>
        <v/>
      </c>
      <c r="P437">
        <f>IF(B450=0,0,O437/B450)</f>
        <v/>
      </c>
      <c r="Q437" t="n">
        <v>0</v>
      </c>
      <c r="R437" t="n">
        <v>0</v>
      </c>
      <c r="S437">
        <f>IFERROR(O437/N437,0)</f>
        <v/>
      </c>
      <c r="T437" t="n">
        <v>0</v>
      </c>
      <c r="V437" t="n">
        <v>0</v>
      </c>
    </row>
    <row r="439">
      <c r="A439" t="inlineStr">
        <is>
          <t>Attack% Bucket Multiplier</t>
        </is>
      </c>
      <c r="B439">
        <f>(1+(((C424=TRUE)*F424*IF(Inputs!$B$3&gt;=110,7,5))+((C426=TRUE)*F426*IF(AND(Inputs!$B$38&lt;&gt;"pvp",Inputs!$B$43&gt;0),(((R426-1)*(Skills!T15*(1+Inputs!$B$34/100))+MIN((Skills!T15*(1+Inputs!$B$34/100)),MAX(0,Inputs!$B$43-((R426-1)*Skills!D15))))/Inputs!$B$43),IF(Inputs!$B$38="pvp",MIN((Skills!T15*(1+Inputs!$B$34/100)),15)/15,(Skills!T15*(1+Inputs!$B$34/100))/Skills!D15)))+0)/100)</f>
        <v/>
      </c>
    </row>
    <row r="440">
      <c r="A440" t="inlineStr">
        <is>
          <t>Global Crit Rate Bonus %</t>
        </is>
      </c>
      <c r="B440" t="n">
        <v>0</v>
      </c>
    </row>
    <row r="441">
      <c r="A441" t="inlineStr">
        <is>
          <t>Attack Speed Buff Bonus %</t>
        </is>
      </c>
      <c r="B441">
        <f>((C430=TRUE)*F430*IF(AND(Inputs!$B$38&lt;&gt;"pvp",Inputs!$B$43&gt;0),(((R430-1)*(Skills!T19*(1+Inputs!$B$34/100))+MIN((Skills!T19*(1+Inputs!$B$34/100)),MAX(0,Inputs!$B$43-((R430-1)*Skills!D19))))/Inputs!$B$43),IF(Inputs!$B$38="pvp",MIN((Skills!T19*(1+Inputs!$B$34/100)),15)/15,(Skills!T19*(1+Inputs!$B$34/100))/Skills!D19)))</f>
        <v/>
      </c>
    </row>
    <row r="442">
      <c r="A442" t="inlineStr">
        <is>
          <t>Actions Per Second</t>
        </is>
      </c>
      <c r="B442">
        <f>1+MIN(150,150*(1-(1-(Inputs!$B$11+((C431=TRUE)*(F431-Calc!F20)))/150)*(1-B441/150)))/100</f>
        <v/>
      </c>
    </row>
    <row r="443">
      <c r="A443" t="inlineStr">
        <is>
          <t>Skill + Buff Cast Rate</t>
        </is>
      </c>
      <c r="B443">
        <f>IF(AND(Inputs!$B$38&lt;&gt;"pvp",Inputs!$B$43&gt;0),SUMPRODUCT((Skills!E2:E26=TRUE)*(C413:C437=TRUE)*R413:R437*Skills!F2:F26)/Inputs!$B$43,SUMPRODUCT((Skills!E2:E26=TRUE)*(C413:C437=TRUE)*Q413:Q437*Skills!F2:F26))</f>
        <v/>
      </c>
    </row>
    <row r="444">
      <c r="A444" t="inlineStr">
        <is>
          <t>Raging Blow Casts Per Second</t>
        </is>
      </c>
      <c r="B444">
        <f>MAX(0,B442-B443)</f>
        <v/>
      </c>
    </row>
    <row r="445">
      <c r="A445" t="inlineStr">
        <is>
          <t>Global Critical Damage Bonus % (Enrage)</t>
        </is>
      </c>
      <c r="B445">
        <f>((C429=TRUE)*F429*IF(AND(Inputs!$B$38&lt;&gt;"pvp",Inputs!$B$43&gt;0),(((R429-1)*(Skills!T18*(1+Inputs!$B$34/100))+MIN((Skills!T18*(1+Inputs!$B$34/100)),MAX(0,Inputs!$B$43-((R429-1)*Skills!D18))))/Inputs!$B$43),IF(Inputs!$B$38="pvp",MIN((Skills!T18*(1+Inputs!$B$34/100)),15)/15,(Skills!T18*(1+Inputs!$B$34/100))/Skills!D18)))</f>
        <v/>
      </c>
    </row>
    <row r="446">
      <c r="A446" t="inlineStr">
        <is>
          <t>Global Final Damage Bonus % (Enrage + Combo Synergy)</t>
        </is>
      </c>
      <c r="B446">
        <f>((C428=TRUE)*F428*IF(AND(Inputs!$B$38&lt;&gt;"pvp",Inputs!$B$43&gt;0),(((R428-1)*(Skills!T17*(1+Inputs!$B$34/100))+MIN((Skills!T17*(1+Inputs!$B$34/100)),MAX(0,Inputs!$B$43-((R428-1)*Skills!D17))))/Inputs!$B$43),IF(Inputs!$B$38="pvp",MIN((Skills!T17*(1+Inputs!$B$34/100)),15)/15,(Skills!T17*(1+Inputs!$B$34/100))/Skills!D17)))+((C425=TRUE)*F425*IF(Inputs!$B$3&gt;=110,7,5))</f>
        <v/>
      </c>
    </row>
    <row r="447">
      <c r="A447" t="inlineStr">
        <is>
          <t>Buff-Casting Startup Delay (s, fixed-duration only)</t>
        </is>
      </c>
      <c r="B447">
        <f>IF(AND(Inputs!$B$38&lt;&gt;"pvp",Inputs!$B$43&gt;0),SUMPRODUCT((Skills!T2:T26&gt;0)*(Skills!E2:E26=TRUE)*(C413:C437=TRUE))/B442,0)</f>
        <v/>
      </c>
    </row>
    <row r="448">
      <c r="A448" t="inlineStr">
        <is>
          <t>Boss-Only Total DPS (this block's swept value)</t>
        </is>
      </c>
      <c r="B448">
        <f>SUM(T413:T437)</f>
        <v/>
      </c>
    </row>
    <row r="449">
      <c r="A449" t="inlineStr">
        <is>
          <t>Normal-Only Total DPS (this block's swept value)</t>
        </is>
      </c>
      <c r="B449">
        <f>SUM(V413:V437)</f>
        <v/>
      </c>
    </row>
    <row r="450">
      <c r="A450" s="5" t="inlineStr">
        <is>
          <t>TOTAL DPS</t>
        </is>
      </c>
      <c r="B450" s="5">
        <f>SUM(O413:O437)</f>
        <v/>
      </c>
    </row>
    <row r="453">
      <c r="A453" s="5" t="inlineStr">
        <is>
          <t>Stat: CRIT_RATE %</t>
        </is>
      </c>
    </row>
    <row r="454">
      <c r="A454" s="9" t="inlineStr">
        <is>
          <t>Key</t>
        </is>
      </c>
      <c r="B454" s="9" t="inlineStr">
        <is>
          <t>Name</t>
        </is>
      </c>
      <c r="C454" s="9" t="inlineStr">
        <is>
          <t>Unlocked</t>
        </is>
      </c>
      <c r="D454" s="9" t="inlineStr">
        <is>
          <t>InputLevel</t>
        </is>
      </c>
      <c r="E454" s="9" t="inlineStr">
        <is>
          <t>Factor</t>
        </is>
      </c>
      <c r="F454" s="9" t="inlineStr">
        <is>
          <t>CoefficientPercent</t>
        </is>
      </c>
      <c r="G454" s="9" t="inlineStr">
        <is>
          <t>EffectiveHits</t>
        </is>
      </c>
      <c r="H454" s="9" t="inlineStr">
        <is>
          <t>ProcProbability</t>
        </is>
      </c>
      <c r="I454" s="9" t="inlineStr">
        <is>
          <t>MapleHeroMultiplier</t>
        </is>
      </c>
      <c r="J454" s="9" t="inlineStr">
        <is>
          <t>BaseDamage</t>
        </is>
      </c>
      <c r="K454" s="9" t="inlineStr">
        <is>
          <t>BaseHitDamage</t>
        </is>
      </c>
      <c r="L454" s="9" t="inlineStr">
        <is>
          <t>NonCritAvg</t>
        </is>
      </c>
      <c r="M454" s="9" t="inlineStr">
        <is>
          <t>CritAvg</t>
        </is>
      </c>
      <c r="N454" s="9" t="inlineStr">
        <is>
          <t>ExpectedDamage(perHit)</t>
        </is>
      </c>
      <c r="O454" s="9" t="inlineStr">
        <is>
          <t>DPS</t>
        </is>
      </c>
      <c r="P454" s="9" t="inlineStr">
        <is>
          <t>% of Total</t>
        </is>
      </c>
      <c r="Q454" s="9" t="inlineStr">
        <is>
          <t>InvCooldown</t>
        </is>
      </c>
      <c r="R454" s="9" t="inlineStr">
        <is>
          <t>CastsInFight</t>
        </is>
      </c>
      <c r="S454" s="9" t="inlineStr">
        <is>
          <t>HitRate(perSec)</t>
        </is>
      </c>
      <c r="U454" t="inlineStr">
        <is>
          <t>helpers</t>
        </is>
      </c>
    </row>
    <row r="455">
      <c r="A455">
        <f>Skills!A2</f>
        <v/>
      </c>
      <c r="B455">
        <f>Skills!B2</f>
        <v/>
      </c>
      <c r="C455">
        <f>Inputs!$B$3&gt;=100</f>
        <v/>
      </c>
      <c r="D455" t="inlineStr"/>
      <c r="E455" t="inlineStr"/>
      <c r="F455">
        <f>U457+Skills!O2</f>
        <v/>
      </c>
      <c r="G455">
        <f>Skills!G2*IF(Skills!H2&gt;0,Skills!I2/Skills!H2,1)</f>
        <v/>
      </c>
      <c r="H455">
        <f>1-(1-Skills!J2/100)^Skills!K2</f>
        <v/>
      </c>
      <c r="I455" t="inlineStr">
        <is>
          <t>1</t>
        </is>
      </c>
      <c r="J455">
        <f>((Inputs!$B$6*(1+Inputs!$B$7/100))+(((Inputs!$B$12*(1+Inputs!$B$13/100))-(Inputs!$B$12*(1+Inputs!$B$13/100)))+0.25*(Inputs!$B$14-Inputs!$B$14))*(1+Inputs!$B$7/100))*(F455/100)</f>
        <v/>
      </c>
      <c r="K455">
        <f>J455*(1+((Inputs!$B$12*(1+Inputs!$B$13/100))*0.01+Inputs!$B$14*0.0025)/100)*(1+Inputs!$B$15/100)*(1+Inputs!$B$16/100)*(5000/(6000+Inputs!$B$42*(1-(Inputs!$B$19+0)/100)))*(1+(Inputs!$B$24+((C478=TRUE)*(F478-Calc!F25))+B488)/100)*(1+IF(Skills!A2="ENHANCED_RAGING_BLOW",IF(Inputs!$B$3&gt;=134,MAX(0,IF(Inputs!$B$3&gt;=110,7,5)-5)*50,0),0)/100)*(1+(IF(Skills!A2="RAGING_BLOW",Inputs!$B$17+((C474=TRUE)*(F474-Calc!F21)),Inputs!$B$18+((C476=TRUE)*(F476-Calc!F23))))/100)*((1+(((C466=TRUE)*F466*IF(Inputs!$B$3&gt;=110,7,5))+((C468=TRUE)*F468*IF(AND(Inputs!$B$38&lt;&gt;"pvp",Inputs!$B$43&gt;0),(((R468-1)*(Skills!T15*(1+Inputs!$B$34/100))+MIN((Skills!T15*(1+Inputs!$B$34/100)),MAX(0,Inputs!$B$43-((R468-1)*Skills!D15))))/Inputs!$B$43),IF(Inputs!$B$38="pvp",MIN((Skills!T15*(1+Inputs!$B$34/100)),15)/15,(Skills!T15*(1+Inputs!$B$34/100))/Skills!D15)))+0)/100)*I455)</f>
        <v/>
      </c>
      <c r="L455">
        <f>K455*(MIN(Inputs!$B$22+((C475=TRUE)*(F475-Calc!F22)),Inputs!$B$23+((C477=TRUE)*(F477-Calc!F24)))/100+(Inputs!$B$23+((C477=TRUE)*(F477-Calc!F24)))/100)/2</f>
        <v/>
      </c>
      <c r="M455">
        <f>L455*(1+(Inputs!$B$10+0+B487)/100)</f>
        <v/>
      </c>
      <c r="N455">
        <f>L455*(1-MIN(((Inputs!$B$9+1)+((C479=TRUE)*(F479-Calc!F26))+B482),100)/100)+M455*(MIN(((Inputs!$B$9+1)+((C479=TRUE)*(F479-Calc!F26))+B482),100)/100)</f>
        <v/>
      </c>
      <c r="O455">
        <f>(1-Summary!$B$55)*T455+Summary!$B$55*V455</f>
        <v/>
      </c>
      <c r="P455">
        <f>IF(B492=0,0,O455/B492)</f>
        <v/>
      </c>
      <c r="Q455" t="n">
        <v>0</v>
      </c>
      <c r="R455" t="n">
        <v>0</v>
      </c>
      <c r="S455">
        <f>IFERROR(O455/N455,0)</f>
        <v/>
      </c>
      <c r="T455">
        <f>IF(C455,(Skills!G2*N455*B486)*IF(Inputs!$B$38="pvp",1,1+(Inputs!$B$20+0+Skills!P2+Summary!$B$59)/100),0)</f>
        <v/>
      </c>
      <c r="U455">
        <f>MAX(0,(Inputs!$B$3-100)*3)+Inputs!$B$28+Inputs!$B$29</f>
        <v/>
      </c>
      <c r="V455">
        <f>IF(C455,(Skills!G2*N455*B486)*IF(Inputs!$B$38="pvp",1,(1+(Inputs!$B$21+Skills!Q2+Summary!$B$59)/100)*(MIN((6+Inputs!$B$33),Inputs!$B$37))),0)</f>
        <v/>
      </c>
    </row>
    <row r="456">
      <c r="A456">
        <f>Skills!A3</f>
        <v/>
      </c>
      <c r="B456">
        <f>Skills!B3</f>
        <v/>
      </c>
      <c r="C456">
        <f>Inputs!$B$3&gt;=50</f>
        <v/>
      </c>
      <c r="D456">
        <f>IF(Skills!C3=1,60+Inputs!$B$25+Inputs!$B$29,IF(Skills!C3=2,90+Inputs!$B$26+Inputs!$B$29,IF(Skills!C3=3,120+Inputs!$B$27+Inputs!$B$29,MAX(0,(Inputs!$B$3-100)*3)+Inputs!$B$28+Inputs!$B$29)))</f>
        <v/>
      </c>
      <c r="E456">
        <f>INDEX(FactorTable!$B$2:$Y$301, MATCH(ROUND(MIN(300,MAX(1,D456)),0), FactorTable!$A$2:$A$301,0), Skills!M3+1)</f>
        <v/>
      </c>
      <c r="F456">
        <f>IF(Skills!N3=TRUE,(Skills!L3/10)*(E456/1000),Skills!L3/10)+Skills!O3</f>
        <v/>
      </c>
      <c r="G456" t="inlineStr"/>
      <c r="H456" t="inlineStr"/>
      <c r="I456" t="inlineStr">
        <is>
          <t>1</t>
        </is>
      </c>
      <c r="J456" t="inlineStr"/>
      <c r="K456" t="inlineStr"/>
      <c r="L456" t="inlineStr"/>
      <c r="M456" t="inlineStr"/>
      <c r="N456" t="inlineStr"/>
      <c r="O456" t="inlineStr"/>
      <c r="P456" t="inlineStr"/>
      <c r="Q456" t="inlineStr"/>
      <c r="R456" t="inlineStr"/>
      <c r="S456" t="inlineStr"/>
      <c r="U456">
        <f>INDEX(FactorTable!$B$2:$Y$301, MATCH(ROUND(MIN(300,MAX(1,U455)),0), FactorTable!$A$2:$A$301,0), 22)</f>
        <v/>
      </c>
    </row>
    <row r="457">
      <c r="A457">
        <f>Skills!A4</f>
        <v/>
      </c>
      <c r="B457">
        <f>Skills!B4</f>
        <v/>
      </c>
      <c r="C457">
        <f>Inputs!$B$3&gt;=105</f>
        <v/>
      </c>
      <c r="D457">
        <f>IF(Skills!C4=1,60+Inputs!$B$25+Inputs!$B$29,IF(Skills!C4=2,90+Inputs!$B$26+Inputs!$B$29,IF(Skills!C4=3,120+Inputs!$B$27+Inputs!$B$29,MAX(0,(Inputs!$B$3-100)*3)+Inputs!$B$28+Inputs!$B$29)))</f>
        <v/>
      </c>
      <c r="E457">
        <f>INDEX(FactorTable!$B$2:$Y$301, MATCH(ROUND(MIN(300,MAX(1,D457)),0), FactorTable!$A$2:$A$301,0), Skills!M4+1)</f>
        <v/>
      </c>
      <c r="F457">
        <f>IF(Skills!N4=TRUE,(Skills!L4/10)*(E457/1000),Skills!L4/10)+Skills!O4</f>
        <v/>
      </c>
      <c r="G457" t="inlineStr"/>
      <c r="H457" t="inlineStr"/>
      <c r="I457" t="inlineStr">
        <is>
          <t>1</t>
        </is>
      </c>
      <c r="J457" t="inlineStr"/>
      <c r="K457" t="inlineStr"/>
      <c r="L457" t="inlineStr"/>
      <c r="M457" t="inlineStr"/>
      <c r="N457" t="inlineStr"/>
      <c r="O457" t="inlineStr"/>
      <c r="P457" t="inlineStr"/>
      <c r="Q457" t="inlineStr"/>
      <c r="R457" t="inlineStr"/>
      <c r="S457" t="inlineStr"/>
      <c r="U457">
        <f>290*U456/1000</f>
        <v/>
      </c>
    </row>
    <row r="458">
      <c r="A458">
        <f>Skills!A5</f>
        <v/>
      </c>
      <c r="B458">
        <f>Skills!B5</f>
        <v/>
      </c>
      <c r="C458">
        <f>Inputs!$B$3&gt;=103</f>
        <v/>
      </c>
      <c r="D458">
        <f>IF(Skills!C5=1,60+Inputs!$B$25+Inputs!$B$29,IF(Skills!C5=2,90+Inputs!$B$26+Inputs!$B$29,IF(Skills!C5=3,120+Inputs!$B$27+Inputs!$B$29,MAX(0,(Inputs!$B$3-100)*3)+Inputs!$B$28+Inputs!$B$29)))</f>
        <v/>
      </c>
      <c r="E458">
        <f>INDEX(FactorTable!$B$2:$Y$301, MATCH(ROUND(MIN(300,MAX(1,D458)),0), FactorTable!$A$2:$A$301,0), Skills!M5+1)</f>
        <v/>
      </c>
      <c r="F458">
        <f>IF(Skills!N5=TRUE,(Skills!L5/10)*(E458/1000),Skills!L5/10)+Skills!O5</f>
        <v/>
      </c>
      <c r="G458">
        <f>Skills!G5*IF(Skills!H5&gt;0,Skills!I5/Skills!H5,1)</f>
        <v/>
      </c>
      <c r="H458">
        <f>1-(1-Skills!J5/100)^Skills!K5</f>
        <v/>
      </c>
      <c r="I458" t="inlineStr">
        <is>
          <t>1</t>
        </is>
      </c>
      <c r="J458">
        <f>((Inputs!$B$6*(1+Inputs!$B$7/100))+(((Inputs!$B$12*(1+Inputs!$B$13/100))-(Inputs!$B$12*(1+Inputs!$B$13/100)))+0.25*(Inputs!$B$14-Inputs!$B$14))*(1+Inputs!$B$7/100))*(F458/100)</f>
        <v/>
      </c>
      <c r="K458">
        <f>J458*(1+((Inputs!$B$12*(1+Inputs!$B$13/100))*0.01+Inputs!$B$14*0.0025)/100)*(1+Inputs!$B$15/100)*(1+Inputs!$B$16/100)*(5000/(6000+Inputs!$B$42*(1-(Inputs!$B$19+0)/100)))*(1+(Inputs!$B$24+((C478=TRUE)*(F478-Calc!F25))+B488)/100)*(1+IF(Skills!A5="ENHANCED_RAGING_BLOW",IF(Inputs!$B$3&gt;=134,MAX(0,IF(Inputs!$B$3&gt;=110,7,5)-5)*50,0),0)/100)*(1+(IF(Skills!A5="RAGING_BLOW",Inputs!$B$17+((C474=TRUE)*(F474-Calc!F21)),Inputs!$B$18+((C476=TRUE)*(F476-Calc!F23))))/100)*((1+(((C466=TRUE)*F466*IF(Inputs!$B$3&gt;=110,7,5))+((C468=TRUE)*F468*IF(AND(Inputs!$B$38&lt;&gt;"pvp",Inputs!$B$43&gt;0),(((R468-1)*(Skills!T15*(1+Inputs!$B$34/100))+MIN((Skills!T15*(1+Inputs!$B$34/100)),MAX(0,Inputs!$B$43-((R468-1)*Skills!D15))))/Inputs!$B$43),IF(Inputs!$B$38="pvp",MIN((Skills!T15*(1+Inputs!$B$34/100)),15)/15,(Skills!T15*(1+Inputs!$B$34/100))/Skills!D15)))+0)/100)*I458)</f>
        <v/>
      </c>
      <c r="L458">
        <f>K458*(MIN(Inputs!$B$22+((C475=TRUE)*(F475-Calc!F22)),Inputs!$B$23+((C477=TRUE)*(F477-Calc!F24)))/100+(Inputs!$B$23+((C477=TRUE)*(F477-Calc!F24)))/100)/2</f>
        <v/>
      </c>
      <c r="M458">
        <f>L458*(1+(Inputs!$B$10+0+B487)/100)</f>
        <v/>
      </c>
      <c r="N458">
        <f>L458*(1-MIN(((Inputs!$B$9+1)+((C479=TRUE)*(F479-Calc!F26))+B482),100)/100)+M458*(MIN(((Inputs!$B$9+1)+((C479=TRUE)*(F479-Calc!F26))+B482),100)/100)</f>
        <v/>
      </c>
      <c r="O458">
        <f>(1-Summary!$B$55)*T458+Summary!$B$55*V458</f>
        <v/>
      </c>
      <c r="P458">
        <f>IF(B492=0,0,O458/B492)</f>
        <v/>
      </c>
      <c r="Q458">
        <f>IFERROR(1/IF(Inputs!$B$38="pvp",15,MAX(0.1,Skills!D5-IF(Skills!E5=TRUE,Inputs!$B$32,0))),0)</f>
        <v/>
      </c>
      <c r="R458">
        <f>IF(AND(Inputs!$B$38&lt;&gt;"pvp",Inputs!$B$43&gt;0),IF(MAX(0,Inputs!$B$43-B489)&lt;=0,0,(INT(MAX(0,Inputs!$B$43-B489)/IF(Inputs!$B$38="pvp",15,MAX(0.1,Skills!D5-IF(Skills!E5=TRUE,Inputs!$B$32,0))))+1)),0)</f>
        <v/>
      </c>
      <c r="S458">
        <f>IFERROR(O458/N458,0)</f>
        <v/>
      </c>
      <c r="T458">
        <f>IF(C458,(H458*N458*IF(AND(Inputs!$B$38&lt;&gt;"pvp",Inputs!$B$43&gt;0),((Skills!G5*((R458-1)*IF(Skills!H5&gt;0,Skills!I5/Skills!H5,1)+IF(Skills!H5&gt;0,MIN(Skills!I5,MAX(0,MAX(0,Inputs!$B$43-B489)-((R458-1)*IF(Inputs!$B$38="pvp",15,MAX(0.1,Skills!D5-IF(Skills!E5=TRUE,Inputs!$B$32,0))))))/Skills!H5,1)))/Inputs!$B$43),G458*Q458))*IF(Inputs!$B$38="pvp",1,1+(Inputs!$B$20+0+Skills!P5+Summary!$B$59)/100),0)</f>
        <v/>
      </c>
      <c r="V458">
        <f>IF(C458,(H458*N458*IF(AND(Inputs!$B$38&lt;&gt;"pvp",Inputs!$B$43&gt;0),((Skills!G5*((R458-1)*IF(Skills!H5&gt;0,Skills!I5/Skills!H5,1)+IF(Skills!H5&gt;0,MIN(Skills!I5,MAX(0,MAX(0,Inputs!$B$43-B489)-((R458-1)*IF(Inputs!$B$38="pvp",15,MAX(0.1,Skills!D5-IF(Skills!E5=TRUE,Inputs!$B$32,0))))))/Skills!H5,1)))/Inputs!$B$43),G458*Q458))*IF(Inputs!$B$38="pvp",1,(1+(Inputs!$B$21+Skills!Q5+Summary!$B$59)/100)*(MIN(Skills!R5,Inputs!$B$37))),0)</f>
        <v/>
      </c>
    </row>
    <row r="459">
      <c r="A459">
        <f>Skills!A6</f>
        <v/>
      </c>
      <c r="B459">
        <f>Skills!B6</f>
        <v/>
      </c>
      <c r="C459">
        <f>Inputs!$B$3&gt;=103</f>
        <v/>
      </c>
      <c r="D459">
        <f>IF(Skills!C6=1,60+Inputs!$B$25+Inputs!$B$29,IF(Skills!C6=2,90+Inputs!$B$26+Inputs!$B$29,IF(Skills!C6=3,120+Inputs!$B$27+Inputs!$B$29,MAX(0,(Inputs!$B$3-100)*3)+Inputs!$B$28+Inputs!$B$29)))</f>
        <v/>
      </c>
      <c r="E459">
        <f>INDEX(FactorTable!$B$2:$Y$301, MATCH(ROUND(MIN(300,MAX(1,D459)),0), FactorTable!$A$2:$A$301,0), Skills!M6+1)</f>
        <v/>
      </c>
      <c r="F459">
        <f>IF(Skills!N6=TRUE,(Skills!L6/10)*(E459/1000),Skills!L6/10)+Skills!O6</f>
        <v/>
      </c>
      <c r="G459">
        <f>Skills!G6*IF(Skills!H6&gt;0,Skills!I6/Skills!H6,1)</f>
        <v/>
      </c>
      <c r="H459">
        <f>1-(1-Skills!J6/100)^Skills!K6</f>
        <v/>
      </c>
      <c r="I459" t="inlineStr">
        <is>
          <t>1</t>
        </is>
      </c>
      <c r="J459">
        <f>((Inputs!$B$6*(1+Inputs!$B$7/100))+(((Inputs!$B$12*(1+Inputs!$B$13/100))-(Inputs!$B$12*(1+Inputs!$B$13/100)))+0.25*(Inputs!$B$14-Inputs!$B$14))*(1+Inputs!$B$7/100))*(F459/100)</f>
        <v/>
      </c>
      <c r="K459">
        <f>J459*(1+((Inputs!$B$12*(1+Inputs!$B$13/100))*0.01+Inputs!$B$14*0.0025)/100)*(1+Inputs!$B$15/100)*(1+Inputs!$B$16/100)*(5000/(6000+Inputs!$B$42*(1-(Inputs!$B$19+0)/100)))*(1+(Inputs!$B$24+((C478=TRUE)*(F478-Calc!F25))+B488)/100)*(1+IF(Skills!A6="ENHANCED_RAGING_BLOW",IF(Inputs!$B$3&gt;=134,MAX(0,IF(Inputs!$B$3&gt;=110,7,5)-5)*50,0),0)/100)*(1+(IF(Skills!A6="RAGING_BLOW",Inputs!$B$17+((C474=TRUE)*(F474-Calc!F21)),Inputs!$B$18+((C476=TRUE)*(F476-Calc!F23))))/100)*((1+(((C466=TRUE)*F466*IF(Inputs!$B$3&gt;=110,7,5))+((C468=TRUE)*F468*IF(AND(Inputs!$B$38&lt;&gt;"pvp",Inputs!$B$43&gt;0),(((R468-1)*(Skills!T15*(1+Inputs!$B$34/100))+MIN((Skills!T15*(1+Inputs!$B$34/100)),MAX(0,Inputs!$B$43-((R468-1)*Skills!D15))))/Inputs!$B$43),IF(Inputs!$B$38="pvp",MIN((Skills!T15*(1+Inputs!$B$34/100)),15)/15,(Skills!T15*(1+Inputs!$B$34/100))/Skills!D15)))+0)/100)*I459)</f>
        <v/>
      </c>
      <c r="L459">
        <f>K459*(MIN(Inputs!$B$22+((C475=TRUE)*(F475-Calc!F22)),Inputs!$B$23+((C477=TRUE)*(F477-Calc!F24)))/100+(Inputs!$B$23+((C477=TRUE)*(F477-Calc!F24)))/100)/2</f>
        <v/>
      </c>
      <c r="M459">
        <f>L459*(1+(Inputs!$B$10+0+B487)/100)</f>
        <v/>
      </c>
      <c r="N459">
        <f>L459*(1-MIN(((Inputs!$B$9+1)+((C479=TRUE)*(F479-Calc!F26))+B482),100)/100)+M459*(MIN(((Inputs!$B$9+1)+((C479=TRUE)*(F479-Calc!F26))+B482),100)/100)</f>
        <v/>
      </c>
      <c r="O459">
        <f>(1-Summary!$B$55)*T459+Summary!$B$55*V459</f>
        <v/>
      </c>
      <c r="P459">
        <f>IF(B492=0,0,O459/B492)</f>
        <v/>
      </c>
      <c r="Q459">
        <f>IFERROR(1/IF(Inputs!$B$38="pvp",15,MAX(0.1,Skills!D6-IF(Skills!E6=TRUE,Inputs!$B$32,0))),0)</f>
        <v/>
      </c>
      <c r="R459">
        <f>IF(AND(Inputs!$B$38&lt;&gt;"pvp",Inputs!$B$43&gt;0),IF(MAX(0,Inputs!$B$43-B489)&lt;=0,0,(INT(MAX(0,Inputs!$B$43-B489)/IF(Inputs!$B$38="pvp",15,MAX(0.1,Skills!D6-IF(Skills!E6=TRUE,Inputs!$B$32,0))))+1)),0)</f>
        <v/>
      </c>
      <c r="S459">
        <f>IFERROR(O459/N459,0)</f>
        <v/>
      </c>
      <c r="T459">
        <f>IF(C459,(H459*N459*IF(AND(Inputs!$B$38&lt;&gt;"pvp",Inputs!$B$43&gt;0),((Skills!G6*((R459-1)*IF(Skills!H6&gt;0,Skills!I6/Skills!H6,1)+IF(Skills!H6&gt;0,MIN(Skills!I6,MAX(0,MAX(0,Inputs!$B$43-B489)-((R459-1)*IF(Inputs!$B$38="pvp",15,MAX(0.1,Skills!D6-IF(Skills!E6=TRUE,Inputs!$B$32,0))))))/Skills!H6,1)))/Inputs!$B$43),G459*Q459))*IF(Inputs!$B$38="pvp",1,1+(Inputs!$B$20+0+Skills!P6+Summary!$B$59)/100),0)</f>
        <v/>
      </c>
      <c r="V459">
        <f>IF(C459,(H459*N459*IF(AND(Inputs!$B$38&lt;&gt;"pvp",Inputs!$B$43&gt;0),((Skills!G6*((R459-1)*IF(Skills!H6&gt;0,Skills!I6/Skills!H6,1)+IF(Skills!H6&gt;0,MIN(Skills!I6,MAX(0,MAX(0,Inputs!$B$43-B489)-((R459-1)*IF(Inputs!$B$38="pvp",15,MAX(0.1,Skills!D6-IF(Skills!E6=TRUE,Inputs!$B$32,0))))))/Skills!H6,1)))/Inputs!$B$43),G459*Q459))*IF(Inputs!$B$38="pvp",1,(1+(Inputs!$B$21+Skills!Q6+Summary!$B$59)/100)*(MIN(Skills!R6,Inputs!$B$37))),0)</f>
        <v/>
      </c>
    </row>
    <row r="460">
      <c r="A460">
        <f>Skills!A7</f>
        <v/>
      </c>
      <c r="B460">
        <f>Skills!B7</f>
        <v/>
      </c>
      <c r="C460">
        <f>Inputs!$B$3&gt;=107</f>
        <v/>
      </c>
      <c r="D460">
        <f>IF(Skills!C7=1,60+Inputs!$B$25+Inputs!$B$29,IF(Skills!C7=2,90+Inputs!$B$26+Inputs!$B$29,IF(Skills!C7=3,120+Inputs!$B$27+Inputs!$B$29,MAX(0,(Inputs!$B$3-100)*3)+Inputs!$B$28+Inputs!$B$29)))</f>
        <v/>
      </c>
      <c r="E460">
        <f>INDEX(FactorTable!$B$2:$Y$301, MATCH(ROUND(MIN(300,MAX(1,D460)),0), FactorTable!$A$2:$A$301,0), Skills!M7+1)</f>
        <v/>
      </c>
      <c r="F460">
        <f>IF(Skills!N7=TRUE,(Skills!L7/10)*(E460/1000),Skills!L7/10)+Skills!O7</f>
        <v/>
      </c>
      <c r="G460">
        <f>Skills!G7*IF(Skills!H7&gt;0,Skills!I7/Skills!H7,1)</f>
        <v/>
      </c>
      <c r="H460">
        <f>1-(1-Skills!J7/100)^Skills!K7</f>
        <v/>
      </c>
      <c r="I460" t="inlineStr">
        <is>
          <t>1</t>
        </is>
      </c>
      <c r="J460">
        <f>((Inputs!$B$6*(1+Inputs!$B$7/100))+(((Inputs!$B$12*(1+Inputs!$B$13/100))-(Inputs!$B$12*(1+Inputs!$B$13/100)))+0.25*(Inputs!$B$14-Inputs!$B$14))*(1+Inputs!$B$7/100))*(F460/100)</f>
        <v/>
      </c>
      <c r="K460">
        <f>J460*(1+((Inputs!$B$12*(1+Inputs!$B$13/100))*0.01+Inputs!$B$14*0.0025)/100)*(1+Inputs!$B$15/100)*(1+Inputs!$B$16/100)*(5000/(6000+Inputs!$B$42*(1-(Inputs!$B$19+0)/100)))*(1+(Inputs!$B$24+((C478=TRUE)*(F478-Calc!F25))+B488)/100)*(1+IF(Skills!A7="ENHANCED_RAGING_BLOW",IF(Inputs!$B$3&gt;=134,MAX(0,IF(Inputs!$B$3&gt;=110,7,5)-5)*50,0),0)/100)*(1+(IF(Skills!A7="RAGING_BLOW",Inputs!$B$17+((C474=TRUE)*(F474-Calc!F21)),Inputs!$B$18+((C476=TRUE)*(F476-Calc!F23))))/100)*((1+(((C466=TRUE)*F466*IF(Inputs!$B$3&gt;=110,7,5))+((C468=TRUE)*F468*IF(AND(Inputs!$B$38&lt;&gt;"pvp",Inputs!$B$43&gt;0),(((R468-1)*(Skills!T15*(1+Inputs!$B$34/100))+MIN((Skills!T15*(1+Inputs!$B$34/100)),MAX(0,Inputs!$B$43-((R468-1)*Skills!D15))))/Inputs!$B$43),IF(Inputs!$B$38="pvp",MIN((Skills!T15*(1+Inputs!$B$34/100)),15)/15,(Skills!T15*(1+Inputs!$B$34/100))/Skills!D15)))+0)/100)*I460)</f>
        <v/>
      </c>
      <c r="L460">
        <f>K460*(MIN(Inputs!$B$22+((C475=TRUE)*(F475-Calc!F22)),Inputs!$B$23+((C477=TRUE)*(F477-Calc!F24)))/100+(Inputs!$B$23+((C477=TRUE)*(F477-Calc!F24)))/100)/2</f>
        <v/>
      </c>
      <c r="M460">
        <f>L460*(1+(Inputs!$B$10+0+B487)/100)</f>
        <v/>
      </c>
      <c r="N460">
        <f>L460*(1-MIN(((Inputs!$B$9+1)+((C479=TRUE)*(F479-Calc!F26))+B482),100)/100)+M460*(MIN(((Inputs!$B$9+1)+((C479=TRUE)*(F479-Calc!F26))+B482),100)/100)</f>
        <v/>
      </c>
      <c r="O460">
        <f>(1-Summary!$B$55)*T460+Summary!$B$55*V460</f>
        <v/>
      </c>
      <c r="P460">
        <f>IF(B492=0,0,O460/B492)</f>
        <v/>
      </c>
      <c r="Q460">
        <f>IFERROR(1/IF(Inputs!$B$38="pvp",15,MAX(0.1,Skills!D7-IF(Skills!E7=TRUE,Inputs!$B$32,0))),0)</f>
        <v/>
      </c>
      <c r="R460">
        <f>IF(AND(Inputs!$B$38&lt;&gt;"pvp",Inputs!$B$43&gt;0),IF(MAX(0,Inputs!$B$43-B489)&lt;=0,0,(INT(MAX(0,Inputs!$B$43-B489)/IF(Inputs!$B$38="pvp",15,MAX(0.1,Skills!D7-IF(Skills!E7=TRUE,Inputs!$B$32,0))))+1)),0)</f>
        <v/>
      </c>
      <c r="S460">
        <f>IFERROR(O460/N460,0)</f>
        <v/>
      </c>
      <c r="T460">
        <f>IF(C460,(H460*N460*IF(AND(Inputs!$B$38&lt;&gt;"pvp",Inputs!$B$43&gt;0),((Skills!G7*((R460-1)*IF(Skills!H7&gt;0,Skills!I7/Skills!H7,1)+IF(Skills!H7&gt;0,MIN(Skills!I7,MAX(0,MAX(0,Inputs!$B$43-B489)-((R460-1)*IF(Inputs!$B$38="pvp",15,MAX(0.1,Skills!D7-IF(Skills!E7=TRUE,Inputs!$B$32,0))))))/Skills!H7,1)))/Inputs!$B$43),G460*Q460))*IF(Inputs!$B$38="pvp",1,1+(Inputs!$B$20+0+Skills!P7+Summary!$B$59)/100),0)</f>
        <v/>
      </c>
      <c r="V460">
        <f>IF(C460,(H460*N460*IF(AND(Inputs!$B$38&lt;&gt;"pvp",Inputs!$B$43&gt;0),((Skills!G7*((R460-1)*IF(Skills!H7&gt;0,Skills!I7/Skills!H7,1)+IF(Skills!H7&gt;0,MIN(Skills!I7,MAX(0,MAX(0,Inputs!$B$43-B489)-((R460-1)*IF(Inputs!$B$38="pvp",15,MAX(0.1,Skills!D7-IF(Skills!E7=TRUE,Inputs!$B$32,0))))))/Skills!H7,1)))/Inputs!$B$43),G460*Q460))*IF(Inputs!$B$38="pvp",1,(1+(Inputs!$B$21+Skills!Q7+Summary!$B$59)/100)*(MIN(Skills!R7,Inputs!$B$37))),0)</f>
        <v/>
      </c>
    </row>
    <row r="461">
      <c r="A461">
        <f>Skills!A8</f>
        <v/>
      </c>
      <c r="B461">
        <f>Skills!B8</f>
        <v/>
      </c>
      <c r="C461">
        <f>Inputs!$B$3&gt;=117</f>
        <v/>
      </c>
      <c r="D461">
        <f>IF(Skills!C8=1,60+Inputs!$B$25+Inputs!$B$29,IF(Skills!C8=2,90+Inputs!$B$26+Inputs!$B$29,IF(Skills!C8=3,120+Inputs!$B$27+Inputs!$B$29,MAX(0,(Inputs!$B$3-100)*3)+Inputs!$B$28+Inputs!$B$29)))</f>
        <v/>
      </c>
      <c r="E461">
        <f>INDEX(FactorTable!$B$2:$Y$301, MATCH(ROUND(MIN(300,MAX(1,D461)),0), FactorTable!$A$2:$A$301,0), Skills!M8+1)</f>
        <v/>
      </c>
      <c r="F461">
        <f>IF(Skills!N8=TRUE,(Skills!L8/10)*(E461/1000),Skills!L8/10)+Skills!O8</f>
        <v/>
      </c>
      <c r="G461">
        <f>Skills!G8*IF(Skills!H8&gt;0,Skills!I8/Skills!H8,1)</f>
        <v/>
      </c>
      <c r="H461">
        <f>1-(1-Skills!J8/100)^Skills!K8</f>
        <v/>
      </c>
      <c r="I461" t="inlineStr">
        <is>
          <t>1</t>
        </is>
      </c>
      <c r="J461">
        <f>((Inputs!$B$6*(1+Inputs!$B$7/100))+(((Inputs!$B$12*(1+Inputs!$B$13/100))-(Inputs!$B$12*(1+Inputs!$B$13/100)))+0.25*(Inputs!$B$14-Inputs!$B$14))*(1+Inputs!$B$7/100))*(F461/100)</f>
        <v/>
      </c>
      <c r="K461">
        <f>J461*(1+((Inputs!$B$12*(1+Inputs!$B$13/100))*0.01+Inputs!$B$14*0.0025)/100)*(1+Inputs!$B$15/100)*(1+Inputs!$B$16/100)*(5000/(6000+Inputs!$B$42*(1-(Inputs!$B$19+0)/100)))*(1+(Inputs!$B$24+((C478=TRUE)*(F478-Calc!F25))+B488)/100)*(1+IF(Skills!A8="ENHANCED_RAGING_BLOW",IF(Inputs!$B$3&gt;=134,MAX(0,IF(Inputs!$B$3&gt;=110,7,5)-5)*50,0),0)/100)*(1+(IF(Skills!A8="RAGING_BLOW",Inputs!$B$17+((C474=TRUE)*(F474-Calc!F21)),Inputs!$B$18+((C476=TRUE)*(F476-Calc!F23))))/100)*((1+(((C466=TRUE)*F466*IF(Inputs!$B$3&gt;=110,7,5))+((C468=TRUE)*F468*IF(AND(Inputs!$B$38&lt;&gt;"pvp",Inputs!$B$43&gt;0),(((R468-1)*(Skills!T15*(1+Inputs!$B$34/100))+MIN((Skills!T15*(1+Inputs!$B$34/100)),MAX(0,Inputs!$B$43-((R468-1)*Skills!D15))))/Inputs!$B$43),IF(Inputs!$B$38="pvp",MIN((Skills!T15*(1+Inputs!$B$34/100)),15)/15,(Skills!T15*(1+Inputs!$B$34/100))/Skills!D15)))+0)/100)*I461)</f>
        <v/>
      </c>
      <c r="L461">
        <f>K461*(MIN(Inputs!$B$22+((C475=TRUE)*(F475-Calc!F22)),Inputs!$B$23+((C477=TRUE)*(F477-Calc!F24)))/100+(Inputs!$B$23+((C477=TRUE)*(F477-Calc!F24)))/100)/2</f>
        <v/>
      </c>
      <c r="M461">
        <f>L461*(1+(Inputs!$B$10+0+B487)/100)</f>
        <v/>
      </c>
      <c r="N461">
        <f>L461*(1-MIN(((Inputs!$B$9+1)+((C479=TRUE)*(F479-Calc!F26))+B482),100)/100)+M461*(MIN(((Inputs!$B$9+1)+((C479=TRUE)*(F479-Calc!F26))+B482),100)/100)</f>
        <v/>
      </c>
      <c r="O461">
        <f>(1-Summary!$B$55)*T461+Summary!$B$55*V461</f>
        <v/>
      </c>
      <c r="P461">
        <f>IF(B492=0,0,O461/B492)</f>
        <v/>
      </c>
      <c r="Q461">
        <f>IFERROR(1/IF(Inputs!$B$38="pvp",15,MAX(0.1,Skills!D8-IF(Skills!E8=TRUE,Inputs!$B$32,0))),0)</f>
        <v/>
      </c>
      <c r="R461">
        <f>IF(AND(Inputs!$B$38&lt;&gt;"pvp",Inputs!$B$43&gt;0),IF(MAX(0,Inputs!$B$43-B489)&lt;=0,0,(INT(MAX(0,Inputs!$B$43-B489)/IF(Inputs!$B$38="pvp",15,MAX(0.1,Skills!D8-IF(Skills!E8=TRUE,Inputs!$B$32,0))))+1)),0)</f>
        <v/>
      </c>
      <c r="S461">
        <f>IFERROR(O461/N461,0)</f>
        <v/>
      </c>
      <c r="T461">
        <f>IF(C461,(H461*N461*IF(AND(Inputs!$B$38&lt;&gt;"pvp",Inputs!$B$43&gt;0),((Skills!G8*((R461-1)*IF(Skills!H8&gt;0,Skills!I8/Skills!H8,1)+IF(Skills!H8&gt;0,MIN(Skills!I8,MAX(0,MAX(0,Inputs!$B$43-B489)-((R461-1)*IF(Inputs!$B$38="pvp",15,MAX(0.1,Skills!D8-IF(Skills!E8=TRUE,Inputs!$B$32,0))))))/Skills!H8,1)))/Inputs!$B$43),G461*Q461))*IF(Inputs!$B$38="pvp",1,1+(Inputs!$B$20+0+Skills!P8+Summary!$B$59)/100),0)</f>
        <v/>
      </c>
      <c r="V461">
        <f>IF(C461,(H461*N461*IF(AND(Inputs!$B$38&lt;&gt;"pvp",Inputs!$B$43&gt;0),((Skills!G8*((R461-1)*IF(Skills!H8&gt;0,Skills!I8/Skills!H8,1)+IF(Skills!H8&gt;0,MIN(Skills!I8,MAX(0,MAX(0,Inputs!$B$43-B489)-((R461-1)*IF(Inputs!$B$38="pvp",15,MAX(0.1,Skills!D8-IF(Skills!E8=TRUE,Inputs!$B$32,0))))))/Skills!H8,1)))/Inputs!$B$43),G461*Q461))*IF(Inputs!$B$38="pvp",1,(1+(Inputs!$B$21+Skills!Q8+Summary!$B$59)/100)*(MIN(Skills!R8,Inputs!$B$37))),0)</f>
        <v/>
      </c>
    </row>
    <row r="462">
      <c r="A462">
        <f>Skills!A9</f>
        <v/>
      </c>
      <c r="B462">
        <f>Skills!B9</f>
        <v/>
      </c>
      <c r="C462">
        <f>Inputs!$B$3&gt;=69</f>
        <v/>
      </c>
      <c r="D462">
        <f>IF(Skills!C9=1,60+Inputs!$B$25+Inputs!$B$29,IF(Skills!C9=2,90+Inputs!$B$26+Inputs!$B$29,IF(Skills!C9=3,120+Inputs!$B$27+Inputs!$B$29,MAX(0,(Inputs!$B$3-100)*3)+Inputs!$B$28+Inputs!$B$29)))</f>
        <v/>
      </c>
      <c r="E462">
        <f>INDEX(FactorTable!$B$2:$Y$301, MATCH(ROUND(MIN(300,MAX(1,D462)),0), FactorTable!$A$2:$A$301,0), Skills!M9+1)</f>
        <v/>
      </c>
      <c r="F462">
        <f>IF(Skills!N9=TRUE,(Skills!L9/10)*(E462/1000),Skills!L9/10)+Skills!O9</f>
        <v/>
      </c>
      <c r="G462">
        <f>Skills!G9*IF(Skills!H9&gt;0,Skills!I9/Skills!H9,1)</f>
        <v/>
      </c>
      <c r="H462">
        <f>1-(1-Skills!J9/100)^Skills!K9</f>
        <v/>
      </c>
      <c r="I462" t="inlineStr">
        <is>
          <t>1</t>
        </is>
      </c>
      <c r="J462">
        <f>((Inputs!$B$6*(1+Inputs!$B$7/100))+(((Inputs!$B$12*(1+Inputs!$B$13/100))-(Inputs!$B$12*(1+Inputs!$B$13/100)))+0.25*(Inputs!$B$14-Inputs!$B$14))*(1+Inputs!$B$7/100))*(F462/100)</f>
        <v/>
      </c>
      <c r="K462">
        <f>J462*(1+((Inputs!$B$12*(1+Inputs!$B$13/100))*0.01+Inputs!$B$14*0.0025)/100)*(1+Inputs!$B$15/100)*(1+Inputs!$B$16/100)*(5000/(6000+Inputs!$B$42*(1-(Inputs!$B$19+0)/100)))*(1+(Inputs!$B$24+((C478=TRUE)*(F478-Calc!F25))+B488)/100)*(1+1.0*IF(C465=TRUE,F465,0)/100)*(1+IF(Skills!A9="ENHANCED_RAGING_BLOW",IF(Inputs!$B$3&gt;=134,MAX(0,IF(Inputs!$B$3&gt;=110,7,5)-5)*50,0),0)/100)*(1+(IF(Skills!A9="RAGING_BLOW",Inputs!$B$17+((C474=TRUE)*(F474-Calc!F21)),Inputs!$B$18+((C476=TRUE)*(F476-Calc!F23))))/100)*((1+(((C466=TRUE)*F466*IF(Inputs!$B$3&gt;=110,7,5))+((C468=TRUE)*F468*IF(AND(Inputs!$B$38&lt;&gt;"pvp",Inputs!$B$43&gt;0),(((R468-1)*(Skills!T15*(1+Inputs!$B$34/100))+MIN((Skills!T15*(1+Inputs!$B$34/100)),MAX(0,Inputs!$B$43-((R468-1)*Skills!D15))))/Inputs!$B$43),IF(Inputs!$B$38="pvp",MIN((Skills!T15*(1+Inputs!$B$34/100)),15)/15,(Skills!T15*(1+Inputs!$B$34/100))/Skills!D15)))+0)/100)*I462)</f>
        <v/>
      </c>
      <c r="L462">
        <f>K462*(MIN(Inputs!$B$22+((C475=TRUE)*(F475-Calc!F22)),Inputs!$B$23+((C477=TRUE)*(F477-Calc!F24)))/100+(Inputs!$B$23+((C477=TRUE)*(F477-Calc!F24)))/100)/2</f>
        <v/>
      </c>
      <c r="M462">
        <f>L462*(1+(Inputs!$B$10+0+B487)/100)</f>
        <v/>
      </c>
      <c r="N462">
        <f>L462*(1-MIN(((Inputs!$B$9+1)+((C479=TRUE)*(F479-Calc!F26))+B482),100)/100)+M462*(MIN(((Inputs!$B$9+1)+((C479=TRUE)*(F479-Calc!F26))+B482),100)/100)</f>
        <v/>
      </c>
      <c r="O462">
        <f>(1-Summary!$B$55)*T462+Summary!$B$55*V462</f>
        <v/>
      </c>
      <c r="P462">
        <f>IF(B492=0,0,O462/B492)</f>
        <v/>
      </c>
      <c r="Q462">
        <f>IFERROR(1/IF(Inputs!$B$38="pvp",15,MAX(0.1,Skills!D9-IF(Skills!E9=TRUE,Inputs!$B$32,0))),0)</f>
        <v/>
      </c>
      <c r="R462">
        <f>IF(AND(Inputs!$B$38&lt;&gt;"pvp",Inputs!$B$43&gt;0),IF(MAX(0,Inputs!$B$43-B489)&lt;=0,0,(INT(MAX(0,Inputs!$B$43-B489)/IF(Inputs!$B$38="pvp",15,MAX(0.1,Skills!D9-IF(Skills!E9=TRUE,Inputs!$B$32,0))))+1)),0)</f>
        <v/>
      </c>
      <c r="S462">
        <f>IFERROR(O462/N462,0)</f>
        <v/>
      </c>
      <c r="T462">
        <f>IF(C462,(H462*N462*IF(AND(Inputs!$B$38&lt;&gt;"pvp",Inputs!$B$43&gt;0),((Skills!G9*((R462-1)*IF(Skills!H9&gt;0,Skills!I9/Skills!H9,1)+IF(Skills!H9&gt;0,MIN(Skills!I9,MAX(0,MAX(0,Inputs!$B$43-B489)-((R462-1)*IF(Inputs!$B$38="pvp",15,MAX(0.1,Skills!D9-IF(Skills!E9=TRUE,Inputs!$B$32,0))))))/Skills!H9,1)))/Inputs!$B$43),G462*Q462))*IF(Inputs!$B$38="pvp",1,1+(Inputs!$B$20+0+Skills!P9+Summary!$B$59)/100),0)</f>
        <v/>
      </c>
      <c r="V462">
        <f>IF(C462,(H462*N462*IF(AND(Inputs!$B$38&lt;&gt;"pvp",Inputs!$B$43&gt;0),((Skills!G9*((R462-1)*IF(Skills!H9&gt;0,Skills!I9/Skills!H9,1)+IF(Skills!H9&gt;0,MIN(Skills!I9,MAX(0,MAX(0,Inputs!$B$43-B489)-((R462-1)*IF(Inputs!$B$38="pvp",15,MAX(0.1,Skills!D9-IF(Skills!E9=TRUE,Inputs!$B$32,0))))))/Skills!H9,1)))/Inputs!$B$43),G462*Q462))*IF(Inputs!$B$38="pvp",1,(1+(Inputs!$B$21+Skills!Q9+Summary!$B$59)/100)*(MIN(Skills!R9,Inputs!$B$37))),0)</f>
        <v/>
      </c>
    </row>
    <row r="463">
      <c r="A463">
        <f>Skills!A10</f>
        <v/>
      </c>
      <c r="B463">
        <f>Skills!B10</f>
        <v/>
      </c>
      <c r="C463">
        <f>Inputs!$B$3&gt;=63</f>
        <v/>
      </c>
      <c r="D463">
        <f>IF(Skills!C10=1,60+Inputs!$B$25+Inputs!$B$29,IF(Skills!C10=2,90+Inputs!$B$26+Inputs!$B$29,IF(Skills!C10=3,120+Inputs!$B$27+Inputs!$B$29,MAX(0,(Inputs!$B$3-100)*3)+Inputs!$B$28+Inputs!$B$29)))</f>
        <v/>
      </c>
      <c r="E463">
        <f>INDEX(FactorTable!$B$2:$Y$301, MATCH(ROUND(MIN(300,MAX(1,D463)),0), FactorTable!$A$2:$A$301,0), Skills!M10+1)</f>
        <v/>
      </c>
      <c r="F463">
        <f>IF(Skills!N10=TRUE,(Skills!L10/10)*(E463/1000),Skills!L10/10)+Skills!O10</f>
        <v/>
      </c>
      <c r="G463">
        <f>Skills!G10*IF(Skills!H10&gt;0,Skills!I10/Skills!H10,1)</f>
        <v/>
      </c>
      <c r="H463">
        <f>1-(1-Skills!J10/100)^Skills!K10</f>
        <v/>
      </c>
      <c r="I463" t="inlineStr">
        <is>
          <t>1</t>
        </is>
      </c>
      <c r="J463">
        <f>((Inputs!$B$6*(1+Inputs!$B$7/100))+(((Inputs!$B$12*(1+Inputs!$B$13/100))-(Inputs!$B$12*(1+Inputs!$B$13/100)))+0.25*(Inputs!$B$14-Inputs!$B$14))*(1+Inputs!$B$7/100))*(F463/100)</f>
        <v/>
      </c>
      <c r="K463">
        <f>J463*(1+((Inputs!$B$12*(1+Inputs!$B$13/100))*0.01+Inputs!$B$14*0.0025)/100)*(1+Inputs!$B$15/100)*(1+Inputs!$B$16/100)*(5000/(6000+Inputs!$B$42*(1-(Inputs!$B$19+0)/100)))*(1+(Inputs!$B$24+((C478=TRUE)*(F478-Calc!F25))+B488)/100)*(1+1.5*IF(C465=TRUE,F465,0)/100)*(1+IF(Skills!A10="ENHANCED_RAGING_BLOW",IF(Inputs!$B$3&gt;=134,MAX(0,IF(Inputs!$B$3&gt;=110,7,5)-5)*50,0),0)/100)*(1+(IF(Skills!A10="RAGING_BLOW",Inputs!$B$17+((C474=TRUE)*(F474-Calc!F21)),Inputs!$B$18+((C476=TRUE)*(F476-Calc!F23))))/100)*((1+(((C466=TRUE)*F466*IF(Inputs!$B$3&gt;=110,7,5))+((C468=TRUE)*F468*IF(AND(Inputs!$B$38&lt;&gt;"pvp",Inputs!$B$43&gt;0),(((R468-1)*(Skills!T15*(1+Inputs!$B$34/100))+MIN((Skills!T15*(1+Inputs!$B$34/100)),MAX(0,Inputs!$B$43-((R468-1)*Skills!D15))))/Inputs!$B$43),IF(Inputs!$B$38="pvp",MIN((Skills!T15*(1+Inputs!$B$34/100)),15)/15,(Skills!T15*(1+Inputs!$B$34/100))/Skills!D15)))+0)/100)*I463)</f>
        <v/>
      </c>
      <c r="L463">
        <f>K463*(MIN(Inputs!$B$22+((C475=TRUE)*(F475-Calc!F22)),Inputs!$B$23+((C477=TRUE)*(F477-Calc!F24)))/100+(Inputs!$B$23+((C477=TRUE)*(F477-Calc!F24)))/100)/2</f>
        <v/>
      </c>
      <c r="M463">
        <f>L463*(1+(Inputs!$B$10+0+B487)/100)</f>
        <v/>
      </c>
      <c r="N463">
        <f>L463*(1-MIN(((Inputs!$B$9+1)+((C479=TRUE)*(F479-Calc!F26))+B482),100)/100)+M463*(MIN(((Inputs!$B$9+1)+((C479=TRUE)*(F479-Calc!F26))+B482),100)/100)</f>
        <v/>
      </c>
      <c r="O463">
        <f>(1-Summary!$B$55)*T463+Summary!$B$55*V463</f>
        <v/>
      </c>
      <c r="P463">
        <f>IF(B492=0,0,O463/B492)</f>
        <v/>
      </c>
      <c r="Q463">
        <f>IFERROR(1/IF(Inputs!$B$38="pvp",15,MAX(0.1,Skills!D10-IF(Skills!E10=TRUE,Inputs!$B$32,0))),0)</f>
        <v/>
      </c>
      <c r="R463">
        <f>IF(AND(Inputs!$B$38&lt;&gt;"pvp",Inputs!$B$43&gt;0),IF(MAX(0,Inputs!$B$43-B489)&lt;=0,0,(INT(MAX(0,Inputs!$B$43-B489)/IF(Inputs!$B$38="pvp",15,MAX(0.1,Skills!D10-IF(Skills!E10=TRUE,Inputs!$B$32,0))))+1)),0)</f>
        <v/>
      </c>
      <c r="S463">
        <f>IFERROR(O463/N463,0)</f>
        <v/>
      </c>
      <c r="T463">
        <f>IF(C463,(H463*N463*IF(AND(Inputs!$B$38&lt;&gt;"pvp",Inputs!$B$43&gt;0),((Skills!G10*((R463-1)*IF(Skills!H10&gt;0,Skills!I10/Skills!H10,1)+IF(Skills!H10&gt;0,MIN(Skills!I10,MAX(0,MAX(0,Inputs!$B$43-B489)-((R463-1)*IF(Inputs!$B$38="pvp",15,MAX(0.1,Skills!D10-IF(Skills!E10=TRUE,Inputs!$B$32,0))))))/Skills!H10,1)))/Inputs!$B$43),G463*Q463))*IF(Inputs!$B$38="pvp",1,1+(Inputs!$B$20+0+Skills!P10+Summary!$B$59)/100),0)</f>
        <v/>
      </c>
      <c r="V463">
        <f>IF(C463,(H463*N463*IF(AND(Inputs!$B$38&lt;&gt;"pvp",Inputs!$B$43&gt;0),((Skills!G10*((R463-1)*IF(Skills!H10&gt;0,Skills!I10/Skills!H10,1)+IF(Skills!H10&gt;0,MIN(Skills!I10,MAX(0,MAX(0,Inputs!$B$43-B489)-((R463-1)*IF(Inputs!$B$38="pvp",15,MAX(0.1,Skills!D10-IF(Skills!E10=TRUE,Inputs!$B$32,0))))))/Skills!H10,1)))/Inputs!$B$43),G463*Q463))*IF(Inputs!$B$38="pvp",1,(1+(Inputs!$B$21+Skills!Q10+Summary!$B$59)/100)*(MIN(Skills!R10,Inputs!$B$37))),0)</f>
        <v/>
      </c>
    </row>
    <row r="464">
      <c r="A464">
        <f>Skills!A11</f>
        <v/>
      </c>
      <c r="B464">
        <f>Skills!B11</f>
        <v/>
      </c>
      <c r="C464">
        <f>Inputs!$B$3&gt;=35</f>
        <v/>
      </c>
      <c r="D464">
        <f>IF(Skills!C11=1,60+Inputs!$B$25+Inputs!$B$29,IF(Skills!C11=2,90+Inputs!$B$26+Inputs!$B$29,IF(Skills!C11=3,120+Inputs!$B$27+Inputs!$B$29,MAX(0,(Inputs!$B$3-100)*3)+Inputs!$B$28+Inputs!$B$29)))</f>
        <v/>
      </c>
      <c r="E464">
        <f>INDEX(FactorTable!$B$2:$Y$301, MATCH(ROUND(MIN(300,MAX(1,D464)),0), FactorTable!$A$2:$A$301,0), Skills!M11+1)</f>
        <v/>
      </c>
      <c r="F464">
        <f>IF(Skills!N11=TRUE,(Skills!L11/10)*(E464/1000),Skills!L11/10)+Skills!O11</f>
        <v/>
      </c>
      <c r="G464">
        <f>Skills!G11*IF(Skills!H11&gt;0,Skills!I11/Skills!H11,1)</f>
        <v/>
      </c>
      <c r="H464">
        <f>1-(1-Skills!J11/100)^Skills!K11</f>
        <v/>
      </c>
      <c r="I464" t="inlineStr">
        <is>
          <t>1</t>
        </is>
      </c>
      <c r="J464">
        <f>((Inputs!$B$6*(1+Inputs!$B$7/100))+(((Inputs!$B$12*(1+Inputs!$B$13/100))-(Inputs!$B$12*(1+Inputs!$B$13/100)))+0.25*(Inputs!$B$14-Inputs!$B$14))*(1+Inputs!$B$7/100))*(F464/100)</f>
        <v/>
      </c>
      <c r="K464">
        <f>J464*(1+((Inputs!$B$12*(1+Inputs!$B$13/100))*0.01+Inputs!$B$14*0.0025)/100)*(1+Inputs!$B$15/100)*(1+Inputs!$B$16/100)*(5000/(6000+Inputs!$B$42*(1-(Inputs!$B$19+0)/100)))*(1+(Inputs!$B$24+((C478=TRUE)*(F478-Calc!F25))+B488)/100)*(1+4.0*IF(C465=TRUE,F465,0)/100)*(1+IF(Skills!A11="ENHANCED_RAGING_BLOW",IF(Inputs!$B$3&gt;=134,MAX(0,IF(Inputs!$B$3&gt;=110,7,5)-5)*50,0),0)/100)*(1+(IF(Skills!A11="RAGING_BLOW",Inputs!$B$17+((C474=TRUE)*(F474-Calc!F21)),Inputs!$B$18+((C476=TRUE)*(F476-Calc!F23))))/100)*((1+(((C466=TRUE)*F466*IF(Inputs!$B$3&gt;=110,7,5))+((C468=TRUE)*F468*IF(AND(Inputs!$B$38&lt;&gt;"pvp",Inputs!$B$43&gt;0),(((R468-1)*(Skills!T15*(1+Inputs!$B$34/100))+MIN((Skills!T15*(1+Inputs!$B$34/100)),MAX(0,Inputs!$B$43-((R468-1)*Skills!D15))))/Inputs!$B$43),IF(Inputs!$B$38="pvp",MIN((Skills!T15*(1+Inputs!$B$34/100)),15)/15,(Skills!T15*(1+Inputs!$B$34/100))/Skills!D15)))+0)/100)*I464)</f>
        <v/>
      </c>
      <c r="L464">
        <f>K464*(MIN(Inputs!$B$22+((C475=TRUE)*(F475-Calc!F22)),Inputs!$B$23+((C477=TRUE)*(F477-Calc!F24)))/100+(Inputs!$B$23+((C477=TRUE)*(F477-Calc!F24)))/100)/2</f>
        <v/>
      </c>
      <c r="M464">
        <f>L464*(1+(Inputs!$B$10+0+B487)/100)</f>
        <v/>
      </c>
      <c r="N464">
        <f>L464*(1-MIN(((Inputs!$B$9+1)+((C479=TRUE)*(F479-Calc!F26))+B482),100)/100)+M464*(MIN(((Inputs!$B$9+1)+((C479=TRUE)*(F479-Calc!F26))+B482),100)/100)</f>
        <v/>
      </c>
      <c r="O464">
        <f>(1-Summary!$B$55)*T464+Summary!$B$55*V464</f>
        <v/>
      </c>
      <c r="P464">
        <f>IF(B492=0,0,O464/B492)</f>
        <v/>
      </c>
      <c r="Q464">
        <f>IFERROR(1/IF(Inputs!$B$38="pvp",15,MAX(0.1,Skills!D11-IF(Skills!E11=TRUE,Inputs!$B$32,0))),0)</f>
        <v/>
      </c>
      <c r="R464">
        <f>IF(AND(Inputs!$B$38&lt;&gt;"pvp",Inputs!$B$43&gt;0),IF(MAX(0,Inputs!$B$43-B489)&lt;=0,0,(INT(MAX(0,Inputs!$B$43-B489)/IF(Inputs!$B$38="pvp",15,MAX(0.1,Skills!D11-IF(Skills!E11=TRUE,Inputs!$B$32,0))))+1)),0)</f>
        <v/>
      </c>
      <c r="S464">
        <f>IFERROR(O464/N464,0)</f>
        <v/>
      </c>
      <c r="T464">
        <f>IF(C464,(H464*N464*IF(AND(Inputs!$B$38&lt;&gt;"pvp",Inputs!$B$43&gt;0),((Skills!G11*((R464-1)*IF(Skills!H11&gt;0,Skills!I11/Skills!H11,1)+IF(Skills!H11&gt;0,MIN(Skills!I11,MAX(0,MAX(0,Inputs!$B$43-B489)-((R464-1)*IF(Inputs!$B$38="pvp",15,MAX(0.1,Skills!D11-IF(Skills!E11=TRUE,Inputs!$B$32,0))))))/Skills!H11,1)))/Inputs!$B$43),G464*Q464))*IF(Inputs!$B$38="pvp",1,1+(Inputs!$B$20+0+Skills!P11+Summary!$B$59)/100),0)</f>
        <v/>
      </c>
      <c r="V464">
        <f>IF(C464,(H464*N464*IF(AND(Inputs!$B$38&lt;&gt;"pvp",Inputs!$B$43&gt;0),((Skills!G11*((R464-1)*IF(Skills!H11&gt;0,Skills!I11/Skills!H11,1)+IF(Skills!H11&gt;0,MIN(Skills!I11,MAX(0,MAX(0,Inputs!$B$43-B489)-((R464-1)*IF(Inputs!$B$38="pvp",15,MAX(0.1,Skills!D11-IF(Skills!E11=TRUE,Inputs!$B$32,0))))))/Skills!H11,1)))/Inputs!$B$43),G464*Q464))*IF(Inputs!$B$38="pvp",1,(1+(Inputs!$B$21+Skills!Q11+Summary!$B$59)/100)*(MIN(Skills!R11,Inputs!$B$37))),0)</f>
        <v/>
      </c>
    </row>
    <row r="465">
      <c r="A465">
        <f>Skills!A12</f>
        <v/>
      </c>
      <c r="B465">
        <f>Skills!B12</f>
        <v/>
      </c>
      <c r="C465">
        <f>Inputs!$B$3&gt;=100</f>
        <v/>
      </c>
      <c r="D465">
        <f>IF(Skills!C12=1,60+Inputs!$B$25+Inputs!$B$29,IF(Skills!C12=2,90+Inputs!$B$26+Inputs!$B$29,IF(Skills!C12=3,120+Inputs!$B$27+Inputs!$B$29,MAX(0,(Inputs!$B$3-100)*3)+Inputs!$B$28+Inputs!$B$29)))</f>
        <v/>
      </c>
      <c r="E465">
        <f>INDEX(FactorTable!$B$2:$Y$301, MATCH(ROUND(MIN(300,MAX(1,D465)),0), FactorTable!$A$2:$A$301,0), Skills!M12+1)</f>
        <v/>
      </c>
      <c r="F465">
        <f>IF(Skills!N12=TRUE,(Skills!L12/10)*(E465/1000),Skills!L12/10)+Skills!O12</f>
        <v/>
      </c>
      <c r="G465" t="inlineStr"/>
      <c r="H465" t="inlineStr"/>
      <c r="I465" t="inlineStr">
        <is>
          <t>1</t>
        </is>
      </c>
      <c r="J465" t="inlineStr"/>
      <c r="K465" t="inlineStr"/>
      <c r="L465" t="inlineStr"/>
      <c r="M465" t="inlineStr"/>
      <c r="N465" t="inlineStr"/>
      <c r="O465" t="inlineStr"/>
      <c r="P465" t="inlineStr"/>
      <c r="Q465" t="inlineStr"/>
      <c r="R465" t="inlineStr"/>
      <c r="S465" t="inlineStr"/>
    </row>
    <row r="466">
      <c r="A466">
        <f>Skills!A13</f>
        <v/>
      </c>
      <c r="B466">
        <f>Skills!B13</f>
        <v/>
      </c>
      <c r="C466">
        <f>Inputs!$B$3&gt;=45</f>
        <v/>
      </c>
      <c r="D466">
        <f>IF(Skills!C13=1,60+Inputs!$B$25+Inputs!$B$29,IF(Skills!C13=2,90+Inputs!$B$26+Inputs!$B$29,IF(Skills!C13=3,120+Inputs!$B$27+Inputs!$B$29,MAX(0,(Inputs!$B$3-100)*3)+Inputs!$B$28+Inputs!$B$29)))</f>
        <v/>
      </c>
      <c r="E466">
        <f>INDEX(FactorTable!$B$2:$Y$301, MATCH(ROUND(MIN(300,MAX(1,D466)),0), FactorTable!$A$2:$A$301,0), Skills!M13+1)</f>
        <v/>
      </c>
      <c r="F466">
        <f>IF(Skills!N13=TRUE,(Skills!L13/10)*(E466/1000),Skills!L13/10)+Skills!O13</f>
        <v/>
      </c>
      <c r="G466">
        <f>Skills!G13*IF(Skills!H13&gt;0,Skills!I13/Skills!H13,1)</f>
        <v/>
      </c>
      <c r="H466">
        <f>1-(1-Skills!J13/100)^Skills!K13</f>
        <v/>
      </c>
      <c r="I466" t="inlineStr">
        <is>
          <t>1</t>
        </is>
      </c>
      <c r="J466" t="inlineStr"/>
      <c r="K466" t="inlineStr"/>
      <c r="L466" t="inlineStr"/>
      <c r="M466" t="inlineStr"/>
      <c r="N466" t="inlineStr"/>
      <c r="O466">
        <f>(1-Summary!$B$55)*T466+Summary!$B$55*V466</f>
        <v/>
      </c>
      <c r="P466">
        <f>IF(B492=0,0,O466/B492)</f>
        <v/>
      </c>
      <c r="Q466" t="n">
        <v>0</v>
      </c>
      <c r="R466" t="n">
        <v>0</v>
      </c>
      <c r="S466">
        <f>IFERROR(O466/N466,0)</f>
        <v/>
      </c>
      <c r="T466" t="n">
        <v>0</v>
      </c>
      <c r="V466" t="n">
        <v>0</v>
      </c>
    </row>
    <row r="467">
      <c r="A467">
        <f>Skills!A14</f>
        <v/>
      </c>
      <c r="B467">
        <f>Skills!B14</f>
        <v/>
      </c>
      <c r="C467">
        <f>Inputs!$B$3&gt;=75</f>
        <v/>
      </c>
      <c r="D467">
        <f>IF(Skills!C14=1,60+Inputs!$B$25+Inputs!$B$29,IF(Skills!C14=2,90+Inputs!$B$26+Inputs!$B$29,IF(Skills!C14=3,120+Inputs!$B$27+Inputs!$B$29,MAX(0,(Inputs!$B$3-100)*3)+Inputs!$B$28+Inputs!$B$29)))</f>
        <v/>
      </c>
      <c r="E467">
        <f>INDEX(FactorTable!$B$2:$Y$301, MATCH(ROUND(MIN(300,MAX(1,D467)),0), FactorTable!$A$2:$A$301,0), Skills!M14+1)</f>
        <v/>
      </c>
      <c r="F467">
        <f>IF(Skills!N14=TRUE,(Skills!L14/10)*(E467/1000),Skills!L14/10)+Skills!O14</f>
        <v/>
      </c>
      <c r="G467">
        <f>Skills!G14*IF(Skills!H14&gt;0,Skills!I14/Skills!H14,1)</f>
        <v/>
      </c>
      <c r="H467">
        <f>1-(1-Skills!J14/100)^Skills!K14</f>
        <v/>
      </c>
      <c r="I467" t="inlineStr">
        <is>
          <t>1</t>
        </is>
      </c>
      <c r="J467" t="inlineStr"/>
      <c r="K467" t="inlineStr"/>
      <c r="L467" t="inlineStr"/>
      <c r="M467" t="inlineStr"/>
      <c r="N467" t="inlineStr"/>
      <c r="O467">
        <f>(1-Summary!$B$55)*T467+Summary!$B$55*V467</f>
        <v/>
      </c>
      <c r="P467">
        <f>IF(B492=0,0,O467/B492)</f>
        <v/>
      </c>
      <c r="Q467" t="n">
        <v>0</v>
      </c>
      <c r="R467" t="n">
        <v>0</v>
      </c>
      <c r="S467">
        <f>IFERROR(O467/N467,0)</f>
        <v/>
      </c>
      <c r="T467" t="n">
        <v>0</v>
      </c>
      <c r="V467" t="n">
        <v>0</v>
      </c>
    </row>
    <row r="468">
      <c r="A468">
        <f>Skills!A15</f>
        <v/>
      </c>
      <c r="B468">
        <f>Skills!B15</f>
        <v/>
      </c>
      <c r="C468">
        <f>Inputs!$B$3&gt;=40</f>
        <v/>
      </c>
      <c r="D468">
        <f>IF(Skills!C15=1,60+Inputs!$B$25+Inputs!$B$29,IF(Skills!C15=2,90+Inputs!$B$26+Inputs!$B$29,IF(Skills!C15=3,120+Inputs!$B$27+Inputs!$B$29,MAX(0,(Inputs!$B$3-100)*3)+Inputs!$B$28+Inputs!$B$29)))</f>
        <v/>
      </c>
      <c r="E468">
        <f>INDEX(FactorTable!$B$2:$Y$301, MATCH(ROUND(MIN(300,MAX(1,D468)),0), FactorTable!$A$2:$A$301,0), Skills!M15+1)</f>
        <v/>
      </c>
      <c r="F468">
        <f>IF(Skills!N15=TRUE,(Skills!L15/10)*(E468/1000),Skills!L15/10)+Skills!O15</f>
        <v/>
      </c>
      <c r="G468">
        <f>Skills!G15*IF(Skills!H15&gt;0,Skills!I15/Skills!H15,1)</f>
        <v/>
      </c>
      <c r="H468">
        <f>1-(1-Skills!J15/100)^Skills!K15</f>
        <v/>
      </c>
      <c r="I468" t="inlineStr">
        <is>
          <t>1</t>
        </is>
      </c>
      <c r="J468" t="inlineStr"/>
      <c r="K468" t="inlineStr"/>
      <c r="L468" t="inlineStr"/>
      <c r="M468" t="inlineStr"/>
      <c r="N468" t="inlineStr"/>
      <c r="O468">
        <f>(1-Summary!$B$55)*T468+Summary!$B$55*V468</f>
        <v/>
      </c>
      <c r="P468">
        <f>IF(B492=0,0,O468/B492)</f>
        <v/>
      </c>
      <c r="Q468">
        <f>IFERROR(1/IF(Inputs!$B$38="pvp",15,MAX(0.1,Skills!D15-IF(Skills!E15=TRUE,Inputs!$B$32,0))),0)</f>
        <v/>
      </c>
      <c r="R468">
        <f>IF(AND(Inputs!$B$38&lt;&gt;"pvp",Inputs!$B$43&gt;0),IF(Inputs!$B$43&lt;=0,0,(INT(Inputs!$B$43/IF(Inputs!$B$38="pvp",15,MAX(0.1,Skills!D15-IF(Skills!E15=TRUE,Inputs!$B$32,0))))+1)),0)</f>
        <v/>
      </c>
      <c r="S468">
        <f>IFERROR(O468/N468,0)</f>
        <v/>
      </c>
      <c r="T468" t="n">
        <v>0</v>
      </c>
      <c r="V468" t="n">
        <v>0</v>
      </c>
    </row>
    <row r="469">
      <c r="A469">
        <f>Skills!A16</f>
        <v/>
      </c>
      <c r="B469">
        <f>Skills!B16</f>
        <v/>
      </c>
      <c r="C469">
        <f>Inputs!$B$3&gt;=66</f>
        <v/>
      </c>
      <c r="D469">
        <f>IF(Skills!C16=1,60+Inputs!$B$25+Inputs!$B$29,IF(Skills!C16=2,90+Inputs!$B$26+Inputs!$B$29,IF(Skills!C16=3,120+Inputs!$B$27+Inputs!$B$29,MAX(0,(Inputs!$B$3-100)*3)+Inputs!$B$28+Inputs!$B$29)))</f>
        <v/>
      </c>
      <c r="E469">
        <f>INDEX(FactorTable!$B$2:$Y$301, MATCH(ROUND(MIN(300,MAX(1,D469)),0), FactorTable!$A$2:$A$301,0), Skills!M16+1)</f>
        <v/>
      </c>
      <c r="F469">
        <f>IF(Skills!N16=TRUE,(Skills!L16/10)*(E469/1000),Skills!L16/10)+Skills!O16</f>
        <v/>
      </c>
      <c r="G469">
        <f>Skills!G16*IF(Skills!H16&gt;0,Skills!I16/Skills!H16,1)</f>
        <v/>
      </c>
      <c r="H469">
        <f>1-(1-Skills!J16/100)^Skills!K16</f>
        <v/>
      </c>
      <c r="I469" t="inlineStr">
        <is>
          <t>1</t>
        </is>
      </c>
      <c r="J469" t="inlineStr"/>
      <c r="K469" t="inlineStr"/>
      <c r="L469" t="inlineStr"/>
      <c r="M469" t="inlineStr"/>
      <c r="N469" t="inlineStr"/>
      <c r="O469">
        <f>(1-Summary!$B$55)*T469+Summary!$B$55*V469</f>
        <v/>
      </c>
      <c r="P469">
        <f>IF(B492=0,0,O469/B492)</f>
        <v/>
      </c>
      <c r="Q469">
        <f>IFERROR(1/IF(Inputs!$B$38="pvp",15,MAX(0.1,Skills!D16-IF(Skills!E16=TRUE,Inputs!$B$32,0))),0)</f>
        <v/>
      </c>
      <c r="R469">
        <f>IF(AND(Inputs!$B$38&lt;&gt;"pvp",Inputs!$B$43&gt;0),IF(Inputs!$B$43&lt;=0,0,(INT(Inputs!$B$43/IF(Inputs!$B$38="pvp",15,MAX(0.1,Skills!D16-IF(Skills!E16=TRUE,Inputs!$B$32,0))))+1)),0)</f>
        <v/>
      </c>
      <c r="S469">
        <f>IFERROR(O469/N469,0)</f>
        <v/>
      </c>
      <c r="T469" t="n">
        <v>0</v>
      </c>
      <c r="V469" t="n">
        <v>0</v>
      </c>
    </row>
    <row r="470">
      <c r="A470">
        <f>Skills!A17</f>
        <v/>
      </c>
      <c r="B470">
        <f>Skills!B17</f>
        <v/>
      </c>
      <c r="C470">
        <f>Inputs!$B$3&gt;=115</f>
        <v/>
      </c>
      <c r="D470">
        <f>IF(Skills!C17=1,60+Inputs!$B$25+Inputs!$B$29,IF(Skills!C17=2,90+Inputs!$B$26+Inputs!$B$29,IF(Skills!C17=3,120+Inputs!$B$27+Inputs!$B$29,MAX(0,(Inputs!$B$3-100)*3)+Inputs!$B$28+Inputs!$B$29)))</f>
        <v/>
      </c>
      <c r="E470">
        <f>INDEX(FactorTable!$B$2:$Y$301, MATCH(ROUND(MIN(300,MAX(1,D470)),0), FactorTable!$A$2:$A$301,0), Skills!M17+1)</f>
        <v/>
      </c>
      <c r="F470">
        <f>IF(Skills!N17=TRUE,(Skills!L17/10)*(E470/1000),Skills!L17/10)+Skills!O17</f>
        <v/>
      </c>
      <c r="G470">
        <f>Skills!G17*IF(Skills!H17&gt;0,Skills!I17/Skills!H17,1)</f>
        <v/>
      </c>
      <c r="H470">
        <f>1-(1-Skills!J17/100)^Skills!K17</f>
        <v/>
      </c>
      <c r="I470" t="inlineStr">
        <is>
          <t>1</t>
        </is>
      </c>
      <c r="J470" t="inlineStr"/>
      <c r="K470" t="inlineStr"/>
      <c r="L470" t="inlineStr"/>
      <c r="M470" t="inlineStr"/>
      <c r="N470" t="inlineStr"/>
      <c r="O470">
        <f>(1-Summary!$B$55)*T470+Summary!$B$55*V470</f>
        <v/>
      </c>
      <c r="P470">
        <f>IF(B492=0,0,O470/B492)</f>
        <v/>
      </c>
      <c r="Q470">
        <f>IFERROR(1/IF(Inputs!$B$38="pvp",15,MAX(0.1,Skills!D17-IF(Skills!E17=TRUE,Inputs!$B$32,0))),0)</f>
        <v/>
      </c>
      <c r="R470">
        <f>IF(AND(Inputs!$B$38&lt;&gt;"pvp",Inputs!$B$43&gt;0),IF(Inputs!$B$43&lt;=0,0,(INT(Inputs!$B$43/IF(Inputs!$B$38="pvp",15,MAX(0.1,Skills!D17-IF(Skills!E17=TRUE,Inputs!$B$32,0))))+1)),0)</f>
        <v/>
      </c>
      <c r="S470">
        <f>IFERROR(O470/N470,0)</f>
        <v/>
      </c>
      <c r="T470" t="n">
        <v>0</v>
      </c>
      <c r="V470" t="n">
        <v>0</v>
      </c>
    </row>
    <row r="471">
      <c r="A471">
        <f>Skills!A18</f>
        <v/>
      </c>
      <c r="B471">
        <f>Skills!B18</f>
        <v/>
      </c>
      <c r="C471">
        <f>Inputs!$B$3&gt;=115</f>
        <v/>
      </c>
      <c r="D471">
        <f>IF(Skills!C18=1,60+Inputs!$B$25+Inputs!$B$29,IF(Skills!C18=2,90+Inputs!$B$26+Inputs!$B$29,IF(Skills!C18=3,120+Inputs!$B$27+Inputs!$B$29,MAX(0,(Inputs!$B$3-100)*3)+Inputs!$B$28+Inputs!$B$29)))</f>
        <v/>
      </c>
      <c r="E471">
        <f>INDEX(FactorTable!$B$2:$Y$301, MATCH(ROUND(MIN(300,MAX(1,D471)),0), FactorTable!$A$2:$A$301,0), Skills!M18+1)</f>
        <v/>
      </c>
      <c r="F471">
        <f>IF(Skills!N18=TRUE,(Skills!L18/10)*(E471/1000),Skills!L18/10)+Skills!O18</f>
        <v/>
      </c>
      <c r="G471">
        <f>Skills!G18*IF(Skills!H18&gt;0,Skills!I18/Skills!H18,1)</f>
        <v/>
      </c>
      <c r="H471">
        <f>1-(1-Skills!J18/100)^Skills!K18</f>
        <v/>
      </c>
      <c r="I471" t="inlineStr">
        <is>
          <t>1</t>
        </is>
      </c>
      <c r="J471" t="inlineStr"/>
      <c r="K471" t="inlineStr"/>
      <c r="L471" t="inlineStr"/>
      <c r="M471" t="inlineStr"/>
      <c r="N471" t="inlineStr"/>
      <c r="O471">
        <f>(1-Summary!$B$55)*T471+Summary!$B$55*V471</f>
        <v/>
      </c>
      <c r="P471">
        <f>IF(B492=0,0,O471/B492)</f>
        <v/>
      </c>
      <c r="Q471">
        <f>IFERROR(1/IF(Inputs!$B$38="pvp",15,MAX(0.1,Skills!D18-IF(Skills!E18=TRUE,Inputs!$B$32,0))),0)</f>
        <v/>
      </c>
      <c r="R471">
        <f>IF(AND(Inputs!$B$38&lt;&gt;"pvp",Inputs!$B$43&gt;0),IF(Inputs!$B$43&lt;=0,0,(INT(Inputs!$B$43/IF(Inputs!$B$38="pvp",15,MAX(0.1,Skills!D18-IF(Skills!E18=TRUE,Inputs!$B$32,0))))+1)),0)</f>
        <v/>
      </c>
      <c r="S471">
        <f>IFERROR(O471/N471,0)</f>
        <v/>
      </c>
      <c r="T471" t="n">
        <v>0</v>
      </c>
      <c r="V471" t="n">
        <v>0</v>
      </c>
    </row>
    <row r="472">
      <c r="A472">
        <f>Skills!A19</f>
        <v/>
      </c>
      <c r="B472">
        <f>Skills!B19</f>
        <v/>
      </c>
      <c r="C472">
        <f>TRUE</f>
        <v/>
      </c>
      <c r="D472">
        <f>IF(Skills!C19=1,60+Inputs!$B$25+Inputs!$B$29,IF(Skills!C19=2,90+Inputs!$B$26+Inputs!$B$29,IF(Skills!C19=3,120+Inputs!$B$27+Inputs!$B$29,MAX(0,(Inputs!$B$3-100)*3)+Inputs!$B$28+Inputs!$B$29)))</f>
        <v/>
      </c>
      <c r="E472">
        <f>INDEX(FactorTable!$B$2:$Y$301, MATCH(ROUND(MIN(300,MAX(1,D472)),0), FactorTable!$A$2:$A$301,0), Skills!M19+1)</f>
        <v/>
      </c>
      <c r="F472">
        <f>IF(Skills!N19=TRUE,(Skills!L19/10)*(E472/1000),Skills!L19/10)+Skills!O19</f>
        <v/>
      </c>
      <c r="G472">
        <f>Skills!G19*IF(Skills!H19&gt;0,Skills!I19/Skills!H19,1)</f>
        <v/>
      </c>
      <c r="H472">
        <f>1-(1-Skills!J19/100)^Skills!K19</f>
        <v/>
      </c>
      <c r="I472" t="inlineStr">
        <is>
          <t>1</t>
        </is>
      </c>
      <c r="J472" t="inlineStr"/>
      <c r="K472" t="inlineStr"/>
      <c r="L472" t="inlineStr"/>
      <c r="M472" t="inlineStr"/>
      <c r="N472" t="inlineStr"/>
      <c r="O472">
        <f>(1-Summary!$B$55)*T472+Summary!$B$55*V472</f>
        <v/>
      </c>
      <c r="P472">
        <f>IF(B492=0,0,O472/B492)</f>
        <v/>
      </c>
      <c r="Q472">
        <f>IFERROR(1/IF(Inputs!$B$38="pvp",15,MAX(0.1,Skills!D19-IF(Skills!E19=TRUE,Inputs!$B$32,0))),0)</f>
        <v/>
      </c>
      <c r="R472">
        <f>IF(AND(Inputs!$B$38&lt;&gt;"pvp",Inputs!$B$43&gt;0),IF(Inputs!$B$43&lt;=0,0,(INT(Inputs!$B$43/IF(Inputs!$B$38="pvp",15,MAX(0.1,Skills!D19-IF(Skills!E19=TRUE,Inputs!$B$32,0))))+1)),0)</f>
        <v/>
      </c>
      <c r="S472">
        <f>IFERROR(O472/N472,0)</f>
        <v/>
      </c>
      <c r="T472" t="n">
        <v>0</v>
      </c>
      <c r="V472" t="n">
        <v>0</v>
      </c>
    </row>
    <row r="473">
      <c r="A473">
        <f>Skills!A20</f>
        <v/>
      </c>
      <c r="B473">
        <f>Skills!B20</f>
        <v/>
      </c>
      <c r="C473">
        <f>Inputs!$B$3&gt;=33</f>
        <v/>
      </c>
      <c r="D473">
        <f>IF(Skills!C20=1,60+Inputs!$B$25+Inputs!$B$29,IF(Skills!C20=2,90+Inputs!$B$26+Inputs!$B$29,IF(Skills!C20=3,120+Inputs!$B$27+Inputs!$B$29,MAX(0,(Inputs!$B$3-100)*3)+Inputs!$B$28+Inputs!$B$29)))</f>
        <v/>
      </c>
      <c r="E473">
        <f>INDEX(FactorTable!$B$2:$Y$301, MATCH(ROUND(MIN(300,MAX(1,D473)),0), FactorTable!$A$2:$A$301,0), Skills!M20+1)</f>
        <v/>
      </c>
      <c r="F473">
        <f>IF(Skills!N20=TRUE,(Skills!L20/10)*(E473/1000),Skills!L20/10)+Skills!O20</f>
        <v/>
      </c>
      <c r="G473">
        <f>Skills!G20*IF(Skills!H20&gt;0,Skills!I20/Skills!H20,1)</f>
        <v/>
      </c>
      <c r="H473">
        <f>1-(1-Skills!J20/100)^Skills!K20</f>
        <v/>
      </c>
      <c r="I473" t="inlineStr">
        <is>
          <t>1</t>
        </is>
      </c>
      <c r="J473" t="inlineStr"/>
      <c r="K473" t="inlineStr"/>
      <c r="L473" t="inlineStr"/>
      <c r="M473" t="inlineStr"/>
      <c r="N473" t="inlineStr"/>
      <c r="O473">
        <f>(1-Summary!$B$55)*T473+Summary!$B$55*V473</f>
        <v/>
      </c>
      <c r="P473">
        <f>IF(B492=0,0,O473/B492)</f>
        <v/>
      </c>
      <c r="Q473" t="n">
        <v>0</v>
      </c>
      <c r="R473" t="n">
        <v>0</v>
      </c>
      <c r="S473">
        <f>IFERROR(O473/N473,0)</f>
        <v/>
      </c>
      <c r="T473" t="n">
        <v>0</v>
      </c>
      <c r="V473" t="n">
        <v>0</v>
      </c>
    </row>
    <row r="474">
      <c r="A474">
        <f>Skills!A21</f>
        <v/>
      </c>
      <c r="B474">
        <f>Skills!B21</f>
        <v/>
      </c>
      <c r="C474">
        <f>Inputs!$B$3&gt;=38</f>
        <v/>
      </c>
      <c r="D474">
        <f>IF(Skills!C21=1,60+Inputs!$B$25+Inputs!$B$29,IF(Skills!C21=2,90+Inputs!$B$26+Inputs!$B$29,IF(Skills!C21=3,120+Inputs!$B$27+Inputs!$B$29,MAX(0,(Inputs!$B$3-100)*3)+Inputs!$B$28+Inputs!$B$29)))</f>
        <v/>
      </c>
      <c r="E474">
        <f>INDEX(FactorTable!$B$2:$Y$301, MATCH(ROUND(MIN(300,MAX(1,D474)),0), FactorTable!$A$2:$A$301,0), Skills!M21+1)</f>
        <v/>
      </c>
      <c r="F474">
        <f>IF(Skills!N21=TRUE,(Skills!L21/10)*(E474/1000),Skills!L21/10)+Skills!O21</f>
        <v/>
      </c>
      <c r="G474">
        <f>Skills!G21*IF(Skills!H21&gt;0,Skills!I21/Skills!H21,1)</f>
        <v/>
      </c>
      <c r="H474">
        <f>1-(1-Skills!J21/100)^Skills!K21</f>
        <v/>
      </c>
      <c r="I474" t="inlineStr">
        <is>
          <t>1</t>
        </is>
      </c>
      <c r="J474" t="inlineStr"/>
      <c r="K474" t="inlineStr"/>
      <c r="L474" t="inlineStr"/>
      <c r="M474" t="inlineStr"/>
      <c r="N474" t="inlineStr"/>
      <c r="O474">
        <f>(1-Summary!$B$55)*T474+Summary!$B$55*V474</f>
        <v/>
      </c>
      <c r="P474">
        <f>IF(B492=0,0,O474/B492)</f>
        <v/>
      </c>
      <c r="Q474" t="n">
        <v>0</v>
      </c>
      <c r="R474" t="n">
        <v>0</v>
      </c>
      <c r="S474">
        <f>IFERROR(O474/N474,0)</f>
        <v/>
      </c>
      <c r="T474" t="n">
        <v>0</v>
      </c>
      <c r="V474" t="n">
        <v>0</v>
      </c>
    </row>
    <row r="475">
      <c r="A475">
        <f>Skills!A22</f>
        <v/>
      </c>
      <c r="B475">
        <f>Skills!B22</f>
        <v/>
      </c>
      <c r="C475">
        <f>Inputs!$B$3&gt;=43</f>
        <v/>
      </c>
      <c r="D475">
        <f>IF(Skills!C22=1,60+Inputs!$B$25+Inputs!$B$29,IF(Skills!C22=2,90+Inputs!$B$26+Inputs!$B$29,IF(Skills!C22=3,120+Inputs!$B$27+Inputs!$B$29,MAX(0,(Inputs!$B$3-100)*3)+Inputs!$B$28+Inputs!$B$29)))</f>
        <v/>
      </c>
      <c r="E475">
        <f>INDEX(FactorTable!$B$2:$Y$301, MATCH(ROUND(MIN(300,MAX(1,D475)),0), FactorTable!$A$2:$A$301,0), Skills!M22+1)</f>
        <v/>
      </c>
      <c r="F475">
        <f>IF(Skills!N22=TRUE,(Skills!L22/10)*(E475/1000),Skills!L22/10)+Skills!O22</f>
        <v/>
      </c>
      <c r="G475">
        <f>Skills!G22*IF(Skills!H22&gt;0,Skills!I22/Skills!H22,1)</f>
        <v/>
      </c>
      <c r="H475">
        <f>1-(1-Skills!J22/100)^Skills!K22</f>
        <v/>
      </c>
      <c r="I475" t="inlineStr">
        <is>
          <t>1</t>
        </is>
      </c>
      <c r="J475" t="inlineStr"/>
      <c r="K475" t="inlineStr"/>
      <c r="L475" t="inlineStr"/>
      <c r="M475" t="inlineStr"/>
      <c r="N475" t="inlineStr"/>
      <c r="O475">
        <f>(1-Summary!$B$55)*T475+Summary!$B$55*V475</f>
        <v/>
      </c>
      <c r="P475">
        <f>IF(B492=0,0,O475/B492)</f>
        <v/>
      </c>
      <c r="Q475" t="n">
        <v>0</v>
      </c>
      <c r="R475" t="n">
        <v>0</v>
      </c>
      <c r="S475">
        <f>IFERROR(O475/N475,0)</f>
        <v/>
      </c>
      <c r="T475" t="n">
        <v>0</v>
      </c>
      <c r="V475" t="n">
        <v>0</v>
      </c>
    </row>
    <row r="476">
      <c r="A476">
        <f>Skills!A23</f>
        <v/>
      </c>
      <c r="B476">
        <f>Skills!B23</f>
        <v/>
      </c>
      <c r="C476">
        <f>Inputs!$B$3&gt;=120</f>
        <v/>
      </c>
      <c r="D476">
        <f>IF(Skills!C23=1,60+Inputs!$B$25+Inputs!$B$29,IF(Skills!C23=2,90+Inputs!$B$26+Inputs!$B$29,IF(Skills!C23=3,120+Inputs!$B$27+Inputs!$B$29,MAX(0,(Inputs!$B$3-100)*3)+Inputs!$B$28+Inputs!$B$29)))</f>
        <v/>
      </c>
      <c r="E476">
        <f>INDEX(FactorTable!$B$2:$Y$301, MATCH(ROUND(MIN(300,MAX(1,D476)),0), FactorTable!$A$2:$A$301,0), Skills!M23+1)</f>
        <v/>
      </c>
      <c r="F476">
        <f>IF(Skills!N23=TRUE,(Skills!L23/10)*(E476/1000),Skills!L23/10)+Skills!O23</f>
        <v/>
      </c>
      <c r="G476">
        <f>Skills!G23*IF(Skills!H23&gt;0,Skills!I23/Skills!H23,1)</f>
        <v/>
      </c>
      <c r="H476">
        <f>1-(1-Skills!J23/100)^Skills!K23</f>
        <v/>
      </c>
      <c r="I476" t="inlineStr">
        <is>
          <t>1</t>
        </is>
      </c>
      <c r="J476" t="inlineStr"/>
      <c r="K476" t="inlineStr"/>
      <c r="L476" t="inlineStr"/>
      <c r="M476" t="inlineStr"/>
      <c r="N476" t="inlineStr"/>
      <c r="O476">
        <f>(1-Summary!$B$55)*T476+Summary!$B$55*V476</f>
        <v/>
      </c>
      <c r="P476">
        <f>IF(B492=0,0,O476/B492)</f>
        <v/>
      </c>
      <c r="Q476" t="n">
        <v>0</v>
      </c>
      <c r="R476" t="n">
        <v>0</v>
      </c>
      <c r="S476">
        <f>IFERROR(O476/N476,0)</f>
        <v/>
      </c>
      <c r="T476" t="n">
        <v>0</v>
      </c>
      <c r="V476" t="n">
        <v>0</v>
      </c>
    </row>
    <row r="477">
      <c r="A477">
        <f>Skills!A24</f>
        <v/>
      </c>
      <c r="B477">
        <f>Skills!B24</f>
        <v/>
      </c>
      <c r="C477">
        <f>Inputs!$B$3&gt;=120</f>
        <v/>
      </c>
      <c r="D477">
        <f>IF(Skills!C24=1,60+Inputs!$B$25+Inputs!$B$29,IF(Skills!C24=2,90+Inputs!$B$26+Inputs!$B$29,IF(Skills!C24=3,120+Inputs!$B$27+Inputs!$B$29,MAX(0,(Inputs!$B$3-100)*3)+Inputs!$B$28+Inputs!$B$29)))</f>
        <v/>
      </c>
      <c r="E477">
        <f>INDEX(FactorTable!$B$2:$Y$301, MATCH(ROUND(MIN(300,MAX(1,D477)),0), FactorTable!$A$2:$A$301,0), Skills!M24+1)</f>
        <v/>
      </c>
      <c r="F477">
        <f>IF(Skills!N24=TRUE,(Skills!L24/10)*(E477/1000),Skills!L24/10)+Skills!O24</f>
        <v/>
      </c>
      <c r="G477">
        <f>Skills!G24*IF(Skills!H24&gt;0,Skills!I24/Skills!H24,1)</f>
        <v/>
      </c>
      <c r="H477">
        <f>1-(1-Skills!J24/100)^Skills!K24</f>
        <v/>
      </c>
      <c r="I477" t="inlineStr">
        <is>
          <t>1</t>
        </is>
      </c>
      <c r="J477" t="inlineStr"/>
      <c r="K477" t="inlineStr"/>
      <c r="L477" t="inlineStr"/>
      <c r="M477" t="inlineStr"/>
      <c r="N477" t="inlineStr"/>
      <c r="O477">
        <f>(1-Summary!$B$55)*T477+Summary!$B$55*V477</f>
        <v/>
      </c>
      <c r="P477">
        <f>IF(B492=0,0,O477/B492)</f>
        <v/>
      </c>
      <c r="Q477" t="n">
        <v>0</v>
      </c>
      <c r="R477" t="n">
        <v>0</v>
      </c>
      <c r="S477">
        <f>IFERROR(O477/N477,0)</f>
        <v/>
      </c>
      <c r="T477" t="n">
        <v>0</v>
      </c>
      <c r="V477" t="n">
        <v>0</v>
      </c>
    </row>
    <row r="478">
      <c r="A478">
        <f>Skills!A25</f>
        <v/>
      </c>
      <c r="B478">
        <f>Skills!B25</f>
        <v/>
      </c>
      <c r="C478">
        <f>Inputs!$B$3&gt;=125</f>
        <v/>
      </c>
      <c r="D478">
        <f>IF(Skills!C25=1,60+Inputs!$B$25+Inputs!$B$29,IF(Skills!C25=2,90+Inputs!$B$26+Inputs!$B$29,IF(Skills!C25=3,120+Inputs!$B$27+Inputs!$B$29,MAX(0,(Inputs!$B$3-100)*3)+Inputs!$B$28+Inputs!$B$29)))</f>
        <v/>
      </c>
      <c r="E478">
        <f>INDEX(FactorTable!$B$2:$Y$301, MATCH(ROUND(MIN(300,MAX(1,D478)),0), FactorTable!$A$2:$A$301,0), Skills!M25+1)</f>
        <v/>
      </c>
      <c r="F478">
        <f>IF(Skills!N25=TRUE,(Skills!L25/10)*(E478/1000),Skills!L25/10)+Skills!O25</f>
        <v/>
      </c>
      <c r="G478">
        <f>Skills!G25*IF(Skills!H25&gt;0,Skills!I25/Skills!H25,1)</f>
        <v/>
      </c>
      <c r="H478">
        <f>1-(1-Skills!J25/100)^Skills!K25</f>
        <v/>
      </c>
      <c r="I478" t="inlineStr">
        <is>
          <t>1</t>
        </is>
      </c>
      <c r="J478" t="inlineStr"/>
      <c r="K478" t="inlineStr"/>
      <c r="L478" t="inlineStr"/>
      <c r="M478" t="inlineStr"/>
      <c r="N478" t="inlineStr"/>
      <c r="O478">
        <f>(1-Summary!$B$55)*T478+Summary!$B$55*V478</f>
        <v/>
      </c>
      <c r="P478">
        <f>IF(B492=0,0,O478/B492)</f>
        <v/>
      </c>
      <c r="Q478" t="n">
        <v>0</v>
      </c>
      <c r="R478" t="n">
        <v>0</v>
      </c>
      <c r="S478">
        <f>IFERROR(O478/N478,0)</f>
        <v/>
      </c>
      <c r="T478" t="n">
        <v>0</v>
      </c>
      <c r="V478" t="n">
        <v>0</v>
      </c>
    </row>
    <row r="479">
      <c r="A479">
        <f>Skills!A26</f>
        <v/>
      </c>
      <c r="B479">
        <f>Skills!B26</f>
        <v/>
      </c>
      <c r="C479">
        <f>Inputs!$B$3&gt;=72</f>
        <v/>
      </c>
      <c r="D479">
        <f>IF(Skills!C26=1,60+Inputs!$B$25+Inputs!$B$29,IF(Skills!C26=2,90+Inputs!$B$26+Inputs!$B$29,IF(Skills!C26=3,120+Inputs!$B$27+Inputs!$B$29,MAX(0,(Inputs!$B$3-100)*3)+Inputs!$B$28+Inputs!$B$29)))</f>
        <v/>
      </c>
      <c r="E479">
        <f>INDEX(FactorTable!$B$2:$Y$301, MATCH(ROUND(MIN(300,MAX(1,D479)),0), FactorTable!$A$2:$A$301,0), Skills!M26+1)</f>
        <v/>
      </c>
      <c r="F479">
        <f>IF(Skills!N26=TRUE,(Skills!L26/10)*(E479/1000),Skills!L26/10)+Skills!O26</f>
        <v/>
      </c>
      <c r="G479">
        <f>Skills!G26*IF(Skills!H26&gt;0,Skills!I26/Skills!H26,1)</f>
        <v/>
      </c>
      <c r="H479">
        <f>1-(1-Skills!J26/100)^Skills!K26</f>
        <v/>
      </c>
      <c r="I479" t="inlineStr">
        <is>
          <t>1</t>
        </is>
      </c>
      <c r="J479" t="inlineStr"/>
      <c r="K479" t="inlineStr"/>
      <c r="L479" t="inlineStr"/>
      <c r="M479" t="inlineStr"/>
      <c r="N479" t="inlineStr"/>
      <c r="O479">
        <f>(1-Summary!$B$55)*T479+Summary!$B$55*V479</f>
        <v/>
      </c>
      <c r="P479">
        <f>IF(B492=0,0,O479/B492)</f>
        <v/>
      </c>
      <c r="Q479" t="n">
        <v>0</v>
      </c>
      <c r="R479" t="n">
        <v>0</v>
      </c>
      <c r="S479">
        <f>IFERROR(O479/N479,0)</f>
        <v/>
      </c>
      <c r="T479" t="n">
        <v>0</v>
      </c>
      <c r="V479" t="n">
        <v>0</v>
      </c>
    </row>
    <row r="481">
      <c r="A481" t="inlineStr">
        <is>
          <t>Attack% Bucket Multiplier</t>
        </is>
      </c>
      <c r="B481">
        <f>(1+(((C466=TRUE)*F466*IF(Inputs!$B$3&gt;=110,7,5))+((C468=TRUE)*F468*IF(AND(Inputs!$B$38&lt;&gt;"pvp",Inputs!$B$43&gt;0),(((R468-1)*(Skills!T15*(1+Inputs!$B$34/100))+MIN((Skills!T15*(1+Inputs!$B$34/100)),MAX(0,Inputs!$B$43-((R468-1)*Skills!D15))))/Inputs!$B$43),IF(Inputs!$B$38="pvp",MIN((Skills!T15*(1+Inputs!$B$34/100)),15)/15,(Skills!T15*(1+Inputs!$B$34/100))/Skills!D15)))+0)/100)</f>
        <v/>
      </c>
    </row>
    <row r="482">
      <c r="A482" t="inlineStr">
        <is>
          <t>Global Crit Rate Bonus %</t>
        </is>
      </c>
      <c r="B482" t="n">
        <v>0</v>
      </c>
    </row>
    <row r="483">
      <c r="A483" t="inlineStr">
        <is>
          <t>Attack Speed Buff Bonus %</t>
        </is>
      </c>
      <c r="B483">
        <f>((C472=TRUE)*F472*IF(AND(Inputs!$B$38&lt;&gt;"pvp",Inputs!$B$43&gt;0),(((R472-1)*(Skills!T19*(1+Inputs!$B$34/100))+MIN((Skills!T19*(1+Inputs!$B$34/100)),MAX(0,Inputs!$B$43-((R472-1)*Skills!D19))))/Inputs!$B$43),IF(Inputs!$B$38="pvp",MIN((Skills!T19*(1+Inputs!$B$34/100)),15)/15,(Skills!T19*(1+Inputs!$B$34/100))/Skills!D19)))</f>
        <v/>
      </c>
    </row>
    <row r="484">
      <c r="A484" t="inlineStr">
        <is>
          <t>Actions Per Second</t>
        </is>
      </c>
      <c r="B484">
        <f>1+MIN(150,150*(1-(1-(Inputs!$B$11+((C473=TRUE)*(F473-Calc!F20)))/150)*(1-B483/150)))/100</f>
        <v/>
      </c>
    </row>
    <row r="485">
      <c r="A485" t="inlineStr">
        <is>
          <t>Skill + Buff Cast Rate</t>
        </is>
      </c>
      <c r="B485">
        <f>IF(AND(Inputs!$B$38&lt;&gt;"pvp",Inputs!$B$43&gt;0),SUMPRODUCT((Skills!E2:E26=TRUE)*(C455:C479=TRUE)*R455:R479*Skills!F2:F26)/Inputs!$B$43,SUMPRODUCT((Skills!E2:E26=TRUE)*(C455:C479=TRUE)*Q455:Q479*Skills!F2:F26))</f>
        <v/>
      </c>
    </row>
    <row r="486">
      <c r="A486" t="inlineStr">
        <is>
          <t>Raging Blow Casts Per Second</t>
        </is>
      </c>
      <c r="B486">
        <f>MAX(0,B484-B485)</f>
        <v/>
      </c>
    </row>
    <row r="487">
      <c r="A487" t="inlineStr">
        <is>
          <t>Global Critical Damage Bonus % (Enrage)</t>
        </is>
      </c>
      <c r="B487">
        <f>((C471=TRUE)*F471*IF(AND(Inputs!$B$38&lt;&gt;"pvp",Inputs!$B$43&gt;0),(((R471-1)*(Skills!T18*(1+Inputs!$B$34/100))+MIN((Skills!T18*(1+Inputs!$B$34/100)),MAX(0,Inputs!$B$43-((R471-1)*Skills!D18))))/Inputs!$B$43),IF(Inputs!$B$38="pvp",MIN((Skills!T18*(1+Inputs!$B$34/100)),15)/15,(Skills!T18*(1+Inputs!$B$34/100))/Skills!D18)))</f>
        <v/>
      </c>
    </row>
    <row r="488">
      <c r="A488" t="inlineStr">
        <is>
          <t>Global Final Damage Bonus % (Enrage + Combo Synergy)</t>
        </is>
      </c>
      <c r="B488">
        <f>((C470=TRUE)*F470*IF(AND(Inputs!$B$38&lt;&gt;"pvp",Inputs!$B$43&gt;0),(((R470-1)*(Skills!T17*(1+Inputs!$B$34/100))+MIN((Skills!T17*(1+Inputs!$B$34/100)),MAX(0,Inputs!$B$43-((R470-1)*Skills!D17))))/Inputs!$B$43),IF(Inputs!$B$38="pvp",MIN((Skills!T17*(1+Inputs!$B$34/100)),15)/15,(Skills!T17*(1+Inputs!$B$34/100))/Skills!D17)))+((C467=TRUE)*F467*IF(Inputs!$B$3&gt;=110,7,5))</f>
        <v/>
      </c>
    </row>
    <row r="489">
      <c r="A489" t="inlineStr">
        <is>
          <t>Buff-Casting Startup Delay (s, fixed-duration only)</t>
        </is>
      </c>
      <c r="B489">
        <f>IF(AND(Inputs!$B$38&lt;&gt;"pvp",Inputs!$B$43&gt;0),SUMPRODUCT((Skills!T2:T26&gt;0)*(Skills!E2:E26=TRUE)*(C455:C479=TRUE))/B484,0)</f>
        <v/>
      </c>
    </row>
    <row r="490">
      <c r="A490" t="inlineStr">
        <is>
          <t>Boss-Only Total DPS (this block's swept value)</t>
        </is>
      </c>
      <c r="B490">
        <f>SUM(T455:T479)</f>
        <v/>
      </c>
    </row>
    <row r="491">
      <c r="A491" t="inlineStr">
        <is>
          <t>Normal-Only Total DPS (this block's swept value)</t>
        </is>
      </c>
      <c r="B491">
        <f>SUM(V455:V479)</f>
        <v/>
      </c>
    </row>
    <row r="492">
      <c r="A492" s="5" t="inlineStr">
        <is>
          <t>TOTAL DPS</t>
        </is>
      </c>
      <c r="B492" s="5">
        <f>SUM(O455:O479)</f>
        <v/>
      </c>
    </row>
    <row r="495">
      <c r="A495" s="5" t="inlineStr">
        <is>
          <t>Stat: CRIT_DAMAGE %</t>
        </is>
      </c>
    </row>
    <row r="496">
      <c r="A496" s="9" t="inlineStr">
        <is>
          <t>Key</t>
        </is>
      </c>
      <c r="B496" s="9" t="inlineStr">
        <is>
          <t>Name</t>
        </is>
      </c>
      <c r="C496" s="9" t="inlineStr">
        <is>
          <t>Unlocked</t>
        </is>
      </c>
      <c r="D496" s="9" t="inlineStr">
        <is>
          <t>InputLevel</t>
        </is>
      </c>
      <c r="E496" s="9" t="inlineStr">
        <is>
          <t>Factor</t>
        </is>
      </c>
      <c r="F496" s="9" t="inlineStr">
        <is>
          <t>CoefficientPercent</t>
        </is>
      </c>
      <c r="G496" s="9" t="inlineStr">
        <is>
          <t>EffectiveHits</t>
        </is>
      </c>
      <c r="H496" s="9" t="inlineStr">
        <is>
          <t>ProcProbability</t>
        </is>
      </c>
      <c r="I496" s="9" t="inlineStr">
        <is>
          <t>MapleHeroMultiplier</t>
        </is>
      </c>
      <c r="J496" s="9" t="inlineStr">
        <is>
          <t>BaseDamage</t>
        </is>
      </c>
      <c r="K496" s="9" t="inlineStr">
        <is>
          <t>BaseHitDamage</t>
        </is>
      </c>
      <c r="L496" s="9" t="inlineStr">
        <is>
          <t>NonCritAvg</t>
        </is>
      </c>
      <c r="M496" s="9" t="inlineStr">
        <is>
          <t>CritAvg</t>
        </is>
      </c>
      <c r="N496" s="9" t="inlineStr">
        <is>
          <t>ExpectedDamage(perHit)</t>
        </is>
      </c>
      <c r="O496" s="9" t="inlineStr">
        <is>
          <t>DPS</t>
        </is>
      </c>
      <c r="P496" s="9" t="inlineStr">
        <is>
          <t>% of Total</t>
        </is>
      </c>
      <c r="Q496" s="9" t="inlineStr">
        <is>
          <t>InvCooldown</t>
        </is>
      </c>
      <c r="R496" s="9" t="inlineStr">
        <is>
          <t>CastsInFight</t>
        </is>
      </c>
      <c r="S496" s="9" t="inlineStr">
        <is>
          <t>HitRate(perSec)</t>
        </is>
      </c>
      <c r="U496" t="inlineStr">
        <is>
          <t>helpers</t>
        </is>
      </c>
    </row>
    <row r="497">
      <c r="A497">
        <f>Skills!A2</f>
        <v/>
      </c>
      <c r="B497">
        <f>Skills!B2</f>
        <v/>
      </c>
      <c r="C497">
        <f>Inputs!$B$3&gt;=100</f>
        <v/>
      </c>
      <c r="D497" t="inlineStr"/>
      <c r="E497" t="inlineStr"/>
      <c r="F497">
        <f>U499+Skills!O2</f>
        <v/>
      </c>
      <c r="G497">
        <f>Skills!G2*IF(Skills!H2&gt;0,Skills!I2/Skills!H2,1)</f>
        <v/>
      </c>
      <c r="H497">
        <f>1-(1-Skills!J2/100)^Skills!K2</f>
        <v/>
      </c>
      <c r="I497" t="inlineStr">
        <is>
          <t>1</t>
        </is>
      </c>
      <c r="J497">
        <f>((Inputs!$B$6*(1+Inputs!$B$7/100))+(((Inputs!$B$12*(1+Inputs!$B$13/100))-(Inputs!$B$12*(1+Inputs!$B$13/100)))+0.25*(Inputs!$B$14-Inputs!$B$14))*(1+Inputs!$B$7/100))*(F497/100)</f>
        <v/>
      </c>
      <c r="K497">
        <f>J497*(1+((Inputs!$B$12*(1+Inputs!$B$13/100))*0.01+Inputs!$B$14*0.0025)/100)*(1+Inputs!$B$15/100)*(1+Inputs!$B$16/100)*(5000/(6000+Inputs!$B$42*(1-(Inputs!$B$19+0)/100)))*(1+(Inputs!$B$24+((C520=TRUE)*(F520-Calc!F25))+B530)/100)*(1+IF(Skills!A2="ENHANCED_RAGING_BLOW",IF(Inputs!$B$3&gt;=134,MAX(0,IF(Inputs!$B$3&gt;=110,7,5)-5)*50,0),0)/100)*(1+(IF(Skills!A2="RAGING_BLOW",Inputs!$B$17+((C516=TRUE)*(F516-Calc!F21)),Inputs!$B$18+((C518=TRUE)*(F518-Calc!F23))))/100)*((1+(((C508=TRUE)*F508*IF(Inputs!$B$3&gt;=110,7,5))+((C510=TRUE)*F510*IF(AND(Inputs!$B$38&lt;&gt;"pvp",Inputs!$B$43&gt;0),(((R510-1)*(Skills!T15*(1+Inputs!$B$34/100))+MIN((Skills!T15*(1+Inputs!$B$34/100)),MAX(0,Inputs!$B$43-((R510-1)*Skills!D15))))/Inputs!$B$43),IF(Inputs!$B$38="pvp",MIN((Skills!T15*(1+Inputs!$B$34/100)),15)/15,(Skills!T15*(1+Inputs!$B$34/100))/Skills!D15)))+0)/100)*I497)</f>
        <v/>
      </c>
      <c r="L497">
        <f>K497*(MIN(Inputs!$B$22+((C517=TRUE)*(F517-Calc!F22)),Inputs!$B$23+((C519=TRUE)*(F519-Calc!F24)))/100+(Inputs!$B$23+((C519=TRUE)*(F519-Calc!F24)))/100)/2</f>
        <v/>
      </c>
      <c r="M497">
        <f>L497*(1+((Inputs!$B$10+1)+0+B529)/100)</f>
        <v/>
      </c>
      <c r="N497">
        <f>L497*(1-MIN((Inputs!$B$9+((C521=TRUE)*(F521-Calc!F26))+B524),100)/100)+M497*(MIN((Inputs!$B$9+((C521=TRUE)*(F521-Calc!F26))+B524),100)/100)</f>
        <v/>
      </c>
      <c r="O497">
        <f>(1-Summary!$B$55)*T497+Summary!$B$55*V497</f>
        <v/>
      </c>
      <c r="P497">
        <f>IF(B534=0,0,O497/B534)</f>
        <v/>
      </c>
      <c r="Q497" t="n">
        <v>0</v>
      </c>
      <c r="R497" t="n">
        <v>0</v>
      </c>
      <c r="S497">
        <f>IFERROR(O497/N497,0)</f>
        <v/>
      </c>
      <c r="T497">
        <f>IF(C497,(Skills!G2*N497*B528)*IF(Inputs!$B$38="pvp",1,1+(Inputs!$B$20+0+Skills!P2+Summary!$B$59)/100),0)</f>
        <v/>
      </c>
      <c r="U497">
        <f>MAX(0,(Inputs!$B$3-100)*3)+Inputs!$B$28+Inputs!$B$29</f>
        <v/>
      </c>
      <c r="V497">
        <f>IF(C497,(Skills!G2*N497*B528)*IF(Inputs!$B$38="pvp",1,(1+(Inputs!$B$21+Skills!Q2+Summary!$B$59)/100)*(MIN((6+Inputs!$B$33),Inputs!$B$37))),0)</f>
        <v/>
      </c>
    </row>
    <row r="498">
      <c r="A498">
        <f>Skills!A3</f>
        <v/>
      </c>
      <c r="B498">
        <f>Skills!B3</f>
        <v/>
      </c>
      <c r="C498">
        <f>Inputs!$B$3&gt;=50</f>
        <v/>
      </c>
      <c r="D498">
        <f>IF(Skills!C3=1,60+Inputs!$B$25+Inputs!$B$29,IF(Skills!C3=2,90+Inputs!$B$26+Inputs!$B$29,IF(Skills!C3=3,120+Inputs!$B$27+Inputs!$B$29,MAX(0,(Inputs!$B$3-100)*3)+Inputs!$B$28+Inputs!$B$29)))</f>
        <v/>
      </c>
      <c r="E498">
        <f>INDEX(FactorTable!$B$2:$Y$301, MATCH(ROUND(MIN(300,MAX(1,D498)),0), FactorTable!$A$2:$A$301,0), Skills!M3+1)</f>
        <v/>
      </c>
      <c r="F498">
        <f>IF(Skills!N3=TRUE,(Skills!L3/10)*(E498/1000),Skills!L3/10)+Skills!O3</f>
        <v/>
      </c>
      <c r="G498" t="inlineStr"/>
      <c r="H498" t="inlineStr"/>
      <c r="I498" t="inlineStr">
        <is>
          <t>1</t>
        </is>
      </c>
      <c r="J498" t="inlineStr"/>
      <c r="K498" t="inlineStr"/>
      <c r="L498" t="inlineStr"/>
      <c r="M498" t="inlineStr"/>
      <c r="N498" t="inlineStr"/>
      <c r="O498" t="inlineStr"/>
      <c r="P498" t="inlineStr"/>
      <c r="Q498" t="inlineStr"/>
      <c r="R498" t="inlineStr"/>
      <c r="S498" t="inlineStr"/>
      <c r="U498">
        <f>INDEX(FactorTable!$B$2:$Y$301, MATCH(ROUND(MIN(300,MAX(1,U497)),0), FactorTable!$A$2:$A$301,0), 22)</f>
        <v/>
      </c>
    </row>
    <row r="499">
      <c r="A499">
        <f>Skills!A4</f>
        <v/>
      </c>
      <c r="B499">
        <f>Skills!B4</f>
        <v/>
      </c>
      <c r="C499">
        <f>Inputs!$B$3&gt;=105</f>
        <v/>
      </c>
      <c r="D499">
        <f>IF(Skills!C4=1,60+Inputs!$B$25+Inputs!$B$29,IF(Skills!C4=2,90+Inputs!$B$26+Inputs!$B$29,IF(Skills!C4=3,120+Inputs!$B$27+Inputs!$B$29,MAX(0,(Inputs!$B$3-100)*3)+Inputs!$B$28+Inputs!$B$29)))</f>
        <v/>
      </c>
      <c r="E499">
        <f>INDEX(FactorTable!$B$2:$Y$301, MATCH(ROUND(MIN(300,MAX(1,D499)),0), FactorTable!$A$2:$A$301,0), Skills!M4+1)</f>
        <v/>
      </c>
      <c r="F499">
        <f>IF(Skills!N4=TRUE,(Skills!L4/10)*(E499/1000),Skills!L4/10)+Skills!O4</f>
        <v/>
      </c>
      <c r="G499" t="inlineStr"/>
      <c r="H499" t="inlineStr"/>
      <c r="I499" t="inlineStr">
        <is>
          <t>1</t>
        </is>
      </c>
      <c r="J499" t="inlineStr"/>
      <c r="K499" t="inlineStr"/>
      <c r="L499" t="inlineStr"/>
      <c r="M499" t="inlineStr"/>
      <c r="N499" t="inlineStr"/>
      <c r="O499" t="inlineStr"/>
      <c r="P499" t="inlineStr"/>
      <c r="Q499" t="inlineStr"/>
      <c r="R499" t="inlineStr"/>
      <c r="S499" t="inlineStr"/>
      <c r="U499">
        <f>290*U498/1000</f>
        <v/>
      </c>
    </row>
    <row r="500">
      <c r="A500">
        <f>Skills!A5</f>
        <v/>
      </c>
      <c r="B500">
        <f>Skills!B5</f>
        <v/>
      </c>
      <c r="C500">
        <f>Inputs!$B$3&gt;=103</f>
        <v/>
      </c>
      <c r="D500">
        <f>IF(Skills!C5=1,60+Inputs!$B$25+Inputs!$B$29,IF(Skills!C5=2,90+Inputs!$B$26+Inputs!$B$29,IF(Skills!C5=3,120+Inputs!$B$27+Inputs!$B$29,MAX(0,(Inputs!$B$3-100)*3)+Inputs!$B$28+Inputs!$B$29)))</f>
        <v/>
      </c>
      <c r="E500">
        <f>INDEX(FactorTable!$B$2:$Y$301, MATCH(ROUND(MIN(300,MAX(1,D500)),0), FactorTable!$A$2:$A$301,0), Skills!M5+1)</f>
        <v/>
      </c>
      <c r="F500">
        <f>IF(Skills!N5=TRUE,(Skills!L5/10)*(E500/1000),Skills!L5/10)+Skills!O5</f>
        <v/>
      </c>
      <c r="G500">
        <f>Skills!G5*IF(Skills!H5&gt;0,Skills!I5/Skills!H5,1)</f>
        <v/>
      </c>
      <c r="H500">
        <f>1-(1-Skills!J5/100)^Skills!K5</f>
        <v/>
      </c>
      <c r="I500" t="inlineStr">
        <is>
          <t>1</t>
        </is>
      </c>
      <c r="J500">
        <f>((Inputs!$B$6*(1+Inputs!$B$7/100))+(((Inputs!$B$12*(1+Inputs!$B$13/100))-(Inputs!$B$12*(1+Inputs!$B$13/100)))+0.25*(Inputs!$B$14-Inputs!$B$14))*(1+Inputs!$B$7/100))*(F500/100)</f>
        <v/>
      </c>
      <c r="K500">
        <f>J500*(1+((Inputs!$B$12*(1+Inputs!$B$13/100))*0.01+Inputs!$B$14*0.0025)/100)*(1+Inputs!$B$15/100)*(1+Inputs!$B$16/100)*(5000/(6000+Inputs!$B$42*(1-(Inputs!$B$19+0)/100)))*(1+(Inputs!$B$24+((C520=TRUE)*(F520-Calc!F25))+B530)/100)*(1+IF(Skills!A5="ENHANCED_RAGING_BLOW",IF(Inputs!$B$3&gt;=134,MAX(0,IF(Inputs!$B$3&gt;=110,7,5)-5)*50,0),0)/100)*(1+(IF(Skills!A5="RAGING_BLOW",Inputs!$B$17+((C516=TRUE)*(F516-Calc!F21)),Inputs!$B$18+((C518=TRUE)*(F518-Calc!F23))))/100)*((1+(((C508=TRUE)*F508*IF(Inputs!$B$3&gt;=110,7,5))+((C510=TRUE)*F510*IF(AND(Inputs!$B$38&lt;&gt;"pvp",Inputs!$B$43&gt;0),(((R510-1)*(Skills!T15*(1+Inputs!$B$34/100))+MIN((Skills!T15*(1+Inputs!$B$34/100)),MAX(0,Inputs!$B$43-((R510-1)*Skills!D15))))/Inputs!$B$43),IF(Inputs!$B$38="pvp",MIN((Skills!T15*(1+Inputs!$B$34/100)),15)/15,(Skills!T15*(1+Inputs!$B$34/100))/Skills!D15)))+0)/100)*I500)</f>
        <v/>
      </c>
      <c r="L500">
        <f>K500*(MIN(Inputs!$B$22+((C517=TRUE)*(F517-Calc!F22)),Inputs!$B$23+((C519=TRUE)*(F519-Calc!F24)))/100+(Inputs!$B$23+((C519=TRUE)*(F519-Calc!F24)))/100)/2</f>
        <v/>
      </c>
      <c r="M500">
        <f>L500*(1+((Inputs!$B$10+1)+0+B529)/100)</f>
        <v/>
      </c>
      <c r="N500">
        <f>L500*(1-MIN((Inputs!$B$9+((C521=TRUE)*(F521-Calc!F26))+B524),100)/100)+M500*(MIN((Inputs!$B$9+((C521=TRUE)*(F521-Calc!F26))+B524),100)/100)</f>
        <v/>
      </c>
      <c r="O500">
        <f>(1-Summary!$B$55)*T500+Summary!$B$55*V500</f>
        <v/>
      </c>
      <c r="P500">
        <f>IF(B534=0,0,O500/B534)</f>
        <v/>
      </c>
      <c r="Q500">
        <f>IFERROR(1/IF(Inputs!$B$38="pvp",15,MAX(0.1,Skills!D5-IF(Skills!E5=TRUE,Inputs!$B$32,0))),0)</f>
        <v/>
      </c>
      <c r="R500">
        <f>IF(AND(Inputs!$B$38&lt;&gt;"pvp",Inputs!$B$43&gt;0),IF(MAX(0,Inputs!$B$43-B531)&lt;=0,0,(INT(MAX(0,Inputs!$B$43-B531)/IF(Inputs!$B$38="pvp",15,MAX(0.1,Skills!D5-IF(Skills!E5=TRUE,Inputs!$B$32,0))))+1)),0)</f>
        <v/>
      </c>
      <c r="S500">
        <f>IFERROR(O500/N500,0)</f>
        <v/>
      </c>
      <c r="T500">
        <f>IF(C500,(H500*N500*IF(AND(Inputs!$B$38&lt;&gt;"pvp",Inputs!$B$43&gt;0),((Skills!G5*((R500-1)*IF(Skills!H5&gt;0,Skills!I5/Skills!H5,1)+IF(Skills!H5&gt;0,MIN(Skills!I5,MAX(0,MAX(0,Inputs!$B$43-B531)-((R500-1)*IF(Inputs!$B$38="pvp",15,MAX(0.1,Skills!D5-IF(Skills!E5=TRUE,Inputs!$B$32,0))))))/Skills!H5,1)))/Inputs!$B$43),G500*Q500))*IF(Inputs!$B$38="pvp",1,1+(Inputs!$B$20+0+Skills!P5+Summary!$B$59)/100),0)</f>
        <v/>
      </c>
      <c r="V500">
        <f>IF(C500,(H500*N500*IF(AND(Inputs!$B$38&lt;&gt;"pvp",Inputs!$B$43&gt;0),((Skills!G5*((R500-1)*IF(Skills!H5&gt;0,Skills!I5/Skills!H5,1)+IF(Skills!H5&gt;0,MIN(Skills!I5,MAX(0,MAX(0,Inputs!$B$43-B531)-((R500-1)*IF(Inputs!$B$38="pvp",15,MAX(0.1,Skills!D5-IF(Skills!E5=TRUE,Inputs!$B$32,0))))))/Skills!H5,1)))/Inputs!$B$43),G500*Q500))*IF(Inputs!$B$38="pvp",1,(1+(Inputs!$B$21+Skills!Q5+Summary!$B$59)/100)*(MIN(Skills!R5,Inputs!$B$37))),0)</f>
        <v/>
      </c>
    </row>
    <row r="501">
      <c r="A501">
        <f>Skills!A6</f>
        <v/>
      </c>
      <c r="B501">
        <f>Skills!B6</f>
        <v/>
      </c>
      <c r="C501">
        <f>Inputs!$B$3&gt;=103</f>
        <v/>
      </c>
      <c r="D501">
        <f>IF(Skills!C6=1,60+Inputs!$B$25+Inputs!$B$29,IF(Skills!C6=2,90+Inputs!$B$26+Inputs!$B$29,IF(Skills!C6=3,120+Inputs!$B$27+Inputs!$B$29,MAX(0,(Inputs!$B$3-100)*3)+Inputs!$B$28+Inputs!$B$29)))</f>
        <v/>
      </c>
      <c r="E501">
        <f>INDEX(FactorTable!$B$2:$Y$301, MATCH(ROUND(MIN(300,MAX(1,D501)),0), FactorTable!$A$2:$A$301,0), Skills!M6+1)</f>
        <v/>
      </c>
      <c r="F501">
        <f>IF(Skills!N6=TRUE,(Skills!L6/10)*(E501/1000),Skills!L6/10)+Skills!O6</f>
        <v/>
      </c>
      <c r="G501">
        <f>Skills!G6*IF(Skills!H6&gt;0,Skills!I6/Skills!H6,1)</f>
        <v/>
      </c>
      <c r="H501">
        <f>1-(1-Skills!J6/100)^Skills!K6</f>
        <v/>
      </c>
      <c r="I501" t="inlineStr">
        <is>
          <t>1</t>
        </is>
      </c>
      <c r="J501">
        <f>((Inputs!$B$6*(1+Inputs!$B$7/100))+(((Inputs!$B$12*(1+Inputs!$B$13/100))-(Inputs!$B$12*(1+Inputs!$B$13/100)))+0.25*(Inputs!$B$14-Inputs!$B$14))*(1+Inputs!$B$7/100))*(F501/100)</f>
        <v/>
      </c>
      <c r="K501">
        <f>J501*(1+((Inputs!$B$12*(1+Inputs!$B$13/100))*0.01+Inputs!$B$14*0.0025)/100)*(1+Inputs!$B$15/100)*(1+Inputs!$B$16/100)*(5000/(6000+Inputs!$B$42*(1-(Inputs!$B$19+0)/100)))*(1+(Inputs!$B$24+((C520=TRUE)*(F520-Calc!F25))+B530)/100)*(1+IF(Skills!A6="ENHANCED_RAGING_BLOW",IF(Inputs!$B$3&gt;=134,MAX(0,IF(Inputs!$B$3&gt;=110,7,5)-5)*50,0),0)/100)*(1+(IF(Skills!A6="RAGING_BLOW",Inputs!$B$17+((C516=TRUE)*(F516-Calc!F21)),Inputs!$B$18+((C518=TRUE)*(F518-Calc!F23))))/100)*((1+(((C508=TRUE)*F508*IF(Inputs!$B$3&gt;=110,7,5))+((C510=TRUE)*F510*IF(AND(Inputs!$B$38&lt;&gt;"pvp",Inputs!$B$43&gt;0),(((R510-1)*(Skills!T15*(1+Inputs!$B$34/100))+MIN((Skills!T15*(1+Inputs!$B$34/100)),MAX(0,Inputs!$B$43-((R510-1)*Skills!D15))))/Inputs!$B$43),IF(Inputs!$B$38="pvp",MIN((Skills!T15*(1+Inputs!$B$34/100)),15)/15,(Skills!T15*(1+Inputs!$B$34/100))/Skills!D15)))+0)/100)*I501)</f>
        <v/>
      </c>
      <c r="L501">
        <f>K501*(MIN(Inputs!$B$22+((C517=TRUE)*(F517-Calc!F22)),Inputs!$B$23+((C519=TRUE)*(F519-Calc!F24)))/100+(Inputs!$B$23+((C519=TRUE)*(F519-Calc!F24)))/100)/2</f>
        <v/>
      </c>
      <c r="M501">
        <f>L501*(1+((Inputs!$B$10+1)+0+B529)/100)</f>
        <v/>
      </c>
      <c r="N501">
        <f>L501*(1-MIN((Inputs!$B$9+((C521=TRUE)*(F521-Calc!F26))+B524),100)/100)+M501*(MIN((Inputs!$B$9+((C521=TRUE)*(F521-Calc!F26))+B524),100)/100)</f>
        <v/>
      </c>
      <c r="O501">
        <f>(1-Summary!$B$55)*T501+Summary!$B$55*V501</f>
        <v/>
      </c>
      <c r="P501">
        <f>IF(B534=0,0,O501/B534)</f>
        <v/>
      </c>
      <c r="Q501">
        <f>IFERROR(1/IF(Inputs!$B$38="pvp",15,MAX(0.1,Skills!D6-IF(Skills!E6=TRUE,Inputs!$B$32,0))),0)</f>
        <v/>
      </c>
      <c r="R501">
        <f>IF(AND(Inputs!$B$38&lt;&gt;"pvp",Inputs!$B$43&gt;0),IF(MAX(0,Inputs!$B$43-B531)&lt;=0,0,(INT(MAX(0,Inputs!$B$43-B531)/IF(Inputs!$B$38="pvp",15,MAX(0.1,Skills!D6-IF(Skills!E6=TRUE,Inputs!$B$32,0))))+1)),0)</f>
        <v/>
      </c>
      <c r="S501">
        <f>IFERROR(O501/N501,0)</f>
        <v/>
      </c>
      <c r="T501">
        <f>IF(C501,(H501*N501*IF(AND(Inputs!$B$38&lt;&gt;"pvp",Inputs!$B$43&gt;0),((Skills!G6*((R501-1)*IF(Skills!H6&gt;0,Skills!I6/Skills!H6,1)+IF(Skills!H6&gt;0,MIN(Skills!I6,MAX(0,MAX(0,Inputs!$B$43-B531)-((R501-1)*IF(Inputs!$B$38="pvp",15,MAX(0.1,Skills!D6-IF(Skills!E6=TRUE,Inputs!$B$32,0))))))/Skills!H6,1)))/Inputs!$B$43),G501*Q501))*IF(Inputs!$B$38="pvp",1,1+(Inputs!$B$20+0+Skills!P6+Summary!$B$59)/100),0)</f>
        <v/>
      </c>
      <c r="V501">
        <f>IF(C501,(H501*N501*IF(AND(Inputs!$B$38&lt;&gt;"pvp",Inputs!$B$43&gt;0),((Skills!G6*((R501-1)*IF(Skills!H6&gt;0,Skills!I6/Skills!H6,1)+IF(Skills!H6&gt;0,MIN(Skills!I6,MAX(0,MAX(0,Inputs!$B$43-B531)-((R501-1)*IF(Inputs!$B$38="pvp",15,MAX(0.1,Skills!D6-IF(Skills!E6=TRUE,Inputs!$B$32,0))))))/Skills!H6,1)))/Inputs!$B$43),G501*Q501))*IF(Inputs!$B$38="pvp",1,(1+(Inputs!$B$21+Skills!Q6+Summary!$B$59)/100)*(MIN(Skills!R6,Inputs!$B$37))),0)</f>
        <v/>
      </c>
    </row>
    <row r="502">
      <c r="A502">
        <f>Skills!A7</f>
        <v/>
      </c>
      <c r="B502">
        <f>Skills!B7</f>
        <v/>
      </c>
      <c r="C502">
        <f>Inputs!$B$3&gt;=107</f>
        <v/>
      </c>
      <c r="D502">
        <f>IF(Skills!C7=1,60+Inputs!$B$25+Inputs!$B$29,IF(Skills!C7=2,90+Inputs!$B$26+Inputs!$B$29,IF(Skills!C7=3,120+Inputs!$B$27+Inputs!$B$29,MAX(0,(Inputs!$B$3-100)*3)+Inputs!$B$28+Inputs!$B$29)))</f>
        <v/>
      </c>
      <c r="E502">
        <f>INDEX(FactorTable!$B$2:$Y$301, MATCH(ROUND(MIN(300,MAX(1,D502)),0), FactorTable!$A$2:$A$301,0), Skills!M7+1)</f>
        <v/>
      </c>
      <c r="F502">
        <f>IF(Skills!N7=TRUE,(Skills!L7/10)*(E502/1000),Skills!L7/10)+Skills!O7</f>
        <v/>
      </c>
      <c r="G502">
        <f>Skills!G7*IF(Skills!H7&gt;0,Skills!I7/Skills!H7,1)</f>
        <v/>
      </c>
      <c r="H502">
        <f>1-(1-Skills!J7/100)^Skills!K7</f>
        <v/>
      </c>
      <c r="I502" t="inlineStr">
        <is>
          <t>1</t>
        </is>
      </c>
      <c r="J502">
        <f>((Inputs!$B$6*(1+Inputs!$B$7/100))+(((Inputs!$B$12*(1+Inputs!$B$13/100))-(Inputs!$B$12*(1+Inputs!$B$13/100)))+0.25*(Inputs!$B$14-Inputs!$B$14))*(1+Inputs!$B$7/100))*(F502/100)</f>
        <v/>
      </c>
      <c r="K502">
        <f>J502*(1+((Inputs!$B$12*(1+Inputs!$B$13/100))*0.01+Inputs!$B$14*0.0025)/100)*(1+Inputs!$B$15/100)*(1+Inputs!$B$16/100)*(5000/(6000+Inputs!$B$42*(1-(Inputs!$B$19+0)/100)))*(1+(Inputs!$B$24+((C520=TRUE)*(F520-Calc!F25))+B530)/100)*(1+IF(Skills!A7="ENHANCED_RAGING_BLOW",IF(Inputs!$B$3&gt;=134,MAX(0,IF(Inputs!$B$3&gt;=110,7,5)-5)*50,0),0)/100)*(1+(IF(Skills!A7="RAGING_BLOW",Inputs!$B$17+((C516=TRUE)*(F516-Calc!F21)),Inputs!$B$18+((C518=TRUE)*(F518-Calc!F23))))/100)*((1+(((C508=TRUE)*F508*IF(Inputs!$B$3&gt;=110,7,5))+((C510=TRUE)*F510*IF(AND(Inputs!$B$38&lt;&gt;"pvp",Inputs!$B$43&gt;0),(((R510-1)*(Skills!T15*(1+Inputs!$B$34/100))+MIN((Skills!T15*(1+Inputs!$B$34/100)),MAX(0,Inputs!$B$43-((R510-1)*Skills!D15))))/Inputs!$B$43),IF(Inputs!$B$38="pvp",MIN((Skills!T15*(1+Inputs!$B$34/100)),15)/15,(Skills!T15*(1+Inputs!$B$34/100))/Skills!D15)))+0)/100)*I502)</f>
        <v/>
      </c>
      <c r="L502">
        <f>K502*(MIN(Inputs!$B$22+((C517=TRUE)*(F517-Calc!F22)),Inputs!$B$23+((C519=TRUE)*(F519-Calc!F24)))/100+(Inputs!$B$23+((C519=TRUE)*(F519-Calc!F24)))/100)/2</f>
        <v/>
      </c>
      <c r="M502">
        <f>L502*(1+((Inputs!$B$10+1)+0+B529)/100)</f>
        <v/>
      </c>
      <c r="N502">
        <f>L502*(1-MIN((Inputs!$B$9+((C521=TRUE)*(F521-Calc!F26))+B524),100)/100)+M502*(MIN((Inputs!$B$9+((C521=TRUE)*(F521-Calc!F26))+B524),100)/100)</f>
        <v/>
      </c>
      <c r="O502">
        <f>(1-Summary!$B$55)*T502+Summary!$B$55*V502</f>
        <v/>
      </c>
      <c r="P502">
        <f>IF(B534=0,0,O502/B534)</f>
        <v/>
      </c>
      <c r="Q502">
        <f>IFERROR(1/IF(Inputs!$B$38="pvp",15,MAX(0.1,Skills!D7-IF(Skills!E7=TRUE,Inputs!$B$32,0))),0)</f>
        <v/>
      </c>
      <c r="R502">
        <f>IF(AND(Inputs!$B$38&lt;&gt;"pvp",Inputs!$B$43&gt;0),IF(MAX(0,Inputs!$B$43-B531)&lt;=0,0,(INT(MAX(0,Inputs!$B$43-B531)/IF(Inputs!$B$38="pvp",15,MAX(0.1,Skills!D7-IF(Skills!E7=TRUE,Inputs!$B$32,0))))+1)),0)</f>
        <v/>
      </c>
      <c r="S502">
        <f>IFERROR(O502/N502,0)</f>
        <v/>
      </c>
      <c r="T502">
        <f>IF(C502,(H502*N502*IF(AND(Inputs!$B$38&lt;&gt;"pvp",Inputs!$B$43&gt;0),((Skills!G7*((R502-1)*IF(Skills!H7&gt;0,Skills!I7/Skills!H7,1)+IF(Skills!H7&gt;0,MIN(Skills!I7,MAX(0,MAX(0,Inputs!$B$43-B531)-((R502-1)*IF(Inputs!$B$38="pvp",15,MAX(0.1,Skills!D7-IF(Skills!E7=TRUE,Inputs!$B$32,0))))))/Skills!H7,1)))/Inputs!$B$43),G502*Q502))*IF(Inputs!$B$38="pvp",1,1+(Inputs!$B$20+0+Skills!P7+Summary!$B$59)/100),0)</f>
        <v/>
      </c>
      <c r="V502">
        <f>IF(C502,(H502*N502*IF(AND(Inputs!$B$38&lt;&gt;"pvp",Inputs!$B$43&gt;0),((Skills!G7*((R502-1)*IF(Skills!H7&gt;0,Skills!I7/Skills!H7,1)+IF(Skills!H7&gt;0,MIN(Skills!I7,MAX(0,MAX(0,Inputs!$B$43-B531)-((R502-1)*IF(Inputs!$B$38="pvp",15,MAX(0.1,Skills!D7-IF(Skills!E7=TRUE,Inputs!$B$32,0))))))/Skills!H7,1)))/Inputs!$B$43),G502*Q502))*IF(Inputs!$B$38="pvp",1,(1+(Inputs!$B$21+Skills!Q7+Summary!$B$59)/100)*(MIN(Skills!R7,Inputs!$B$37))),0)</f>
        <v/>
      </c>
    </row>
    <row r="503">
      <c r="A503">
        <f>Skills!A8</f>
        <v/>
      </c>
      <c r="B503">
        <f>Skills!B8</f>
        <v/>
      </c>
      <c r="C503">
        <f>Inputs!$B$3&gt;=117</f>
        <v/>
      </c>
      <c r="D503">
        <f>IF(Skills!C8=1,60+Inputs!$B$25+Inputs!$B$29,IF(Skills!C8=2,90+Inputs!$B$26+Inputs!$B$29,IF(Skills!C8=3,120+Inputs!$B$27+Inputs!$B$29,MAX(0,(Inputs!$B$3-100)*3)+Inputs!$B$28+Inputs!$B$29)))</f>
        <v/>
      </c>
      <c r="E503">
        <f>INDEX(FactorTable!$B$2:$Y$301, MATCH(ROUND(MIN(300,MAX(1,D503)),0), FactorTable!$A$2:$A$301,0), Skills!M8+1)</f>
        <v/>
      </c>
      <c r="F503">
        <f>IF(Skills!N8=TRUE,(Skills!L8/10)*(E503/1000),Skills!L8/10)+Skills!O8</f>
        <v/>
      </c>
      <c r="G503">
        <f>Skills!G8*IF(Skills!H8&gt;0,Skills!I8/Skills!H8,1)</f>
        <v/>
      </c>
      <c r="H503">
        <f>1-(1-Skills!J8/100)^Skills!K8</f>
        <v/>
      </c>
      <c r="I503" t="inlineStr">
        <is>
          <t>1</t>
        </is>
      </c>
      <c r="J503">
        <f>((Inputs!$B$6*(1+Inputs!$B$7/100))+(((Inputs!$B$12*(1+Inputs!$B$13/100))-(Inputs!$B$12*(1+Inputs!$B$13/100)))+0.25*(Inputs!$B$14-Inputs!$B$14))*(1+Inputs!$B$7/100))*(F503/100)</f>
        <v/>
      </c>
      <c r="K503">
        <f>J503*(1+((Inputs!$B$12*(1+Inputs!$B$13/100))*0.01+Inputs!$B$14*0.0025)/100)*(1+Inputs!$B$15/100)*(1+Inputs!$B$16/100)*(5000/(6000+Inputs!$B$42*(1-(Inputs!$B$19+0)/100)))*(1+(Inputs!$B$24+((C520=TRUE)*(F520-Calc!F25))+B530)/100)*(1+IF(Skills!A8="ENHANCED_RAGING_BLOW",IF(Inputs!$B$3&gt;=134,MAX(0,IF(Inputs!$B$3&gt;=110,7,5)-5)*50,0),0)/100)*(1+(IF(Skills!A8="RAGING_BLOW",Inputs!$B$17+((C516=TRUE)*(F516-Calc!F21)),Inputs!$B$18+((C518=TRUE)*(F518-Calc!F23))))/100)*((1+(((C508=TRUE)*F508*IF(Inputs!$B$3&gt;=110,7,5))+((C510=TRUE)*F510*IF(AND(Inputs!$B$38&lt;&gt;"pvp",Inputs!$B$43&gt;0),(((R510-1)*(Skills!T15*(1+Inputs!$B$34/100))+MIN((Skills!T15*(1+Inputs!$B$34/100)),MAX(0,Inputs!$B$43-((R510-1)*Skills!D15))))/Inputs!$B$43),IF(Inputs!$B$38="pvp",MIN((Skills!T15*(1+Inputs!$B$34/100)),15)/15,(Skills!T15*(1+Inputs!$B$34/100))/Skills!D15)))+0)/100)*I503)</f>
        <v/>
      </c>
      <c r="L503">
        <f>K503*(MIN(Inputs!$B$22+((C517=TRUE)*(F517-Calc!F22)),Inputs!$B$23+((C519=TRUE)*(F519-Calc!F24)))/100+(Inputs!$B$23+((C519=TRUE)*(F519-Calc!F24)))/100)/2</f>
        <v/>
      </c>
      <c r="M503">
        <f>L503*(1+((Inputs!$B$10+1)+0+B529)/100)</f>
        <v/>
      </c>
      <c r="N503">
        <f>L503*(1-MIN((Inputs!$B$9+((C521=TRUE)*(F521-Calc!F26))+B524),100)/100)+M503*(MIN((Inputs!$B$9+((C521=TRUE)*(F521-Calc!F26))+B524),100)/100)</f>
        <v/>
      </c>
      <c r="O503">
        <f>(1-Summary!$B$55)*T503+Summary!$B$55*V503</f>
        <v/>
      </c>
      <c r="P503">
        <f>IF(B534=0,0,O503/B534)</f>
        <v/>
      </c>
      <c r="Q503">
        <f>IFERROR(1/IF(Inputs!$B$38="pvp",15,MAX(0.1,Skills!D8-IF(Skills!E8=TRUE,Inputs!$B$32,0))),0)</f>
        <v/>
      </c>
      <c r="R503">
        <f>IF(AND(Inputs!$B$38&lt;&gt;"pvp",Inputs!$B$43&gt;0),IF(MAX(0,Inputs!$B$43-B531)&lt;=0,0,(INT(MAX(0,Inputs!$B$43-B531)/IF(Inputs!$B$38="pvp",15,MAX(0.1,Skills!D8-IF(Skills!E8=TRUE,Inputs!$B$32,0))))+1)),0)</f>
        <v/>
      </c>
      <c r="S503">
        <f>IFERROR(O503/N503,0)</f>
        <v/>
      </c>
      <c r="T503">
        <f>IF(C503,(H503*N503*IF(AND(Inputs!$B$38&lt;&gt;"pvp",Inputs!$B$43&gt;0),((Skills!G8*((R503-1)*IF(Skills!H8&gt;0,Skills!I8/Skills!H8,1)+IF(Skills!H8&gt;0,MIN(Skills!I8,MAX(0,MAX(0,Inputs!$B$43-B531)-((R503-1)*IF(Inputs!$B$38="pvp",15,MAX(0.1,Skills!D8-IF(Skills!E8=TRUE,Inputs!$B$32,0))))))/Skills!H8,1)))/Inputs!$B$43),G503*Q503))*IF(Inputs!$B$38="pvp",1,1+(Inputs!$B$20+0+Skills!P8+Summary!$B$59)/100),0)</f>
        <v/>
      </c>
      <c r="V503">
        <f>IF(C503,(H503*N503*IF(AND(Inputs!$B$38&lt;&gt;"pvp",Inputs!$B$43&gt;0),((Skills!G8*((R503-1)*IF(Skills!H8&gt;0,Skills!I8/Skills!H8,1)+IF(Skills!H8&gt;0,MIN(Skills!I8,MAX(0,MAX(0,Inputs!$B$43-B531)-((R503-1)*IF(Inputs!$B$38="pvp",15,MAX(0.1,Skills!D8-IF(Skills!E8=TRUE,Inputs!$B$32,0))))))/Skills!H8,1)))/Inputs!$B$43),G503*Q503))*IF(Inputs!$B$38="pvp",1,(1+(Inputs!$B$21+Skills!Q8+Summary!$B$59)/100)*(MIN(Skills!R8,Inputs!$B$37))),0)</f>
        <v/>
      </c>
    </row>
    <row r="504">
      <c r="A504">
        <f>Skills!A9</f>
        <v/>
      </c>
      <c r="B504">
        <f>Skills!B9</f>
        <v/>
      </c>
      <c r="C504">
        <f>Inputs!$B$3&gt;=69</f>
        <v/>
      </c>
      <c r="D504">
        <f>IF(Skills!C9=1,60+Inputs!$B$25+Inputs!$B$29,IF(Skills!C9=2,90+Inputs!$B$26+Inputs!$B$29,IF(Skills!C9=3,120+Inputs!$B$27+Inputs!$B$29,MAX(0,(Inputs!$B$3-100)*3)+Inputs!$B$28+Inputs!$B$29)))</f>
        <v/>
      </c>
      <c r="E504">
        <f>INDEX(FactorTable!$B$2:$Y$301, MATCH(ROUND(MIN(300,MAX(1,D504)),0), FactorTable!$A$2:$A$301,0), Skills!M9+1)</f>
        <v/>
      </c>
      <c r="F504">
        <f>IF(Skills!N9=TRUE,(Skills!L9/10)*(E504/1000),Skills!L9/10)+Skills!O9</f>
        <v/>
      </c>
      <c r="G504">
        <f>Skills!G9*IF(Skills!H9&gt;0,Skills!I9/Skills!H9,1)</f>
        <v/>
      </c>
      <c r="H504">
        <f>1-(1-Skills!J9/100)^Skills!K9</f>
        <v/>
      </c>
      <c r="I504" t="inlineStr">
        <is>
          <t>1</t>
        </is>
      </c>
      <c r="J504">
        <f>((Inputs!$B$6*(1+Inputs!$B$7/100))+(((Inputs!$B$12*(1+Inputs!$B$13/100))-(Inputs!$B$12*(1+Inputs!$B$13/100)))+0.25*(Inputs!$B$14-Inputs!$B$14))*(1+Inputs!$B$7/100))*(F504/100)</f>
        <v/>
      </c>
      <c r="K504">
        <f>J504*(1+((Inputs!$B$12*(1+Inputs!$B$13/100))*0.01+Inputs!$B$14*0.0025)/100)*(1+Inputs!$B$15/100)*(1+Inputs!$B$16/100)*(5000/(6000+Inputs!$B$42*(1-(Inputs!$B$19+0)/100)))*(1+(Inputs!$B$24+((C520=TRUE)*(F520-Calc!F25))+B530)/100)*(1+1.0*IF(C507=TRUE,F507,0)/100)*(1+IF(Skills!A9="ENHANCED_RAGING_BLOW",IF(Inputs!$B$3&gt;=134,MAX(0,IF(Inputs!$B$3&gt;=110,7,5)-5)*50,0),0)/100)*(1+(IF(Skills!A9="RAGING_BLOW",Inputs!$B$17+((C516=TRUE)*(F516-Calc!F21)),Inputs!$B$18+((C518=TRUE)*(F518-Calc!F23))))/100)*((1+(((C508=TRUE)*F508*IF(Inputs!$B$3&gt;=110,7,5))+((C510=TRUE)*F510*IF(AND(Inputs!$B$38&lt;&gt;"pvp",Inputs!$B$43&gt;0),(((R510-1)*(Skills!T15*(1+Inputs!$B$34/100))+MIN((Skills!T15*(1+Inputs!$B$34/100)),MAX(0,Inputs!$B$43-((R510-1)*Skills!D15))))/Inputs!$B$43),IF(Inputs!$B$38="pvp",MIN((Skills!T15*(1+Inputs!$B$34/100)),15)/15,(Skills!T15*(1+Inputs!$B$34/100))/Skills!D15)))+0)/100)*I504)</f>
        <v/>
      </c>
      <c r="L504">
        <f>K504*(MIN(Inputs!$B$22+((C517=TRUE)*(F517-Calc!F22)),Inputs!$B$23+((C519=TRUE)*(F519-Calc!F24)))/100+(Inputs!$B$23+((C519=TRUE)*(F519-Calc!F24)))/100)/2</f>
        <v/>
      </c>
      <c r="M504">
        <f>L504*(1+((Inputs!$B$10+1)+0+B529)/100)</f>
        <v/>
      </c>
      <c r="N504">
        <f>L504*(1-MIN((Inputs!$B$9+((C521=TRUE)*(F521-Calc!F26))+B524),100)/100)+M504*(MIN((Inputs!$B$9+((C521=TRUE)*(F521-Calc!F26))+B524),100)/100)</f>
        <v/>
      </c>
      <c r="O504">
        <f>(1-Summary!$B$55)*T504+Summary!$B$55*V504</f>
        <v/>
      </c>
      <c r="P504">
        <f>IF(B534=0,0,O504/B534)</f>
        <v/>
      </c>
      <c r="Q504">
        <f>IFERROR(1/IF(Inputs!$B$38="pvp",15,MAX(0.1,Skills!D9-IF(Skills!E9=TRUE,Inputs!$B$32,0))),0)</f>
        <v/>
      </c>
      <c r="R504">
        <f>IF(AND(Inputs!$B$38&lt;&gt;"pvp",Inputs!$B$43&gt;0),IF(MAX(0,Inputs!$B$43-B531)&lt;=0,0,(INT(MAX(0,Inputs!$B$43-B531)/IF(Inputs!$B$38="pvp",15,MAX(0.1,Skills!D9-IF(Skills!E9=TRUE,Inputs!$B$32,0))))+1)),0)</f>
        <v/>
      </c>
      <c r="S504">
        <f>IFERROR(O504/N504,0)</f>
        <v/>
      </c>
      <c r="T504">
        <f>IF(C504,(H504*N504*IF(AND(Inputs!$B$38&lt;&gt;"pvp",Inputs!$B$43&gt;0),((Skills!G9*((R504-1)*IF(Skills!H9&gt;0,Skills!I9/Skills!H9,1)+IF(Skills!H9&gt;0,MIN(Skills!I9,MAX(0,MAX(0,Inputs!$B$43-B531)-((R504-1)*IF(Inputs!$B$38="pvp",15,MAX(0.1,Skills!D9-IF(Skills!E9=TRUE,Inputs!$B$32,0))))))/Skills!H9,1)))/Inputs!$B$43),G504*Q504))*IF(Inputs!$B$38="pvp",1,1+(Inputs!$B$20+0+Skills!P9+Summary!$B$59)/100),0)</f>
        <v/>
      </c>
      <c r="V504">
        <f>IF(C504,(H504*N504*IF(AND(Inputs!$B$38&lt;&gt;"pvp",Inputs!$B$43&gt;0),((Skills!G9*((R504-1)*IF(Skills!H9&gt;0,Skills!I9/Skills!H9,1)+IF(Skills!H9&gt;0,MIN(Skills!I9,MAX(0,MAX(0,Inputs!$B$43-B531)-((R504-1)*IF(Inputs!$B$38="pvp",15,MAX(0.1,Skills!D9-IF(Skills!E9=TRUE,Inputs!$B$32,0))))))/Skills!H9,1)))/Inputs!$B$43),G504*Q504))*IF(Inputs!$B$38="pvp",1,(1+(Inputs!$B$21+Skills!Q9+Summary!$B$59)/100)*(MIN(Skills!R9,Inputs!$B$37))),0)</f>
        <v/>
      </c>
    </row>
    <row r="505">
      <c r="A505">
        <f>Skills!A10</f>
        <v/>
      </c>
      <c r="B505">
        <f>Skills!B10</f>
        <v/>
      </c>
      <c r="C505">
        <f>Inputs!$B$3&gt;=63</f>
        <v/>
      </c>
      <c r="D505">
        <f>IF(Skills!C10=1,60+Inputs!$B$25+Inputs!$B$29,IF(Skills!C10=2,90+Inputs!$B$26+Inputs!$B$29,IF(Skills!C10=3,120+Inputs!$B$27+Inputs!$B$29,MAX(0,(Inputs!$B$3-100)*3)+Inputs!$B$28+Inputs!$B$29)))</f>
        <v/>
      </c>
      <c r="E505">
        <f>INDEX(FactorTable!$B$2:$Y$301, MATCH(ROUND(MIN(300,MAX(1,D505)),0), FactorTable!$A$2:$A$301,0), Skills!M10+1)</f>
        <v/>
      </c>
      <c r="F505">
        <f>IF(Skills!N10=TRUE,(Skills!L10/10)*(E505/1000),Skills!L10/10)+Skills!O10</f>
        <v/>
      </c>
      <c r="G505">
        <f>Skills!G10*IF(Skills!H10&gt;0,Skills!I10/Skills!H10,1)</f>
        <v/>
      </c>
      <c r="H505">
        <f>1-(1-Skills!J10/100)^Skills!K10</f>
        <v/>
      </c>
      <c r="I505" t="inlineStr">
        <is>
          <t>1</t>
        </is>
      </c>
      <c r="J505">
        <f>((Inputs!$B$6*(1+Inputs!$B$7/100))+(((Inputs!$B$12*(1+Inputs!$B$13/100))-(Inputs!$B$12*(1+Inputs!$B$13/100)))+0.25*(Inputs!$B$14-Inputs!$B$14))*(1+Inputs!$B$7/100))*(F505/100)</f>
        <v/>
      </c>
      <c r="K505">
        <f>J505*(1+((Inputs!$B$12*(1+Inputs!$B$13/100))*0.01+Inputs!$B$14*0.0025)/100)*(1+Inputs!$B$15/100)*(1+Inputs!$B$16/100)*(5000/(6000+Inputs!$B$42*(1-(Inputs!$B$19+0)/100)))*(1+(Inputs!$B$24+((C520=TRUE)*(F520-Calc!F25))+B530)/100)*(1+1.5*IF(C507=TRUE,F507,0)/100)*(1+IF(Skills!A10="ENHANCED_RAGING_BLOW",IF(Inputs!$B$3&gt;=134,MAX(0,IF(Inputs!$B$3&gt;=110,7,5)-5)*50,0),0)/100)*(1+(IF(Skills!A10="RAGING_BLOW",Inputs!$B$17+((C516=TRUE)*(F516-Calc!F21)),Inputs!$B$18+((C518=TRUE)*(F518-Calc!F23))))/100)*((1+(((C508=TRUE)*F508*IF(Inputs!$B$3&gt;=110,7,5))+((C510=TRUE)*F510*IF(AND(Inputs!$B$38&lt;&gt;"pvp",Inputs!$B$43&gt;0),(((R510-1)*(Skills!T15*(1+Inputs!$B$34/100))+MIN((Skills!T15*(1+Inputs!$B$34/100)),MAX(0,Inputs!$B$43-((R510-1)*Skills!D15))))/Inputs!$B$43),IF(Inputs!$B$38="pvp",MIN((Skills!T15*(1+Inputs!$B$34/100)),15)/15,(Skills!T15*(1+Inputs!$B$34/100))/Skills!D15)))+0)/100)*I505)</f>
        <v/>
      </c>
      <c r="L505">
        <f>K505*(MIN(Inputs!$B$22+((C517=TRUE)*(F517-Calc!F22)),Inputs!$B$23+((C519=TRUE)*(F519-Calc!F24)))/100+(Inputs!$B$23+((C519=TRUE)*(F519-Calc!F24)))/100)/2</f>
        <v/>
      </c>
      <c r="M505">
        <f>L505*(1+((Inputs!$B$10+1)+0+B529)/100)</f>
        <v/>
      </c>
      <c r="N505">
        <f>L505*(1-MIN((Inputs!$B$9+((C521=TRUE)*(F521-Calc!F26))+B524),100)/100)+M505*(MIN((Inputs!$B$9+((C521=TRUE)*(F521-Calc!F26))+B524),100)/100)</f>
        <v/>
      </c>
      <c r="O505">
        <f>(1-Summary!$B$55)*T505+Summary!$B$55*V505</f>
        <v/>
      </c>
      <c r="P505">
        <f>IF(B534=0,0,O505/B534)</f>
        <v/>
      </c>
      <c r="Q505">
        <f>IFERROR(1/IF(Inputs!$B$38="pvp",15,MAX(0.1,Skills!D10-IF(Skills!E10=TRUE,Inputs!$B$32,0))),0)</f>
        <v/>
      </c>
      <c r="R505">
        <f>IF(AND(Inputs!$B$38&lt;&gt;"pvp",Inputs!$B$43&gt;0),IF(MAX(0,Inputs!$B$43-B531)&lt;=0,0,(INT(MAX(0,Inputs!$B$43-B531)/IF(Inputs!$B$38="pvp",15,MAX(0.1,Skills!D10-IF(Skills!E10=TRUE,Inputs!$B$32,0))))+1)),0)</f>
        <v/>
      </c>
      <c r="S505">
        <f>IFERROR(O505/N505,0)</f>
        <v/>
      </c>
      <c r="T505">
        <f>IF(C505,(H505*N505*IF(AND(Inputs!$B$38&lt;&gt;"pvp",Inputs!$B$43&gt;0),((Skills!G10*((R505-1)*IF(Skills!H10&gt;0,Skills!I10/Skills!H10,1)+IF(Skills!H10&gt;0,MIN(Skills!I10,MAX(0,MAX(0,Inputs!$B$43-B531)-((R505-1)*IF(Inputs!$B$38="pvp",15,MAX(0.1,Skills!D10-IF(Skills!E10=TRUE,Inputs!$B$32,0))))))/Skills!H10,1)))/Inputs!$B$43),G505*Q505))*IF(Inputs!$B$38="pvp",1,1+(Inputs!$B$20+0+Skills!P10+Summary!$B$59)/100),0)</f>
        <v/>
      </c>
      <c r="V505">
        <f>IF(C505,(H505*N505*IF(AND(Inputs!$B$38&lt;&gt;"pvp",Inputs!$B$43&gt;0),((Skills!G10*((R505-1)*IF(Skills!H10&gt;0,Skills!I10/Skills!H10,1)+IF(Skills!H10&gt;0,MIN(Skills!I10,MAX(0,MAX(0,Inputs!$B$43-B531)-((R505-1)*IF(Inputs!$B$38="pvp",15,MAX(0.1,Skills!D10-IF(Skills!E10=TRUE,Inputs!$B$32,0))))))/Skills!H10,1)))/Inputs!$B$43),G505*Q505))*IF(Inputs!$B$38="pvp",1,(1+(Inputs!$B$21+Skills!Q10+Summary!$B$59)/100)*(MIN(Skills!R10,Inputs!$B$37))),0)</f>
        <v/>
      </c>
    </row>
    <row r="506">
      <c r="A506">
        <f>Skills!A11</f>
        <v/>
      </c>
      <c r="B506">
        <f>Skills!B11</f>
        <v/>
      </c>
      <c r="C506">
        <f>Inputs!$B$3&gt;=35</f>
        <v/>
      </c>
      <c r="D506">
        <f>IF(Skills!C11=1,60+Inputs!$B$25+Inputs!$B$29,IF(Skills!C11=2,90+Inputs!$B$26+Inputs!$B$29,IF(Skills!C11=3,120+Inputs!$B$27+Inputs!$B$29,MAX(0,(Inputs!$B$3-100)*3)+Inputs!$B$28+Inputs!$B$29)))</f>
        <v/>
      </c>
      <c r="E506">
        <f>INDEX(FactorTable!$B$2:$Y$301, MATCH(ROUND(MIN(300,MAX(1,D506)),0), FactorTable!$A$2:$A$301,0), Skills!M11+1)</f>
        <v/>
      </c>
      <c r="F506">
        <f>IF(Skills!N11=TRUE,(Skills!L11/10)*(E506/1000),Skills!L11/10)+Skills!O11</f>
        <v/>
      </c>
      <c r="G506">
        <f>Skills!G11*IF(Skills!H11&gt;0,Skills!I11/Skills!H11,1)</f>
        <v/>
      </c>
      <c r="H506">
        <f>1-(1-Skills!J11/100)^Skills!K11</f>
        <v/>
      </c>
      <c r="I506" t="inlineStr">
        <is>
          <t>1</t>
        </is>
      </c>
      <c r="J506">
        <f>((Inputs!$B$6*(1+Inputs!$B$7/100))+(((Inputs!$B$12*(1+Inputs!$B$13/100))-(Inputs!$B$12*(1+Inputs!$B$13/100)))+0.25*(Inputs!$B$14-Inputs!$B$14))*(1+Inputs!$B$7/100))*(F506/100)</f>
        <v/>
      </c>
      <c r="K506">
        <f>J506*(1+((Inputs!$B$12*(1+Inputs!$B$13/100))*0.01+Inputs!$B$14*0.0025)/100)*(1+Inputs!$B$15/100)*(1+Inputs!$B$16/100)*(5000/(6000+Inputs!$B$42*(1-(Inputs!$B$19+0)/100)))*(1+(Inputs!$B$24+((C520=TRUE)*(F520-Calc!F25))+B530)/100)*(1+4.0*IF(C507=TRUE,F507,0)/100)*(1+IF(Skills!A11="ENHANCED_RAGING_BLOW",IF(Inputs!$B$3&gt;=134,MAX(0,IF(Inputs!$B$3&gt;=110,7,5)-5)*50,0),0)/100)*(1+(IF(Skills!A11="RAGING_BLOW",Inputs!$B$17+((C516=TRUE)*(F516-Calc!F21)),Inputs!$B$18+((C518=TRUE)*(F518-Calc!F23))))/100)*((1+(((C508=TRUE)*F508*IF(Inputs!$B$3&gt;=110,7,5))+((C510=TRUE)*F510*IF(AND(Inputs!$B$38&lt;&gt;"pvp",Inputs!$B$43&gt;0),(((R510-1)*(Skills!T15*(1+Inputs!$B$34/100))+MIN((Skills!T15*(1+Inputs!$B$34/100)),MAX(0,Inputs!$B$43-((R510-1)*Skills!D15))))/Inputs!$B$43),IF(Inputs!$B$38="pvp",MIN((Skills!T15*(1+Inputs!$B$34/100)),15)/15,(Skills!T15*(1+Inputs!$B$34/100))/Skills!D15)))+0)/100)*I506)</f>
        <v/>
      </c>
      <c r="L506">
        <f>K506*(MIN(Inputs!$B$22+((C517=TRUE)*(F517-Calc!F22)),Inputs!$B$23+((C519=TRUE)*(F519-Calc!F24)))/100+(Inputs!$B$23+((C519=TRUE)*(F519-Calc!F24)))/100)/2</f>
        <v/>
      </c>
      <c r="M506">
        <f>L506*(1+((Inputs!$B$10+1)+0+B529)/100)</f>
        <v/>
      </c>
      <c r="N506">
        <f>L506*(1-MIN((Inputs!$B$9+((C521=TRUE)*(F521-Calc!F26))+B524),100)/100)+M506*(MIN((Inputs!$B$9+((C521=TRUE)*(F521-Calc!F26))+B524),100)/100)</f>
        <v/>
      </c>
      <c r="O506">
        <f>(1-Summary!$B$55)*T506+Summary!$B$55*V506</f>
        <v/>
      </c>
      <c r="P506">
        <f>IF(B534=0,0,O506/B534)</f>
        <v/>
      </c>
      <c r="Q506">
        <f>IFERROR(1/IF(Inputs!$B$38="pvp",15,MAX(0.1,Skills!D11-IF(Skills!E11=TRUE,Inputs!$B$32,0))),0)</f>
        <v/>
      </c>
      <c r="R506">
        <f>IF(AND(Inputs!$B$38&lt;&gt;"pvp",Inputs!$B$43&gt;0),IF(MAX(0,Inputs!$B$43-B531)&lt;=0,0,(INT(MAX(0,Inputs!$B$43-B531)/IF(Inputs!$B$38="pvp",15,MAX(0.1,Skills!D11-IF(Skills!E11=TRUE,Inputs!$B$32,0))))+1)),0)</f>
        <v/>
      </c>
      <c r="S506">
        <f>IFERROR(O506/N506,0)</f>
        <v/>
      </c>
      <c r="T506">
        <f>IF(C506,(H506*N506*IF(AND(Inputs!$B$38&lt;&gt;"pvp",Inputs!$B$43&gt;0),((Skills!G11*((R506-1)*IF(Skills!H11&gt;0,Skills!I11/Skills!H11,1)+IF(Skills!H11&gt;0,MIN(Skills!I11,MAX(0,MAX(0,Inputs!$B$43-B531)-((R506-1)*IF(Inputs!$B$38="pvp",15,MAX(0.1,Skills!D11-IF(Skills!E11=TRUE,Inputs!$B$32,0))))))/Skills!H11,1)))/Inputs!$B$43),G506*Q506))*IF(Inputs!$B$38="pvp",1,1+(Inputs!$B$20+0+Skills!P11+Summary!$B$59)/100),0)</f>
        <v/>
      </c>
      <c r="V506">
        <f>IF(C506,(H506*N506*IF(AND(Inputs!$B$38&lt;&gt;"pvp",Inputs!$B$43&gt;0),((Skills!G11*((R506-1)*IF(Skills!H11&gt;0,Skills!I11/Skills!H11,1)+IF(Skills!H11&gt;0,MIN(Skills!I11,MAX(0,MAX(0,Inputs!$B$43-B531)-((R506-1)*IF(Inputs!$B$38="pvp",15,MAX(0.1,Skills!D11-IF(Skills!E11=TRUE,Inputs!$B$32,0))))))/Skills!H11,1)))/Inputs!$B$43),G506*Q506))*IF(Inputs!$B$38="pvp",1,(1+(Inputs!$B$21+Skills!Q11+Summary!$B$59)/100)*(MIN(Skills!R11,Inputs!$B$37))),0)</f>
        <v/>
      </c>
    </row>
    <row r="507">
      <c r="A507">
        <f>Skills!A12</f>
        <v/>
      </c>
      <c r="B507">
        <f>Skills!B12</f>
        <v/>
      </c>
      <c r="C507">
        <f>Inputs!$B$3&gt;=100</f>
        <v/>
      </c>
      <c r="D507">
        <f>IF(Skills!C12=1,60+Inputs!$B$25+Inputs!$B$29,IF(Skills!C12=2,90+Inputs!$B$26+Inputs!$B$29,IF(Skills!C12=3,120+Inputs!$B$27+Inputs!$B$29,MAX(0,(Inputs!$B$3-100)*3)+Inputs!$B$28+Inputs!$B$29)))</f>
        <v/>
      </c>
      <c r="E507">
        <f>INDEX(FactorTable!$B$2:$Y$301, MATCH(ROUND(MIN(300,MAX(1,D507)),0), FactorTable!$A$2:$A$301,0), Skills!M12+1)</f>
        <v/>
      </c>
      <c r="F507">
        <f>IF(Skills!N12=TRUE,(Skills!L12/10)*(E507/1000),Skills!L12/10)+Skills!O12</f>
        <v/>
      </c>
      <c r="G507" t="inlineStr"/>
      <c r="H507" t="inlineStr"/>
      <c r="I507" t="inlineStr">
        <is>
          <t>1</t>
        </is>
      </c>
      <c r="J507" t="inlineStr"/>
      <c r="K507" t="inlineStr"/>
      <c r="L507" t="inlineStr"/>
      <c r="M507" t="inlineStr"/>
      <c r="N507" t="inlineStr"/>
      <c r="O507" t="inlineStr"/>
      <c r="P507" t="inlineStr"/>
      <c r="Q507" t="inlineStr"/>
      <c r="R507" t="inlineStr"/>
      <c r="S507" t="inlineStr"/>
    </row>
    <row r="508">
      <c r="A508">
        <f>Skills!A13</f>
        <v/>
      </c>
      <c r="B508">
        <f>Skills!B13</f>
        <v/>
      </c>
      <c r="C508">
        <f>Inputs!$B$3&gt;=45</f>
        <v/>
      </c>
      <c r="D508">
        <f>IF(Skills!C13=1,60+Inputs!$B$25+Inputs!$B$29,IF(Skills!C13=2,90+Inputs!$B$26+Inputs!$B$29,IF(Skills!C13=3,120+Inputs!$B$27+Inputs!$B$29,MAX(0,(Inputs!$B$3-100)*3)+Inputs!$B$28+Inputs!$B$29)))</f>
        <v/>
      </c>
      <c r="E508">
        <f>INDEX(FactorTable!$B$2:$Y$301, MATCH(ROUND(MIN(300,MAX(1,D508)),0), FactorTable!$A$2:$A$301,0), Skills!M13+1)</f>
        <v/>
      </c>
      <c r="F508">
        <f>IF(Skills!N13=TRUE,(Skills!L13/10)*(E508/1000),Skills!L13/10)+Skills!O13</f>
        <v/>
      </c>
      <c r="G508">
        <f>Skills!G13*IF(Skills!H13&gt;0,Skills!I13/Skills!H13,1)</f>
        <v/>
      </c>
      <c r="H508">
        <f>1-(1-Skills!J13/100)^Skills!K13</f>
        <v/>
      </c>
      <c r="I508" t="inlineStr">
        <is>
          <t>1</t>
        </is>
      </c>
      <c r="J508" t="inlineStr"/>
      <c r="K508" t="inlineStr"/>
      <c r="L508" t="inlineStr"/>
      <c r="M508" t="inlineStr"/>
      <c r="N508" t="inlineStr"/>
      <c r="O508">
        <f>(1-Summary!$B$55)*T508+Summary!$B$55*V508</f>
        <v/>
      </c>
      <c r="P508">
        <f>IF(B534=0,0,O508/B534)</f>
        <v/>
      </c>
      <c r="Q508" t="n">
        <v>0</v>
      </c>
      <c r="R508" t="n">
        <v>0</v>
      </c>
      <c r="S508">
        <f>IFERROR(O508/N508,0)</f>
        <v/>
      </c>
      <c r="T508" t="n">
        <v>0</v>
      </c>
      <c r="V508" t="n">
        <v>0</v>
      </c>
    </row>
    <row r="509">
      <c r="A509">
        <f>Skills!A14</f>
        <v/>
      </c>
      <c r="B509">
        <f>Skills!B14</f>
        <v/>
      </c>
      <c r="C509">
        <f>Inputs!$B$3&gt;=75</f>
        <v/>
      </c>
      <c r="D509">
        <f>IF(Skills!C14=1,60+Inputs!$B$25+Inputs!$B$29,IF(Skills!C14=2,90+Inputs!$B$26+Inputs!$B$29,IF(Skills!C14=3,120+Inputs!$B$27+Inputs!$B$29,MAX(0,(Inputs!$B$3-100)*3)+Inputs!$B$28+Inputs!$B$29)))</f>
        <v/>
      </c>
      <c r="E509">
        <f>INDEX(FactorTable!$B$2:$Y$301, MATCH(ROUND(MIN(300,MAX(1,D509)),0), FactorTable!$A$2:$A$301,0), Skills!M14+1)</f>
        <v/>
      </c>
      <c r="F509">
        <f>IF(Skills!N14=TRUE,(Skills!L14/10)*(E509/1000),Skills!L14/10)+Skills!O14</f>
        <v/>
      </c>
      <c r="G509">
        <f>Skills!G14*IF(Skills!H14&gt;0,Skills!I14/Skills!H14,1)</f>
        <v/>
      </c>
      <c r="H509">
        <f>1-(1-Skills!J14/100)^Skills!K14</f>
        <v/>
      </c>
      <c r="I509" t="inlineStr">
        <is>
          <t>1</t>
        </is>
      </c>
      <c r="J509" t="inlineStr"/>
      <c r="K509" t="inlineStr"/>
      <c r="L509" t="inlineStr"/>
      <c r="M509" t="inlineStr"/>
      <c r="N509" t="inlineStr"/>
      <c r="O509">
        <f>(1-Summary!$B$55)*T509+Summary!$B$55*V509</f>
        <v/>
      </c>
      <c r="P509">
        <f>IF(B534=0,0,O509/B534)</f>
        <v/>
      </c>
      <c r="Q509" t="n">
        <v>0</v>
      </c>
      <c r="R509" t="n">
        <v>0</v>
      </c>
      <c r="S509">
        <f>IFERROR(O509/N509,0)</f>
        <v/>
      </c>
      <c r="T509" t="n">
        <v>0</v>
      </c>
      <c r="V509" t="n">
        <v>0</v>
      </c>
    </row>
    <row r="510">
      <c r="A510">
        <f>Skills!A15</f>
        <v/>
      </c>
      <c r="B510">
        <f>Skills!B15</f>
        <v/>
      </c>
      <c r="C510">
        <f>Inputs!$B$3&gt;=40</f>
        <v/>
      </c>
      <c r="D510">
        <f>IF(Skills!C15=1,60+Inputs!$B$25+Inputs!$B$29,IF(Skills!C15=2,90+Inputs!$B$26+Inputs!$B$29,IF(Skills!C15=3,120+Inputs!$B$27+Inputs!$B$29,MAX(0,(Inputs!$B$3-100)*3)+Inputs!$B$28+Inputs!$B$29)))</f>
        <v/>
      </c>
      <c r="E510">
        <f>INDEX(FactorTable!$B$2:$Y$301, MATCH(ROUND(MIN(300,MAX(1,D510)),0), FactorTable!$A$2:$A$301,0), Skills!M15+1)</f>
        <v/>
      </c>
      <c r="F510">
        <f>IF(Skills!N15=TRUE,(Skills!L15/10)*(E510/1000),Skills!L15/10)+Skills!O15</f>
        <v/>
      </c>
      <c r="G510">
        <f>Skills!G15*IF(Skills!H15&gt;0,Skills!I15/Skills!H15,1)</f>
        <v/>
      </c>
      <c r="H510">
        <f>1-(1-Skills!J15/100)^Skills!K15</f>
        <v/>
      </c>
      <c r="I510" t="inlineStr">
        <is>
          <t>1</t>
        </is>
      </c>
      <c r="J510" t="inlineStr"/>
      <c r="K510" t="inlineStr"/>
      <c r="L510" t="inlineStr"/>
      <c r="M510" t="inlineStr"/>
      <c r="N510" t="inlineStr"/>
      <c r="O510">
        <f>(1-Summary!$B$55)*T510+Summary!$B$55*V510</f>
        <v/>
      </c>
      <c r="P510">
        <f>IF(B534=0,0,O510/B534)</f>
        <v/>
      </c>
      <c r="Q510">
        <f>IFERROR(1/IF(Inputs!$B$38="pvp",15,MAX(0.1,Skills!D15-IF(Skills!E15=TRUE,Inputs!$B$32,0))),0)</f>
        <v/>
      </c>
      <c r="R510">
        <f>IF(AND(Inputs!$B$38&lt;&gt;"pvp",Inputs!$B$43&gt;0),IF(Inputs!$B$43&lt;=0,0,(INT(Inputs!$B$43/IF(Inputs!$B$38="pvp",15,MAX(0.1,Skills!D15-IF(Skills!E15=TRUE,Inputs!$B$32,0))))+1)),0)</f>
        <v/>
      </c>
      <c r="S510">
        <f>IFERROR(O510/N510,0)</f>
        <v/>
      </c>
      <c r="T510" t="n">
        <v>0</v>
      </c>
      <c r="V510" t="n">
        <v>0</v>
      </c>
    </row>
    <row r="511">
      <c r="A511">
        <f>Skills!A16</f>
        <v/>
      </c>
      <c r="B511">
        <f>Skills!B16</f>
        <v/>
      </c>
      <c r="C511">
        <f>Inputs!$B$3&gt;=66</f>
        <v/>
      </c>
      <c r="D511">
        <f>IF(Skills!C16=1,60+Inputs!$B$25+Inputs!$B$29,IF(Skills!C16=2,90+Inputs!$B$26+Inputs!$B$29,IF(Skills!C16=3,120+Inputs!$B$27+Inputs!$B$29,MAX(0,(Inputs!$B$3-100)*3)+Inputs!$B$28+Inputs!$B$29)))</f>
        <v/>
      </c>
      <c r="E511">
        <f>INDEX(FactorTable!$B$2:$Y$301, MATCH(ROUND(MIN(300,MAX(1,D511)),0), FactorTable!$A$2:$A$301,0), Skills!M16+1)</f>
        <v/>
      </c>
      <c r="F511">
        <f>IF(Skills!N16=TRUE,(Skills!L16/10)*(E511/1000),Skills!L16/10)+Skills!O16</f>
        <v/>
      </c>
      <c r="G511">
        <f>Skills!G16*IF(Skills!H16&gt;0,Skills!I16/Skills!H16,1)</f>
        <v/>
      </c>
      <c r="H511">
        <f>1-(1-Skills!J16/100)^Skills!K16</f>
        <v/>
      </c>
      <c r="I511" t="inlineStr">
        <is>
          <t>1</t>
        </is>
      </c>
      <c r="J511" t="inlineStr"/>
      <c r="K511" t="inlineStr"/>
      <c r="L511" t="inlineStr"/>
      <c r="M511" t="inlineStr"/>
      <c r="N511" t="inlineStr"/>
      <c r="O511">
        <f>(1-Summary!$B$55)*T511+Summary!$B$55*V511</f>
        <v/>
      </c>
      <c r="P511">
        <f>IF(B534=0,0,O511/B534)</f>
        <v/>
      </c>
      <c r="Q511">
        <f>IFERROR(1/IF(Inputs!$B$38="pvp",15,MAX(0.1,Skills!D16-IF(Skills!E16=TRUE,Inputs!$B$32,0))),0)</f>
        <v/>
      </c>
      <c r="R511">
        <f>IF(AND(Inputs!$B$38&lt;&gt;"pvp",Inputs!$B$43&gt;0),IF(Inputs!$B$43&lt;=0,0,(INT(Inputs!$B$43/IF(Inputs!$B$38="pvp",15,MAX(0.1,Skills!D16-IF(Skills!E16=TRUE,Inputs!$B$32,0))))+1)),0)</f>
        <v/>
      </c>
      <c r="S511">
        <f>IFERROR(O511/N511,0)</f>
        <v/>
      </c>
      <c r="T511" t="n">
        <v>0</v>
      </c>
      <c r="V511" t="n">
        <v>0</v>
      </c>
    </row>
    <row r="512">
      <c r="A512">
        <f>Skills!A17</f>
        <v/>
      </c>
      <c r="B512">
        <f>Skills!B17</f>
        <v/>
      </c>
      <c r="C512">
        <f>Inputs!$B$3&gt;=115</f>
        <v/>
      </c>
      <c r="D512">
        <f>IF(Skills!C17=1,60+Inputs!$B$25+Inputs!$B$29,IF(Skills!C17=2,90+Inputs!$B$26+Inputs!$B$29,IF(Skills!C17=3,120+Inputs!$B$27+Inputs!$B$29,MAX(0,(Inputs!$B$3-100)*3)+Inputs!$B$28+Inputs!$B$29)))</f>
        <v/>
      </c>
      <c r="E512">
        <f>INDEX(FactorTable!$B$2:$Y$301, MATCH(ROUND(MIN(300,MAX(1,D512)),0), FactorTable!$A$2:$A$301,0), Skills!M17+1)</f>
        <v/>
      </c>
      <c r="F512">
        <f>IF(Skills!N17=TRUE,(Skills!L17/10)*(E512/1000),Skills!L17/10)+Skills!O17</f>
        <v/>
      </c>
      <c r="G512">
        <f>Skills!G17*IF(Skills!H17&gt;0,Skills!I17/Skills!H17,1)</f>
        <v/>
      </c>
      <c r="H512">
        <f>1-(1-Skills!J17/100)^Skills!K17</f>
        <v/>
      </c>
      <c r="I512" t="inlineStr">
        <is>
          <t>1</t>
        </is>
      </c>
      <c r="J512" t="inlineStr"/>
      <c r="K512" t="inlineStr"/>
      <c r="L512" t="inlineStr"/>
      <c r="M512" t="inlineStr"/>
      <c r="N512" t="inlineStr"/>
      <c r="O512">
        <f>(1-Summary!$B$55)*T512+Summary!$B$55*V512</f>
        <v/>
      </c>
      <c r="P512">
        <f>IF(B534=0,0,O512/B534)</f>
        <v/>
      </c>
      <c r="Q512">
        <f>IFERROR(1/IF(Inputs!$B$38="pvp",15,MAX(0.1,Skills!D17-IF(Skills!E17=TRUE,Inputs!$B$32,0))),0)</f>
        <v/>
      </c>
      <c r="R512">
        <f>IF(AND(Inputs!$B$38&lt;&gt;"pvp",Inputs!$B$43&gt;0),IF(Inputs!$B$43&lt;=0,0,(INT(Inputs!$B$43/IF(Inputs!$B$38="pvp",15,MAX(0.1,Skills!D17-IF(Skills!E17=TRUE,Inputs!$B$32,0))))+1)),0)</f>
        <v/>
      </c>
      <c r="S512">
        <f>IFERROR(O512/N512,0)</f>
        <v/>
      </c>
      <c r="T512" t="n">
        <v>0</v>
      </c>
      <c r="V512" t="n">
        <v>0</v>
      </c>
    </row>
    <row r="513">
      <c r="A513">
        <f>Skills!A18</f>
        <v/>
      </c>
      <c r="B513">
        <f>Skills!B18</f>
        <v/>
      </c>
      <c r="C513">
        <f>Inputs!$B$3&gt;=115</f>
        <v/>
      </c>
      <c r="D513">
        <f>IF(Skills!C18=1,60+Inputs!$B$25+Inputs!$B$29,IF(Skills!C18=2,90+Inputs!$B$26+Inputs!$B$29,IF(Skills!C18=3,120+Inputs!$B$27+Inputs!$B$29,MAX(0,(Inputs!$B$3-100)*3)+Inputs!$B$28+Inputs!$B$29)))</f>
        <v/>
      </c>
      <c r="E513">
        <f>INDEX(FactorTable!$B$2:$Y$301, MATCH(ROUND(MIN(300,MAX(1,D513)),0), FactorTable!$A$2:$A$301,0), Skills!M18+1)</f>
        <v/>
      </c>
      <c r="F513">
        <f>IF(Skills!N18=TRUE,(Skills!L18/10)*(E513/1000),Skills!L18/10)+Skills!O18</f>
        <v/>
      </c>
      <c r="G513">
        <f>Skills!G18*IF(Skills!H18&gt;0,Skills!I18/Skills!H18,1)</f>
        <v/>
      </c>
      <c r="H513">
        <f>1-(1-Skills!J18/100)^Skills!K18</f>
        <v/>
      </c>
      <c r="I513" t="inlineStr">
        <is>
          <t>1</t>
        </is>
      </c>
      <c r="J513" t="inlineStr"/>
      <c r="K513" t="inlineStr"/>
      <c r="L513" t="inlineStr"/>
      <c r="M513" t="inlineStr"/>
      <c r="N513" t="inlineStr"/>
      <c r="O513">
        <f>(1-Summary!$B$55)*T513+Summary!$B$55*V513</f>
        <v/>
      </c>
      <c r="P513">
        <f>IF(B534=0,0,O513/B534)</f>
        <v/>
      </c>
      <c r="Q513">
        <f>IFERROR(1/IF(Inputs!$B$38="pvp",15,MAX(0.1,Skills!D18-IF(Skills!E18=TRUE,Inputs!$B$32,0))),0)</f>
        <v/>
      </c>
      <c r="R513">
        <f>IF(AND(Inputs!$B$38&lt;&gt;"pvp",Inputs!$B$43&gt;0),IF(Inputs!$B$43&lt;=0,0,(INT(Inputs!$B$43/IF(Inputs!$B$38="pvp",15,MAX(0.1,Skills!D18-IF(Skills!E18=TRUE,Inputs!$B$32,0))))+1)),0)</f>
        <v/>
      </c>
      <c r="S513">
        <f>IFERROR(O513/N513,0)</f>
        <v/>
      </c>
      <c r="T513" t="n">
        <v>0</v>
      </c>
      <c r="V513" t="n">
        <v>0</v>
      </c>
    </row>
    <row r="514">
      <c r="A514">
        <f>Skills!A19</f>
        <v/>
      </c>
      <c r="B514">
        <f>Skills!B19</f>
        <v/>
      </c>
      <c r="C514">
        <f>TRUE</f>
        <v/>
      </c>
      <c r="D514">
        <f>IF(Skills!C19=1,60+Inputs!$B$25+Inputs!$B$29,IF(Skills!C19=2,90+Inputs!$B$26+Inputs!$B$29,IF(Skills!C19=3,120+Inputs!$B$27+Inputs!$B$29,MAX(0,(Inputs!$B$3-100)*3)+Inputs!$B$28+Inputs!$B$29)))</f>
        <v/>
      </c>
      <c r="E514">
        <f>INDEX(FactorTable!$B$2:$Y$301, MATCH(ROUND(MIN(300,MAX(1,D514)),0), FactorTable!$A$2:$A$301,0), Skills!M19+1)</f>
        <v/>
      </c>
      <c r="F514">
        <f>IF(Skills!N19=TRUE,(Skills!L19/10)*(E514/1000),Skills!L19/10)+Skills!O19</f>
        <v/>
      </c>
      <c r="G514">
        <f>Skills!G19*IF(Skills!H19&gt;0,Skills!I19/Skills!H19,1)</f>
        <v/>
      </c>
      <c r="H514">
        <f>1-(1-Skills!J19/100)^Skills!K19</f>
        <v/>
      </c>
      <c r="I514" t="inlineStr">
        <is>
          <t>1</t>
        </is>
      </c>
      <c r="J514" t="inlineStr"/>
      <c r="K514" t="inlineStr"/>
      <c r="L514" t="inlineStr"/>
      <c r="M514" t="inlineStr"/>
      <c r="N514" t="inlineStr"/>
      <c r="O514">
        <f>(1-Summary!$B$55)*T514+Summary!$B$55*V514</f>
        <v/>
      </c>
      <c r="P514">
        <f>IF(B534=0,0,O514/B534)</f>
        <v/>
      </c>
      <c r="Q514">
        <f>IFERROR(1/IF(Inputs!$B$38="pvp",15,MAX(0.1,Skills!D19-IF(Skills!E19=TRUE,Inputs!$B$32,0))),0)</f>
        <v/>
      </c>
      <c r="R514">
        <f>IF(AND(Inputs!$B$38&lt;&gt;"pvp",Inputs!$B$43&gt;0),IF(Inputs!$B$43&lt;=0,0,(INT(Inputs!$B$43/IF(Inputs!$B$38="pvp",15,MAX(0.1,Skills!D19-IF(Skills!E19=TRUE,Inputs!$B$32,0))))+1)),0)</f>
        <v/>
      </c>
      <c r="S514">
        <f>IFERROR(O514/N514,0)</f>
        <v/>
      </c>
      <c r="T514" t="n">
        <v>0</v>
      </c>
      <c r="V514" t="n">
        <v>0</v>
      </c>
    </row>
    <row r="515">
      <c r="A515">
        <f>Skills!A20</f>
        <v/>
      </c>
      <c r="B515">
        <f>Skills!B20</f>
        <v/>
      </c>
      <c r="C515">
        <f>Inputs!$B$3&gt;=33</f>
        <v/>
      </c>
      <c r="D515">
        <f>IF(Skills!C20=1,60+Inputs!$B$25+Inputs!$B$29,IF(Skills!C20=2,90+Inputs!$B$26+Inputs!$B$29,IF(Skills!C20=3,120+Inputs!$B$27+Inputs!$B$29,MAX(0,(Inputs!$B$3-100)*3)+Inputs!$B$28+Inputs!$B$29)))</f>
        <v/>
      </c>
      <c r="E515">
        <f>INDEX(FactorTable!$B$2:$Y$301, MATCH(ROUND(MIN(300,MAX(1,D515)),0), FactorTable!$A$2:$A$301,0), Skills!M20+1)</f>
        <v/>
      </c>
      <c r="F515">
        <f>IF(Skills!N20=TRUE,(Skills!L20/10)*(E515/1000),Skills!L20/10)+Skills!O20</f>
        <v/>
      </c>
      <c r="G515">
        <f>Skills!G20*IF(Skills!H20&gt;0,Skills!I20/Skills!H20,1)</f>
        <v/>
      </c>
      <c r="H515">
        <f>1-(1-Skills!J20/100)^Skills!K20</f>
        <v/>
      </c>
      <c r="I515" t="inlineStr">
        <is>
          <t>1</t>
        </is>
      </c>
      <c r="J515" t="inlineStr"/>
      <c r="K515" t="inlineStr"/>
      <c r="L515" t="inlineStr"/>
      <c r="M515" t="inlineStr"/>
      <c r="N515" t="inlineStr"/>
      <c r="O515">
        <f>(1-Summary!$B$55)*T515+Summary!$B$55*V515</f>
        <v/>
      </c>
      <c r="P515">
        <f>IF(B534=0,0,O515/B534)</f>
        <v/>
      </c>
      <c r="Q515" t="n">
        <v>0</v>
      </c>
      <c r="R515" t="n">
        <v>0</v>
      </c>
      <c r="S515">
        <f>IFERROR(O515/N515,0)</f>
        <v/>
      </c>
      <c r="T515" t="n">
        <v>0</v>
      </c>
      <c r="V515" t="n">
        <v>0</v>
      </c>
    </row>
    <row r="516">
      <c r="A516">
        <f>Skills!A21</f>
        <v/>
      </c>
      <c r="B516">
        <f>Skills!B21</f>
        <v/>
      </c>
      <c r="C516">
        <f>Inputs!$B$3&gt;=38</f>
        <v/>
      </c>
      <c r="D516">
        <f>IF(Skills!C21=1,60+Inputs!$B$25+Inputs!$B$29,IF(Skills!C21=2,90+Inputs!$B$26+Inputs!$B$29,IF(Skills!C21=3,120+Inputs!$B$27+Inputs!$B$29,MAX(0,(Inputs!$B$3-100)*3)+Inputs!$B$28+Inputs!$B$29)))</f>
        <v/>
      </c>
      <c r="E516">
        <f>INDEX(FactorTable!$B$2:$Y$301, MATCH(ROUND(MIN(300,MAX(1,D516)),0), FactorTable!$A$2:$A$301,0), Skills!M21+1)</f>
        <v/>
      </c>
      <c r="F516">
        <f>IF(Skills!N21=TRUE,(Skills!L21/10)*(E516/1000),Skills!L21/10)+Skills!O21</f>
        <v/>
      </c>
      <c r="G516">
        <f>Skills!G21*IF(Skills!H21&gt;0,Skills!I21/Skills!H21,1)</f>
        <v/>
      </c>
      <c r="H516">
        <f>1-(1-Skills!J21/100)^Skills!K21</f>
        <v/>
      </c>
      <c r="I516" t="inlineStr">
        <is>
          <t>1</t>
        </is>
      </c>
      <c r="J516" t="inlineStr"/>
      <c r="K516" t="inlineStr"/>
      <c r="L516" t="inlineStr"/>
      <c r="M516" t="inlineStr"/>
      <c r="N516" t="inlineStr"/>
      <c r="O516">
        <f>(1-Summary!$B$55)*T516+Summary!$B$55*V516</f>
        <v/>
      </c>
      <c r="P516">
        <f>IF(B534=0,0,O516/B534)</f>
        <v/>
      </c>
      <c r="Q516" t="n">
        <v>0</v>
      </c>
      <c r="R516" t="n">
        <v>0</v>
      </c>
      <c r="S516">
        <f>IFERROR(O516/N516,0)</f>
        <v/>
      </c>
      <c r="T516" t="n">
        <v>0</v>
      </c>
      <c r="V516" t="n">
        <v>0</v>
      </c>
    </row>
    <row r="517">
      <c r="A517">
        <f>Skills!A22</f>
        <v/>
      </c>
      <c r="B517">
        <f>Skills!B22</f>
        <v/>
      </c>
      <c r="C517">
        <f>Inputs!$B$3&gt;=43</f>
        <v/>
      </c>
      <c r="D517">
        <f>IF(Skills!C22=1,60+Inputs!$B$25+Inputs!$B$29,IF(Skills!C22=2,90+Inputs!$B$26+Inputs!$B$29,IF(Skills!C22=3,120+Inputs!$B$27+Inputs!$B$29,MAX(0,(Inputs!$B$3-100)*3)+Inputs!$B$28+Inputs!$B$29)))</f>
        <v/>
      </c>
      <c r="E517">
        <f>INDEX(FactorTable!$B$2:$Y$301, MATCH(ROUND(MIN(300,MAX(1,D517)),0), FactorTable!$A$2:$A$301,0), Skills!M22+1)</f>
        <v/>
      </c>
      <c r="F517">
        <f>IF(Skills!N22=TRUE,(Skills!L22/10)*(E517/1000),Skills!L22/10)+Skills!O22</f>
        <v/>
      </c>
      <c r="G517">
        <f>Skills!G22*IF(Skills!H22&gt;0,Skills!I22/Skills!H22,1)</f>
        <v/>
      </c>
      <c r="H517">
        <f>1-(1-Skills!J22/100)^Skills!K22</f>
        <v/>
      </c>
      <c r="I517" t="inlineStr">
        <is>
          <t>1</t>
        </is>
      </c>
      <c r="J517" t="inlineStr"/>
      <c r="K517" t="inlineStr"/>
      <c r="L517" t="inlineStr"/>
      <c r="M517" t="inlineStr"/>
      <c r="N517" t="inlineStr"/>
      <c r="O517">
        <f>(1-Summary!$B$55)*T517+Summary!$B$55*V517</f>
        <v/>
      </c>
      <c r="P517">
        <f>IF(B534=0,0,O517/B534)</f>
        <v/>
      </c>
      <c r="Q517" t="n">
        <v>0</v>
      </c>
      <c r="R517" t="n">
        <v>0</v>
      </c>
      <c r="S517">
        <f>IFERROR(O517/N517,0)</f>
        <v/>
      </c>
      <c r="T517" t="n">
        <v>0</v>
      </c>
      <c r="V517" t="n">
        <v>0</v>
      </c>
    </row>
    <row r="518">
      <c r="A518">
        <f>Skills!A23</f>
        <v/>
      </c>
      <c r="B518">
        <f>Skills!B23</f>
        <v/>
      </c>
      <c r="C518">
        <f>Inputs!$B$3&gt;=120</f>
        <v/>
      </c>
      <c r="D518">
        <f>IF(Skills!C23=1,60+Inputs!$B$25+Inputs!$B$29,IF(Skills!C23=2,90+Inputs!$B$26+Inputs!$B$29,IF(Skills!C23=3,120+Inputs!$B$27+Inputs!$B$29,MAX(0,(Inputs!$B$3-100)*3)+Inputs!$B$28+Inputs!$B$29)))</f>
        <v/>
      </c>
      <c r="E518">
        <f>INDEX(FactorTable!$B$2:$Y$301, MATCH(ROUND(MIN(300,MAX(1,D518)),0), FactorTable!$A$2:$A$301,0), Skills!M23+1)</f>
        <v/>
      </c>
      <c r="F518">
        <f>IF(Skills!N23=TRUE,(Skills!L23/10)*(E518/1000),Skills!L23/10)+Skills!O23</f>
        <v/>
      </c>
      <c r="G518">
        <f>Skills!G23*IF(Skills!H23&gt;0,Skills!I23/Skills!H23,1)</f>
        <v/>
      </c>
      <c r="H518">
        <f>1-(1-Skills!J23/100)^Skills!K23</f>
        <v/>
      </c>
      <c r="I518" t="inlineStr">
        <is>
          <t>1</t>
        </is>
      </c>
      <c r="J518" t="inlineStr"/>
      <c r="K518" t="inlineStr"/>
      <c r="L518" t="inlineStr"/>
      <c r="M518" t="inlineStr"/>
      <c r="N518" t="inlineStr"/>
      <c r="O518">
        <f>(1-Summary!$B$55)*T518+Summary!$B$55*V518</f>
        <v/>
      </c>
      <c r="P518">
        <f>IF(B534=0,0,O518/B534)</f>
        <v/>
      </c>
      <c r="Q518" t="n">
        <v>0</v>
      </c>
      <c r="R518" t="n">
        <v>0</v>
      </c>
      <c r="S518">
        <f>IFERROR(O518/N518,0)</f>
        <v/>
      </c>
      <c r="T518" t="n">
        <v>0</v>
      </c>
      <c r="V518" t="n">
        <v>0</v>
      </c>
    </row>
    <row r="519">
      <c r="A519">
        <f>Skills!A24</f>
        <v/>
      </c>
      <c r="B519">
        <f>Skills!B24</f>
        <v/>
      </c>
      <c r="C519">
        <f>Inputs!$B$3&gt;=120</f>
        <v/>
      </c>
      <c r="D519">
        <f>IF(Skills!C24=1,60+Inputs!$B$25+Inputs!$B$29,IF(Skills!C24=2,90+Inputs!$B$26+Inputs!$B$29,IF(Skills!C24=3,120+Inputs!$B$27+Inputs!$B$29,MAX(0,(Inputs!$B$3-100)*3)+Inputs!$B$28+Inputs!$B$29)))</f>
        <v/>
      </c>
      <c r="E519">
        <f>INDEX(FactorTable!$B$2:$Y$301, MATCH(ROUND(MIN(300,MAX(1,D519)),0), FactorTable!$A$2:$A$301,0), Skills!M24+1)</f>
        <v/>
      </c>
      <c r="F519">
        <f>IF(Skills!N24=TRUE,(Skills!L24/10)*(E519/1000),Skills!L24/10)+Skills!O24</f>
        <v/>
      </c>
      <c r="G519">
        <f>Skills!G24*IF(Skills!H24&gt;0,Skills!I24/Skills!H24,1)</f>
        <v/>
      </c>
      <c r="H519">
        <f>1-(1-Skills!J24/100)^Skills!K24</f>
        <v/>
      </c>
      <c r="I519" t="inlineStr">
        <is>
          <t>1</t>
        </is>
      </c>
      <c r="J519" t="inlineStr"/>
      <c r="K519" t="inlineStr"/>
      <c r="L519" t="inlineStr"/>
      <c r="M519" t="inlineStr"/>
      <c r="N519" t="inlineStr"/>
      <c r="O519">
        <f>(1-Summary!$B$55)*T519+Summary!$B$55*V519</f>
        <v/>
      </c>
      <c r="P519">
        <f>IF(B534=0,0,O519/B534)</f>
        <v/>
      </c>
      <c r="Q519" t="n">
        <v>0</v>
      </c>
      <c r="R519" t="n">
        <v>0</v>
      </c>
      <c r="S519">
        <f>IFERROR(O519/N519,0)</f>
        <v/>
      </c>
      <c r="T519" t="n">
        <v>0</v>
      </c>
      <c r="V519" t="n">
        <v>0</v>
      </c>
    </row>
    <row r="520">
      <c r="A520">
        <f>Skills!A25</f>
        <v/>
      </c>
      <c r="B520">
        <f>Skills!B25</f>
        <v/>
      </c>
      <c r="C520">
        <f>Inputs!$B$3&gt;=125</f>
        <v/>
      </c>
      <c r="D520">
        <f>IF(Skills!C25=1,60+Inputs!$B$25+Inputs!$B$29,IF(Skills!C25=2,90+Inputs!$B$26+Inputs!$B$29,IF(Skills!C25=3,120+Inputs!$B$27+Inputs!$B$29,MAX(0,(Inputs!$B$3-100)*3)+Inputs!$B$28+Inputs!$B$29)))</f>
        <v/>
      </c>
      <c r="E520">
        <f>INDEX(FactorTable!$B$2:$Y$301, MATCH(ROUND(MIN(300,MAX(1,D520)),0), FactorTable!$A$2:$A$301,0), Skills!M25+1)</f>
        <v/>
      </c>
      <c r="F520">
        <f>IF(Skills!N25=TRUE,(Skills!L25/10)*(E520/1000),Skills!L25/10)+Skills!O25</f>
        <v/>
      </c>
      <c r="G520">
        <f>Skills!G25*IF(Skills!H25&gt;0,Skills!I25/Skills!H25,1)</f>
        <v/>
      </c>
      <c r="H520">
        <f>1-(1-Skills!J25/100)^Skills!K25</f>
        <v/>
      </c>
      <c r="I520" t="inlineStr">
        <is>
          <t>1</t>
        </is>
      </c>
      <c r="J520" t="inlineStr"/>
      <c r="K520" t="inlineStr"/>
      <c r="L520" t="inlineStr"/>
      <c r="M520" t="inlineStr"/>
      <c r="N520" t="inlineStr"/>
      <c r="O520">
        <f>(1-Summary!$B$55)*T520+Summary!$B$55*V520</f>
        <v/>
      </c>
      <c r="P520">
        <f>IF(B534=0,0,O520/B534)</f>
        <v/>
      </c>
      <c r="Q520" t="n">
        <v>0</v>
      </c>
      <c r="R520" t="n">
        <v>0</v>
      </c>
      <c r="S520">
        <f>IFERROR(O520/N520,0)</f>
        <v/>
      </c>
      <c r="T520" t="n">
        <v>0</v>
      </c>
      <c r="V520" t="n">
        <v>0</v>
      </c>
    </row>
    <row r="521">
      <c r="A521">
        <f>Skills!A26</f>
        <v/>
      </c>
      <c r="B521">
        <f>Skills!B26</f>
        <v/>
      </c>
      <c r="C521">
        <f>Inputs!$B$3&gt;=72</f>
        <v/>
      </c>
      <c r="D521">
        <f>IF(Skills!C26=1,60+Inputs!$B$25+Inputs!$B$29,IF(Skills!C26=2,90+Inputs!$B$26+Inputs!$B$29,IF(Skills!C26=3,120+Inputs!$B$27+Inputs!$B$29,MAX(0,(Inputs!$B$3-100)*3)+Inputs!$B$28+Inputs!$B$29)))</f>
        <v/>
      </c>
      <c r="E521">
        <f>INDEX(FactorTable!$B$2:$Y$301, MATCH(ROUND(MIN(300,MAX(1,D521)),0), FactorTable!$A$2:$A$301,0), Skills!M26+1)</f>
        <v/>
      </c>
      <c r="F521">
        <f>IF(Skills!N26=TRUE,(Skills!L26/10)*(E521/1000),Skills!L26/10)+Skills!O26</f>
        <v/>
      </c>
      <c r="G521">
        <f>Skills!G26*IF(Skills!H26&gt;0,Skills!I26/Skills!H26,1)</f>
        <v/>
      </c>
      <c r="H521">
        <f>1-(1-Skills!J26/100)^Skills!K26</f>
        <v/>
      </c>
      <c r="I521" t="inlineStr">
        <is>
          <t>1</t>
        </is>
      </c>
      <c r="J521" t="inlineStr"/>
      <c r="K521" t="inlineStr"/>
      <c r="L521" t="inlineStr"/>
      <c r="M521" t="inlineStr"/>
      <c r="N521" t="inlineStr"/>
      <c r="O521">
        <f>(1-Summary!$B$55)*T521+Summary!$B$55*V521</f>
        <v/>
      </c>
      <c r="P521">
        <f>IF(B534=0,0,O521/B534)</f>
        <v/>
      </c>
      <c r="Q521" t="n">
        <v>0</v>
      </c>
      <c r="R521" t="n">
        <v>0</v>
      </c>
      <c r="S521">
        <f>IFERROR(O521/N521,0)</f>
        <v/>
      </c>
      <c r="T521" t="n">
        <v>0</v>
      </c>
      <c r="V521" t="n">
        <v>0</v>
      </c>
    </row>
    <row r="523">
      <c r="A523" t="inlineStr">
        <is>
          <t>Attack% Bucket Multiplier</t>
        </is>
      </c>
      <c r="B523">
        <f>(1+(((C508=TRUE)*F508*IF(Inputs!$B$3&gt;=110,7,5))+((C510=TRUE)*F510*IF(AND(Inputs!$B$38&lt;&gt;"pvp",Inputs!$B$43&gt;0),(((R510-1)*(Skills!T15*(1+Inputs!$B$34/100))+MIN((Skills!T15*(1+Inputs!$B$34/100)),MAX(0,Inputs!$B$43-((R510-1)*Skills!D15))))/Inputs!$B$43),IF(Inputs!$B$38="pvp",MIN((Skills!T15*(1+Inputs!$B$34/100)),15)/15,(Skills!T15*(1+Inputs!$B$34/100))/Skills!D15)))+0)/100)</f>
        <v/>
      </c>
    </row>
    <row r="524">
      <c r="A524" t="inlineStr">
        <is>
          <t>Global Crit Rate Bonus %</t>
        </is>
      </c>
      <c r="B524" t="n">
        <v>0</v>
      </c>
    </row>
    <row r="525">
      <c r="A525" t="inlineStr">
        <is>
          <t>Attack Speed Buff Bonus %</t>
        </is>
      </c>
      <c r="B525">
        <f>((C514=TRUE)*F514*IF(AND(Inputs!$B$38&lt;&gt;"pvp",Inputs!$B$43&gt;0),(((R514-1)*(Skills!T19*(1+Inputs!$B$34/100))+MIN((Skills!T19*(1+Inputs!$B$34/100)),MAX(0,Inputs!$B$43-((R514-1)*Skills!D19))))/Inputs!$B$43),IF(Inputs!$B$38="pvp",MIN((Skills!T19*(1+Inputs!$B$34/100)),15)/15,(Skills!T19*(1+Inputs!$B$34/100))/Skills!D19)))</f>
        <v/>
      </c>
    </row>
    <row r="526">
      <c r="A526" t="inlineStr">
        <is>
          <t>Actions Per Second</t>
        </is>
      </c>
      <c r="B526">
        <f>1+MIN(150,150*(1-(1-(Inputs!$B$11+((C515=TRUE)*(F515-Calc!F20)))/150)*(1-B525/150)))/100</f>
        <v/>
      </c>
    </row>
    <row r="527">
      <c r="A527" t="inlineStr">
        <is>
          <t>Skill + Buff Cast Rate</t>
        </is>
      </c>
      <c r="B527">
        <f>IF(AND(Inputs!$B$38&lt;&gt;"pvp",Inputs!$B$43&gt;0),SUMPRODUCT((Skills!E2:E26=TRUE)*(C497:C521=TRUE)*R497:R521*Skills!F2:F26)/Inputs!$B$43,SUMPRODUCT((Skills!E2:E26=TRUE)*(C497:C521=TRUE)*Q497:Q521*Skills!F2:F26))</f>
        <v/>
      </c>
    </row>
    <row r="528">
      <c r="A528" t="inlineStr">
        <is>
          <t>Raging Blow Casts Per Second</t>
        </is>
      </c>
      <c r="B528">
        <f>MAX(0,B526-B527)</f>
        <v/>
      </c>
    </row>
    <row r="529">
      <c r="A529" t="inlineStr">
        <is>
          <t>Global Critical Damage Bonus % (Enrage)</t>
        </is>
      </c>
      <c r="B529">
        <f>((C513=TRUE)*F513*IF(AND(Inputs!$B$38&lt;&gt;"pvp",Inputs!$B$43&gt;0),(((R513-1)*(Skills!T18*(1+Inputs!$B$34/100))+MIN((Skills!T18*(1+Inputs!$B$34/100)),MAX(0,Inputs!$B$43-((R513-1)*Skills!D18))))/Inputs!$B$43),IF(Inputs!$B$38="pvp",MIN((Skills!T18*(1+Inputs!$B$34/100)),15)/15,(Skills!T18*(1+Inputs!$B$34/100))/Skills!D18)))</f>
        <v/>
      </c>
    </row>
    <row r="530">
      <c r="A530" t="inlineStr">
        <is>
          <t>Global Final Damage Bonus % (Enrage + Combo Synergy)</t>
        </is>
      </c>
      <c r="B530">
        <f>((C512=TRUE)*F512*IF(AND(Inputs!$B$38&lt;&gt;"pvp",Inputs!$B$43&gt;0),(((R512-1)*(Skills!T17*(1+Inputs!$B$34/100))+MIN((Skills!T17*(1+Inputs!$B$34/100)),MAX(0,Inputs!$B$43-((R512-1)*Skills!D17))))/Inputs!$B$43),IF(Inputs!$B$38="pvp",MIN((Skills!T17*(1+Inputs!$B$34/100)),15)/15,(Skills!T17*(1+Inputs!$B$34/100))/Skills!D17)))+((C509=TRUE)*F509*IF(Inputs!$B$3&gt;=110,7,5))</f>
        <v/>
      </c>
    </row>
    <row r="531">
      <c r="A531" t="inlineStr">
        <is>
          <t>Buff-Casting Startup Delay (s, fixed-duration only)</t>
        </is>
      </c>
      <c r="B531">
        <f>IF(AND(Inputs!$B$38&lt;&gt;"pvp",Inputs!$B$43&gt;0),SUMPRODUCT((Skills!T2:T26&gt;0)*(Skills!E2:E26=TRUE)*(C497:C521=TRUE))/B526,0)</f>
        <v/>
      </c>
    </row>
    <row r="532">
      <c r="A532" t="inlineStr">
        <is>
          <t>Boss-Only Total DPS (this block's swept value)</t>
        </is>
      </c>
      <c r="B532">
        <f>SUM(T497:T521)</f>
        <v/>
      </c>
    </row>
    <row r="533">
      <c r="A533" t="inlineStr">
        <is>
          <t>Normal-Only Total DPS (this block's swept value)</t>
        </is>
      </c>
      <c r="B533">
        <f>SUM(V497:V521)</f>
        <v/>
      </c>
    </row>
    <row r="534">
      <c r="A534" s="5" t="inlineStr">
        <is>
          <t>TOTAL DPS</t>
        </is>
      </c>
      <c r="B534" s="5">
        <f>SUM(O497:O521)</f>
        <v/>
      </c>
    </row>
    <row r="537">
      <c r="A537" s="5" t="inlineStr">
        <is>
          <t>Stat: ATTACK_SPEED % (diminishing returns, factor 150)</t>
        </is>
      </c>
    </row>
    <row r="538">
      <c r="A538" s="9" t="inlineStr">
        <is>
          <t>Key</t>
        </is>
      </c>
      <c r="B538" s="9" t="inlineStr">
        <is>
          <t>Name</t>
        </is>
      </c>
      <c r="C538" s="9" t="inlineStr">
        <is>
          <t>Unlocked</t>
        </is>
      </c>
      <c r="D538" s="9" t="inlineStr">
        <is>
          <t>InputLevel</t>
        </is>
      </c>
      <c r="E538" s="9" t="inlineStr">
        <is>
          <t>Factor</t>
        </is>
      </c>
      <c r="F538" s="9" t="inlineStr">
        <is>
          <t>CoefficientPercent</t>
        </is>
      </c>
      <c r="G538" s="9" t="inlineStr">
        <is>
          <t>EffectiveHits</t>
        </is>
      </c>
      <c r="H538" s="9" t="inlineStr">
        <is>
          <t>ProcProbability</t>
        </is>
      </c>
      <c r="I538" s="9" t="inlineStr">
        <is>
          <t>MapleHeroMultiplier</t>
        </is>
      </c>
      <c r="J538" s="9" t="inlineStr">
        <is>
          <t>BaseDamage</t>
        </is>
      </c>
      <c r="K538" s="9" t="inlineStr">
        <is>
          <t>BaseHitDamage</t>
        </is>
      </c>
      <c r="L538" s="9" t="inlineStr">
        <is>
          <t>NonCritAvg</t>
        </is>
      </c>
      <c r="M538" s="9" t="inlineStr">
        <is>
          <t>CritAvg</t>
        </is>
      </c>
      <c r="N538" s="9" t="inlineStr">
        <is>
          <t>ExpectedDamage(perHit)</t>
        </is>
      </c>
      <c r="O538" s="9" t="inlineStr">
        <is>
          <t>DPS</t>
        </is>
      </c>
      <c r="P538" s="9" t="inlineStr">
        <is>
          <t>% of Total</t>
        </is>
      </c>
      <c r="Q538" s="9" t="inlineStr">
        <is>
          <t>InvCooldown</t>
        </is>
      </c>
      <c r="R538" s="9" t="inlineStr">
        <is>
          <t>CastsInFight</t>
        </is>
      </c>
      <c r="S538" s="9" t="inlineStr">
        <is>
          <t>HitRate(perSec)</t>
        </is>
      </c>
      <c r="U538" t="inlineStr">
        <is>
          <t>helpers</t>
        </is>
      </c>
    </row>
    <row r="539">
      <c r="A539">
        <f>Skills!A2</f>
        <v/>
      </c>
      <c r="B539">
        <f>Skills!B2</f>
        <v/>
      </c>
      <c r="C539">
        <f>Inputs!$B$3&gt;=100</f>
        <v/>
      </c>
      <c r="D539" t="inlineStr"/>
      <c r="E539" t="inlineStr"/>
      <c r="F539">
        <f>U541+Skills!O2</f>
        <v/>
      </c>
      <c r="G539">
        <f>Skills!G2*IF(Skills!H2&gt;0,Skills!I2/Skills!H2,1)</f>
        <v/>
      </c>
      <c r="H539">
        <f>1-(1-Skills!J2/100)^Skills!K2</f>
        <v/>
      </c>
      <c r="I539" t="inlineStr">
        <is>
          <t>1</t>
        </is>
      </c>
      <c r="J539">
        <f>((Inputs!$B$6*(1+Inputs!$B$7/100))+(((Inputs!$B$12*(1+Inputs!$B$13/100))-(Inputs!$B$12*(1+Inputs!$B$13/100)))+0.25*(Inputs!$B$14-Inputs!$B$14))*(1+Inputs!$B$7/100))*(F539/100)</f>
        <v/>
      </c>
      <c r="K539">
        <f>J539*(1+((Inputs!$B$12*(1+Inputs!$B$13/100))*0.01+Inputs!$B$14*0.0025)/100)*(1+Inputs!$B$15/100)*(1+Inputs!$B$16/100)*(5000/(6000+Inputs!$B$42*(1-(Inputs!$B$19+0)/100)))*(1+(Inputs!$B$24+((C562=TRUE)*(F562-Calc!F25))+B572)/100)*(1+IF(Skills!A2="ENHANCED_RAGING_BLOW",IF(Inputs!$B$3&gt;=134,MAX(0,IF(Inputs!$B$3&gt;=110,7,5)-5)*50,0),0)/100)*(1+(IF(Skills!A2="RAGING_BLOW",Inputs!$B$17+((C558=TRUE)*(F558-Calc!F21)),Inputs!$B$18+((C560=TRUE)*(F560-Calc!F23))))/100)*((1+(((C550=TRUE)*F550*IF(Inputs!$B$3&gt;=110,7,5))+((C552=TRUE)*F552*IF(AND(Inputs!$B$38&lt;&gt;"pvp",Inputs!$B$43&gt;0),(((R552-1)*(Skills!T15*(1+Inputs!$B$34/100))+MIN((Skills!T15*(1+Inputs!$B$34/100)),MAX(0,Inputs!$B$43-((R552-1)*Skills!D15))))/Inputs!$B$43),IF(Inputs!$B$38="pvp",MIN((Skills!T15*(1+Inputs!$B$34/100)),15)/15,(Skills!T15*(1+Inputs!$B$34/100))/Skills!D15)))+0)/100)*I539)</f>
        <v/>
      </c>
      <c r="L539">
        <f>K539*(MIN(Inputs!$B$22+((C559=TRUE)*(F559-Calc!F22)),Inputs!$B$23+((C561=TRUE)*(F561-Calc!F24)))/100+(Inputs!$B$23+((C561=TRUE)*(F561-Calc!F24)))/100)/2</f>
        <v/>
      </c>
      <c r="M539">
        <f>L539*(1+(Inputs!$B$10+0+B571)/100)</f>
        <v/>
      </c>
      <c r="N539">
        <f>L539*(1-MIN((Inputs!$B$9+((C563=TRUE)*(F563-Calc!F26))+B566),100)/100)+M539*(MIN((Inputs!$B$9+((C563=TRUE)*(F563-Calc!F26))+B566),100)/100)</f>
        <v/>
      </c>
      <c r="O539">
        <f>(1-Summary!$B$55)*T539+Summary!$B$55*V539</f>
        <v/>
      </c>
      <c r="P539">
        <f>IF(B576=0,0,O539/B576)</f>
        <v/>
      </c>
      <c r="Q539" t="n">
        <v>0</v>
      </c>
      <c r="R539" t="n">
        <v>0</v>
      </c>
      <c r="S539">
        <f>IFERROR(O539/N539,0)</f>
        <v/>
      </c>
      <c r="T539">
        <f>IF(C539,(Skills!G2*N539*B570)*IF(Inputs!$B$38="pvp",1,1+(Inputs!$B$20+0+Skills!P2+Summary!$B$59)/100),0)</f>
        <v/>
      </c>
      <c r="U539">
        <f>MAX(0,(Inputs!$B$3-100)*3)+Inputs!$B$28+Inputs!$B$29</f>
        <v/>
      </c>
      <c r="V539">
        <f>IF(C539,(Skills!G2*N539*B570)*IF(Inputs!$B$38="pvp",1,(1+(Inputs!$B$21+Skills!Q2+Summary!$B$59)/100)*(MIN((6+Inputs!$B$33),Inputs!$B$37))),0)</f>
        <v/>
      </c>
    </row>
    <row r="540">
      <c r="A540">
        <f>Skills!A3</f>
        <v/>
      </c>
      <c r="B540">
        <f>Skills!B3</f>
        <v/>
      </c>
      <c r="C540">
        <f>Inputs!$B$3&gt;=50</f>
        <v/>
      </c>
      <c r="D540">
        <f>IF(Skills!C3=1,60+Inputs!$B$25+Inputs!$B$29,IF(Skills!C3=2,90+Inputs!$B$26+Inputs!$B$29,IF(Skills!C3=3,120+Inputs!$B$27+Inputs!$B$29,MAX(0,(Inputs!$B$3-100)*3)+Inputs!$B$28+Inputs!$B$29)))</f>
        <v/>
      </c>
      <c r="E540">
        <f>INDEX(FactorTable!$B$2:$Y$301, MATCH(ROUND(MIN(300,MAX(1,D540)),0), FactorTable!$A$2:$A$301,0), Skills!M3+1)</f>
        <v/>
      </c>
      <c r="F540">
        <f>IF(Skills!N3=TRUE,(Skills!L3/10)*(E540/1000),Skills!L3/10)+Skills!O3</f>
        <v/>
      </c>
      <c r="G540" t="inlineStr"/>
      <c r="H540" t="inlineStr"/>
      <c r="I540" t="inlineStr">
        <is>
          <t>1</t>
        </is>
      </c>
      <c r="J540" t="inlineStr"/>
      <c r="K540" t="inlineStr"/>
      <c r="L540" t="inlineStr"/>
      <c r="M540" t="inlineStr"/>
      <c r="N540" t="inlineStr"/>
      <c r="O540" t="inlineStr"/>
      <c r="P540" t="inlineStr"/>
      <c r="Q540" t="inlineStr"/>
      <c r="R540" t="inlineStr"/>
      <c r="S540" t="inlineStr"/>
      <c r="U540">
        <f>INDEX(FactorTable!$B$2:$Y$301, MATCH(ROUND(MIN(300,MAX(1,U539)),0), FactorTable!$A$2:$A$301,0), 22)</f>
        <v/>
      </c>
    </row>
    <row r="541">
      <c r="A541">
        <f>Skills!A4</f>
        <v/>
      </c>
      <c r="B541">
        <f>Skills!B4</f>
        <v/>
      </c>
      <c r="C541">
        <f>Inputs!$B$3&gt;=105</f>
        <v/>
      </c>
      <c r="D541">
        <f>IF(Skills!C4=1,60+Inputs!$B$25+Inputs!$B$29,IF(Skills!C4=2,90+Inputs!$B$26+Inputs!$B$29,IF(Skills!C4=3,120+Inputs!$B$27+Inputs!$B$29,MAX(0,(Inputs!$B$3-100)*3)+Inputs!$B$28+Inputs!$B$29)))</f>
        <v/>
      </c>
      <c r="E541">
        <f>INDEX(FactorTable!$B$2:$Y$301, MATCH(ROUND(MIN(300,MAX(1,D541)),0), FactorTable!$A$2:$A$301,0), Skills!M4+1)</f>
        <v/>
      </c>
      <c r="F541">
        <f>IF(Skills!N4=TRUE,(Skills!L4/10)*(E541/1000),Skills!L4/10)+Skills!O4</f>
        <v/>
      </c>
      <c r="G541" t="inlineStr"/>
      <c r="H541" t="inlineStr"/>
      <c r="I541" t="inlineStr">
        <is>
          <t>1</t>
        </is>
      </c>
      <c r="J541" t="inlineStr"/>
      <c r="K541" t="inlineStr"/>
      <c r="L541" t="inlineStr"/>
      <c r="M541" t="inlineStr"/>
      <c r="N541" t="inlineStr"/>
      <c r="O541" t="inlineStr"/>
      <c r="P541" t="inlineStr"/>
      <c r="Q541" t="inlineStr"/>
      <c r="R541" t="inlineStr"/>
      <c r="S541" t="inlineStr"/>
      <c r="U541">
        <f>290*U540/1000</f>
        <v/>
      </c>
    </row>
    <row r="542">
      <c r="A542">
        <f>Skills!A5</f>
        <v/>
      </c>
      <c r="B542">
        <f>Skills!B5</f>
        <v/>
      </c>
      <c r="C542">
        <f>Inputs!$B$3&gt;=103</f>
        <v/>
      </c>
      <c r="D542">
        <f>IF(Skills!C5=1,60+Inputs!$B$25+Inputs!$B$29,IF(Skills!C5=2,90+Inputs!$B$26+Inputs!$B$29,IF(Skills!C5=3,120+Inputs!$B$27+Inputs!$B$29,MAX(0,(Inputs!$B$3-100)*3)+Inputs!$B$28+Inputs!$B$29)))</f>
        <v/>
      </c>
      <c r="E542">
        <f>INDEX(FactorTable!$B$2:$Y$301, MATCH(ROUND(MIN(300,MAX(1,D542)),0), FactorTable!$A$2:$A$301,0), Skills!M5+1)</f>
        <v/>
      </c>
      <c r="F542">
        <f>IF(Skills!N5=TRUE,(Skills!L5/10)*(E542/1000),Skills!L5/10)+Skills!O5</f>
        <v/>
      </c>
      <c r="G542">
        <f>Skills!G5*IF(Skills!H5&gt;0,Skills!I5/Skills!H5,1)</f>
        <v/>
      </c>
      <c r="H542">
        <f>1-(1-Skills!J5/100)^Skills!K5</f>
        <v/>
      </c>
      <c r="I542" t="inlineStr">
        <is>
          <t>1</t>
        </is>
      </c>
      <c r="J542">
        <f>((Inputs!$B$6*(1+Inputs!$B$7/100))+(((Inputs!$B$12*(1+Inputs!$B$13/100))-(Inputs!$B$12*(1+Inputs!$B$13/100)))+0.25*(Inputs!$B$14-Inputs!$B$14))*(1+Inputs!$B$7/100))*(F542/100)</f>
        <v/>
      </c>
      <c r="K542">
        <f>J542*(1+((Inputs!$B$12*(1+Inputs!$B$13/100))*0.01+Inputs!$B$14*0.0025)/100)*(1+Inputs!$B$15/100)*(1+Inputs!$B$16/100)*(5000/(6000+Inputs!$B$42*(1-(Inputs!$B$19+0)/100)))*(1+(Inputs!$B$24+((C562=TRUE)*(F562-Calc!F25))+B572)/100)*(1+IF(Skills!A5="ENHANCED_RAGING_BLOW",IF(Inputs!$B$3&gt;=134,MAX(0,IF(Inputs!$B$3&gt;=110,7,5)-5)*50,0),0)/100)*(1+(IF(Skills!A5="RAGING_BLOW",Inputs!$B$17+((C558=TRUE)*(F558-Calc!F21)),Inputs!$B$18+((C560=TRUE)*(F560-Calc!F23))))/100)*((1+(((C550=TRUE)*F550*IF(Inputs!$B$3&gt;=110,7,5))+((C552=TRUE)*F552*IF(AND(Inputs!$B$38&lt;&gt;"pvp",Inputs!$B$43&gt;0),(((R552-1)*(Skills!T15*(1+Inputs!$B$34/100))+MIN((Skills!T15*(1+Inputs!$B$34/100)),MAX(0,Inputs!$B$43-((R552-1)*Skills!D15))))/Inputs!$B$43),IF(Inputs!$B$38="pvp",MIN((Skills!T15*(1+Inputs!$B$34/100)),15)/15,(Skills!T15*(1+Inputs!$B$34/100))/Skills!D15)))+0)/100)*I542)</f>
        <v/>
      </c>
      <c r="L542">
        <f>K542*(MIN(Inputs!$B$22+((C559=TRUE)*(F559-Calc!F22)),Inputs!$B$23+((C561=TRUE)*(F561-Calc!F24)))/100+(Inputs!$B$23+((C561=TRUE)*(F561-Calc!F24)))/100)/2</f>
        <v/>
      </c>
      <c r="M542">
        <f>L542*(1+(Inputs!$B$10+0+B571)/100)</f>
        <v/>
      </c>
      <c r="N542">
        <f>L542*(1-MIN((Inputs!$B$9+((C563=TRUE)*(F563-Calc!F26))+B566),100)/100)+M542*(MIN((Inputs!$B$9+((C563=TRUE)*(F563-Calc!F26))+B566),100)/100)</f>
        <v/>
      </c>
      <c r="O542">
        <f>(1-Summary!$B$55)*T542+Summary!$B$55*V542</f>
        <v/>
      </c>
      <c r="P542">
        <f>IF(B576=0,0,O542/B576)</f>
        <v/>
      </c>
      <c r="Q542">
        <f>IFERROR(1/IF(Inputs!$B$38="pvp",15,MAX(0.1,Skills!D5-IF(Skills!E5=TRUE,Inputs!$B$32,0))),0)</f>
        <v/>
      </c>
      <c r="R542">
        <f>IF(AND(Inputs!$B$38&lt;&gt;"pvp",Inputs!$B$43&gt;0),IF(MAX(0,Inputs!$B$43-B573)&lt;=0,0,(INT(MAX(0,Inputs!$B$43-B573)/IF(Inputs!$B$38="pvp",15,MAX(0.1,Skills!D5-IF(Skills!E5=TRUE,Inputs!$B$32,0))))+1)),0)</f>
        <v/>
      </c>
      <c r="S542">
        <f>IFERROR(O542/N542,0)</f>
        <v/>
      </c>
      <c r="T542">
        <f>IF(C542,(H542*N542*IF(AND(Inputs!$B$38&lt;&gt;"pvp",Inputs!$B$43&gt;0),((Skills!G5*((R542-1)*IF(Skills!H5&gt;0,Skills!I5/Skills!H5,1)+IF(Skills!H5&gt;0,MIN(Skills!I5,MAX(0,MAX(0,Inputs!$B$43-B573)-((R542-1)*IF(Inputs!$B$38="pvp",15,MAX(0.1,Skills!D5-IF(Skills!E5=TRUE,Inputs!$B$32,0))))))/Skills!H5,1)))/Inputs!$B$43),G542*Q542))*IF(Inputs!$B$38="pvp",1,1+(Inputs!$B$20+0+Skills!P5+Summary!$B$59)/100),0)</f>
        <v/>
      </c>
      <c r="V542">
        <f>IF(C542,(H542*N542*IF(AND(Inputs!$B$38&lt;&gt;"pvp",Inputs!$B$43&gt;0),((Skills!G5*((R542-1)*IF(Skills!H5&gt;0,Skills!I5/Skills!H5,1)+IF(Skills!H5&gt;0,MIN(Skills!I5,MAX(0,MAX(0,Inputs!$B$43-B573)-((R542-1)*IF(Inputs!$B$38="pvp",15,MAX(0.1,Skills!D5-IF(Skills!E5=TRUE,Inputs!$B$32,0))))))/Skills!H5,1)))/Inputs!$B$43),G542*Q542))*IF(Inputs!$B$38="pvp",1,(1+(Inputs!$B$21+Skills!Q5+Summary!$B$59)/100)*(MIN(Skills!R5,Inputs!$B$37))),0)</f>
        <v/>
      </c>
    </row>
    <row r="543">
      <c r="A543">
        <f>Skills!A6</f>
        <v/>
      </c>
      <c r="B543">
        <f>Skills!B6</f>
        <v/>
      </c>
      <c r="C543">
        <f>Inputs!$B$3&gt;=103</f>
        <v/>
      </c>
      <c r="D543">
        <f>IF(Skills!C6=1,60+Inputs!$B$25+Inputs!$B$29,IF(Skills!C6=2,90+Inputs!$B$26+Inputs!$B$29,IF(Skills!C6=3,120+Inputs!$B$27+Inputs!$B$29,MAX(0,(Inputs!$B$3-100)*3)+Inputs!$B$28+Inputs!$B$29)))</f>
        <v/>
      </c>
      <c r="E543">
        <f>INDEX(FactorTable!$B$2:$Y$301, MATCH(ROUND(MIN(300,MAX(1,D543)),0), FactorTable!$A$2:$A$301,0), Skills!M6+1)</f>
        <v/>
      </c>
      <c r="F543">
        <f>IF(Skills!N6=TRUE,(Skills!L6/10)*(E543/1000),Skills!L6/10)+Skills!O6</f>
        <v/>
      </c>
      <c r="G543">
        <f>Skills!G6*IF(Skills!H6&gt;0,Skills!I6/Skills!H6,1)</f>
        <v/>
      </c>
      <c r="H543">
        <f>1-(1-Skills!J6/100)^Skills!K6</f>
        <v/>
      </c>
      <c r="I543" t="inlineStr">
        <is>
          <t>1</t>
        </is>
      </c>
      <c r="J543">
        <f>((Inputs!$B$6*(1+Inputs!$B$7/100))+(((Inputs!$B$12*(1+Inputs!$B$13/100))-(Inputs!$B$12*(1+Inputs!$B$13/100)))+0.25*(Inputs!$B$14-Inputs!$B$14))*(1+Inputs!$B$7/100))*(F543/100)</f>
        <v/>
      </c>
      <c r="K543">
        <f>J543*(1+((Inputs!$B$12*(1+Inputs!$B$13/100))*0.01+Inputs!$B$14*0.0025)/100)*(1+Inputs!$B$15/100)*(1+Inputs!$B$16/100)*(5000/(6000+Inputs!$B$42*(1-(Inputs!$B$19+0)/100)))*(1+(Inputs!$B$24+((C562=TRUE)*(F562-Calc!F25))+B572)/100)*(1+IF(Skills!A6="ENHANCED_RAGING_BLOW",IF(Inputs!$B$3&gt;=134,MAX(0,IF(Inputs!$B$3&gt;=110,7,5)-5)*50,0),0)/100)*(1+(IF(Skills!A6="RAGING_BLOW",Inputs!$B$17+((C558=TRUE)*(F558-Calc!F21)),Inputs!$B$18+((C560=TRUE)*(F560-Calc!F23))))/100)*((1+(((C550=TRUE)*F550*IF(Inputs!$B$3&gt;=110,7,5))+((C552=TRUE)*F552*IF(AND(Inputs!$B$38&lt;&gt;"pvp",Inputs!$B$43&gt;0),(((R552-1)*(Skills!T15*(1+Inputs!$B$34/100))+MIN((Skills!T15*(1+Inputs!$B$34/100)),MAX(0,Inputs!$B$43-((R552-1)*Skills!D15))))/Inputs!$B$43),IF(Inputs!$B$38="pvp",MIN((Skills!T15*(1+Inputs!$B$34/100)),15)/15,(Skills!T15*(1+Inputs!$B$34/100))/Skills!D15)))+0)/100)*I543)</f>
        <v/>
      </c>
      <c r="L543">
        <f>K543*(MIN(Inputs!$B$22+((C559=TRUE)*(F559-Calc!F22)),Inputs!$B$23+((C561=TRUE)*(F561-Calc!F24)))/100+(Inputs!$B$23+((C561=TRUE)*(F561-Calc!F24)))/100)/2</f>
        <v/>
      </c>
      <c r="M543">
        <f>L543*(1+(Inputs!$B$10+0+B571)/100)</f>
        <v/>
      </c>
      <c r="N543">
        <f>L543*(1-MIN((Inputs!$B$9+((C563=TRUE)*(F563-Calc!F26))+B566),100)/100)+M543*(MIN((Inputs!$B$9+((C563=TRUE)*(F563-Calc!F26))+B566),100)/100)</f>
        <v/>
      </c>
      <c r="O543">
        <f>(1-Summary!$B$55)*T543+Summary!$B$55*V543</f>
        <v/>
      </c>
      <c r="P543">
        <f>IF(B576=0,0,O543/B576)</f>
        <v/>
      </c>
      <c r="Q543">
        <f>IFERROR(1/IF(Inputs!$B$38="pvp",15,MAX(0.1,Skills!D6-IF(Skills!E6=TRUE,Inputs!$B$32,0))),0)</f>
        <v/>
      </c>
      <c r="R543">
        <f>IF(AND(Inputs!$B$38&lt;&gt;"pvp",Inputs!$B$43&gt;0),IF(MAX(0,Inputs!$B$43-B573)&lt;=0,0,(INT(MAX(0,Inputs!$B$43-B573)/IF(Inputs!$B$38="pvp",15,MAX(0.1,Skills!D6-IF(Skills!E6=TRUE,Inputs!$B$32,0))))+1)),0)</f>
        <v/>
      </c>
      <c r="S543">
        <f>IFERROR(O543/N543,0)</f>
        <v/>
      </c>
      <c r="T543">
        <f>IF(C543,(H543*N543*IF(AND(Inputs!$B$38&lt;&gt;"pvp",Inputs!$B$43&gt;0),((Skills!G6*((R543-1)*IF(Skills!H6&gt;0,Skills!I6/Skills!H6,1)+IF(Skills!H6&gt;0,MIN(Skills!I6,MAX(0,MAX(0,Inputs!$B$43-B573)-((R543-1)*IF(Inputs!$B$38="pvp",15,MAX(0.1,Skills!D6-IF(Skills!E6=TRUE,Inputs!$B$32,0))))))/Skills!H6,1)))/Inputs!$B$43),G543*Q543))*IF(Inputs!$B$38="pvp",1,1+(Inputs!$B$20+0+Skills!P6+Summary!$B$59)/100),0)</f>
        <v/>
      </c>
      <c r="V543">
        <f>IF(C543,(H543*N543*IF(AND(Inputs!$B$38&lt;&gt;"pvp",Inputs!$B$43&gt;0),((Skills!G6*((R543-1)*IF(Skills!H6&gt;0,Skills!I6/Skills!H6,1)+IF(Skills!H6&gt;0,MIN(Skills!I6,MAX(0,MAX(0,Inputs!$B$43-B573)-((R543-1)*IF(Inputs!$B$38="pvp",15,MAX(0.1,Skills!D6-IF(Skills!E6=TRUE,Inputs!$B$32,0))))))/Skills!H6,1)))/Inputs!$B$43),G543*Q543))*IF(Inputs!$B$38="pvp",1,(1+(Inputs!$B$21+Skills!Q6+Summary!$B$59)/100)*(MIN(Skills!R6,Inputs!$B$37))),0)</f>
        <v/>
      </c>
    </row>
    <row r="544">
      <c r="A544">
        <f>Skills!A7</f>
        <v/>
      </c>
      <c r="B544">
        <f>Skills!B7</f>
        <v/>
      </c>
      <c r="C544">
        <f>Inputs!$B$3&gt;=107</f>
        <v/>
      </c>
      <c r="D544">
        <f>IF(Skills!C7=1,60+Inputs!$B$25+Inputs!$B$29,IF(Skills!C7=2,90+Inputs!$B$26+Inputs!$B$29,IF(Skills!C7=3,120+Inputs!$B$27+Inputs!$B$29,MAX(0,(Inputs!$B$3-100)*3)+Inputs!$B$28+Inputs!$B$29)))</f>
        <v/>
      </c>
      <c r="E544">
        <f>INDEX(FactorTable!$B$2:$Y$301, MATCH(ROUND(MIN(300,MAX(1,D544)),0), FactorTable!$A$2:$A$301,0), Skills!M7+1)</f>
        <v/>
      </c>
      <c r="F544">
        <f>IF(Skills!N7=TRUE,(Skills!L7/10)*(E544/1000),Skills!L7/10)+Skills!O7</f>
        <v/>
      </c>
      <c r="G544">
        <f>Skills!G7*IF(Skills!H7&gt;0,Skills!I7/Skills!H7,1)</f>
        <v/>
      </c>
      <c r="H544">
        <f>1-(1-Skills!J7/100)^Skills!K7</f>
        <v/>
      </c>
      <c r="I544" t="inlineStr">
        <is>
          <t>1</t>
        </is>
      </c>
      <c r="J544">
        <f>((Inputs!$B$6*(1+Inputs!$B$7/100))+(((Inputs!$B$12*(1+Inputs!$B$13/100))-(Inputs!$B$12*(1+Inputs!$B$13/100)))+0.25*(Inputs!$B$14-Inputs!$B$14))*(1+Inputs!$B$7/100))*(F544/100)</f>
        <v/>
      </c>
      <c r="K544">
        <f>J544*(1+((Inputs!$B$12*(1+Inputs!$B$13/100))*0.01+Inputs!$B$14*0.0025)/100)*(1+Inputs!$B$15/100)*(1+Inputs!$B$16/100)*(5000/(6000+Inputs!$B$42*(1-(Inputs!$B$19+0)/100)))*(1+(Inputs!$B$24+((C562=TRUE)*(F562-Calc!F25))+B572)/100)*(1+IF(Skills!A7="ENHANCED_RAGING_BLOW",IF(Inputs!$B$3&gt;=134,MAX(0,IF(Inputs!$B$3&gt;=110,7,5)-5)*50,0),0)/100)*(1+(IF(Skills!A7="RAGING_BLOW",Inputs!$B$17+((C558=TRUE)*(F558-Calc!F21)),Inputs!$B$18+((C560=TRUE)*(F560-Calc!F23))))/100)*((1+(((C550=TRUE)*F550*IF(Inputs!$B$3&gt;=110,7,5))+((C552=TRUE)*F552*IF(AND(Inputs!$B$38&lt;&gt;"pvp",Inputs!$B$43&gt;0),(((R552-1)*(Skills!T15*(1+Inputs!$B$34/100))+MIN((Skills!T15*(1+Inputs!$B$34/100)),MAX(0,Inputs!$B$43-((R552-1)*Skills!D15))))/Inputs!$B$43),IF(Inputs!$B$38="pvp",MIN((Skills!T15*(1+Inputs!$B$34/100)),15)/15,(Skills!T15*(1+Inputs!$B$34/100))/Skills!D15)))+0)/100)*I544)</f>
        <v/>
      </c>
      <c r="L544">
        <f>K544*(MIN(Inputs!$B$22+((C559=TRUE)*(F559-Calc!F22)),Inputs!$B$23+((C561=TRUE)*(F561-Calc!F24)))/100+(Inputs!$B$23+((C561=TRUE)*(F561-Calc!F24)))/100)/2</f>
        <v/>
      </c>
      <c r="M544">
        <f>L544*(1+(Inputs!$B$10+0+B571)/100)</f>
        <v/>
      </c>
      <c r="N544">
        <f>L544*(1-MIN((Inputs!$B$9+((C563=TRUE)*(F563-Calc!F26))+B566),100)/100)+M544*(MIN((Inputs!$B$9+((C563=TRUE)*(F563-Calc!F26))+B566),100)/100)</f>
        <v/>
      </c>
      <c r="O544">
        <f>(1-Summary!$B$55)*T544+Summary!$B$55*V544</f>
        <v/>
      </c>
      <c r="P544">
        <f>IF(B576=0,0,O544/B576)</f>
        <v/>
      </c>
      <c r="Q544">
        <f>IFERROR(1/IF(Inputs!$B$38="pvp",15,MAX(0.1,Skills!D7-IF(Skills!E7=TRUE,Inputs!$B$32,0))),0)</f>
        <v/>
      </c>
      <c r="R544">
        <f>IF(AND(Inputs!$B$38&lt;&gt;"pvp",Inputs!$B$43&gt;0),IF(MAX(0,Inputs!$B$43-B573)&lt;=0,0,(INT(MAX(0,Inputs!$B$43-B573)/IF(Inputs!$B$38="pvp",15,MAX(0.1,Skills!D7-IF(Skills!E7=TRUE,Inputs!$B$32,0))))+1)),0)</f>
        <v/>
      </c>
      <c r="S544">
        <f>IFERROR(O544/N544,0)</f>
        <v/>
      </c>
      <c r="T544">
        <f>IF(C544,(H544*N544*IF(AND(Inputs!$B$38&lt;&gt;"pvp",Inputs!$B$43&gt;0),((Skills!G7*((R544-1)*IF(Skills!H7&gt;0,Skills!I7/Skills!H7,1)+IF(Skills!H7&gt;0,MIN(Skills!I7,MAX(0,MAX(0,Inputs!$B$43-B573)-((R544-1)*IF(Inputs!$B$38="pvp",15,MAX(0.1,Skills!D7-IF(Skills!E7=TRUE,Inputs!$B$32,0))))))/Skills!H7,1)))/Inputs!$B$43),G544*Q544))*IF(Inputs!$B$38="pvp",1,1+(Inputs!$B$20+0+Skills!P7+Summary!$B$59)/100),0)</f>
        <v/>
      </c>
      <c r="V544">
        <f>IF(C544,(H544*N544*IF(AND(Inputs!$B$38&lt;&gt;"pvp",Inputs!$B$43&gt;0),((Skills!G7*((R544-1)*IF(Skills!H7&gt;0,Skills!I7/Skills!H7,1)+IF(Skills!H7&gt;0,MIN(Skills!I7,MAX(0,MAX(0,Inputs!$B$43-B573)-((R544-1)*IF(Inputs!$B$38="pvp",15,MAX(0.1,Skills!D7-IF(Skills!E7=TRUE,Inputs!$B$32,0))))))/Skills!H7,1)))/Inputs!$B$43),G544*Q544))*IF(Inputs!$B$38="pvp",1,(1+(Inputs!$B$21+Skills!Q7+Summary!$B$59)/100)*(MIN(Skills!R7,Inputs!$B$37))),0)</f>
        <v/>
      </c>
    </row>
    <row r="545">
      <c r="A545">
        <f>Skills!A8</f>
        <v/>
      </c>
      <c r="B545">
        <f>Skills!B8</f>
        <v/>
      </c>
      <c r="C545">
        <f>Inputs!$B$3&gt;=117</f>
        <v/>
      </c>
      <c r="D545">
        <f>IF(Skills!C8=1,60+Inputs!$B$25+Inputs!$B$29,IF(Skills!C8=2,90+Inputs!$B$26+Inputs!$B$29,IF(Skills!C8=3,120+Inputs!$B$27+Inputs!$B$29,MAX(0,(Inputs!$B$3-100)*3)+Inputs!$B$28+Inputs!$B$29)))</f>
        <v/>
      </c>
      <c r="E545">
        <f>INDEX(FactorTable!$B$2:$Y$301, MATCH(ROUND(MIN(300,MAX(1,D545)),0), FactorTable!$A$2:$A$301,0), Skills!M8+1)</f>
        <v/>
      </c>
      <c r="F545">
        <f>IF(Skills!N8=TRUE,(Skills!L8/10)*(E545/1000),Skills!L8/10)+Skills!O8</f>
        <v/>
      </c>
      <c r="G545">
        <f>Skills!G8*IF(Skills!H8&gt;0,Skills!I8/Skills!H8,1)</f>
        <v/>
      </c>
      <c r="H545">
        <f>1-(1-Skills!J8/100)^Skills!K8</f>
        <v/>
      </c>
      <c r="I545" t="inlineStr">
        <is>
          <t>1</t>
        </is>
      </c>
      <c r="J545">
        <f>((Inputs!$B$6*(1+Inputs!$B$7/100))+(((Inputs!$B$12*(1+Inputs!$B$13/100))-(Inputs!$B$12*(1+Inputs!$B$13/100)))+0.25*(Inputs!$B$14-Inputs!$B$14))*(1+Inputs!$B$7/100))*(F545/100)</f>
        <v/>
      </c>
      <c r="K545">
        <f>J545*(1+((Inputs!$B$12*(1+Inputs!$B$13/100))*0.01+Inputs!$B$14*0.0025)/100)*(1+Inputs!$B$15/100)*(1+Inputs!$B$16/100)*(5000/(6000+Inputs!$B$42*(1-(Inputs!$B$19+0)/100)))*(1+(Inputs!$B$24+((C562=TRUE)*(F562-Calc!F25))+B572)/100)*(1+IF(Skills!A8="ENHANCED_RAGING_BLOW",IF(Inputs!$B$3&gt;=134,MAX(0,IF(Inputs!$B$3&gt;=110,7,5)-5)*50,0),0)/100)*(1+(IF(Skills!A8="RAGING_BLOW",Inputs!$B$17+((C558=TRUE)*(F558-Calc!F21)),Inputs!$B$18+((C560=TRUE)*(F560-Calc!F23))))/100)*((1+(((C550=TRUE)*F550*IF(Inputs!$B$3&gt;=110,7,5))+((C552=TRUE)*F552*IF(AND(Inputs!$B$38&lt;&gt;"pvp",Inputs!$B$43&gt;0),(((R552-1)*(Skills!T15*(1+Inputs!$B$34/100))+MIN((Skills!T15*(1+Inputs!$B$34/100)),MAX(0,Inputs!$B$43-((R552-1)*Skills!D15))))/Inputs!$B$43),IF(Inputs!$B$38="pvp",MIN((Skills!T15*(1+Inputs!$B$34/100)),15)/15,(Skills!T15*(1+Inputs!$B$34/100))/Skills!D15)))+0)/100)*I545)</f>
        <v/>
      </c>
      <c r="L545">
        <f>K545*(MIN(Inputs!$B$22+((C559=TRUE)*(F559-Calc!F22)),Inputs!$B$23+((C561=TRUE)*(F561-Calc!F24)))/100+(Inputs!$B$23+((C561=TRUE)*(F561-Calc!F24)))/100)/2</f>
        <v/>
      </c>
      <c r="M545">
        <f>L545*(1+(Inputs!$B$10+0+B571)/100)</f>
        <v/>
      </c>
      <c r="N545">
        <f>L545*(1-MIN((Inputs!$B$9+((C563=TRUE)*(F563-Calc!F26))+B566),100)/100)+M545*(MIN((Inputs!$B$9+((C563=TRUE)*(F563-Calc!F26))+B566),100)/100)</f>
        <v/>
      </c>
      <c r="O545">
        <f>(1-Summary!$B$55)*T545+Summary!$B$55*V545</f>
        <v/>
      </c>
      <c r="P545">
        <f>IF(B576=0,0,O545/B576)</f>
        <v/>
      </c>
      <c r="Q545">
        <f>IFERROR(1/IF(Inputs!$B$38="pvp",15,MAX(0.1,Skills!D8-IF(Skills!E8=TRUE,Inputs!$B$32,0))),0)</f>
        <v/>
      </c>
      <c r="R545">
        <f>IF(AND(Inputs!$B$38&lt;&gt;"pvp",Inputs!$B$43&gt;0),IF(MAX(0,Inputs!$B$43-B573)&lt;=0,0,(INT(MAX(0,Inputs!$B$43-B573)/IF(Inputs!$B$38="pvp",15,MAX(0.1,Skills!D8-IF(Skills!E8=TRUE,Inputs!$B$32,0))))+1)),0)</f>
        <v/>
      </c>
      <c r="S545">
        <f>IFERROR(O545/N545,0)</f>
        <v/>
      </c>
      <c r="T545">
        <f>IF(C545,(H545*N545*IF(AND(Inputs!$B$38&lt;&gt;"pvp",Inputs!$B$43&gt;0),((Skills!G8*((R545-1)*IF(Skills!H8&gt;0,Skills!I8/Skills!H8,1)+IF(Skills!H8&gt;0,MIN(Skills!I8,MAX(0,MAX(0,Inputs!$B$43-B573)-((R545-1)*IF(Inputs!$B$38="pvp",15,MAX(0.1,Skills!D8-IF(Skills!E8=TRUE,Inputs!$B$32,0))))))/Skills!H8,1)))/Inputs!$B$43),G545*Q545))*IF(Inputs!$B$38="pvp",1,1+(Inputs!$B$20+0+Skills!P8+Summary!$B$59)/100),0)</f>
        <v/>
      </c>
      <c r="V545">
        <f>IF(C545,(H545*N545*IF(AND(Inputs!$B$38&lt;&gt;"pvp",Inputs!$B$43&gt;0),((Skills!G8*((R545-1)*IF(Skills!H8&gt;0,Skills!I8/Skills!H8,1)+IF(Skills!H8&gt;0,MIN(Skills!I8,MAX(0,MAX(0,Inputs!$B$43-B573)-((R545-1)*IF(Inputs!$B$38="pvp",15,MAX(0.1,Skills!D8-IF(Skills!E8=TRUE,Inputs!$B$32,0))))))/Skills!H8,1)))/Inputs!$B$43),G545*Q545))*IF(Inputs!$B$38="pvp",1,(1+(Inputs!$B$21+Skills!Q8+Summary!$B$59)/100)*(MIN(Skills!R8,Inputs!$B$37))),0)</f>
        <v/>
      </c>
    </row>
    <row r="546">
      <c r="A546">
        <f>Skills!A9</f>
        <v/>
      </c>
      <c r="B546">
        <f>Skills!B9</f>
        <v/>
      </c>
      <c r="C546">
        <f>Inputs!$B$3&gt;=69</f>
        <v/>
      </c>
      <c r="D546">
        <f>IF(Skills!C9=1,60+Inputs!$B$25+Inputs!$B$29,IF(Skills!C9=2,90+Inputs!$B$26+Inputs!$B$29,IF(Skills!C9=3,120+Inputs!$B$27+Inputs!$B$29,MAX(0,(Inputs!$B$3-100)*3)+Inputs!$B$28+Inputs!$B$29)))</f>
        <v/>
      </c>
      <c r="E546">
        <f>INDEX(FactorTable!$B$2:$Y$301, MATCH(ROUND(MIN(300,MAX(1,D546)),0), FactorTable!$A$2:$A$301,0), Skills!M9+1)</f>
        <v/>
      </c>
      <c r="F546">
        <f>IF(Skills!N9=TRUE,(Skills!L9/10)*(E546/1000),Skills!L9/10)+Skills!O9</f>
        <v/>
      </c>
      <c r="G546">
        <f>Skills!G9*IF(Skills!H9&gt;0,Skills!I9/Skills!H9,1)</f>
        <v/>
      </c>
      <c r="H546">
        <f>1-(1-Skills!J9/100)^Skills!K9</f>
        <v/>
      </c>
      <c r="I546" t="inlineStr">
        <is>
          <t>1</t>
        </is>
      </c>
      <c r="J546">
        <f>((Inputs!$B$6*(1+Inputs!$B$7/100))+(((Inputs!$B$12*(1+Inputs!$B$13/100))-(Inputs!$B$12*(1+Inputs!$B$13/100)))+0.25*(Inputs!$B$14-Inputs!$B$14))*(1+Inputs!$B$7/100))*(F546/100)</f>
        <v/>
      </c>
      <c r="K546">
        <f>J546*(1+((Inputs!$B$12*(1+Inputs!$B$13/100))*0.01+Inputs!$B$14*0.0025)/100)*(1+Inputs!$B$15/100)*(1+Inputs!$B$16/100)*(5000/(6000+Inputs!$B$42*(1-(Inputs!$B$19+0)/100)))*(1+(Inputs!$B$24+((C562=TRUE)*(F562-Calc!F25))+B572)/100)*(1+1.0*IF(C549=TRUE,F549,0)/100)*(1+IF(Skills!A9="ENHANCED_RAGING_BLOW",IF(Inputs!$B$3&gt;=134,MAX(0,IF(Inputs!$B$3&gt;=110,7,5)-5)*50,0),0)/100)*(1+(IF(Skills!A9="RAGING_BLOW",Inputs!$B$17+((C558=TRUE)*(F558-Calc!F21)),Inputs!$B$18+((C560=TRUE)*(F560-Calc!F23))))/100)*((1+(((C550=TRUE)*F550*IF(Inputs!$B$3&gt;=110,7,5))+((C552=TRUE)*F552*IF(AND(Inputs!$B$38&lt;&gt;"pvp",Inputs!$B$43&gt;0),(((R552-1)*(Skills!T15*(1+Inputs!$B$34/100))+MIN((Skills!T15*(1+Inputs!$B$34/100)),MAX(0,Inputs!$B$43-((R552-1)*Skills!D15))))/Inputs!$B$43),IF(Inputs!$B$38="pvp",MIN((Skills!T15*(1+Inputs!$B$34/100)),15)/15,(Skills!T15*(1+Inputs!$B$34/100))/Skills!D15)))+0)/100)*I546)</f>
        <v/>
      </c>
      <c r="L546">
        <f>K546*(MIN(Inputs!$B$22+((C559=TRUE)*(F559-Calc!F22)),Inputs!$B$23+((C561=TRUE)*(F561-Calc!F24)))/100+(Inputs!$B$23+((C561=TRUE)*(F561-Calc!F24)))/100)/2</f>
        <v/>
      </c>
      <c r="M546">
        <f>L546*(1+(Inputs!$B$10+0+B571)/100)</f>
        <v/>
      </c>
      <c r="N546">
        <f>L546*(1-MIN((Inputs!$B$9+((C563=TRUE)*(F563-Calc!F26))+B566),100)/100)+M546*(MIN((Inputs!$B$9+((C563=TRUE)*(F563-Calc!F26))+B566),100)/100)</f>
        <v/>
      </c>
      <c r="O546">
        <f>(1-Summary!$B$55)*T546+Summary!$B$55*V546</f>
        <v/>
      </c>
      <c r="P546">
        <f>IF(B576=0,0,O546/B576)</f>
        <v/>
      </c>
      <c r="Q546">
        <f>IFERROR(1/IF(Inputs!$B$38="pvp",15,MAX(0.1,Skills!D9-IF(Skills!E9=TRUE,Inputs!$B$32,0))),0)</f>
        <v/>
      </c>
      <c r="R546">
        <f>IF(AND(Inputs!$B$38&lt;&gt;"pvp",Inputs!$B$43&gt;0),IF(MAX(0,Inputs!$B$43-B573)&lt;=0,0,(INT(MAX(0,Inputs!$B$43-B573)/IF(Inputs!$B$38="pvp",15,MAX(0.1,Skills!D9-IF(Skills!E9=TRUE,Inputs!$B$32,0))))+1)),0)</f>
        <v/>
      </c>
      <c r="S546">
        <f>IFERROR(O546/N546,0)</f>
        <v/>
      </c>
      <c r="T546">
        <f>IF(C546,(H546*N546*IF(AND(Inputs!$B$38&lt;&gt;"pvp",Inputs!$B$43&gt;0),((Skills!G9*((R546-1)*IF(Skills!H9&gt;0,Skills!I9/Skills!H9,1)+IF(Skills!H9&gt;0,MIN(Skills!I9,MAX(0,MAX(0,Inputs!$B$43-B573)-((R546-1)*IF(Inputs!$B$38="pvp",15,MAX(0.1,Skills!D9-IF(Skills!E9=TRUE,Inputs!$B$32,0))))))/Skills!H9,1)))/Inputs!$B$43),G546*Q546))*IF(Inputs!$B$38="pvp",1,1+(Inputs!$B$20+0+Skills!P9+Summary!$B$59)/100),0)</f>
        <v/>
      </c>
      <c r="V546">
        <f>IF(C546,(H546*N546*IF(AND(Inputs!$B$38&lt;&gt;"pvp",Inputs!$B$43&gt;0),((Skills!G9*((R546-1)*IF(Skills!H9&gt;0,Skills!I9/Skills!H9,1)+IF(Skills!H9&gt;0,MIN(Skills!I9,MAX(0,MAX(0,Inputs!$B$43-B573)-((R546-1)*IF(Inputs!$B$38="pvp",15,MAX(0.1,Skills!D9-IF(Skills!E9=TRUE,Inputs!$B$32,0))))))/Skills!H9,1)))/Inputs!$B$43),G546*Q546))*IF(Inputs!$B$38="pvp",1,(1+(Inputs!$B$21+Skills!Q9+Summary!$B$59)/100)*(MIN(Skills!R9,Inputs!$B$37))),0)</f>
        <v/>
      </c>
    </row>
    <row r="547">
      <c r="A547">
        <f>Skills!A10</f>
        <v/>
      </c>
      <c r="B547">
        <f>Skills!B10</f>
        <v/>
      </c>
      <c r="C547">
        <f>Inputs!$B$3&gt;=63</f>
        <v/>
      </c>
      <c r="D547">
        <f>IF(Skills!C10=1,60+Inputs!$B$25+Inputs!$B$29,IF(Skills!C10=2,90+Inputs!$B$26+Inputs!$B$29,IF(Skills!C10=3,120+Inputs!$B$27+Inputs!$B$29,MAX(0,(Inputs!$B$3-100)*3)+Inputs!$B$28+Inputs!$B$29)))</f>
        <v/>
      </c>
      <c r="E547">
        <f>INDEX(FactorTable!$B$2:$Y$301, MATCH(ROUND(MIN(300,MAX(1,D547)),0), FactorTable!$A$2:$A$301,0), Skills!M10+1)</f>
        <v/>
      </c>
      <c r="F547">
        <f>IF(Skills!N10=TRUE,(Skills!L10/10)*(E547/1000),Skills!L10/10)+Skills!O10</f>
        <v/>
      </c>
      <c r="G547">
        <f>Skills!G10*IF(Skills!H10&gt;0,Skills!I10/Skills!H10,1)</f>
        <v/>
      </c>
      <c r="H547">
        <f>1-(1-Skills!J10/100)^Skills!K10</f>
        <v/>
      </c>
      <c r="I547" t="inlineStr">
        <is>
          <t>1</t>
        </is>
      </c>
      <c r="J547">
        <f>((Inputs!$B$6*(1+Inputs!$B$7/100))+(((Inputs!$B$12*(1+Inputs!$B$13/100))-(Inputs!$B$12*(1+Inputs!$B$13/100)))+0.25*(Inputs!$B$14-Inputs!$B$14))*(1+Inputs!$B$7/100))*(F547/100)</f>
        <v/>
      </c>
      <c r="K547">
        <f>J547*(1+((Inputs!$B$12*(1+Inputs!$B$13/100))*0.01+Inputs!$B$14*0.0025)/100)*(1+Inputs!$B$15/100)*(1+Inputs!$B$16/100)*(5000/(6000+Inputs!$B$42*(1-(Inputs!$B$19+0)/100)))*(1+(Inputs!$B$24+((C562=TRUE)*(F562-Calc!F25))+B572)/100)*(1+1.5*IF(C549=TRUE,F549,0)/100)*(1+IF(Skills!A10="ENHANCED_RAGING_BLOW",IF(Inputs!$B$3&gt;=134,MAX(0,IF(Inputs!$B$3&gt;=110,7,5)-5)*50,0),0)/100)*(1+(IF(Skills!A10="RAGING_BLOW",Inputs!$B$17+((C558=TRUE)*(F558-Calc!F21)),Inputs!$B$18+((C560=TRUE)*(F560-Calc!F23))))/100)*((1+(((C550=TRUE)*F550*IF(Inputs!$B$3&gt;=110,7,5))+((C552=TRUE)*F552*IF(AND(Inputs!$B$38&lt;&gt;"pvp",Inputs!$B$43&gt;0),(((R552-1)*(Skills!T15*(1+Inputs!$B$34/100))+MIN((Skills!T15*(1+Inputs!$B$34/100)),MAX(0,Inputs!$B$43-((R552-1)*Skills!D15))))/Inputs!$B$43),IF(Inputs!$B$38="pvp",MIN((Skills!T15*(1+Inputs!$B$34/100)),15)/15,(Skills!T15*(1+Inputs!$B$34/100))/Skills!D15)))+0)/100)*I547)</f>
        <v/>
      </c>
      <c r="L547">
        <f>K547*(MIN(Inputs!$B$22+((C559=TRUE)*(F559-Calc!F22)),Inputs!$B$23+((C561=TRUE)*(F561-Calc!F24)))/100+(Inputs!$B$23+((C561=TRUE)*(F561-Calc!F24)))/100)/2</f>
        <v/>
      </c>
      <c r="M547">
        <f>L547*(1+(Inputs!$B$10+0+B571)/100)</f>
        <v/>
      </c>
      <c r="N547">
        <f>L547*(1-MIN((Inputs!$B$9+((C563=TRUE)*(F563-Calc!F26))+B566),100)/100)+M547*(MIN((Inputs!$B$9+((C563=TRUE)*(F563-Calc!F26))+B566),100)/100)</f>
        <v/>
      </c>
      <c r="O547">
        <f>(1-Summary!$B$55)*T547+Summary!$B$55*V547</f>
        <v/>
      </c>
      <c r="P547">
        <f>IF(B576=0,0,O547/B576)</f>
        <v/>
      </c>
      <c r="Q547">
        <f>IFERROR(1/IF(Inputs!$B$38="pvp",15,MAX(0.1,Skills!D10-IF(Skills!E10=TRUE,Inputs!$B$32,0))),0)</f>
        <v/>
      </c>
      <c r="R547">
        <f>IF(AND(Inputs!$B$38&lt;&gt;"pvp",Inputs!$B$43&gt;0),IF(MAX(0,Inputs!$B$43-B573)&lt;=0,0,(INT(MAX(0,Inputs!$B$43-B573)/IF(Inputs!$B$38="pvp",15,MAX(0.1,Skills!D10-IF(Skills!E10=TRUE,Inputs!$B$32,0))))+1)),0)</f>
        <v/>
      </c>
      <c r="S547">
        <f>IFERROR(O547/N547,0)</f>
        <v/>
      </c>
      <c r="T547">
        <f>IF(C547,(H547*N547*IF(AND(Inputs!$B$38&lt;&gt;"pvp",Inputs!$B$43&gt;0),((Skills!G10*((R547-1)*IF(Skills!H10&gt;0,Skills!I10/Skills!H10,1)+IF(Skills!H10&gt;0,MIN(Skills!I10,MAX(0,MAX(0,Inputs!$B$43-B573)-((R547-1)*IF(Inputs!$B$38="pvp",15,MAX(0.1,Skills!D10-IF(Skills!E10=TRUE,Inputs!$B$32,0))))))/Skills!H10,1)))/Inputs!$B$43),G547*Q547))*IF(Inputs!$B$38="pvp",1,1+(Inputs!$B$20+0+Skills!P10+Summary!$B$59)/100),0)</f>
        <v/>
      </c>
      <c r="V547">
        <f>IF(C547,(H547*N547*IF(AND(Inputs!$B$38&lt;&gt;"pvp",Inputs!$B$43&gt;0),((Skills!G10*((R547-1)*IF(Skills!H10&gt;0,Skills!I10/Skills!H10,1)+IF(Skills!H10&gt;0,MIN(Skills!I10,MAX(0,MAX(0,Inputs!$B$43-B573)-((R547-1)*IF(Inputs!$B$38="pvp",15,MAX(0.1,Skills!D10-IF(Skills!E10=TRUE,Inputs!$B$32,0))))))/Skills!H10,1)))/Inputs!$B$43),G547*Q547))*IF(Inputs!$B$38="pvp",1,(1+(Inputs!$B$21+Skills!Q10+Summary!$B$59)/100)*(MIN(Skills!R10,Inputs!$B$37))),0)</f>
        <v/>
      </c>
    </row>
    <row r="548">
      <c r="A548">
        <f>Skills!A11</f>
        <v/>
      </c>
      <c r="B548">
        <f>Skills!B11</f>
        <v/>
      </c>
      <c r="C548">
        <f>Inputs!$B$3&gt;=35</f>
        <v/>
      </c>
      <c r="D548">
        <f>IF(Skills!C11=1,60+Inputs!$B$25+Inputs!$B$29,IF(Skills!C11=2,90+Inputs!$B$26+Inputs!$B$29,IF(Skills!C11=3,120+Inputs!$B$27+Inputs!$B$29,MAX(0,(Inputs!$B$3-100)*3)+Inputs!$B$28+Inputs!$B$29)))</f>
        <v/>
      </c>
      <c r="E548">
        <f>INDEX(FactorTable!$B$2:$Y$301, MATCH(ROUND(MIN(300,MAX(1,D548)),0), FactorTable!$A$2:$A$301,0), Skills!M11+1)</f>
        <v/>
      </c>
      <c r="F548">
        <f>IF(Skills!N11=TRUE,(Skills!L11/10)*(E548/1000),Skills!L11/10)+Skills!O11</f>
        <v/>
      </c>
      <c r="G548">
        <f>Skills!G11*IF(Skills!H11&gt;0,Skills!I11/Skills!H11,1)</f>
        <v/>
      </c>
      <c r="H548">
        <f>1-(1-Skills!J11/100)^Skills!K11</f>
        <v/>
      </c>
      <c r="I548" t="inlineStr">
        <is>
          <t>1</t>
        </is>
      </c>
      <c r="J548">
        <f>((Inputs!$B$6*(1+Inputs!$B$7/100))+(((Inputs!$B$12*(1+Inputs!$B$13/100))-(Inputs!$B$12*(1+Inputs!$B$13/100)))+0.25*(Inputs!$B$14-Inputs!$B$14))*(1+Inputs!$B$7/100))*(F548/100)</f>
        <v/>
      </c>
      <c r="K548">
        <f>J548*(1+((Inputs!$B$12*(1+Inputs!$B$13/100))*0.01+Inputs!$B$14*0.0025)/100)*(1+Inputs!$B$15/100)*(1+Inputs!$B$16/100)*(5000/(6000+Inputs!$B$42*(1-(Inputs!$B$19+0)/100)))*(1+(Inputs!$B$24+((C562=TRUE)*(F562-Calc!F25))+B572)/100)*(1+4.0*IF(C549=TRUE,F549,0)/100)*(1+IF(Skills!A11="ENHANCED_RAGING_BLOW",IF(Inputs!$B$3&gt;=134,MAX(0,IF(Inputs!$B$3&gt;=110,7,5)-5)*50,0),0)/100)*(1+(IF(Skills!A11="RAGING_BLOW",Inputs!$B$17+((C558=TRUE)*(F558-Calc!F21)),Inputs!$B$18+((C560=TRUE)*(F560-Calc!F23))))/100)*((1+(((C550=TRUE)*F550*IF(Inputs!$B$3&gt;=110,7,5))+((C552=TRUE)*F552*IF(AND(Inputs!$B$38&lt;&gt;"pvp",Inputs!$B$43&gt;0),(((R552-1)*(Skills!T15*(1+Inputs!$B$34/100))+MIN((Skills!T15*(1+Inputs!$B$34/100)),MAX(0,Inputs!$B$43-((R552-1)*Skills!D15))))/Inputs!$B$43),IF(Inputs!$B$38="pvp",MIN((Skills!T15*(1+Inputs!$B$34/100)),15)/15,(Skills!T15*(1+Inputs!$B$34/100))/Skills!D15)))+0)/100)*I548)</f>
        <v/>
      </c>
      <c r="L548">
        <f>K548*(MIN(Inputs!$B$22+((C559=TRUE)*(F559-Calc!F22)),Inputs!$B$23+((C561=TRUE)*(F561-Calc!F24)))/100+(Inputs!$B$23+((C561=TRUE)*(F561-Calc!F24)))/100)/2</f>
        <v/>
      </c>
      <c r="M548">
        <f>L548*(1+(Inputs!$B$10+0+B571)/100)</f>
        <v/>
      </c>
      <c r="N548">
        <f>L548*(1-MIN((Inputs!$B$9+((C563=TRUE)*(F563-Calc!F26))+B566),100)/100)+M548*(MIN((Inputs!$B$9+((C563=TRUE)*(F563-Calc!F26))+B566),100)/100)</f>
        <v/>
      </c>
      <c r="O548">
        <f>(1-Summary!$B$55)*T548+Summary!$B$55*V548</f>
        <v/>
      </c>
      <c r="P548">
        <f>IF(B576=0,0,O548/B576)</f>
        <v/>
      </c>
      <c r="Q548">
        <f>IFERROR(1/IF(Inputs!$B$38="pvp",15,MAX(0.1,Skills!D11-IF(Skills!E11=TRUE,Inputs!$B$32,0))),0)</f>
        <v/>
      </c>
      <c r="R548">
        <f>IF(AND(Inputs!$B$38&lt;&gt;"pvp",Inputs!$B$43&gt;0),IF(MAX(0,Inputs!$B$43-B573)&lt;=0,0,(INT(MAX(0,Inputs!$B$43-B573)/IF(Inputs!$B$38="pvp",15,MAX(0.1,Skills!D11-IF(Skills!E11=TRUE,Inputs!$B$32,0))))+1)),0)</f>
        <v/>
      </c>
      <c r="S548">
        <f>IFERROR(O548/N548,0)</f>
        <v/>
      </c>
      <c r="T548">
        <f>IF(C548,(H548*N548*IF(AND(Inputs!$B$38&lt;&gt;"pvp",Inputs!$B$43&gt;0),((Skills!G11*((R548-1)*IF(Skills!H11&gt;0,Skills!I11/Skills!H11,1)+IF(Skills!H11&gt;0,MIN(Skills!I11,MAX(0,MAX(0,Inputs!$B$43-B573)-((R548-1)*IF(Inputs!$B$38="pvp",15,MAX(0.1,Skills!D11-IF(Skills!E11=TRUE,Inputs!$B$32,0))))))/Skills!H11,1)))/Inputs!$B$43),G548*Q548))*IF(Inputs!$B$38="pvp",1,1+(Inputs!$B$20+0+Skills!P11+Summary!$B$59)/100),0)</f>
        <v/>
      </c>
      <c r="V548">
        <f>IF(C548,(H548*N548*IF(AND(Inputs!$B$38&lt;&gt;"pvp",Inputs!$B$43&gt;0),((Skills!G11*((R548-1)*IF(Skills!H11&gt;0,Skills!I11/Skills!H11,1)+IF(Skills!H11&gt;0,MIN(Skills!I11,MAX(0,MAX(0,Inputs!$B$43-B573)-((R548-1)*IF(Inputs!$B$38="pvp",15,MAX(0.1,Skills!D11-IF(Skills!E11=TRUE,Inputs!$B$32,0))))))/Skills!H11,1)))/Inputs!$B$43),G548*Q548))*IF(Inputs!$B$38="pvp",1,(1+(Inputs!$B$21+Skills!Q11+Summary!$B$59)/100)*(MIN(Skills!R11,Inputs!$B$37))),0)</f>
        <v/>
      </c>
    </row>
    <row r="549">
      <c r="A549">
        <f>Skills!A12</f>
        <v/>
      </c>
      <c r="B549">
        <f>Skills!B12</f>
        <v/>
      </c>
      <c r="C549">
        <f>Inputs!$B$3&gt;=100</f>
        <v/>
      </c>
      <c r="D549">
        <f>IF(Skills!C12=1,60+Inputs!$B$25+Inputs!$B$29,IF(Skills!C12=2,90+Inputs!$B$26+Inputs!$B$29,IF(Skills!C12=3,120+Inputs!$B$27+Inputs!$B$29,MAX(0,(Inputs!$B$3-100)*3)+Inputs!$B$28+Inputs!$B$29)))</f>
        <v/>
      </c>
      <c r="E549">
        <f>INDEX(FactorTable!$B$2:$Y$301, MATCH(ROUND(MIN(300,MAX(1,D549)),0), FactorTable!$A$2:$A$301,0), Skills!M12+1)</f>
        <v/>
      </c>
      <c r="F549">
        <f>IF(Skills!N12=TRUE,(Skills!L12/10)*(E549/1000),Skills!L12/10)+Skills!O12</f>
        <v/>
      </c>
      <c r="G549" t="inlineStr"/>
      <c r="H549" t="inlineStr"/>
      <c r="I549" t="inlineStr">
        <is>
          <t>1</t>
        </is>
      </c>
      <c r="J549" t="inlineStr"/>
      <c r="K549" t="inlineStr"/>
      <c r="L549" t="inlineStr"/>
      <c r="M549" t="inlineStr"/>
      <c r="N549" t="inlineStr"/>
      <c r="O549" t="inlineStr"/>
      <c r="P549" t="inlineStr"/>
      <c r="Q549" t="inlineStr"/>
      <c r="R549" t="inlineStr"/>
      <c r="S549" t="inlineStr"/>
    </row>
    <row r="550">
      <c r="A550">
        <f>Skills!A13</f>
        <v/>
      </c>
      <c r="B550">
        <f>Skills!B13</f>
        <v/>
      </c>
      <c r="C550">
        <f>Inputs!$B$3&gt;=45</f>
        <v/>
      </c>
      <c r="D550">
        <f>IF(Skills!C13=1,60+Inputs!$B$25+Inputs!$B$29,IF(Skills!C13=2,90+Inputs!$B$26+Inputs!$B$29,IF(Skills!C13=3,120+Inputs!$B$27+Inputs!$B$29,MAX(0,(Inputs!$B$3-100)*3)+Inputs!$B$28+Inputs!$B$29)))</f>
        <v/>
      </c>
      <c r="E550">
        <f>INDEX(FactorTable!$B$2:$Y$301, MATCH(ROUND(MIN(300,MAX(1,D550)),0), FactorTable!$A$2:$A$301,0), Skills!M13+1)</f>
        <v/>
      </c>
      <c r="F550">
        <f>IF(Skills!N13=TRUE,(Skills!L13/10)*(E550/1000),Skills!L13/10)+Skills!O13</f>
        <v/>
      </c>
      <c r="G550">
        <f>Skills!G13*IF(Skills!H13&gt;0,Skills!I13/Skills!H13,1)</f>
        <v/>
      </c>
      <c r="H550">
        <f>1-(1-Skills!J13/100)^Skills!K13</f>
        <v/>
      </c>
      <c r="I550" t="inlineStr">
        <is>
          <t>1</t>
        </is>
      </c>
      <c r="J550" t="inlineStr"/>
      <c r="K550" t="inlineStr"/>
      <c r="L550" t="inlineStr"/>
      <c r="M550" t="inlineStr"/>
      <c r="N550" t="inlineStr"/>
      <c r="O550">
        <f>(1-Summary!$B$55)*T550+Summary!$B$55*V550</f>
        <v/>
      </c>
      <c r="P550">
        <f>IF(B576=0,0,O550/B576)</f>
        <v/>
      </c>
      <c r="Q550" t="n">
        <v>0</v>
      </c>
      <c r="R550" t="n">
        <v>0</v>
      </c>
      <c r="S550">
        <f>IFERROR(O550/N550,0)</f>
        <v/>
      </c>
      <c r="T550" t="n">
        <v>0</v>
      </c>
      <c r="V550" t="n">
        <v>0</v>
      </c>
    </row>
    <row r="551">
      <c r="A551">
        <f>Skills!A14</f>
        <v/>
      </c>
      <c r="B551">
        <f>Skills!B14</f>
        <v/>
      </c>
      <c r="C551">
        <f>Inputs!$B$3&gt;=75</f>
        <v/>
      </c>
      <c r="D551">
        <f>IF(Skills!C14=1,60+Inputs!$B$25+Inputs!$B$29,IF(Skills!C14=2,90+Inputs!$B$26+Inputs!$B$29,IF(Skills!C14=3,120+Inputs!$B$27+Inputs!$B$29,MAX(0,(Inputs!$B$3-100)*3)+Inputs!$B$28+Inputs!$B$29)))</f>
        <v/>
      </c>
      <c r="E551">
        <f>INDEX(FactorTable!$B$2:$Y$301, MATCH(ROUND(MIN(300,MAX(1,D551)),0), FactorTable!$A$2:$A$301,0), Skills!M14+1)</f>
        <v/>
      </c>
      <c r="F551">
        <f>IF(Skills!N14=TRUE,(Skills!L14/10)*(E551/1000),Skills!L14/10)+Skills!O14</f>
        <v/>
      </c>
      <c r="G551">
        <f>Skills!G14*IF(Skills!H14&gt;0,Skills!I14/Skills!H14,1)</f>
        <v/>
      </c>
      <c r="H551">
        <f>1-(1-Skills!J14/100)^Skills!K14</f>
        <v/>
      </c>
      <c r="I551" t="inlineStr">
        <is>
          <t>1</t>
        </is>
      </c>
      <c r="J551" t="inlineStr"/>
      <c r="K551" t="inlineStr"/>
      <c r="L551" t="inlineStr"/>
      <c r="M551" t="inlineStr"/>
      <c r="N551" t="inlineStr"/>
      <c r="O551">
        <f>(1-Summary!$B$55)*T551+Summary!$B$55*V551</f>
        <v/>
      </c>
      <c r="P551">
        <f>IF(B576=0,0,O551/B576)</f>
        <v/>
      </c>
      <c r="Q551" t="n">
        <v>0</v>
      </c>
      <c r="R551" t="n">
        <v>0</v>
      </c>
      <c r="S551">
        <f>IFERROR(O551/N551,0)</f>
        <v/>
      </c>
      <c r="T551" t="n">
        <v>0</v>
      </c>
      <c r="V551" t="n">
        <v>0</v>
      </c>
    </row>
    <row r="552">
      <c r="A552">
        <f>Skills!A15</f>
        <v/>
      </c>
      <c r="B552">
        <f>Skills!B15</f>
        <v/>
      </c>
      <c r="C552">
        <f>Inputs!$B$3&gt;=40</f>
        <v/>
      </c>
      <c r="D552">
        <f>IF(Skills!C15=1,60+Inputs!$B$25+Inputs!$B$29,IF(Skills!C15=2,90+Inputs!$B$26+Inputs!$B$29,IF(Skills!C15=3,120+Inputs!$B$27+Inputs!$B$29,MAX(0,(Inputs!$B$3-100)*3)+Inputs!$B$28+Inputs!$B$29)))</f>
        <v/>
      </c>
      <c r="E552">
        <f>INDEX(FactorTable!$B$2:$Y$301, MATCH(ROUND(MIN(300,MAX(1,D552)),0), FactorTable!$A$2:$A$301,0), Skills!M15+1)</f>
        <v/>
      </c>
      <c r="F552">
        <f>IF(Skills!N15=TRUE,(Skills!L15/10)*(E552/1000),Skills!L15/10)+Skills!O15</f>
        <v/>
      </c>
      <c r="G552">
        <f>Skills!G15*IF(Skills!H15&gt;0,Skills!I15/Skills!H15,1)</f>
        <v/>
      </c>
      <c r="H552">
        <f>1-(1-Skills!J15/100)^Skills!K15</f>
        <v/>
      </c>
      <c r="I552" t="inlineStr">
        <is>
          <t>1</t>
        </is>
      </c>
      <c r="J552" t="inlineStr"/>
      <c r="K552" t="inlineStr"/>
      <c r="L552" t="inlineStr"/>
      <c r="M552" t="inlineStr"/>
      <c r="N552" t="inlineStr"/>
      <c r="O552">
        <f>(1-Summary!$B$55)*T552+Summary!$B$55*V552</f>
        <v/>
      </c>
      <c r="P552">
        <f>IF(B576=0,0,O552/B576)</f>
        <v/>
      </c>
      <c r="Q552">
        <f>IFERROR(1/IF(Inputs!$B$38="pvp",15,MAX(0.1,Skills!D15-IF(Skills!E15=TRUE,Inputs!$B$32,0))),0)</f>
        <v/>
      </c>
      <c r="R552">
        <f>IF(AND(Inputs!$B$38&lt;&gt;"pvp",Inputs!$B$43&gt;0),IF(Inputs!$B$43&lt;=0,0,(INT(Inputs!$B$43/IF(Inputs!$B$38="pvp",15,MAX(0.1,Skills!D15-IF(Skills!E15=TRUE,Inputs!$B$32,0))))+1)),0)</f>
        <v/>
      </c>
      <c r="S552">
        <f>IFERROR(O552/N552,0)</f>
        <v/>
      </c>
      <c r="T552" t="n">
        <v>0</v>
      </c>
      <c r="V552" t="n">
        <v>0</v>
      </c>
    </row>
    <row r="553">
      <c r="A553">
        <f>Skills!A16</f>
        <v/>
      </c>
      <c r="B553">
        <f>Skills!B16</f>
        <v/>
      </c>
      <c r="C553">
        <f>Inputs!$B$3&gt;=66</f>
        <v/>
      </c>
      <c r="D553">
        <f>IF(Skills!C16=1,60+Inputs!$B$25+Inputs!$B$29,IF(Skills!C16=2,90+Inputs!$B$26+Inputs!$B$29,IF(Skills!C16=3,120+Inputs!$B$27+Inputs!$B$29,MAX(0,(Inputs!$B$3-100)*3)+Inputs!$B$28+Inputs!$B$29)))</f>
        <v/>
      </c>
      <c r="E553">
        <f>INDEX(FactorTable!$B$2:$Y$301, MATCH(ROUND(MIN(300,MAX(1,D553)),0), FactorTable!$A$2:$A$301,0), Skills!M16+1)</f>
        <v/>
      </c>
      <c r="F553">
        <f>IF(Skills!N16=TRUE,(Skills!L16/10)*(E553/1000),Skills!L16/10)+Skills!O16</f>
        <v/>
      </c>
      <c r="G553">
        <f>Skills!G16*IF(Skills!H16&gt;0,Skills!I16/Skills!H16,1)</f>
        <v/>
      </c>
      <c r="H553">
        <f>1-(1-Skills!J16/100)^Skills!K16</f>
        <v/>
      </c>
      <c r="I553" t="inlineStr">
        <is>
          <t>1</t>
        </is>
      </c>
      <c r="J553" t="inlineStr"/>
      <c r="K553" t="inlineStr"/>
      <c r="L553" t="inlineStr"/>
      <c r="M553" t="inlineStr"/>
      <c r="N553" t="inlineStr"/>
      <c r="O553">
        <f>(1-Summary!$B$55)*T553+Summary!$B$55*V553</f>
        <v/>
      </c>
      <c r="P553">
        <f>IF(B576=0,0,O553/B576)</f>
        <v/>
      </c>
      <c r="Q553">
        <f>IFERROR(1/IF(Inputs!$B$38="pvp",15,MAX(0.1,Skills!D16-IF(Skills!E16=TRUE,Inputs!$B$32,0))),0)</f>
        <v/>
      </c>
      <c r="R553">
        <f>IF(AND(Inputs!$B$38&lt;&gt;"pvp",Inputs!$B$43&gt;0),IF(Inputs!$B$43&lt;=0,0,(INT(Inputs!$B$43/IF(Inputs!$B$38="pvp",15,MAX(0.1,Skills!D16-IF(Skills!E16=TRUE,Inputs!$B$32,0))))+1)),0)</f>
        <v/>
      </c>
      <c r="S553">
        <f>IFERROR(O553/N553,0)</f>
        <v/>
      </c>
      <c r="T553" t="n">
        <v>0</v>
      </c>
      <c r="V553" t="n">
        <v>0</v>
      </c>
    </row>
    <row r="554">
      <c r="A554">
        <f>Skills!A17</f>
        <v/>
      </c>
      <c r="B554">
        <f>Skills!B17</f>
        <v/>
      </c>
      <c r="C554">
        <f>Inputs!$B$3&gt;=115</f>
        <v/>
      </c>
      <c r="D554">
        <f>IF(Skills!C17=1,60+Inputs!$B$25+Inputs!$B$29,IF(Skills!C17=2,90+Inputs!$B$26+Inputs!$B$29,IF(Skills!C17=3,120+Inputs!$B$27+Inputs!$B$29,MAX(0,(Inputs!$B$3-100)*3)+Inputs!$B$28+Inputs!$B$29)))</f>
        <v/>
      </c>
      <c r="E554">
        <f>INDEX(FactorTable!$B$2:$Y$301, MATCH(ROUND(MIN(300,MAX(1,D554)),0), FactorTable!$A$2:$A$301,0), Skills!M17+1)</f>
        <v/>
      </c>
      <c r="F554">
        <f>IF(Skills!N17=TRUE,(Skills!L17/10)*(E554/1000),Skills!L17/10)+Skills!O17</f>
        <v/>
      </c>
      <c r="G554">
        <f>Skills!G17*IF(Skills!H17&gt;0,Skills!I17/Skills!H17,1)</f>
        <v/>
      </c>
      <c r="H554">
        <f>1-(1-Skills!J17/100)^Skills!K17</f>
        <v/>
      </c>
      <c r="I554" t="inlineStr">
        <is>
          <t>1</t>
        </is>
      </c>
      <c r="J554" t="inlineStr"/>
      <c r="K554" t="inlineStr"/>
      <c r="L554" t="inlineStr"/>
      <c r="M554" t="inlineStr"/>
      <c r="N554" t="inlineStr"/>
      <c r="O554">
        <f>(1-Summary!$B$55)*T554+Summary!$B$55*V554</f>
        <v/>
      </c>
      <c r="P554">
        <f>IF(B576=0,0,O554/B576)</f>
        <v/>
      </c>
      <c r="Q554">
        <f>IFERROR(1/IF(Inputs!$B$38="pvp",15,MAX(0.1,Skills!D17-IF(Skills!E17=TRUE,Inputs!$B$32,0))),0)</f>
        <v/>
      </c>
      <c r="R554">
        <f>IF(AND(Inputs!$B$38&lt;&gt;"pvp",Inputs!$B$43&gt;0),IF(Inputs!$B$43&lt;=0,0,(INT(Inputs!$B$43/IF(Inputs!$B$38="pvp",15,MAX(0.1,Skills!D17-IF(Skills!E17=TRUE,Inputs!$B$32,0))))+1)),0)</f>
        <v/>
      </c>
      <c r="S554">
        <f>IFERROR(O554/N554,0)</f>
        <v/>
      </c>
      <c r="T554" t="n">
        <v>0</v>
      </c>
      <c r="V554" t="n">
        <v>0</v>
      </c>
    </row>
    <row r="555">
      <c r="A555">
        <f>Skills!A18</f>
        <v/>
      </c>
      <c r="B555">
        <f>Skills!B18</f>
        <v/>
      </c>
      <c r="C555">
        <f>Inputs!$B$3&gt;=115</f>
        <v/>
      </c>
      <c r="D555">
        <f>IF(Skills!C18=1,60+Inputs!$B$25+Inputs!$B$29,IF(Skills!C18=2,90+Inputs!$B$26+Inputs!$B$29,IF(Skills!C18=3,120+Inputs!$B$27+Inputs!$B$29,MAX(0,(Inputs!$B$3-100)*3)+Inputs!$B$28+Inputs!$B$29)))</f>
        <v/>
      </c>
      <c r="E555">
        <f>INDEX(FactorTable!$B$2:$Y$301, MATCH(ROUND(MIN(300,MAX(1,D555)),0), FactorTable!$A$2:$A$301,0), Skills!M18+1)</f>
        <v/>
      </c>
      <c r="F555">
        <f>IF(Skills!N18=TRUE,(Skills!L18/10)*(E555/1000),Skills!L18/10)+Skills!O18</f>
        <v/>
      </c>
      <c r="G555">
        <f>Skills!G18*IF(Skills!H18&gt;0,Skills!I18/Skills!H18,1)</f>
        <v/>
      </c>
      <c r="H555">
        <f>1-(1-Skills!J18/100)^Skills!K18</f>
        <v/>
      </c>
      <c r="I555" t="inlineStr">
        <is>
          <t>1</t>
        </is>
      </c>
      <c r="J555" t="inlineStr"/>
      <c r="K555" t="inlineStr"/>
      <c r="L555" t="inlineStr"/>
      <c r="M555" t="inlineStr"/>
      <c r="N555" t="inlineStr"/>
      <c r="O555">
        <f>(1-Summary!$B$55)*T555+Summary!$B$55*V555</f>
        <v/>
      </c>
      <c r="P555">
        <f>IF(B576=0,0,O555/B576)</f>
        <v/>
      </c>
      <c r="Q555">
        <f>IFERROR(1/IF(Inputs!$B$38="pvp",15,MAX(0.1,Skills!D18-IF(Skills!E18=TRUE,Inputs!$B$32,0))),0)</f>
        <v/>
      </c>
      <c r="R555">
        <f>IF(AND(Inputs!$B$38&lt;&gt;"pvp",Inputs!$B$43&gt;0),IF(Inputs!$B$43&lt;=0,0,(INT(Inputs!$B$43/IF(Inputs!$B$38="pvp",15,MAX(0.1,Skills!D18-IF(Skills!E18=TRUE,Inputs!$B$32,0))))+1)),0)</f>
        <v/>
      </c>
      <c r="S555">
        <f>IFERROR(O555/N555,0)</f>
        <v/>
      </c>
      <c r="T555" t="n">
        <v>0</v>
      </c>
      <c r="V555" t="n">
        <v>0</v>
      </c>
    </row>
    <row r="556">
      <c r="A556">
        <f>Skills!A19</f>
        <v/>
      </c>
      <c r="B556">
        <f>Skills!B19</f>
        <v/>
      </c>
      <c r="C556">
        <f>TRUE</f>
        <v/>
      </c>
      <c r="D556">
        <f>IF(Skills!C19=1,60+Inputs!$B$25+Inputs!$B$29,IF(Skills!C19=2,90+Inputs!$B$26+Inputs!$B$29,IF(Skills!C19=3,120+Inputs!$B$27+Inputs!$B$29,MAX(0,(Inputs!$B$3-100)*3)+Inputs!$B$28+Inputs!$B$29)))</f>
        <v/>
      </c>
      <c r="E556">
        <f>INDEX(FactorTable!$B$2:$Y$301, MATCH(ROUND(MIN(300,MAX(1,D556)),0), FactorTable!$A$2:$A$301,0), Skills!M19+1)</f>
        <v/>
      </c>
      <c r="F556">
        <f>IF(Skills!N19=TRUE,(Skills!L19/10)*(E556/1000),Skills!L19/10)+Skills!O19</f>
        <v/>
      </c>
      <c r="G556">
        <f>Skills!G19*IF(Skills!H19&gt;0,Skills!I19/Skills!H19,1)</f>
        <v/>
      </c>
      <c r="H556">
        <f>1-(1-Skills!J19/100)^Skills!K19</f>
        <v/>
      </c>
      <c r="I556" t="inlineStr">
        <is>
          <t>1</t>
        </is>
      </c>
      <c r="J556" t="inlineStr"/>
      <c r="K556" t="inlineStr"/>
      <c r="L556" t="inlineStr"/>
      <c r="M556" t="inlineStr"/>
      <c r="N556" t="inlineStr"/>
      <c r="O556">
        <f>(1-Summary!$B$55)*T556+Summary!$B$55*V556</f>
        <v/>
      </c>
      <c r="P556">
        <f>IF(B576=0,0,O556/B576)</f>
        <v/>
      </c>
      <c r="Q556">
        <f>IFERROR(1/IF(Inputs!$B$38="pvp",15,MAX(0.1,Skills!D19-IF(Skills!E19=TRUE,Inputs!$B$32,0))),0)</f>
        <v/>
      </c>
      <c r="R556">
        <f>IF(AND(Inputs!$B$38&lt;&gt;"pvp",Inputs!$B$43&gt;0),IF(Inputs!$B$43&lt;=0,0,(INT(Inputs!$B$43/IF(Inputs!$B$38="pvp",15,MAX(0.1,Skills!D19-IF(Skills!E19=TRUE,Inputs!$B$32,0))))+1)),0)</f>
        <v/>
      </c>
      <c r="S556">
        <f>IFERROR(O556/N556,0)</f>
        <v/>
      </c>
      <c r="T556" t="n">
        <v>0</v>
      </c>
      <c r="V556" t="n">
        <v>0</v>
      </c>
    </row>
    <row r="557">
      <c r="A557">
        <f>Skills!A20</f>
        <v/>
      </c>
      <c r="B557">
        <f>Skills!B20</f>
        <v/>
      </c>
      <c r="C557">
        <f>Inputs!$B$3&gt;=33</f>
        <v/>
      </c>
      <c r="D557">
        <f>IF(Skills!C20=1,60+Inputs!$B$25+Inputs!$B$29,IF(Skills!C20=2,90+Inputs!$B$26+Inputs!$B$29,IF(Skills!C20=3,120+Inputs!$B$27+Inputs!$B$29,MAX(0,(Inputs!$B$3-100)*3)+Inputs!$B$28+Inputs!$B$29)))</f>
        <v/>
      </c>
      <c r="E557">
        <f>INDEX(FactorTable!$B$2:$Y$301, MATCH(ROUND(MIN(300,MAX(1,D557)),0), FactorTable!$A$2:$A$301,0), Skills!M20+1)</f>
        <v/>
      </c>
      <c r="F557">
        <f>IF(Skills!N20=TRUE,(Skills!L20/10)*(E557/1000),Skills!L20/10)+Skills!O20</f>
        <v/>
      </c>
      <c r="G557">
        <f>Skills!G20*IF(Skills!H20&gt;0,Skills!I20/Skills!H20,1)</f>
        <v/>
      </c>
      <c r="H557">
        <f>1-(1-Skills!J20/100)^Skills!K20</f>
        <v/>
      </c>
      <c r="I557" t="inlineStr">
        <is>
          <t>1</t>
        </is>
      </c>
      <c r="J557" t="inlineStr"/>
      <c r="K557" t="inlineStr"/>
      <c r="L557" t="inlineStr"/>
      <c r="M557" t="inlineStr"/>
      <c r="N557" t="inlineStr"/>
      <c r="O557">
        <f>(1-Summary!$B$55)*T557+Summary!$B$55*V557</f>
        <v/>
      </c>
      <c r="P557">
        <f>IF(B576=0,0,O557/B576)</f>
        <v/>
      </c>
      <c r="Q557" t="n">
        <v>0</v>
      </c>
      <c r="R557" t="n">
        <v>0</v>
      </c>
      <c r="S557">
        <f>IFERROR(O557/N557,0)</f>
        <v/>
      </c>
      <c r="T557" t="n">
        <v>0</v>
      </c>
      <c r="V557" t="n">
        <v>0</v>
      </c>
    </row>
    <row r="558">
      <c r="A558">
        <f>Skills!A21</f>
        <v/>
      </c>
      <c r="B558">
        <f>Skills!B21</f>
        <v/>
      </c>
      <c r="C558">
        <f>Inputs!$B$3&gt;=38</f>
        <v/>
      </c>
      <c r="D558">
        <f>IF(Skills!C21=1,60+Inputs!$B$25+Inputs!$B$29,IF(Skills!C21=2,90+Inputs!$B$26+Inputs!$B$29,IF(Skills!C21=3,120+Inputs!$B$27+Inputs!$B$29,MAX(0,(Inputs!$B$3-100)*3)+Inputs!$B$28+Inputs!$B$29)))</f>
        <v/>
      </c>
      <c r="E558">
        <f>INDEX(FactorTable!$B$2:$Y$301, MATCH(ROUND(MIN(300,MAX(1,D558)),0), FactorTable!$A$2:$A$301,0), Skills!M21+1)</f>
        <v/>
      </c>
      <c r="F558">
        <f>IF(Skills!N21=TRUE,(Skills!L21/10)*(E558/1000),Skills!L21/10)+Skills!O21</f>
        <v/>
      </c>
      <c r="G558">
        <f>Skills!G21*IF(Skills!H21&gt;0,Skills!I21/Skills!H21,1)</f>
        <v/>
      </c>
      <c r="H558">
        <f>1-(1-Skills!J21/100)^Skills!K21</f>
        <v/>
      </c>
      <c r="I558" t="inlineStr">
        <is>
          <t>1</t>
        </is>
      </c>
      <c r="J558" t="inlineStr"/>
      <c r="K558" t="inlineStr"/>
      <c r="L558" t="inlineStr"/>
      <c r="M558" t="inlineStr"/>
      <c r="N558" t="inlineStr"/>
      <c r="O558">
        <f>(1-Summary!$B$55)*T558+Summary!$B$55*V558</f>
        <v/>
      </c>
      <c r="P558">
        <f>IF(B576=0,0,O558/B576)</f>
        <v/>
      </c>
      <c r="Q558" t="n">
        <v>0</v>
      </c>
      <c r="R558" t="n">
        <v>0</v>
      </c>
      <c r="S558">
        <f>IFERROR(O558/N558,0)</f>
        <v/>
      </c>
      <c r="T558" t="n">
        <v>0</v>
      </c>
      <c r="V558" t="n">
        <v>0</v>
      </c>
    </row>
    <row r="559">
      <c r="A559">
        <f>Skills!A22</f>
        <v/>
      </c>
      <c r="B559">
        <f>Skills!B22</f>
        <v/>
      </c>
      <c r="C559">
        <f>Inputs!$B$3&gt;=43</f>
        <v/>
      </c>
      <c r="D559">
        <f>IF(Skills!C22=1,60+Inputs!$B$25+Inputs!$B$29,IF(Skills!C22=2,90+Inputs!$B$26+Inputs!$B$29,IF(Skills!C22=3,120+Inputs!$B$27+Inputs!$B$29,MAX(0,(Inputs!$B$3-100)*3)+Inputs!$B$28+Inputs!$B$29)))</f>
        <v/>
      </c>
      <c r="E559">
        <f>INDEX(FactorTable!$B$2:$Y$301, MATCH(ROUND(MIN(300,MAX(1,D559)),0), FactorTable!$A$2:$A$301,0), Skills!M22+1)</f>
        <v/>
      </c>
      <c r="F559">
        <f>IF(Skills!N22=TRUE,(Skills!L22/10)*(E559/1000),Skills!L22/10)+Skills!O22</f>
        <v/>
      </c>
      <c r="G559">
        <f>Skills!G22*IF(Skills!H22&gt;0,Skills!I22/Skills!H22,1)</f>
        <v/>
      </c>
      <c r="H559">
        <f>1-(1-Skills!J22/100)^Skills!K22</f>
        <v/>
      </c>
      <c r="I559" t="inlineStr">
        <is>
          <t>1</t>
        </is>
      </c>
      <c r="J559" t="inlineStr"/>
      <c r="K559" t="inlineStr"/>
      <c r="L559" t="inlineStr"/>
      <c r="M559" t="inlineStr"/>
      <c r="N559" t="inlineStr"/>
      <c r="O559">
        <f>(1-Summary!$B$55)*T559+Summary!$B$55*V559</f>
        <v/>
      </c>
      <c r="P559">
        <f>IF(B576=0,0,O559/B576)</f>
        <v/>
      </c>
      <c r="Q559" t="n">
        <v>0</v>
      </c>
      <c r="R559" t="n">
        <v>0</v>
      </c>
      <c r="S559">
        <f>IFERROR(O559/N559,0)</f>
        <v/>
      </c>
      <c r="T559" t="n">
        <v>0</v>
      </c>
      <c r="V559" t="n">
        <v>0</v>
      </c>
    </row>
    <row r="560">
      <c r="A560">
        <f>Skills!A23</f>
        <v/>
      </c>
      <c r="B560">
        <f>Skills!B23</f>
        <v/>
      </c>
      <c r="C560">
        <f>Inputs!$B$3&gt;=120</f>
        <v/>
      </c>
      <c r="D560">
        <f>IF(Skills!C23=1,60+Inputs!$B$25+Inputs!$B$29,IF(Skills!C23=2,90+Inputs!$B$26+Inputs!$B$29,IF(Skills!C23=3,120+Inputs!$B$27+Inputs!$B$29,MAX(0,(Inputs!$B$3-100)*3)+Inputs!$B$28+Inputs!$B$29)))</f>
        <v/>
      </c>
      <c r="E560">
        <f>INDEX(FactorTable!$B$2:$Y$301, MATCH(ROUND(MIN(300,MAX(1,D560)),0), FactorTable!$A$2:$A$301,0), Skills!M23+1)</f>
        <v/>
      </c>
      <c r="F560">
        <f>IF(Skills!N23=TRUE,(Skills!L23/10)*(E560/1000),Skills!L23/10)+Skills!O23</f>
        <v/>
      </c>
      <c r="G560">
        <f>Skills!G23*IF(Skills!H23&gt;0,Skills!I23/Skills!H23,1)</f>
        <v/>
      </c>
      <c r="H560">
        <f>1-(1-Skills!J23/100)^Skills!K23</f>
        <v/>
      </c>
      <c r="I560" t="inlineStr">
        <is>
          <t>1</t>
        </is>
      </c>
      <c r="J560" t="inlineStr"/>
      <c r="K560" t="inlineStr"/>
      <c r="L560" t="inlineStr"/>
      <c r="M560" t="inlineStr"/>
      <c r="N560" t="inlineStr"/>
      <c r="O560">
        <f>(1-Summary!$B$55)*T560+Summary!$B$55*V560</f>
        <v/>
      </c>
      <c r="P560">
        <f>IF(B576=0,0,O560/B576)</f>
        <v/>
      </c>
      <c r="Q560" t="n">
        <v>0</v>
      </c>
      <c r="R560" t="n">
        <v>0</v>
      </c>
      <c r="S560">
        <f>IFERROR(O560/N560,0)</f>
        <v/>
      </c>
      <c r="T560" t="n">
        <v>0</v>
      </c>
      <c r="V560" t="n">
        <v>0</v>
      </c>
    </row>
    <row r="561">
      <c r="A561">
        <f>Skills!A24</f>
        <v/>
      </c>
      <c r="B561">
        <f>Skills!B24</f>
        <v/>
      </c>
      <c r="C561">
        <f>Inputs!$B$3&gt;=120</f>
        <v/>
      </c>
      <c r="D561">
        <f>IF(Skills!C24=1,60+Inputs!$B$25+Inputs!$B$29,IF(Skills!C24=2,90+Inputs!$B$26+Inputs!$B$29,IF(Skills!C24=3,120+Inputs!$B$27+Inputs!$B$29,MAX(0,(Inputs!$B$3-100)*3)+Inputs!$B$28+Inputs!$B$29)))</f>
        <v/>
      </c>
      <c r="E561">
        <f>INDEX(FactorTable!$B$2:$Y$301, MATCH(ROUND(MIN(300,MAX(1,D561)),0), FactorTable!$A$2:$A$301,0), Skills!M24+1)</f>
        <v/>
      </c>
      <c r="F561">
        <f>IF(Skills!N24=TRUE,(Skills!L24/10)*(E561/1000),Skills!L24/10)+Skills!O24</f>
        <v/>
      </c>
      <c r="G561">
        <f>Skills!G24*IF(Skills!H24&gt;0,Skills!I24/Skills!H24,1)</f>
        <v/>
      </c>
      <c r="H561">
        <f>1-(1-Skills!J24/100)^Skills!K24</f>
        <v/>
      </c>
      <c r="I561" t="inlineStr">
        <is>
          <t>1</t>
        </is>
      </c>
      <c r="J561" t="inlineStr"/>
      <c r="K561" t="inlineStr"/>
      <c r="L561" t="inlineStr"/>
      <c r="M561" t="inlineStr"/>
      <c r="N561" t="inlineStr"/>
      <c r="O561">
        <f>(1-Summary!$B$55)*T561+Summary!$B$55*V561</f>
        <v/>
      </c>
      <c r="P561">
        <f>IF(B576=0,0,O561/B576)</f>
        <v/>
      </c>
      <c r="Q561" t="n">
        <v>0</v>
      </c>
      <c r="R561" t="n">
        <v>0</v>
      </c>
      <c r="S561">
        <f>IFERROR(O561/N561,0)</f>
        <v/>
      </c>
      <c r="T561" t="n">
        <v>0</v>
      </c>
      <c r="V561" t="n">
        <v>0</v>
      </c>
    </row>
    <row r="562">
      <c r="A562">
        <f>Skills!A25</f>
        <v/>
      </c>
      <c r="B562">
        <f>Skills!B25</f>
        <v/>
      </c>
      <c r="C562">
        <f>Inputs!$B$3&gt;=125</f>
        <v/>
      </c>
      <c r="D562">
        <f>IF(Skills!C25=1,60+Inputs!$B$25+Inputs!$B$29,IF(Skills!C25=2,90+Inputs!$B$26+Inputs!$B$29,IF(Skills!C25=3,120+Inputs!$B$27+Inputs!$B$29,MAX(0,(Inputs!$B$3-100)*3)+Inputs!$B$28+Inputs!$B$29)))</f>
        <v/>
      </c>
      <c r="E562">
        <f>INDEX(FactorTable!$B$2:$Y$301, MATCH(ROUND(MIN(300,MAX(1,D562)),0), FactorTable!$A$2:$A$301,0), Skills!M25+1)</f>
        <v/>
      </c>
      <c r="F562">
        <f>IF(Skills!N25=TRUE,(Skills!L25/10)*(E562/1000),Skills!L25/10)+Skills!O25</f>
        <v/>
      </c>
      <c r="G562">
        <f>Skills!G25*IF(Skills!H25&gt;0,Skills!I25/Skills!H25,1)</f>
        <v/>
      </c>
      <c r="H562">
        <f>1-(1-Skills!J25/100)^Skills!K25</f>
        <v/>
      </c>
      <c r="I562" t="inlineStr">
        <is>
          <t>1</t>
        </is>
      </c>
      <c r="J562" t="inlineStr"/>
      <c r="K562" t="inlineStr"/>
      <c r="L562" t="inlineStr"/>
      <c r="M562" t="inlineStr"/>
      <c r="N562" t="inlineStr"/>
      <c r="O562">
        <f>(1-Summary!$B$55)*T562+Summary!$B$55*V562</f>
        <v/>
      </c>
      <c r="P562">
        <f>IF(B576=0,0,O562/B576)</f>
        <v/>
      </c>
      <c r="Q562" t="n">
        <v>0</v>
      </c>
      <c r="R562" t="n">
        <v>0</v>
      </c>
      <c r="S562">
        <f>IFERROR(O562/N562,0)</f>
        <v/>
      </c>
      <c r="T562" t="n">
        <v>0</v>
      </c>
      <c r="V562" t="n">
        <v>0</v>
      </c>
    </row>
    <row r="563">
      <c r="A563">
        <f>Skills!A26</f>
        <v/>
      </c>
      <c r="B563">
        <f>Skills!B26</f>
        <v/>
      </c>
      <c r="C563">
        <f>Inputs!$B$3&gt;=72</f>
        <v/>
      </c>
      <c r="D563">
        <f>IF(Skills!C26=1,60+Inputs!$B$25+Inputs!$B$29,IF(Skills!C26=2,90+Inputs!$B$26+Inputs!$B$29,IF(Skills!C26=3,120+Inputs!$B$27+Inputs!$B$29,MAX(0,(Inputs!$B$3-100)*3)+Inputs!$B$28+Inputs!$B$29)))</f>
        <v/>
      </c>
      <c r="E563">
        <f>INDEX(FactorTable!$B$2:$Y$301, MATCH(ROUND(MIN(300,MAX(1,D563)),0), FactorTable!$A$2:$A$301,0), Skills!M26+1)</f>
        <v/>
      </c>
      <c r="F563">
        <f>IF(Skills!N26=TRUE,(Skills!L26/10)*(E563/1000),Skills!L26/10)+Skills!O26</f>
        <v/>
      </c>
      <c r="G563">
        <f>Skills!G26*IF(Skills!H26&gt;0,Skills!I26/Skills!H26,1)</f>
        <v/>
      </c>
      <c r="H563">
        <f>1-(1-Skills!J26/100)^Skills!K26</f>
        <v/>
      </c>
      <c r="I563" t="inlineStr">
        <is>
          <t>1</t>
        </is>
      </c>
      <c r="J563" t="inlineStr"/>
      <c r="K563" t="inlineStr"/>
      <c r="L563" t="inlineStr"/>
      <c r="M563" t="inlineStr"/>
      <c r="N563" t="inlineStr"/>
      <c r="O563">
        <f>(1-Summary!$B$55)*T563+Summary!$B$55*V563</f>
        <v/>
      </c>
      <c r="P563">
        <f>IF(B576=0,0,O563/B576)</f>
        <v/>
      </c>
      <c r="Q563" t="n">
        <v>0</v>
      </c>
      <c r="R563" t="n">
        <v>0</v>
      </c>
      <c r="S563">
        <f>IFERROR(O563/N563,0)</f>
        <v/>
      </c>
      <c r="T563" t="n">
        <v>0</v>
      </c>
      <c r="V563" t="n">
        <v>0</v>
      </c>
    </row>
    <row r="565">
      <c r="A565" t="inlineStr">
        <is>
          <t>Attack% Bucket Multiplier</t>
        </is>
      </c>
      <c r="B565">
        <f>(1+(((C550=TRUE)*F550*IF(Inputs!$B$3&gt;=110,7,5))+((C552=TRUE)*F552*IF(AND(Inputs!$B$38&lt;&gt;"pvp",Inputs!$B$43&gt;0),(((R552-1)*(Skills!T15*(1+Inputs!$B$34/100))+MIN((Skills!T15*(1+Inputs!$B$34/100)),MAX(0,Inputs!$B$43-((R552-1)*Skills!D15))))/Inputs!$B$43),IF(Inputs!$B$38="pvp",MIN((Skills!T15*(1+Inputs!$B$34/100)),15)/15,(Skills!T15*(1+Inputs!$B$34/100))/Skills!D15)))+0)/100)</f>
        <v/>
      </c>
    </row>
    <row r="566">
      <c r="A566" t="inlineStr">
        <is>
          <t>Global Crit Rate Bonus %</t>
        </is>
      </c>
      <c r="B566" t="n">
        <v>0</v>
      </c>
    </row>
    <row r="567">
      <c r="A567" t="inlineStr">
        <is>
          <t>Attack Speed Buff Bonus %</t>
        </is>
      </c>
      <c r="B567">
        <f>((C556=TRUE)*F556*IF(AND(Inputs!$B$38&lt;&gt;"pvp",Inputs!$B$43&gt;0),(((R556-1)*(Skills!T19*(1+Inputs!$B$34/100))+MIN((Skills!T19*(1+Inputs!$B$34/100)),MAX(0,Inputs!$B$43-((R556-1)*Skills!D19))))/Inputs!$B$43),IF(Inputs!$B$38="pvp",MIN((Skills!T19*(1+Inputs!$B$34/100)),15)/15,(Skills!T19*(1+Inputs!$B$34/100))/Skills!D19)))</f>
        <v/>
      </c>
    </row>
    <row r="568">
      <c r="A568" t="inlineStr">
        <is>
          <t>Actions Per Second</t>
        </is>
      </c>
      <c r="B568">
        <f>1+MIN(150,150*(1-(1-(((1-(1-Inputs!$B$11/150)*(1-1/150))*150)+((C557=TRUE)*(F557-Calc!F20)))/150)*(1-B567/150)))/100</f>
        <v/>
      </c>
    </row>
    <row r="569">
      <c r="A569" t="inlineStr">
        <is>
          <t>Skill + Buff Cast Rate</t>
        </is>
      </c>
      <c r="B569">
        <f>IF(AND(Inputs!$B$38&lt;&gt;"pvp",Inputs!$B$43&gt;0),SUMPRODUCT((Skills!E2:E26=TRUE)*(C539:C563=TRUE)*R539:R563*Skills!F2:F26)/Inputs!$B$43,SUMPRODUCT((Skills!E2:E26=TRUE)*(C539:C563=TRUE)*Q539:Q563*Skills!F2:F26))</f>
        <v/>
      </c>
    </row>
    <row r="570">
      <c r="A570" t="inlineStr">
        <is>
          <t>Raging Blow Casts Per Second</t>
        </is>
      </c>
      <c r="B570">
        <f>MAX(0,B568-B569)</f>
        <v/>
      </c>
    </row>
    <row r="571">
      <c r="A571" t="inlineStr">
        <is>
          <t>Global Critical Damage Bonus % (Enrage)</t>
        </is>
      </c>
      <c r="B571">
        <f>((C555=TRUE)*F555*IF(AND(Inputs!$B$38&lt;&gt;"pvp",Inputs!$B$43&gt;0),(((R555-1)*(Skills!T18*(1+Inputs!$B$34/100))+MIN((Skills!T18*(1+Inputs!$B$34/100)),MAX(0,Inputs!$B$43-((R555-1)*Skills!D18))))/Inputs!$B$43),IF(Inputs!$B$38="pvp",MIN((Skills!T18*(1+Inputs!$B$34/100)),15)/15,(Skills!T18*(1+Inputs!$B$34/100))/Skills!D18)))</f>
        <v/>
      </c>
    </row>
    <row r="572">
      <c r="A572" t="inlineStr">
        <is>
          <t>Global Final Damage Bonus % (Enrage + Combo Synergy)</t>
        </is>
      </c>
      <c r="B572">
        <f>((C554=TRUE)*F554*IF(AND(Inputs!$B$38&lt;&gt;"pvp",Inputs!$B$43&gt;0),(((R554-1)*(Skills!T17*(1+Inputs!$B$34/100))+MIN((Skills!T17*(1+Inputs!$B$34/100)),MAX(0,Inputs!$B$43-((R554-1)*Skills!D17))))/Inputs!$B$43),IF(Inputs!$B$38="pvp",MIN((Skills!T17*(1+Inputs!$B$34/100)),15)/15,(Skills!T17*(1+Inputs!$B$34/100))/Skills!D17)))+((C551=TRUE)*F551*IF(Inputs!$B$3&gt;=110,7,5))</f>
        <v/>
      </c>
    </row>
    <row r="573">
      <c r="A573" t="inlineStr">
        <is>
          <t>Buff-Casting Startup Delay (s, fixed-duration only)</t>
        </is>
      </c>
      <c r="B573">
        <f>IF(AND(Inputs!$B$38&lt;&gt;"pvp",Inputs!$B$43&gt;0),SUMPRODUCT((Skills!T2:T26&gt;0)*(Skills!E2:E26=TRUE)*(C539:C563=TRUE))/B568,0)</f>
        <v/>
      </c>
    </row>
    <row r="574">
      <c r="A574" t="inlineStr">
        <is>
          <t>Boss-Only Total DPS (this block's swept value)</t>
        </is>
      </c>
      <c r="B574">
        <f>SUM(T539:T563)</f>
        <v/>
      </c>
    </row>
    <row r="575">
      <c r="A575" t="inlineStr">
        <is>
          <t>Normal-Only Total DPS (this block's swept value)</t>
        </is>
      </c>
      <c r="B575">
        <f>SUM(V539:V563)</f>
        <v/>
      </c>
    </row>
    <row r="576">
      <c r="A576" s="5" t="inlineStr">
        <is>
          <t>TOTAL DPS</t>
        </is>
      </c>
      <c r="B576" s="5">
        <f>SUM(O539:O563)</f>
        <v/>
      </c>
    </row>
    <row r="579">
      <c r="A579" s="5" t="inlineStr">
        <is>
          <t>Stat: DEF_PEN % (diminishing returns, factor 100)</t>
        </is>
      </c>
    </row>
    <row r="580">
      <c r="A580" s="9" t="inlineStr">
        <is>
          <t>Key</t>
        </is>
      </c>
      <c r="B580" s="9" t="inlineStr">
        <is>
          <t>Name</t>
        </is>
      </c>
      <c r="C580" s="9" t="inlineStr">
        <is>
          <t>Unlocked</t>
        </is>
      </c>
      <c r="D580" s="9" t="inlineStr">
        <is>
          <t>InputLevel</t>
        </is>
      </c>
      <c r="E580" s="9" t="inlineStr">
        <is>
          <t>Factor</t>
        </is>
      </c>
      <c r="F580" s="9" t="inlineStr">
        <is>
          <t>CoefficientPercent</t>
        </is>
      </c>
      <c r="G580" s="9" t="inlineStr">
        <is>
          <t>EffectiveHits</t>
        </is>
      </c>
      <c r="H580" s="9" t="inlineStr">
        <is>
          <t>ProcProbability</t>
        </is>
      </c>
      <c r="I580" s="9" t="inlineStr">
        <is>
          <t>MapleHeroMultiplier</t>
        </is>
      </c>
      <c r="J580" s="9" t="inlineStr">
        <is>
          <t>BaseDamage</t>
        </is>
      </c>
      <c r="K580" s="9" t="inlineStr">
        <is>
          <t>BaseHitDamage</t>
        </is>
      </c>
      <c r="L580" s="9" t="inlineStr">
        <is>
          <t>NonCritAvg</t>
        </is>
      </c>
      <c r="M580" s="9" t="inlineStr">
        <is>
          <t>CritAvg</t>
        </is>
      </c>
      <c r="N580" s="9" t="inlineStr">
        <is>
          <t>ExpectedDamage(perHit)</t>
        </is>
      </c>
      <c r="O580" s="9" t="inlineStr">
        <is>
          <t>DPS</t>
        </is>
      </c>
      <c r="P580" s="9" t="inlineStr">
        <is>
          <t>% of Total</t>
        </is>
      </c>
      <c r="Q580" s="9" t="inlineStr">
        <is>
          <t>InvCooldown</t>
        </is>
      </c>
      <c r="R580" s="9" t="inlineStr">
        <is>
          <t>CastsInFight</t>
        </is>
      </c>
      <c r="S580" s="9" t="inlineStr">
        <is>
          <t>HitRate(perSec)</t>
        </is>
      </c>
      <c r="U580" t="inlineStr">
        <is>
          <t>helpers</t>
        </is>
      </c>
    </row>
    <row r="581">
      <c r="A581">
        <f>Skills!A2</f>
        <v/>
      </c>
      <c r="B581">
        <f>Skills!B2</f>
        <v/>
      </c>
      <c r="C581">
        <f>Inputs!$B$3&gt;=100</f>
        <v/>
      </c>
      <c r="D581" t="inlineStr"/>
      <c r="E581" t="inlineStr"/>
      <c r="F581">
        <f>U583+Skills!O2</f>
        <v/>
      </c>
      <c r="G581">
        <f>Skills!G2*IF(Skills!H2&gt;0,Skills!I2/Skills!H2,1)</f>
        <v/>
      </c>
      <c r="H581">
        <f>1-(1-Skills!J2/100)^Skills!K2</f>
        <v/>
      </c>
      <c r="I581" t="inlineStr">
        <is>
          <t>1</t>
        </is>
      </c>
      <c r="J581">
        <f>((Inputs!$B$6*(1+Inputs!$B$7/100))+(((Inputs!$B$12*(1+Inputs!$B$13/100))-(Inputs!$B$12*(1+Inputs!$B$13/100)))+0.25*(Inputs!$B$14-Inputs!$B$14))*(1+Inputs!$B$7/100))*(F581/100)</f>
        <v/>
      </c>
      <c r="K581">
        <f>J581*(1+((Inputs!$B$12*(1+Inputs!$B$13/100))*0.01+Inputs!$B$14*0.0025)/100)*(1+Inputs!$B$15/100)*(1+Inputs!$B$16/100)*(5000/(6000+Inputs!$B$42*(1-(((1-(1-Inputs!$B$19/100)*(1-1/100))*100)+0)/100)))*(1+(Inputs!$B$24+((C604=TRUE)*(F604-Calc!F25))+B614)/100)*(1+IF(Skills!A2="ENHANCED_RAGING_BLOW",IF(Inputs!$B$3&gt;=134,MAX(0,IF(Inputs!$B$3&gt;=110,7,5)-5)*50,0),0)/100)*(1+(IF(Skills!A2="RAGING_BLOW",Inputs!$B$17+((C600=TRUE)*(F600-Calc!F21)),Inputs!$B$18+((C602=TRUE)*(F602-Calc!F23))))/100)*((1+(((C592=TRUE)*F592*IF(Inputs!$B$3&gt;=110,7,5))+((C594=TRUE)*F594*IF(AND(Inputs!$B$38&lt;&gt;"pvp",Inputs!$B$43&gt;0),(((R594-1)*(Skills!T15*(1+Inputs!$B$34/100))+MIN((Skills!T15*(1+Inputs!$B$34/100)),MAX(0,Inputs!$B$43-((R594-1)*Skills!D15))))/Inputs!$B$43),IF(Inputs!$B$38="pvp",MIN((Skills!T15*(1+Inputs!$B$34/100)),15)/15,(Skills!T15*(1+Inputs!$B$34/100))/Skills!D15)))+0)/100)*I581)</f>
        <v/>
      </c>
      <c r="L581">
        <f>K581*(MIN(Inputs!$B$22+((C601=TRUE)*(F601-Calc!F22)),Inputs!$B$23+((C603=TRUE)*(F603-Calc!F24)))/100+(Inputs!$B$23+((C603=TRUE)*(F603-Calc!F24)))/100)/2</f>
        <v/>
      </c>
      <c r="M581">
        <f>L581*(1+(Inputs!$B$10+0+B613)/100)</f>
        <v/>
      </c>
      <c r="N581">
        <f>L581*(1-MIN((Inputs!$B$9+((C605=TRUE)*(F605-Calc!F26))+B608),100)/100)+M581*(MIN((Inputs!$B$9+((C605=TRUE)*(F605-Calc!F26))+B608),100)/100)</f>
        <v/>
      </c>
      <c r="O581">
        <f>(1-Summary!$B$55)*T581+Summary!$B$55*V581</f>
        <v/>
      </c>
      <c r="P581">
        <f>IF(B618=0,0,O581/B618)</f>
        <v/>
      </c>
      <c r="Q581" t="n">
        <v>0</v>
      </c>
      <c r="R581" t="n">
        <v>0</v>
      </c>
      <c r="S581">
        <f>IFERROR(O581/N581,0)</f>
        <v/>
      </c>
      <c r="T581">
        <f>IF(C581,(Skills!G2*N581*B612)*IF(Inputs!$B$38="pvp",1,1+(Inputs!$B$20+0+Skills!P2+Summary!$B$59)/100),0)</f>
        <v/>
      </c>
      <c r="U581">
        <f>MAX(0,(Inputs!$B$3-100)*3)+Inputs!$B$28+Inputs!$B$29</f>
        <v/>
      </c>
      <c r="V581">
        <f>IF(C581,(Skills!G2*N581*B612)*IF(Inputs!$B$38="pvp",1,(1+(Inputs!$B$21+Skills!Q2+Summary!$B$59)/100)*(MIN((6+Inputs!$B$33),Inputs!$B$37))),0)</f>
        <v/>
      </c>
    </row>
    <row r="582">
      <c r="A582">
        <f>Skills!A3</f>
        <v/>
      </c>
      <c r="B582">
        <f>Skills!B3</f>
        <v/>
      </c>
      <c r="C582">
        <f>Inputs!$B$3&gt;=50</f>
        <v/>
      </c>
      <c r="D582">
        <f>IF(Skills!C3=1,60+Inputs!$B$25+Inputs!$B$29,IF(Skills!C3=2,90+Inputs!$B$26+Inputs!$B$29,IF(Skills!C3=3,120+Inputs!$B$27+Inputs!$B$29,MAX(0,(Inputs!$B$3-100)*3)+Inputs!$B$28+Inputs!$B$29)))</f>
        <v/>
      </c>
      <c r="E582">
        <f>INDEX(FactorTable!$B$2:$Y$301, MATCH(ROUND(MIN(300,MAX(1,D582)),0), FactorTable!$A$2:$A$301,0), Skills!M3+1)</f>
        <v/>
      </c>
      <c r="F582">
        <f>IF(Skills!N3=TRUE,(Skills!L3/10)*(E582/1000),Skills!L3/10)+Skills!O3</f>
        <v/>
      </c>
      <c r="G582" t="inlineStr"/>
      <c r="H582" t="inlineStr"/>
      <c r="I582" t="inlineStr">
        <is>
          <t>1</t>
        </is>
      </c>
      <c r="J582" t="inlineStr"/>
      <c r="K582" t="inlineStr"/>
      <c r="L582" t="inlineStr"/>
      <c r="M582" t="inlineStr"/>
      <c r="N582" t="inlineStr"/>
      <c r="O582" t="inlineStr"/>
      <c r="P582" t="inlineStr"/>
      <c r="Q582" t="inlineStr"/>
      <c r="R582" t="inlineStr"/>
      <c r="S582" t="inlineStr"/>
      <c r="U582">
        <f>INDEX(FactorTable!$B$2:$Y$301, MATCH(ROUND(MIN(300,MAX(1,U581)),0), FactorTable!$A$2:$A$301,0), 22)</f>
        <v/>
      </c>
    </row>
    <row r="583">
      <c r="A583">
        <f>Skills!A4</f>
        <v/>
      </c>
      <c r="B583">
        <f>Skills!B4</f>
        <v/>
      </c>
      <c r="C583">
        <f>Inputs!$B$3&gt;=105</f>
        <v/>
      </c>
      <c r="D583">
        <f>IF(Skills!C4=1,60+Inputs!$B$25+Inputs!$B$29,IF(Skills!C4=2,90+Inputs!$B$26+Inputs!$B$29,IF(Skills!C4=3,120+Inputs!$B$27+Inputs!$B$29,MAX(0,(Inputs!$B$3-100)*3)+Inputs!$B$28+Inputs!$B$29)))</f>
        <v/>
      </c>
      <c r="E583">
        <f>INDEX(FactorTable!$B$2:$Y$301, MATCH(ROUND(MIN(300,MAX(1,D583)),0), FactorTable!$A$2:$A$301,0), Skills!M4+1)</f>
        <v/>
      </c>
      <c r="F583">
        <f>IF(Skills!N4=TRUE,(Skills!L4/10)*(E583/1000),Skills!L4/10)+Skills!O4</f>
        <v/>
      </c>
      <c r="G583" t="inlineStr"/>
      <c r="H583" t="inlineStr"/>
      <c r="I583" t="inlineStr">
        <is>
          <t>1</t>
        </is>
      </c>
      <c r="J583" t="inlineStr"/>
      <c r="K583" t="inlineStr"/>
      <c r="L583" t="inlineStr"/>
      <c r="M583" t="inlineStr"/>
      <c r="N583" t="inlineStr"/>
      <c r="O583" t="inlineStr"/>
      <c r="P583" t="inlineStr"/>
      <c r="Q583" t="inlineStr"/>
      <c r="R583" t="inlineStr"/>
      <c r="S583" t="inlineStr"/>
      <c r="U583">
        <f>290*U582/1000</f>
        <v/>
      </c>
    </row>
    <row r="584">
      <c r="A584">
        <f>Skills!A5</f>
        <v/>
      </c>
      <c r="B584">
        <f>Skills!B5</f>
        <v/>
      </c>
      <c r="C584">
        <f>Inputs!$B$3&gt;=103</f>
        <v/>
      </c>
      <c r="D584">
        <f>IF(Skills!C5=1,60+Inputs!$B$25+Inputs!$B$29,IF(Skills!C5=2,90+Inputs!$B$26+Inputs!$B$29,IF(Skills!C5=3,120+Inputs!$B$27+Inputs!$B$29,MAX(0,(Inputs!$B$3-100)*3)+Inputs!$B$28+Inputs!$B$29)))</f>
        <v/>
      </c>
      <c r="E584">
        <f>INDEX(FactorTable!$B$2:$Y$301, MATCH(ROUND(MIN(300,MAX(1,D584)),0), FactorTable!$A$2:$A$301,0), Skills!M5+1)</f>
        <v/>
      </c>
      <c r="F584">
        <f>IF(Skills!N5=TRUE,(Skills!L5/10)*(E584/1000),Skills!L5/10)+Skills!O5</f>
        <v/>
      </c>
      <c r="G584">
        <f>Skills!G5*IF(Skills!H5&gt;0,Skills!I5/Skills!H5,1)</f>
        <v/>
      </c>
      <c r="H584">
        <f>1-(1-Skills!J5/100)^Skills!K5</f>
        <v/>
      </c>
      <c r="I584" t="inlineStr">
        <is>
          <t>1</t>
        </is>
      </c>
      <c r="J584">
        <f>((Inputs!$B$6*(1+Inputs!$B$7/100))+(((Inputs!$B$12*(1+Inputs!$B$13/100))-(Inputs!$B$12*(1+Inputs!$B$13/100)))+0.25*(Inputs!$B$14-Inputs!$B$14))*(1+Inputs!$B$7/100))*(F584/100)</f>
        <v/>
      </c>
      <c r="K584">
        <f>J584*(1+((Inputs!$B$12*(1+Inputs!$B$13/100))*0.01+Inputs!$B$14*0.0025)/100)*(1+Inputs!$B$15/100)*(1+Inputs!$B$16/100)*(5000/(6000+Inputs!$B$42*(1-(((1-(1-Inputs!$B$19/100)*(1-1/100))*100)+0)/100)))*(1+(Inputs!$B$24+((C604=TRUE)*(F604-Calc!F25))+B614)/100)*(1+IF(Skills!A5="ENHANCED_RAGING_BLOW",IF(Inputs!$B$3&gt;=134,MAX(0,IF(Inputs!$B$3&gt;=110,7,5)-5)*50,0),0)/100)*(1+(IF(Skills!A5="RAGING_BLOW",Inputs!$B$17+((C600=TRUE)*(F600-Calc!F21)),Inputs!$B$18+((C602=TRUE)*(F602-Calc!F23))))/100)*((1+(((C592=TRUE)*F592*IF(Inputs!$B$3&gt;=110,7,5))+((C594=TRUE)*F594*IF(AND(Inputs!$B$38&lt;&gt;"pvp",Inputs!$B$43&gt;0),(((R594-1)*(Skills!T15*(1+Inputs!$B$34/100))+MIN((Skills!T15*(1+Inputs!$B$34/100)),MAX(0,Inputs!$B$43-((R594-1)*Skills!D15))))/Inputs!$B$43),IF(Inputs!$B$38="pvp",MIN((Skills!T15*(1+Inputs!$B$34/100)),15)/15,(Skills!T15*(1+Inputs!$B$34/100))/Skills!D15)))+0)/100)*I584)</f>
        <v/>
      </c>
      <c r="L584">
        <f>K584*(MIN(Inputs!$B$22+((C601=TRUE)*(F601-Calc!F22)),Inputs!$B$23+((C603=TRUE)*(F603-Calc!F24)))/100+(Inputs!$B$23+((C603=TRUE)*(F603-Calc!F24)))/100)/2</f>
        <v/>
      </c>
      <c r="M584">
        <f>L584*(1+(Inputs!$B$10+0+B613)/100)</f>
        <v/>
      </c>
      <c r="N584">
        <f>L584*(1-MIN((Inputs!$B$9+((C605=TRUE)*(F605-Calc!F26))+B608),100)/100)+M584*(MIN((Inputs!$B$9+((C605=TRUE)*(F605-Calc!F26))+B608),100)/100)</f>
        <v/>
      </c>
      <c r="O584">
        <f>(1-Summary!$B$55)*T584+Summary!$B$55*V584</f>
        <v/>
      </c>
      <c r="P584">
        <f>IF(B618=0,0,O584/B618)</f>
        <v/>
      </c>
      <c r="Q584">
        <f>IFERROR(1/IF(Inputs!$B$38="pvp",15,MAX(0.1,Skills!D5-IF(Skills!E5=TRUE,Inputs!$B$32,0))),0)</f>
        <v/>
      </c>
      <c r="R584">
        <f>IF(AND(Inputs!$B$38&lt;&gt;"pvp",Inputs!$B$43&gt;0),IF(MAX(0,Inputs!$B$43-B615)&lt;=0,0,(INT(MAX(0,Inputs!$B$43-B615)/IF(Inputs!$B$38="pvp",15,MAX(0.1,Skills!D5-IF(Skills!E5=TRUE,Inputs!$B$32,0))))+1)),0)</f>
        <v/>
      </c>
      <c r="S584">
        <f>IFERROR(O584/N584,0)</f>
        <v/>
      </c>
      <c r="T584">
        <f>IF(C584,(H584*N584*IF(AND(Inputs!$B$38&lt;&gt;"pvp",Inputs!$B$43&gt;0),((Skills!G5*((R584-1)*IF(Skills!H5&gt;0,Skills!I5/Skills!H5,1)+IF(Skills!H5&gt;0,MIN(Skills!I5,MAX(0,MAX(0,Inputs!$B$43-B615)-((R584-1)*IF(Inputs!$B$38="pvp",15,MAX(0.1,Skills!D5-IF(Skills!E5=TRUE,Inputs!$B$32,0))))))/Skills!H5,1)))/Inputs!$B$43),G584*Q584))*IF(Inputs!$B$38="pvp",1,1+(Inputs!$B$20+0+Skills!P5+Summary!$B$59)/100),0)</f>
        <v/>
      </c>
      <c r="V584">
        <f>IF(C584,(H584*N584*IF(AND(Inputs!$B$38&lt;&gt;"pvp",Inputs!$B$43&gt;0),((Skills!G5*((R584-1)*IF(Skills!H5&gt;0,Skills!I5/Skills!H5,1)+IF(Skills!H5&gt;0,MIN(Skills!I5,MAX(0,MAX(0,Inputs!$B$43-B615)-((R584-1)*IF(Inputs!$B$38="pvp",15,MAX(0.1,Skills!D5-IF(Skills!E5=TRUE,Inputs!$B$32,0))))))/Skills!H5,1)))/Inputs!$B$43),G584*Q584))*IF(Inputs!$B$38="pvp",1,(1+(Inputs!$B$21+Skills!Q5+Summary!$B$59)/100)*(MIN(Skills!R5,Inputs!$B$37))),0)</f>
        <v/>
      </c>
    </row>
    <row r="585">
      <c r="A585">
        <f>Skills!A6</f>
        <v/>
      </c>
      <c r="B585">
        <f>Skills!B6</f>
        <v/>
      </c>
      <c r="C585">
        <f>Inputs!$B$3&gt;=103</f>
        <v/>
      </c>
      <c r="D585">
        <f>IF(Skills!C6=1,60+Inputs!$B$25+Inputs!$B$29,IF(Skills!C6=2,90+Inputs!$B$26+Inputs!$B$29,IF(Skills!C6=3,120+Inputs!$B$27+Inputs!$B$29,MAX(0,(Inputs!$B$3-100)*3)+Inputs!$B$28+Inputs!$B$29)))</f>
        <v/>
      </c>
      <c r="E585">
        <f>INDEX(FactorTable!$B$2:$Y$301, MATCH(ROUND(MIN(300,MAX(1,D585)),0), FactorTable!$A$2:$A$301,0), Skills!M6+1)</f>
        <v/>
      </c>
      <c r="F585">
        <f>IF(Skills!N6=TRUE,(Skills!L6/10)*(E585/1000),Skills!L6/10)+Skills!O6</f>
        <v/>
      </c>
      <c r="G585">
        <f>Skills!G6*IF(Skills!H6&gt;0,Skills!I6/Skills!H6,1)</f>
        <v/>
      </c>
      <c r="H585">
        <f>1-(1-Skills!J6/100)^Skills!K6</f>
        <v/>
      </c>
      <c r="I585" t="inlineStr">
        <is>
          <t>1</t>
        </is>
      </c>
      <c r="J585">
        <f>((Inputs!$B$6*(1+Inputs!$B$7/100))+(((Inputs!$B$12*(1+Inputs!$B$13/100))-(Inputs!$B$12*(1+Inputs!$B$13/100)))+0.25*(Inputs!$B$14-Inputs!$B$14))*(1+Inputs!$B$7/100))*(F585/100)</f>
        <v/>
      </c>
      <c r="K585">
        <f>J585*(1+((Inputs!$B$12*(1+Inputs!$B$13/100))*0.01+Inputs!$B$14*0.0025)/100)*(1+Inputs!$B$15/100)*(1+Inputs!$B$16/100)*(5000/(6000+Inputs!$B$42*(1-(((1-(1-Inputs!$B$19/100)*(1-1/100))*100)+0)/100)))*(1+(Inputs!$B$24+((C604=TRUE)*(F604-Calc!F25))+B614)/100)*(1+IF(Skills!A6="ENHANCED_RAGING_BLOW",IF(Inputs!$B$3&gt;=134,MAX(0,IF(Inputs!$B$3&gt;=110,7,5)-5)*50,0),0)/100)*(1+(IF(Skills!A6="RAGING_BLOW",Inputs!$B$17+((C600=TRUE)*(F600-Calc!F21)),Inputs!$B$18+((C602=TRUE)*(F602-Calc!F23))))/100)*((1+(((C592=TRUE)*F592*IF(Inputs!$B$3&gt;=110,7,5))+((C594=TRUE)*F594*IF(AND(Inputs!$B$38&lt;&gt;"pvp",Inputs!$B$43&gt;0),(((R594-1)*(Skills!T15*(1+Inputs!$B$34/100))+MIN((Skills!T15*(1+Inputs!$B$34/100)),MAX(0,Inputs!$B$43-((R594-1)*Skills!D15))))/Inputs!$B$43),IF(Inputs!$B$38="pvp",MIN((Skills!T15*(1+Inputs!$B$34/100)),15)/15,(Skills!T15*(1+Inputs!$B$34/100))/Skills!D15)))+0)/100)*I585)</f>
        <v/>
      </c>
      <c r="L585">
        <f>K585*(MIN(Inputs!$B$22+((C601=TRUE)*(F601-Calc!F22)),Inputs!$B$23+((C603=TRUE)*(F603-Calc!F24)))/100+(Inputs!$B$23+((C603=TRUE)*(F603-Calc!F24)))/100)/2</f>
        <v/>
      </c>
      <c r="M585">
        <f>L585*(1+(Inputs!$B$10+0+B613)/100)</f>
        <v/>
      </c>
      <c r="N585">
        <f>L585*(1-MIN((Inputs!$B$9+((C605=TRUE)*(F605-Calc!F26))+B608),100)/100)+M585*(MIN((Inputs!$B$9+((C605=TRUE)*(F605-Calc!F26))+B608),100)/100)</f>
        <v/>
      </c>
      <c r="O585">
        <f>(1-Summary!$B$55)*T585+Summary!$B$55*V585</f>
        <v/>
      </c>
      <c r="P585">
        <f>IF(B618=0,0,O585/B618)</f>
        <v/>
      </c>
      <c r="Q585">
        <f>IFERROR(1/IF(Inputs!$B$38="pvp",15,MAX(0.1,Skills!D6-IF(Skills!E6=TRUE,Inputs!$B$32,0))),0)</f>
        <v/>
      </c>
      <c r="R585">
        <f>IF(AND(Inputs!$B$38&lt;&gt;"pvp",Inputs!$B$43&gt;0),IF(MAX(0,Inputs!$B$43-B615)&lt;=0,0,(INT(MAX(0,Inputs!$B$43-B615)/IF(Inputs!$B$38="pvp",15,MAX(0.1,Skills!D6-IF(Skills!E6=TRUE,Inputs!$B$32,0))))+1)),0)</f>
        <v/>
      </c>
      <c r="S585">
        <f>IFERROR(O585/N585,0)</f>
        <v/>
      </c>
      <c r="T585">
        <f>IF(C585,(H585*N585*IF(AND(Inputs!$B$38&lt;&gt;"pvp",Inputs!$B$43&gt;0),((Skills!G6*((R585-1)*IF(Skills!H6&gt;0,Skills!I6/Skills!H6,1)+IF(Skills!H6&gt;0,MIN(Skills!I6,MAX(0,MAX(0,Inputs!$B$43-B615)-((R585-1)*IF(Inputs!$B$38="pvp",15,MAX(0.1,Skills!D6-IF(Skills!E6=TRUE,Inputs!$B$32,0))))))/Skills!H6,1)))/Inputs!$B$43),G585*Q585))*IF(Inputs!$B$38="pvp",1,1+(Inputs!$B$20+0+Skills!P6+Summary!$B$59)/100),0)</f>
        <v/>
      </c>
      <c r="V585">
        <f>IF(C585,(H585*N585*IF(AND(Inputs!$B$38&lt;&gt;"pvp",Inputs!$B$43&gt;0),((Skills!G6*((R585-1)*IF(Skills!H6&gt;0,Skills!I6/Skills!H6,1)+IF(Skills!H6&gt;0,MIN(Skills!I6,MAX(0,MAX(0,Inputs!$B$43-B615)-((R585-1)*IF(Inputs!$B$38="pvp",15,MAX(0.1,Skills!D6-IF(Skills!E6=TRUE,Inputs!$B$32,0))))))/Skills!H6,1)))/Inputs!$B$43),G585*Q585))*IF(Inputs!$B$38="pvp",1,(1+(Inputs!$B$21+Skills!Q6+Summary!$B$59)/100)*(MIN(Skills!R6,Inputs!$B$37))),0)</f>
        <v/>
      </c>
    </row>
    <row r="586">
      <c r="A586">
        <f>Skills!A7</f>
        <v/>
      </c>
      <c r="B586">
        <f>Skills!B7</f>
        <v/>
      </c>
      <c r="C586">
        <f>Inputs!$B$3&gt;=107</f>
        <v/>
      </c>
      <c r="D586">
        <f>IF(Skills!C7=1,60+Inputs!$B$25+Inputs!$B$29,IF(Skills!C7=2,90+Inputs!$B$26+Inputs!$B$29,IF(Skills!C7=3,120+Inputs!$B$27+Inputs!$B$29,MAX(0,(Inputs!$B$3-100)*3)+Inputs!$B$28+Inputs!$B$29)))</f>
        <v/>
      </c>
      <c r="E586">
        <f>INDEX(FactorTable!$B$2:$Y$301, MATCH(ROUND(MIN(300,MAX(1,D586)),0), FactorTable!$A$2:$A$301,0), Skills!M7+1)</f>
        <v/>
      </c>
      <c r="F586">
        <f>IF(Skills!N7=TRUE,(Skills!L7/10)*(E586/1000),Skills!L7/10)+Skills!O7</f>
        <v/>
      </c>
      <c r="G586">
        <f>Skills!G7*IF(Skills!H7&gt;0,Skills!I7/Skills!H7,1)</f>
        <v/>
      </c>
      <c r="H586">
        <f>1-(1-Skills!J7/100)^Skills!K7</f>
        <v/>
      </c>
      <c r="I586" t="inlineStr">
        <is>
          <t>1</t>
        </is>
      </c>
      <c r="J586">
        <f>((Inputs!$B$6*(1+Inputs!$B$7/100))+(((Inputs!$B$12*(1+Inputs!$B$13/100))-(Inputs!$B$12*(1+Inputs!$B$13/100)))+0.25*(Inputs!$B$14-Inputs!$B$14))*(1+Inputs!$B$7/100))*(F586/100)</f>
        <v/>
      </c>
      <c r="K586">
        <f>J586*(1+((Inputs!$B$12*(1+Inputs!$B$13/100))*0.01+Inputs!$B$14*0.0025)/100)*(1+Inputs!$B$15/100)*(1+Inputs!$B$16/100)*(5000/(6000+Inputs!$B$42*(1-(((1-(1-Inputs!$B$19/100)*(1-1/100))*100)+0)/100)))*(1+(Inputs!$B$24+((C604=TRUE)*(F604-Calc!F25))+B614)/100)*(1+IF(Skills!A7="ENHANCED_RAGING_BLOW",IF(Inputs!$B$3&gt;=134,MAX(0,IF(Inputs!$B$3&gt;=110,7,5)-5)*50,0),0)/100)*(1+(IF(Skills!A7="RAGING_BLOW",Inputs!$B$17+((C600=TRUE)*(F600-Calc!F21)),Inputs!$B$18+((C602=TRUE)*(F602-Calc!F23))))/100)*((1+(((C592=TRUE)*F592*IF(Inputs!$B$3&gt;=110,7,5))+((C594=TRUE)*F594*IF(AND(Inputs!$B$38&lt;&gt;"pvp",Inputs!$B$43&gt;0),(((R594-1)*(Skills!T15*(1+Inputs!$B$34/100))+MIN((Skills!T15*(1+Inputs!$B$34/100)),MAX(0,Inputs!$B$43-((R594-1)*Skills!D15))))/Inputs!$B$43),IF(Inputs!$B$38="pvp",MIN((Skills!T15*(1+Inputs!$B$34/100)),15)/15,(Skills!T15*(1+Inputs!$B$34/100))/Skills!D15)))+0)/100)*I586)</f>
        <v/>
      </c>
      <c r="L586">
        <f>K586*(MIN(Inputs!$B$22+((C601=TRUE)*(F601-Calc!F22)),Inputs!$B$23+((C603=TRUE)*(F603-Calc!F24)))/100+(Inputs!$B$23+((C603=TRUE)*(F603-Calc!F24)))/100)/2</f>
        <v/>
      </c>
      <c r="M586">
        <f>L586*(1+(Inputs!$B$10+0+B613)/100)</f>
        <v/>
      </c>
      <c r="N586">
        <f>L586*(1-MIN((Inputs!$B$9+((C605=TRUE)*(F605-Calc!F26))+B608),100)/100)+M586*(MIN((Inputs!$B$9+((C605=TRUE)*(F605-Calc!F26))+B608),100)/100)</f>
        <v/>
      </c>
      <c r="O586">
        <f>(1-Summary!$B$55)*T586+Summary!$B$55*V586</f>
        <v/>
      </c>
      <c r="P586">
        <f>IF(B618=0,0,O586/B618)</f>
        <v/>
      </c>
      <c r="Q586">
        <f>IFERROR(1/IF(Inputs!$B$38="pvp",15,MAX(0.1,Skills!D7-IF(Skills!E7=TRUE,Inputs!$B$32,0))),0)</f>
        <v/>
      </c>
      <c r="R586">
        <f>IF(AND(Inputs!$B$38&lt;&gt;"pvp",Inputs!$B$43&gt;0),IF(MAX(0,Inputs!$B$43-B615)&lt;=0,0,(INT(MAX(0,Inputs!$B$43-B615)/IF(Inputs!$B$38="pvp",15,MAX(0.1,Skills!D7-IF(Skills!E7=TRUE,Inputs!$B$32,0))))+1)),0)</f>
        <v/>
      </c>
      <c r="S586">
        <f>IFERROR(O586/N586,0)</f>
        <v/>
      </c>
      <c r="T586">
        <f>IF(C586,(H586*N586*IF(AND(Inputs!$B$38&lt;&gt;"pvp",Inputs!$B$43&gt;0),((Skills!G7*((R586-1)*IF(Skills!H7&gt;0,Skills!I7/Skills!H7,1)+IF(Skills!H7&gt;0,MIN(Skills!I7,MAX(0,MAX(0,Inputs!$B$43-B615)-((R586-1)*IF(Inputs!$B$38="pvp",15,MAX(0.1,Skills!D7-IF(Skills!E7=TRUE,Inputs!$B$32,0))))))/Skills!H7,1)))/Inputs!$B$43),G586*Q586))*IF(Inputs!$B$38="pvp",1,1+(Inputs!$B$20+0+Skills!P7+Summary!$B$59)/100),0)</f>
        <v/>
      </c>
      <c r="V586">
        <f>IF(C586,(H586*N586*IF(AND(Inputs!$B$38&lt;&gt;"pvp",Inputs!$B$43&gt;0),((Skills!G7*((R586-1)*IF(Skills!H7&gt;0,Skills!I7/Skills!H7,1)+IF(Skills!H7&gt;0,MIN(Skills!I7,MAX(0,MAX(0,Inputs!$B$43-B615)-((R586-1)*IF(Inputs!$B$38="pvp",15,MAX(0.1,Skills!D7-IF(Skills!E7=TRUE,Inputs!$B$32,0))))))/Skills!H7,1)))/Inputs!$B$43),G586*Q586))*IF(Inputs!$B$38="pvp",1,(1+(Inputs!$B$21+Skills!Q7+Summary!$B$59)/100)*(MIN(Skills!R7,Inputs!$B$37))),0)</f>
        <v/>
      </c>
    </row>
    <row r="587">
      <c r="A587">
        <f>Skills!A8</f>
        <v/>
      </c>
      <c r="B587">
        <f>Skills!B8</f>
        <v/>
      </c>
      <c r="C587">
        <f>Inputs!$B$3&gt;=117</f>
        <v/>
      </c>
      <c r="D587">
        <f>IF(Skills!C8=1,60+Inputs!$B$25+Inputs!$B$29,IF(Skills!C8=2,90+Inputs!$B$26+Inputs!$B$29,IF(Skills!C8=3,120+Inputs!$B$27+Inputs!$B$29,MAX(0,(Inputs!$B$3-100)*3)+Inputs!$B$28+Inputs!$B$29)))</f>
        <v/>
      </c>
      <c r="E587">
        <f>INDEX(FactorTable!$B$2:$Y$301, MATCH(ROUND(MIN(300,MAX(1,D587)),0), FactorTable!$A$2:$A$301,0), Skills!M8+1)</f>
        <v/>
      </c>
      <c r="F587">
        <f>IF(Skills!N8=TRUE,(Skills!L8/10)*(E587/1000),Skills!L8/10)+Skills!O8</f>
        <v/>
      </c>
      <c r="G587">
        <f>Skills!G8*IF(Skills!H8&gt;0,Skills!I8/Skills!H8,1)</f>
        <v/>
      </c>
      <c r="H587">
        <f>1-(1-Skills!J8/100)^Skills!K8</f>
        <v/>
      </c>
      <c r="I587" t="inlineStr">
        <is>
          <t>1</t>
        </is>
      </c>
      <c r="J587">
        <f>((Inputs!$B$6*(1+Inputs!$B$7/100))+(((Inputs!$B$12*(1+Inputs!$B$13/100))-(Inputs!$B$12*(1+Inputs!$B$13/100)))+0.25*(Inputs!$B$14-Inputs!$B$14))*(1+Inputs!$B$7/100))*(F587/100)</f>
        <v/>
      </c>
      <c r="K587">
        <f>J587*(1+((Inputs!$B$12*(1+Inputs!$B$13/100))*0.01+Inputs!$B$14*0.0025)/100)*(1+Inputs!$B$15/100)*(1+Inputs!$B$16/100)*(5000/(6000+Inputs!$B$42*(1-(((1-(1-Inputs!$B$19/100)*(1-1/100))*100)+0)/100)))*(1+(Inputs!$B$24+((C604=TRUE)*(F604-Calc!F25))+B614)/100)*(1+IF(Skills!A8="ENHANCED_RAGING_BLOW",IF(Inputs!$B$3&gt;=134,MAX(0,IF(Inputs!$B$3&gt;=110,7,5)-5)*50,0),0)/100)*(1+(IF(Skills!A8="RAGING_BLOW",Inputs!$B$17+((C600=TRUE)*(F600-Calc!F21)),Inputs!$B$18+((C602=TRUE)*(F602-Calc!F23))))/100)*((1+(((C592=TRUE)*F592*IF(Inputs!$B$3&gt;=110,7,5))+((C594=TRUE)*F594*IF(AND(Inputs!$B$38&lt;&gt;"pvp",Inputs!$B$43&gt;0),(((R594-1)*(Skills!T15*(1+Inputs!$B$34/100))+MIN((Skills!T15*(1+Inputs!$B$34/100)),MAX(0,Inputs!$B$43-((R594-1)*Skills!D15))))/Inputs!$B$43),IF(Inputs!$B$38="pvp",MIN((Skills!T15*(1+Inputs!$B$34/100)),15)/15,(Skills!T15*(1+Inputs!$B$34/100))/Skills!D15)))+0)/100)*I587)</f>
        <v/>
      </c>
      <c r="L587">
        <f>K587*(MIN(Inputs!$B$22+((C601=TRUE)*(F601-Calc!F22)),Inputs!$B$23+((C603=TRUE)*(F603-Calc!F24)))/100+(Inputs!$B$23+((C603=TRUE)*(F603-Calc!F24)))/100)/2</f>
        <v/>
      </c>
      <c r="M587">
        <f>L587*(1+(Inputs!$B$10+0+B613)/100)</f>
        <v/>
      </c>
      <c r="N587">
        <f>L587*(1-MIN((Inputs!$B$9+((C605=TRUE)*(F605-Calc!F26))+B608),100)/100)+M587*(MIN((Inputs!$B$9+((C605=TRUE)*(F605-Calc!F26))+B608),100)/100)</f>
        <v/>
      </c>
      <c r="O587">
        <f>(1-Summary!$B$55)*T587+Summary!$B$55*V587</f>
        <v/>
      </c>
      <c r="P587">
        <f>IF(B618=0,0,O587/B618)</f>
        <v/>
      </c>
      <c r="Q587">
        <f>IFERROR(1/IF(Inputs!$B$38="pvp",15,MAX(0.1,Skills!D8-IF(Skills!E8=TRUE,Inputs!$B$32,0))),0)</f>
        <v/>
      </c>
      <c r="R587">
        <f>IF(AND(Inputs!$B$38&lt;&gt;"pvp",Inputs!$B$43&gt;0),IF(MAX(0,Inputs!$B$43-B615)&lt;=0,0,(INT(MAX(0,Inputs!$B$43-B615)/IF(Inputs!$B$38="pvp",15,MAX(0.1,Skills!D8-IF(Skills!E8=TRUE,Inputs!$B$32,0))))+1)),0)</f>
        <v/>
      </c>
      <c r="S587">
        <f>IFERROR(O587/N587,0)</f>
        <v/>
      </c>
      <c r="T587">
        <f>IF(C587,(H587*N587*IF(AND(Inputs!$B$38&lt;&gt;"pvp",Inputs!$B$43&gt;0),((Skills!G8*((R587-1)*IF(Skills!H8&gt;0,Skills!I8/Skills!H8,1)+IF(Skills!H8&gt;0,MIN(Skills!I8,MAX(0,MAX(0,Inputs!$B$43-B615)-((R587-1)*IF(Inputs!$B$38="pvp",15,MAX(0.1,Skills!D8-IF(Skills!E8=TRUE,Inputs!$B$32,0))))))/Skills!H8,1)))/Inputs!$B$43),G587*Q587))*IF(Inputs!$B$38="pvp",1,1+(Inputs!$B$20+0+Skills!P8+Summary!$B$59)/100),0)</f>
        <v/>
      </c>
      <c r="V587">
        <f>IF(C587,(H587*N587*IF(AND(Inputs!$B$38&lt;&gt;"pvp",Inputs!$B$43&gt;0),((Skills!G8*((R587-1)*IF(Skills!H8&gt;0,Skills!I8/Skills!H8,1)+IF(Skills!H8&gt;0,MIN(Skills!I8,MAX(0,MAX(0,Inputs!$B$43-B615)-((R587-1)*IF(Inputs!$B$38="pvp",15,MAX(0.1,Skills!D8-IF(Skills!E8=TRUE,Inputs!$B$32,0))))))/Skills!H8,1)))/Inputs!$B$43),G587*Q587))*IF(Inputs!$B$38="pvp",1,(1+(Inputs!$B$21+Skills!Q8+Summary!$B$59)/100)*(MIN(Skills!R8,Inputs!$B$37))),0)</f>
        <v/>
      </c>
    </row>
    <row r="588">
      <c r="A588">
        <f>Skills!A9</f>
        <v/>
      </c>
      <c r="B588">
        <f>Skills!B9</f>
        <v/>
      </c>
      <c r="C588">
        <f>Inputs!$B$3&gt;=69</f>
        <v/>
      </c>
      <c r="D588">
        <f>IF(Skills!C9=1,60+Inputs!$B$25+Inputs!$B$29,IF(Skills!C9=2,90+Inputs!$B$26+Inputs!$B$29,IF(Skills!C9=3,120+Inputs!$B$27+Inputs!$B$29,MAX(0,(Inputs!$B$3-100)*3)+Inputs!$B$28+Inputs!$B$29)))</f>
        <v/>
      </c>
      <c r="E588">
        <f>INDEX(FactorTable!$B$2:$Y$301, MATCH(ROUND(MIN(300,MAX(1,D588)),0), FactorTable!$A$2:$A$301,0), Skills!M9+1)</f>
        <v/>
      </c>
      <c r="F588">
        <f>IF(Skills!N9=TRUE,(Skills!L9/10)*(E588/1000),Skills!L9/10)+Skills!O9</f>
        <v/>
      </c>
      <c r="G588">
        <f>Skills!G9*IF(Skills!H9&gt;0,Skills!I9/Skills!H9,1)</f>
        <v/>
      </c>
      <c r="H588">
        <f>1-(1-Skills!J9/100)^Skills!K9</f>
        <v/>
      </c>
      <c r="I588" t="inlineStr">
        <is>
          <t>1</t>
        </is>
      </c>
      <c r="J588">
        <f>((Inputs!$B$6*(1+Inputs!$B$7/100))+(((Inputs!$B$12*(1+Inputs!$B$13/100))-(Inputs!$B$12*(1+Inputs!$B$13/100)))+0.25*(Inputs!$B$14-Inputs!$B$14))*(1+Inputs!$B$7/100))*(F588/100)</f>
        <v/>
      </c>
      <c r="K588">
        <f>J588*(1+((Inputs!$B$12*(1+Inputs!$B$13/100))*0.01+Inputs!$B$14*0.0025)/100)*(1+Inputs!$B$15/100)*(1+Inputs!$B$16/100)*(5000/(6000+Inputs!$B$42*(1-(((1-(1-Inputs!$B$19/100)*(1-1/100))*100)+0)/100)))*(1+(Inputs!$B$24+((C604=TRUE)*(F604-Calc!F25))+B614)/100)*(1+1.0*IF(C591=TRUE,F591,0)/100)*(1+IF(Skills!A9="ENHANCED_RAGING_BLOW",IF(Inputs!$B$3&gt;=134,MAX(0,IF(Inputs!$B$3&gt;=110,7,5)-5)*50,0),0)/100)*(1+(IF(Skills!A9="RAGING_BLOW",Inputs!$B$17+((C600=TRUE)*(F600-Calc!F21)),Inputs!$B$18+((C602=TRUE)*(F602-Calc!F23))))/100)*((1+(((C592=TRUE)*F592*IF(Inputs!$B$3&gt;=110,7,5))+((C594=TRUE)*F594*IF(AND(Inputs!$B$38&lt;&gt;"pvp",Inputs!$B$43&gt;0),(((R594-1)*(Skills!T15*(1+Inputs!$B$34/100))+MIN((Skills!T15*(1+Inputs!$B$34/100)),MAX(0,Inputs!$B$43-((R594-1)*Skills!D15))))/Inputs!$B$43),IF(Inputs!$B$38="pvp",MIN((Skills!T15*(1+Inputs!$B$34/100)),15)/15,(Skills!T15*(1+Inputs!$B$34/100))/Skills!D15)))+0)/100)*I588)</f>
        <v/>
      </c>
      <c r="L588">
        <f>K588*(MIN(Inputs!$B$22+((C601=TRUE)*(F601-Calc!F22)),Inputs!$B$23+((C603=TRUE)*(F603-Calc!F24)))/100+(Inputs!$B$23+((C603=TRUE)*(F603-Calc!F24)))/100)/2</f>
        <v/>
      </c>
      <c r="M588">
        <f>L588*(1+(Inputs!$B$10+0+B613)/100)</f>
        <v/>
      </c>
      <c r="N588">
        <f>L588*(1-MIN((Inputs!$B$9+((C605=TRUE)*(F605-Calc!F26))+B608),100)/100)+M588*(MIN((Inputs!$B$9+((C605=TRUE)*(F605-Calc!F26))+B608),100)/100)</f>
        <v/>
      </c>
      <c r="O588">
        <f>(1-Summary!$B$55)*T588+Summary!$B$55*V588</f>
        <v/>
      </c>
      <c r="P588">
        <f>IF(B618=0,0,O588/B618)</f>
        <v/>
      </c>
      <c r="Q588">
        <f>IFERROR(1/IF(Inputs!$B$38="pvp",15,MAX(0.1,Skills!D9-IF(Skills!E9=TRUE,Inputs!$B$32,0))),0)</f>
        <v/>
      </c>
      <c r="R588">
        <f>IF(AND(Inputs!$B$38&lt;&gt;"pvp",Inputs!$B$43&gt;0),IF(MAX(0,Inputs!$B$43-B615)&lt;=0,0,(INT(MAX(0,Inputs!$B$43-B615)/IF(Inputs!$B$38="pvp",15,MAX(0.1,Skills!D9-IF(Skills!E9=TRUE,Inputs!$B$32,0))))+1)),0)</f>
        <v/>
      </c>
      <c r="S588">
        <f>IFERROR(O588/N588,0)</f>
        <v/>
      </c>
      <c r="T588">
        <f>IF(C588,(H588*N588*IF(AND(Inputs!$B$38&lt;&gt;"pvp",Inputs!$B$43&gt;0),((Skills!G9*((R588-1)*IF(Skills!H9&gt;0,Skills!I9/Skills!H9,1)+IF(Skills!H9&gt;0,MIN(Skills!I9,MAX(0,MAX(0,Inputs!$B$43-B615)-((R588-1)*IF(Inputs!$B$38="pvp",15,MAX(0.1,Skills!D9-IF(Skills!E9=TRUE,Inputs!$B$32,0))))))/Skills!H9,1)))/Inputs!$B$43),G588*Q588))*IF(Inputs!$B$38="pvp",1,1+(Inputs!$B$20+0+Skills!P9+Summary!$B$59)/100),0)</f>
        <v/>
      </c>
      <c r="V588">
        <f>IF(C588,(H588*N588*IF(AND(Inputs!$B$38&lt;&gt;"pvp",Inputs!$B$43&gt;0),((Skills!G9*((R588-1)*IF(Skills!H9&gt;0,Skills!I9/Skills!H9,1)+IF(Skills!H9&gt;0,MIN(Skills!I9,MAX(0,MAX(0,Inputs!$B$43-B615)-((R588-1)*IF(Inputs!$B$38="pvp",15,MAX(0.1,Skills!D9-IF(Skills!E9=TRUE,Inputs!$B$32,0))))))/Skills!H9,1)))/Inputs!$B$43),G588*Q588))*IF(Inputs!$B$38="pvp",1,(1+(Inputs!$B$21+Skills!Q9+Summary!$B$59)/100)*(MIN(Skills!R9,Inputs!$B$37))),0)</f>
        <v/>
      </c>
    </row>
    <row r="589">
      <c r="A589">
        <f>Skills!A10</f>
        <v/>
      </c>
      <c r="B589">
        <f>Skills!B10</f>
        <v/>
      </c>
      <c r="C589">
        <f>Inputs!$B$3&gt;=63</f>
        <v/>
      </c>
      <c r="D589">
        <f>IF(Skills!C10=1,60+Inputs!$B$25+Inputs!$B$29,IF(Skills!C10=2,90+Inputs!$B$26+Inputs!$B$29,IF(Skills!C10=3,120+Inputs!$B$27+Inputs!$B$29,MAX(0,(Inputs!$B$3-100)*3)+Inputs!$B$28+Inputs!$B$29)))</f>
        <v/>
      </c>
      <c r="E589">
        <f>INDEX(FactorTable!$B$2:$Y$301, MATCH(ROUND(MIN(300,MAX(1,D589)),0), FactorTable!$A$2:$A$301,0), Skills!M10+1)</f>
        <v/>
      </c>
      <c r="F589">
        <f>IF(Skills!N10=TRUE,(Skills!L10/10)*(E589/1000),Skills!L10/10)+Skills!O10</f>
        <v/>
      </c>
      <c r="G589">
        <f>Skills!G10*IF(Skills!H10&gt;0,Skills!I10/Skills!H10,1)</f>
        <v/>
      </c>
      <c r="H589">
        <f>1-(1-Skills!J10/100)^Skills!K10</f>
        <v/>
      </c>
      <c r="I589" t="inlineStr">
        <is>
          <t>1</t>
        </is>
      </c>
      <c r="J589">
        <f>((Inputs!$B$6*(1+Inputs!$B$7/100))+(((Inputs!$B$12*(1+Inputs!$B$13/100))-(Inputs!$B$12*(1+Inputs!$B$13/100)))+0.25*(Inputs!$B$14-Inputs!$B$14))*(1+Inputs!$B$7/100))*(F589/100)</f>
        <v/>
      </c>
      <c r="K589">
        <f>J589*(1+((Inputs!$B$12*(1+Inputs!$B$13/100))*0.01+Inputs!$B$14*0.0025)/100)*(1+Inputs!$B$15/100)*(1+Inputs!$B$16/100)*(5000/(6000+Inputs!$B$42*(1-(((1-(1-Inputs!$B$19/100)*(1-1/100))*100)+0)/100)))*(1+(Inputs!$B$24+((C604=TRUE)*(F604-Calc!F25))+B614)/100)*(1+1.5*IF(C591=TRUE,F591,0)/100)*(1+IF(Skills!A10="ENHANCED_RAGING_BLOW",IF(Inputs!$B$3&gt;=134,MAX(0,IF(Inputs!$B$3&gt;=110,7,5)-5)*50,0),0)/100)*(1+(IF(Skills!A10="RAGING_BLOW",Inputs!$B$17+((C600=TRUE)*(F600-Calc!F21)),Inputs!$B$18+((C602=TRUE)*(F602-Calc!F23))))/100)*((1+(((C592=TRUE)*F592*IF(Inputs!$B$3&gt;=110,7,5))+((C594=TRUE)*F594*IF(AND(Inputs!$B$38&lt;&gt;"pvp",Inputs!$B$43&gt;0),(((R594-1)*(Skills!T15*(1+Inputs!$B$34/100))+MIN((Skills!T15*(1+Inputs!$B$34/100)),MAX(0,Inputs!$B$43-((R594-1)*Skills!D15))))/Inputs!$B$43),IF(Inputs!$B$38="pvp",MIN((Skills!T15*(1+Inputs!$B$34/100)),15)/15,(Skills!T15*(1+Inputs!$B$34/100))/Skills!D15)))+0)/100)*I589)</f>
        <v/>
      </c>
      <c r="L589">
        <f>K589*(MIN(Inputs!$B$22+((C601=TRUE)*(F601-Calc!F22)),Inputs!$B$23+((C603=TRUE)*(F603-Calc!F24)))/100+(Inputs!$B$23+((C603=TRUE)*(F603-Calc!F24)))/100)/2</f>
        <v/>
      </c>
      <c r="M589">
        <f>L589*(1+(Inputs!$B$10+0+B613)/100)</f>
        <v/>
      </c>
      <c r="N589">
        <f>L589*(1-MIN((Inputs!$B$9+((C605=TRUE)*(F605-Calc!F26))+B608),100)/100)+M589*(MIN((Inputs!$B$9+((C605=TRUE)*(F605-Calc!F26))+B608),100)/100)</f>
        <v/>
      </c>
      <c r="O589">
        <f>(1-Summary!$B$55)*T589+Summary!$B$55*V589</f>
        <v/>
      </c>
      <c r="P589">
        <f>IF(B618=0,0,O589/B618)</f>
        <v/>
      </c>
      <c r="Q589">
        <f>IFERROR(1/IF(Inputs!$B$38="pvp",15,MAX(0.1,Skills!D10-IF(Skills!E10=TRUE,Inputs!$B$32,0))),0)</f>
        <v/>
      </c>
      <c r="R589">
        <f>IF(AND(Inputs!$B$38&lt;&gt;"pvp",Inputs!$B$43&gt;0),IF(MAX(0,Inputs!$B$43-B615)&lt;=0,0,(INT(MAX(0,Inputs!$B$43-B615)/IF(Inputs!$B$38="pvp",15,MAX(0.1,Skills!D10-IF(Skills!E10=TRUE,Inputs!$B$32,0))))+1)),0)</f>
        <v/>
      </c>
      <c r="S589">
        <f>IFERROR(O589/N589,0)</f>
        <v/>
      </c>
      <c r="T589">
        <f>IF(C589,(H589*N589*IF(AND(Inputs!$B$38&lt;&gt;"pvp",Inputs!$B$43&gt;0),((Skills!G10*((R589-1)*IF(Skills!H10&gt;0,Skills!I10/Skills!H10,1)+IF(Skills!H10&gt;0,MIN(Skills!I10,MAX(0,MAX(0,Inputs!$B$43-B615)-((R589-1)*IF(Inputs!$B$38="pvp",15,MAX(0.1,Skills!D10-IF(Skills!E10=TRUE,Inputs!$B$32,0))))))/Skills!H10,1)))/Inputs!$B$43),G589*Q589))*IF(Inputs!$B$38="pvp",1,1+(Inputs!$B$20+0+Skills!P10+Summary!$B$59)/100),0)</f>
        <v/>
      </c>
      <c r="V589">
        <f>IF(C589,(H589*N589*IF(AND(Inputs!$B$38&lt;&gt;"pvp",Inputs!$B$43&gt;0),((Skills!G10*((R589-1)*IF(Skills!H10&gt;0,Skills!I10/Skills!H10,1)+IF(Skills!H10&gt;0,MIN(Skills!I10,MAX(0,MAX(0,Inputs!$B$43-B615)-((R589-1)*IF(Inputs!$B$38="pvp",15,MAX(0.1,Skills!D10-IF(Skills!E10=TRUE,Inputs!$B$32,0))))))/Skills!H10,1)))/Inputs!$B$43),G589*Q589))*IF(Inputs!$B$38="pvp",1,(1+(Inputs!$B$21+Skills!Q10+Summary!$B$59)/100)*(MIN(Skills!R10,Inputs!$B$37))),0)</f>
        <v/>
      </c>
    </row>
    <row r="590">
      <c r="A590">
        <f>Skills!A11</f>
        <v/>
      </c>
      <c r="B590">
        <f>Skills!B11</f>
        <v/>
      </c>
      <c r="C590">
        <f>Inputs!$B$3&gt;=35</f>
        <v/>
      </c>
      <c r="D590">
        <f>IF(Skills!C11=1,60+Inputs!$B$25+Inputs!$B$29,IF(Skills!C11=2,90+Inputs!$B$26+Inputs!$B$29,IF(Skills!C11=3,120+Inputs!$B$27+Inputs!$B$29,MAX(0,(Inputs!$B$3-100)*3)+Inputs!$B$28+Inputs!$B$29)))</f>
        <v/>
      </c>
      <c r="E590">
        <f>INDEX(FactorTable!$B$2:$Y$301, MATCH(ROUND(MIN(300,MAX(1,D590)),0), FactorTable!$A$2:$A$301,0), Skills!M11+1)</f>
        <v/>
      </c>
      <c r="F590">
        <f>IF(Skills!N11=TRUE,(Skills!L11/10)*(E590/1000),Skills!L11/10)+Skills!O11</f>
        <v/>
      </c>
      <c r="G590">
        <f>Skills!G11*IF(Skills!H11&gt;0,Skills!I11/Skills!H11,1)</f>
        <v/>
      </c>
      <c r="H590">
        <f>1-(1-Skills!J11/100)^Skills!K11</f>
        <v/>
      </c>
      <c r="I590" t="inlineStr">
        <is>
          <t>1</t>
        </is>
      </c>
      <c r="J590">
        <f>((Inputs!$B$6*(1+Inputs!$B$7/100))+(((Inputs!$B$12*(1+Inputs!$B$13/100))-(Inputs!$B$12*(1+Inputs!$B$13/100)))+0.25*(Inputs!$B$14-Inputs!$B$14))*(1+Inputs!$B$7/100))*(F590/100)</f>
        <v/>
      </c>
      <c r="K590">
        <f>J590*(1+((Inputs!$B$12*(1+Inputs!$B$13/100))*0.01+Inputs!$B$14*0.0025)/100)*(1+Inputs!$B$15/100)*(1+Inputs!$B$16/100)*(5000/(6000+Inputs!$B$42*(1-(((1-(1-Inputs!$B$19/100)*(1-1/100))*100)+0)/100)))*(1+(Inputs!$B$24+((C604=TRUE)*(F604-Calc!F25))+B614)/100)*(1+4.0*IF(C591=TRUE,F591,0)/100)*(1+IF(Skills!A11="ENHANCED_RAGING_BLOW",IF(Inputs!$B$3&gt;=134,MAX(0,IF(Inputs!$B$3&gt;=110,7,5)-5)*50,0),0)/100)*(1+(IF(Skills!A11="RAGING_BLOW",Inputs!$B$17+((C600=TRUE)*(F600-Calc!F21)),Inputs!$B$18+((C602=TRUE)*(F602-Calc!F23))))/100)*((1+(((C592=TRUE)*F592*IF(Inputs!$B$3&gt;=110,7,5))+((C594=TRUE)*F594*IF(AND(Inputs!$B$38&lt;&gt;"pvp",Inputs!$B$43&gt;0),(((R594-1)*(Skills!T15*(1+Inputs!$B$34/100))+MIN((Skills!T15*(1+Inputs!$B$34/100)),MAX(0,Inputs!$B$43-((R594-1)*Skills!D15))))/Inputs!$B$43),IF(Inputs!$B$38="pvp",MIN((Skills!T15*(1+Inputs!$B$34/100)),15)/15,(Skills!T15*(1+Inputs!$B$34/100))/Skills!D15)))+0)/100)*I590)</f>
        <v/>
      </c>
      <c r="L590">
        <f>K590*(MIN(Inputs!$B$22+((C601=TRUE)*(F601-Calc!F22)),Inputs!$B$23+((C603=TRUE)*(F603-Calc!F24)))/100+(Inputs!$B$23+((C603=TRUE)*(F603-Calc!F24)))/100)/2</f>
        <v/>
      </c>
      <c r="M590">
        <f>L590*(1+(Inputs!$B$10+0+B613)/100)</f>
        <v/>
      </c>
      <c r="N590">
        <f>L590*(1-MIN((Inputs!$B$9+((C605=TRUE)*(F605-Calc!F26))+B608),100)/100)+M590*(MIN((Inputs!$B$9+((C605=TRUE)*(F605-Calc!F26))+B608),100)/100)</f>
        <v/>
      </c>
      <c r="O590">
        <f>(1-Summary!$B$55)*T590+Summary!$B$55*V590</f>
        <v/>
      </c>
      <c r="P590">
        <f>IF(B618=0,0,O590/B618)</f>
        <v/>
      </c>
      <c r="Q590">
        <f>IFERROR(1/IF(Inputs!$B$38="pvp",15,MAX(0.1,Skills!D11-IF(Skills!E11=TRUE,Inputs!$B$32,0))),0)</f>
        <v/>
      </c>
      <c r="R590">
        <f>IF(AND(Inputs!$B$38&lt;&gt;"pvp",Inputs!$B$43&gt;0),IF(MAX(0,Inputs!$B$43-B615)&lt;=0,0,(INT(MAX(0,Inputs!$B$43-B615)/IF(Inputs!$B$38="pvp",15,MAX(0.1,Skills!D11-IF(Skills!E11=TRUE,Inputs!$B$32,0))))+1)),0)</f>
        <v/>
      </c>
      <c r="S590">
        <f>IFERROR(O590/N590,0)</f>
        <v/>
      </c>
      <c r="T590">
        <f>IF(C590,(H590*N590*IF(AND(Inputs!$B$38&lt;&gt;"pvp",Inputs!$B$43&gt;0),((Skills!G11*((R590-1)*IF(Skills!H11&gt;0,Skills!I11/Skills!H11,1)+IF(Skills!H11&gt;0,MIN(Skills!I11,MAX(0,MAX(0,Inputs!$B$43-B615)-((R590-1)*IF(Inputs!$B$38="pvp",15,MAX(0.1,Skills!D11-IF(Skills!E11=TRUE,Inputs!$B$32,0))))))/Skills!H11,1)))/Inputs!$B$43),G590*Q590))*IF(Inputs!$B$38="pvp",1,1+(Inputs!$B$20+0+Skills!P11+Summary!$B$59)/100),0)</f>
        <v/>
      </c>
      <c r="V590">
        <f>IF(C590,(H590*N590*IF(AND(Inputs!$B$38&lt;&gt;"pvp",Inputs!$B$43&gt;0),((Skills!G11*((R590-1)*IF(Skills!H11&gt;0,Skills!I11/Skills!H11,1)+IF(Skills!H11&gt;0,MIN(Skills!I11,MAX(0,MAX(0,Inputs!$B$43-B615)-((R590-1)*IF(Inputs!$B$38="pvp",15,MAX(0.1,Skills!D11-IF(Skills!E11=TRUE,Inputs!$B$32,0))))))/Skills!H11,1)))/Inputs!$B$43),G590*Q590))*IF(Inputs!$B$38="pvp",1,(1+(Inputs!$B$21+Skills!Q11+Summary!$B$59)/100)*(MIN(Skills!R11,Inputs!$B$37))),0)</f>
        <v/>
      </c>
    </row>
    <row r="591">
      <c r="A591">
        <f>Skills!A12</f>
        <v/>
      </c>
      <c r="B591">
        <f>Skills!B12</f>
        <v/>
      </c>
      <c r="C591">
        <f>Inputs!$B$3&gt;=100</f>
        <v/>
      </c>
      <c r="D591">
        <f>IF(Skills!C12=1,60+Inputs!$B$25+Inputs!$B$29,IF(Skills!C12=2,90+Inputs!$B$26+Inputs!$B$29,IF(Skills!C12=3,120+Inputs!$B$27+Inputs!$B$29,MAX(0,(Inputs!$B$3-100)*3)+Inputs!$B$28+Inputs!$B$29)))</f>
        <v/>
      </c>
      <c r="E591">
        <f>INDEX(FactorTable!$B$2:$Y$301, MATCH(ROUND(MIN(300,MAX(1,D591)),0), FactorTable!$A$2:$A$301,0), Skills!M12+1)</f>
        <v/>
      </c>
      <c r="F591">
        <f>IF(Skills!N12=TRUE,(Skills!L12/10)*(E591/1000),Skills!L12/10)+Skills!O12</f>
        <v/>
      </c>
      <c r="G591" t="inlineStr"/>
      <c r="H591" t="inlineStr"/>
      <c r="I591" t="inlineStr">
        <is>
          <t>1</t>
        </is>
      </c>
      <c r="J591" t="inlineStr"/>
      <c r="K591" t="inlineStr"/>
      <c r="L591" t="inlineStr"/>
      <c r="M591" t="inlineStr"/>
      <c r="N591" t="inlineStr"/>
      <c r="O591" t="inlineStr"/>
      <c r="P591" t="inlineStr"/>
      <c r="Q591" t="inlineStr"/>
      <c r="R591" t="inlineStr"/>
      <c r="S591" t="inlineStr"/>
    </row>
    <row r="592">
      <c r="A592">
        <f>Skills!A13</f>
        <v/>
      </c>
      <c r="B592">
        <f>Skills!B13</f>
        <v/>
      </c>
      <c r="C592">
        <f>Inputs!$B$3&gt;=45</f>
        <v/>
      </c>
      <c r="D592">
        <f>IF(Skills!C13=1,60+Inputs!$B$25+Inputs!$B$29,IF(Skills!C13=2,90+Inputs!$B$26+Inputs!$B$29,IF(Skills!C13=3,120+Inputs!$B$27+Inputs!$B$29,MAX(0,(Inputs!$B$3-100)*3)+Inputs!$B$28+Inputs!$B$29)))</f>
        <v/>
      </c>
      <c r="E592">
        <f>INDEX(FactorTable!$B$2:$Y$301, MATCH(ROUND(MIN(300,MAX(1,D592)),0), FactorTable!$A$2:$A$301,0), Skills!M13+1)</f>
        <v/>
      </c>
      <c r="F592">
        <f>IF(Skills!N13=TRUE,(Skills!L13/10)*(E592/1000),Skills!L13/10)+Skills!O13</f>
        <v/>
      </c>
      <c r="G592">
        <f>Skills!G13*IF(Skills!H13&gt;0,Skills!I13/Skills!H13,1)</f>
        <v/>
      </c>
      <c r="H592">
        <f>1-(1-Skills!J13/100)^Skills!K13</f>
        <v/>
      </c>
      <c r="I592" t="inlineStr">
        <is>
          <t>1</t>
        </is>
      </c>
      <c r="J592" t="inlineStr"/>
      <c r="K592" t="inlineStr"/>
      <c r="L592" t="inlineStr"/>
      <c r="M592" t="inlineStr"/>
      <c r="N592" t="inlineStr"/>
      <c r="O592">
        <f>(1-Summary!$B$55)*T592+Summary!$B$55*V592</f>
        <v/>
      </c>
      <c r="P592">
        <f>IF(B618=0,0,O592/B618)</f>
        <v/>
      </c>
      <c r="Q592" t="n">
        <v>0</v>
      </c>
      <c r="R592" t="n">
        <v>0</v>
      </c>
      <c r="S592">
        <f>IFERROR(O592/N592,0)</f>
        <v/>
      </c>
      <c r="T592" t="n">
        <v>0</v>
      </c>
      <c r="V592" t="n">
        <v>0</v>
      </c>
    </row>
    <row r="593">
      <c r="A593">
        <f>Skills!A14</f>
        <v/>
      </c>
      <c r="B593">
        <f>Skills!B14</f>
        <v/>
      </c>
      <c r="C593">
        <f>Inputs!$B$3&gt;=75</f>
        <v/>
      </c>
      <c r="D593">
        <f>IF(Skills!C14=1,60+Inputs!$B$25+Inputs!$B$29,IF(Skills!C14=2,90+Inputs!$B$26+Inputs!$B$29,IF(Skills!C14=3,120+Inputs!$B$27+Inputs!$B$29,MAX(0,(Inputs!$B$3-100)*3)+Inputs!$B$28+Inputs!$B$29)))</f>
        <v/>
      </c>
      <c r="E593">
        <f>INDEX(FactorTable!$B$2:$Y$301, MATCH(ROUND(MIN(300,MAX(1,D593)),0), FactorTable!$A$2:$A$301,0), Skills!M14+1)</f>
        <v/>
      </c>
      <c r="F593">
        <f>IF(Skills!N14=TRUE,(Skills!L14/10)*(E593/1000),Skills!L14/10)+Skills!O14</f>
        <v/>
      </c>
      <c r="G593">
        <f>Skills!G14*IF(Skills!H14&gt;0,Skills!I14/Skills!H14,1)</f>
        <v/>
      </c>
      <c r="H593">
        <f>1-(1-Skills!J14/100)^Skills!K14</f>
        <v/>
      </c>
      <c r="I593" t="inlineStr">
        <is>
          <t>1</t>
        </is>
      </c>
      <c r="J593" t="inlineStr"/>
      <c r="K593" t="inlineStr"/>
      <c r="L593" t="inlineStr"/>
      <c r="M593" t="inlineStr"/>
      <c r="N593" t="inlineStr"/>
      <c r="O593">
        <f>(1-Summary!$B$55)*T593+Summary!$B$55*V593</f>
        <v/>
      </c>
      <c r="P593">
        <f>IF(B618=0,0,O593/B618)</f>
        <v/>
      </c>
      <c r="Q593" t="n">
        <v>0</v>
      </c>
      <c r="R593" t="n">
        <v>0</v>
      </c>
      <c r="S593">
        <f>IFERROR(O593/N593,0)</f>
        <v/>
      </c>
      <c r="T593" t="n">
        <v>0</v>
      </c>
      <c r="V593" t="n">
        <v>0</v>
      </c>
    </row>
    <row r="594">
      <c r="A594">
        <f>Skills!A15</f>
        <v/>
      </c>
      <c r="B594">
        <f>Skills!B15</f>
        <v/>
      </c>
      <c r="C594">
        <f>Inputs!$B$3&gt;=40</f>
        <v/>
      </c>
      <c r="D594">
        <f>IF(Skills!C15=1,60+Inputs!$B$25+Inputs!$B$29,IF(Skills!C15=2,90+Inputs!$B$26+Inputs!$B$29,IF(Skills!C15=3,120+Inputs!$B$27+Inputs!$B$29,MAX(0,(Inputs!$B$3-100)*3)+Inputs!$B$28+Inputs!$B$29)))</f>
        <v/>
      </c>
      <c r="E594">
        <f>INDEX(FactorTable!$B$2:$Y$301, MATCH(ROUND(MIN(300,MAX(1,D594)),0), FactorTable!$A$2:$A$301,0), Skills!M15+1)</f>
        <v/>
      </c>
      <c r="F594">
        <f>IF(Skills!N15=TRUE,(Skills!L15/10)*(E594/1000),Skills!L15/10)+Skills!O15</f>
        <v/>
      </c>
      <c r="G594">
        <f>Skills!G15*IF(Skills!H15&gt;0,Skills!I15/Skills!H15,1)</f>
        <v/>
      </c>
      <c r="H594">
        <f>1-(1-Skills!J15/100)^Skills!K15</f>
        <v/>
      </c>
      <c r="I594" t="inlineStr">
        <is>
          <t>1</t>
        </is>
      </c>
      <c r="J594" t="inlineStr"/>
      <c r="K594" t="inlineStr"/>
      <c r="L594" t="inlineStr"/>
      <c r="M594" t="inlineStr"/>
      <c r="N594" t="inlineStr"/>
      <c r="O594">
        <f>(1-Summary!$B$55)*T594+Summary!$B$55*V594</f>
        <v/>
      </c>
      <c r="P594">
        <f>IF(B618=0,0,O594/B618)</f>
        <v/>
      </c>
      <c r="Q594">
        <f>IFERROR(1/IF(Inputs!$B$38="pvp",15,MAX(0.1,Skills!D15-IF(Skills!E15=TRUE,Inputs!$B$32,0))),0)</f>
        <v/>
      </c>
      <c r="R594">
        <f>IF(AND(Inputs!$B$38&lt;&gt;"pvp",Inputs!$B$43&gt;0),IF(Inputs!$B$43&lt;=0,0,(INT(Inputs!$B$43/IF(Inputs!$B$38="pvp",15,MAX(0.1,Skills!D15-IF(Skills!E15=TRUE,Inputs!$B$32,0))))+1)),0)</f>
        <v/>
      </c>
      <c r="S594">
        <f>IFERROR(O594/N594,0)</f>
        <v/>
      </c>
      <c r="T594" t="n">
        <v>0</v>
      </c>
      <c r="V594" t="n">
        <v>0</v>
      </c>
    </row>
    <row r="595">
      <c r="A595">
        <f>Skills!A16</f>
        <v/>
      </c>
      <c r="B595">
        <f>Skills!B16</f>
        <v/>
      </c>
      <c r="C595">
        <f>Inputs!$B$3&gt;=66</f>
        <v/>
      </c>
      <c r="D595">
        <f>IF(Skills!C16=1,60+Inputs!$B$25+Inputs!$B$29,IF(Skills!C16=2,90+Inputs!$B$26+Inputs!$B$29,IF(Skills!C16=3,120+Inputs!$B$27+Inputs!$B$29,MAX(0,(Inputs!$B$3-100)*3)+Inputs!$B$28+Inputs!$B$29)))</f>
        <v/>
      </c>
      <c r="E595">
        <f>INDEX(FactorTable!$B$2:$Y$301, MATCH(ROUND(MIN(300,MAX(1,D595)),0), FactorTable!$A$2:$A$301,0), Skills!M16+1)</f>
        <v/>
      </c>
      <c r="F595">
        <f>IF(Skills!N16=TRUE,(Skills!L16/10)*(E595/1000),Skills!L16/10)+Skills!O16</f>
        <v/>
      </c>
      <c r="G595">
        <f>Skills!G16*IF(Skills!H16&gt;0,Skills!I16/Skills!H16,1)</f>
        <v/>
      </c>
      <c r="H595">
        <f>1-(1-Skills!J16/100)^Skills!K16</f>
        <v/>
      </c>
      <c r="I595" t="inlineStr">
        <is>
          <t>1</t>
        </is>
      </c>
      <c r="J595" t="inlineStr"/>
      <c r="K595" t="inlineStr"/>
      <c r="L595" t="inlineStr"/>
      <c r="M595" t="inlineStr"/>
      <c r="N595" t="inlineStr"/>
      <c r="O595">
        <f>(1-Summary!$B$55)*T595+Summary!$B$55*V595</f>
        <v/>
      </c>
      <c r="P595">
        <f>IF(B618=0,0,O595/B618)</f>
        <v/>
      </c>
      <c r="Q595">
        <f>IFERROR(1/IF(Inputs!$B$38="pvp",15,MAX(0.1,Skills!D16-IF(Skills!E16=TRUE,Inputs!$B$32,0))),0)</f>
        <v/>
      </c>
      <c r="R595">
        <f>IF(AND(Inputs!$B$38&lt;&gt;"pvp",Inputs!$B$43&gt;0),IF(Inputs!$B$43&lt;=0,0,(INT(Inputs!$B$43/IF(Inputs!$B$38="pvp",15,MAX(0.1,Skills!D16-IF(Skills!E16=TRUE,Inputs!$B$32,0))))+1)),0)</f>
        <v/>
      </c>
      <c r="S595">
        <f>IFERROR(O595/N595,0)</f>
        <v/>
      </c>
      <c r="T595" t="n">
        <v>0</v>
      </c>
      <c r="V595" t="n">
        <v>0</v>
      </c>
    </row>
    <row r="596">
      <c r="A596">
        <f>Skills!A17</f>
        <v/>
      </c>
      <c r="B596">
        <f>Skills!B17</f>
        <v/>
      </c>
      <c r="C596">
        <f>Inputs!$B$3&gt;=115</f>
        <v/>
      </c>
      <c r="D596">
        <f>IF(Skills!C17=1,60+Inputs!$B$25+Inputs!$B$29,IF(Skills!C17=2,90+Inputs!$B$26+Inputs!$B$29,IF(Skills!C17=3,120+Inputs!$B$27+Inputs!$B$29,MAX(0,(Inputs!$B$3-100)*3)+Inputs!$B$28+Inputs!$B$29)))</f>
        <v/>
      </c>
      <c r="E596">
        <f>INDEX(FactorTable!$B$2:$Y$301, MATCH(ROUND(MIN(300,MAX(1,D596)),0), FactorTable!$A$2:$A$301,0), Skills!M17+1)</f>
        <v/>
      </c>
      <c r="F596">
        <f>IF(Skills!N17=TRUE,(Skills!L17/10)*(E596/1000),Skills!L17/10)+Skills!O17</f>
        <v/>
      </c>
      <c r="G596">
        <f>Skills!G17*IF(Skills!H17&gt;0,Skills!I17/Skills!H17,1)</f>
        <v/>
      </c>
      <c r="H596">
        <f>1-(1-Skills!J17/100)^Skills!K17</f>
        <v/>
      </c>
      <c r="I596" t="inlineStr">
        <is>
          <t>1</t>
        </is>
      </c>
      <c r="J596" t="inlineStr"/>
      <c r="K596" t="inlineStr"/>
      <c r="L596" t="inlineStr"/>
      <c r="M596" t="inlineStr"/>
      <c r="N596" t="inlineStr"/>
      <c r="O596">
        <f>(1-Summary!$B$55)*T596+Summary!$B$55*V596</f>
        <v/>
      </c>
      <c r="P596">
        <f>IF(B618=0,0,O596/B618)</f>
        <v/>
      </c>
      <c r="Q596">
        <f>IFERROR(1/IF(Inputs!$B$38="pvp",15,MAX(0.1,Skills!D17-IF(Skills!E17=TRUE,Inputs!$B$32,0))),0)</f>
        <v/>
      </c>
      <c r="R596">
        <f>IF(AND(Inputs!$B$38&lt;&gt;"pvp",Inputs!$B$43&gt;0),IF(Inputs!$B$43&lt;=0,0,(INT(Inputs!$B$43/IF(Inputs!$B$38="pvp",15,MAX(0.1,Skills!D17-IF(Skills!E17=TRUE,Inputs!$B$32,0))))+1)),0)</f>
        <v/>
      </c>
      <c r="S596">
        <f>IFERROR(O596/N596,0)</f>
        <v/>
      </c>
      <c r="T596" t="n">
        <v>0</v>
      </c>
      <c r="V596" t="n">
        <v>0</v>
      </c>
    </row>
    <row r="597">
      <c r="A597">
        <f>Skills!A18</f>
        <v/>
      </c>
      <c r="B597">
        <f>Skills!B18</f>
        <v/>
      </c>
      <c r="C597">
        <f>Inputs!$B$3&gt;=115</f>
        <v/>
      </c>
      <c r="D597">
        <f>IF(Skills!C18=1,60+Inputs!$B$25+Inputs!$B$29,IF(Skills!C18=2,90+Inputs!$B$26+Inputs!$B$29,IF(Skills!C18=3,120+Inputs!$B$27+Inputs!$B$29,MAX(0,(Inputs!$B$3-100)*3)+Inputs!$B$28+Inputs!$B$29)))</f>
        <v/>
      </c>
      <c r="E597">
        <f>INDEX(FactorTable!$B$2:$Y$301, MATCH(ROUND(MIN(300,MAX(1,D597)),0), FactorTable!$A$2:$A$301,0), Skills!M18+1)</f>
        <v/>
      </c>
      <c r="F597">
        <f>IF(Skills!N18=TRUE,(Skills!L18/10)*(E597/1000),Skills!L18/10)+Skills!O18</f>
        <v/>
      </c>
      <c r="G597">
        <f>Skills!G18*IF(Skills!H18&gt;0,Skills!I18/Skills!H18,1)</f>
        <v/>
      </c>
      <c r="H597">
        <f>1-(1-Skills!J18/100)^Skills!K18</f>
        <v/>
      </c>
      <c r="I597" t="inlineStr">
        <is>
          <t>1</t>
        </is>
      </c>
      <c r="J597" t="inlineStr"/>
      <c r="K597" t="inlineStr"/>
      <c r="L597" t="inlineStr"/>
      <c r="M597" t="inlineStr"/>
      <c r="N597" t="inlineStr"/>
      <c r="O597">
        <f>(1-Summary!$B$55)*T597+Summary!$B$55*V597</f>
        <v/>
      </c>
      <c r="P597">
        <f>IF(B618=0,0,O597/B618)</f>
        <v/>
      </c>
      <c r="Q597">
        <f>IFERROR(1/IF(Inputs!$B$38="pvp",15,MAX(0.1,Skills!D18-IF(Skills!E18=TRUE,Inputs!$B$32,0))),0)</f>
        <v/>
      </c>
      <c r="R597">
        <f>IF(AND(Inputs!$B$38&lt;&gt;"pvp",Inputs!$B$43&gt;0),IF(Inputs!$B$43&lt;=0,0,(INT(Inputs!$B$43/IF(Inputs!$B$38="pvp",15,MAX(0.1,Skills!D18-IF(Skills!E18=TRUE,Inputs!$B$32,0))))+1)),0)</f>
        <v/>
      </c>
      <c r="S597">
        <f>IFERROR(O597/N597,0)</f>
        <v/>
      </c>
      <c r="T597" t="n">
        <v>0</v>
      </c>
      <c r="V597" t="n">
        <v>0</v>
      </c>
    </row>
    <row r="598">
      <c r="A598">
        <f>Skills!A19</f>
        <v/>
      </c>
      <c r="B598">
        <f>Skills!B19</f>
        <v/>
      </c>
      <c r="C598">
        <f>TRUE</f>
        <v/>
      </c>
      <c r="D598">
        <f>IF(Skills!C19=1,60+Inputs!$B$25+Inputs!$B$29,IF(Skills!C19=2,90+Inputs!$B$26+Inputs!$B$29,IF(Skills!C19=3,120+Inputs!$B$27+Inputs!$B$29,MAX(0,(Inputs!$B$3-100)*3)+Inputs!$B$28+Inputs!$B$29)))</f>
        <v/>
      </c>
      <c r="E598">
        <f>INDEX(FactorTable!$B$2:$Y$301, MATCH(ROUND(MIN(300,MAX(1,D598)),0), FactorTable!$A$2:$A$301,0), Skills!M19+1)</f>
        <v/>
      </c>
      <c r="F598">
        <f>IF(Skills!N19=TRUE,(Skills!L19/10)*(E598/1000),Skills!L19/10)+Skills!O19</f>
        <v/>
      </c>
      <c r="G598">
        <f>Skills!G19*IF(Skills!H19&gt;0,Skills!I19/Skills!H19,1)</f>
        <v/>
      </c>
      <c r="H598">
        <f>1-(1-Skills!J19/100)^Skills!K19</f>
        <v/>
      </c>
      <c r="I598" t="inlineStr">
        <is>
          <t>1</t>
        </is>
      </c>
      <c r="J598" t="inlineStr"/>
      <c r="K598" t="inlineStr"/>
      <c r="L598" t="inlineStr"/>
      <c r="M598" t="inlineStr"/>
      <c r="N598" t="inlineStr"/>
      <c r="O598">
        <f>(1-Summary!$B$55)*T598+Summary!$B$55*V598</f>
        <v/>
      </c>
      <c r="P598">
        <f>IF(B618=0,0,O598/B618)</f>
        <v/>
      </c>
      <c r="Q598">
        <f>IFERROR(1/IF(Inputs!$B$38="pvp",15,MAX(0.1,Skills!D19-IF(Skills!E19=TRUE,Inputs!$B$32,0))),0)</f>
        <v/>
      </c>
      <c r="R598">
        <f>IF(AND(Inputs!$B$38&lt;&gt;"pvp",Inputs!$B$43&gt;0),IF(Inputs!$B$43&lt;=0,0,(INT(Inputs!$B$43/IF(Inputs!$B$38="pvp",15,MAX(0.1,Skills!D19-IF(Skills!E19=TRUE,Inputs!$B$32,0))))+1)),0)</f>
        <v/>
      </c>
      <c r="S598">
        <f>IFERROR(O598/N598,0)</f>
        <v/>
      </c>
      <c r="T598" t="n">
        <v>0</v>
      </c>
      <c r="V598" t="n">
        <v>0</v>
      </c>
    </row>
    <row r="599">
      <c r="A599">
        <f>Skills!A20</f>
        <v/>
      </c>
      <c r="B599">
        <f>Skills!B20</f>
        <v/>
      </c>
      <c r="C599">
        <f>Inputs!$B$3&gt;=33</f>
        <v/>
      </c>
      <c r="D599">
        <f>IF(Skills!C20=1,60+Inputs!$B$25+Inputs!$B$29,IF(Skills!C20=2,90+Inputs!$B$26+Inputs!$B$29,IF(Skills!C20=3,120+Inputs!$B$27+Inputs!$B$29,MAX(0,(Inputs!$B$3-100)*3)+Inputs!$B$28+Inputs!$B$29)))</f>
        <v/>
      </c>
      <c r="E599">
        <f>INDEX(FactorTable!$B$2:$Y$301, MATCH(ROUND(MIN(300,MAX(1,D599)),0), FactorTable!$A$2:$A$301,0), Skills!M20+1)</f>
        <v/>
      </c>
      <c r="F599">
        <f>IF(Skills!N20=TRUE,(Skills!L20/10)*(E599/1000),Skills!L20/10)+Skills!O20</f>
        <v/>
      </c>
      <c r="G599">
        <f>Skills!G20*IF(Skills!H20&gt;0,Skills!I20/Skills!H20,1)</f>
        <v/>
      </c>
      <c r="H599">
        <f>1-(1-Skills!J20/100)^Skills!K20</f>
        <v/>
      </c>
      <c r="I599" t="inlineStr">
        <is>
          <t>1</t>
        </is>
      </c>
      <c r="J599" t="inlineStr"/>
      <c r="K599" t="inlineStr"/>
      <c r="L599" t="inlineStr"/>
      <c r="M599" t="inlineStr"/>
      <c r="N599" t="inlineStr"/>
      <c r="O599">
        <f>(1-Summary!$B$55)*T599+Summary!$B$55*V599</f>
        <v/>
      </c>
      <c r="P599">
        <f>IF(B618=0,0,O599/B618)</f>
        <v/>
      </c>
      <c r="Q599" t="n">
        <v>0</v>
      </c>
      <c r="R599" t="n">
        <v>0</v>
      </c>
      <c r="S599">
        <f>IFERROR(O599/N599,0)</f>
        <v/>
      </c>
      <c r="T599" t="n">
        <v>0</v>
      </c>
      <c r="V599" t="n">
        <v>0</v>
      </c>
    </row>
    <row r="600">
      <c r="A600">
        <f>Skills!A21</f>
        <v/>
      </c>
      <c r="B600">
        <f>Skills!B21</f>
        <v/>
      </c>
      <c r="C600">
        <f>Inputs!$B$3&gt;=38</f>
        <v/>
      </c>
      <c r="D600">
        <f>IF(Skills!C21=1,60+Inputs!$B$25+Inputs!$B$29,IF(Skills!C21=2,90+Inputs!$B$26+Inputs!$B$29,IF(Skills!C21=3,120+Inputs!$B$27+Inputs!$B$29,MAX(0,(Inputs!$B$3-100)*3)+Inputs!$B$28+Inputs!$B$29)))</f>
        <v/>
      </c>
      <c r="E600">
        <f>INDEX(FactorTable!$B$2:$Y$301, MATCH(ROUND(MIN(300,MAX(1,D600)),0), FactorTable!$A$2:$A$301,0), Skills!M21+1)</f>
        <v/>
      </c>
      <c r="F600">
        <f>IF(Skills!N21=TRUE,(Skills!L21/10)*(E600/1000),Skills!L21/10)+Skills!O21</f>
        <v/>
      </c>
      <c r="G600">
        <f>Skills!G21*IF(Skills!H21&gt;0,Skills!I21/Skills!H21,1)</f>
        <v/>
      </c>
      <c r="H600">
        <f>1-(1-Skills!J21/100)^Skills!K21</f>
        <v/>
      </c>
      <c r="I600" t="inlineStr">
        <is>
          <t>1</t>
        </is>
      </c>
      <c r="J600" t="inlineStr"/>
      <c r="K600" t="inlineStr"/>
      <c r="L600" t="inlineStr"/>
      <c r="M600" t="inlineStr"/>
      <c r="N600" t="inlineStr"/>
      <c r="O600">
        <f>(1-Summary!$B$55)*T600+Summary!$B$55*V600</f>
        <v/>
      </c>
      <c r="P600">
        <f>IF(B618=0,0,O600/B618)</f>
        <v/>
      </c>
      <c r="Q600" t="n">
        <v>0</v>
      </c>
      <c r="R600" t="n">
        <v>0</v>
      </c>
      <c r="S600">
        <f>IFERROR(O600/N600,0)</f>
        <v/>
      </c>
      <c r="T600" t="n">
        <v>0</v>
      </c>
      <c r="V600" t="n">
        <v>0</v>
      </c>
    </row>
    <row r="601">
      <c r="A601">
        <f>Skills!A22</f>
        <v/>
      </c>
      <c r="B601">
        <f>Skills!B22</f>
        <v/>
      </c>
      <c r="C601">
        <f>Inputs!$B$3&gt;=43</f>
        <v/>
      </c>
      <c r="D601">
        <f>IF(Skills!C22=1,60+Inputs!$B$25+Inputs!$B$29,IF(Skills!C22=2,90+Inputs!$B$26+Inputs!$B$29,IF(Skills!C22=3,120+Inputs!$B$27+Inputs!$B$29,MAX(0,(Inputs!$B$3-100)*3)+Inputs!$B$28+Inputs!$B$29)))</f>
        <v/>
      </c>
      <c r="E601">
        <f>INDEX(FactorTable!$B$2:$Y$301, MATCH(ROUND(MIN(300,MAX(1,D601)),0), FactorTable!$A$2:$A$301,0), Skills!M22+1)</f>
        <v/>
      </c>
      <c r="F601">
        <f>IF(Skills!N22=TRUE,(Skills!L22/10)*(E601/1000),Skills!L22/10)+Skills!O22</f>
        <v/>
      </c>
      <c r="G601">
        <f>Skills!G22*IF(Skills!H22&gt;0,Skills!I22/Skills!H22,1)</f>
        <v/>
      </c>
      <c r="H601">
        <f>1-(1-Skills!J22/100)^Skills!K22</f>
        <v/>
      </c>
      <c r="I601" t="inlineStr">
        <is>
          <t>1</t>
        </is>
      </c>
      <c r="J601" t="inlineStr"/>
      <c r="K601" t="inlineStr"/>
      <c r="L601" t="inlineStr"/>
      <c r="M601" t="inlineStr"/>
      <c r="N601" t="inlineStr"/>
      <c r="O601">
        <f>(1-Summary!$B$55)*T601+Summary!$B$55*V601</f>
        <v/>
      </c>
      <c r="P601">
        <f>IF(B618=0,0,O601/B618)</f>
        <v/>
      </c>
      <c r="Q601" t="n">
        <v>0</v>
      </c>
      <c r="R601" t="n">
        <v>0</v>
      </c>
      <c r="S601">
        <f>IFERROR(O601/N601,0)</f>
        <v/>
      </c>
      <c r="T601" t="n">
        <v>0</v>
      </c>
      <c r="V601" t="n">
        <v>0</v>
      </c>
    </row>
    <row r="602">
      <c r="A602">
        <f>Skills!A23</f>
        <v/>
      </c>
      <c r="B602">
        <f>Skills!B23</f>
        <v/>
      </c>
      <c r="C602">
        <f>Inputs!$B$3&gt;=120</f>
        <v/>
      </c>
      <c r="D602">
        <f>IF(Skills!C23=1,60+Inputs!$B$25+Inputs!$B$29,IF(Skills!C23=2,90+Inputs!$B$26+Inputs!$B$29,IF(Skills!C23=3,120+Inputs!$B$27+Inputs!$B$29,MAX(0,(Inputs!$B$3-100)*3)+Inputs!$B$28+Inputs!$B$29)))</f>
        <v/>
      </c>
      <c r="E602">
        <f>INDEX(FactorTable!$B$2:$Y$301, MATCH(ROUND(MIN(300,MAX(1,D602)),0), FactorTable!$A$2:$A$301,0), Skills!M23+1)</f>
        <v/>
      </c>
      <c r="F602">
        <f>IF(Skills!N23=TRUE,(Skills!L23/10)*(E602/1000),Skills!L23/10)+Skills!O23</f>
        <v/>
      </c>
      <c r="G602">
        <f>Skills!G23*IF(Skills!H23&gt;0,Skills!I23/Skills!H23,1)</f>
        <v/>
      </c>
      <c r="H602">
        <f>1-(1-Skills!J23/100)^Skills!K23</f>
        <v/>
      </c>
      <c r="I602" t="inlineStr">
        <is>
          <t>1</t>
        </is>
      </c>
      <c r="J602" t="inlineStr"/>
      <c r="K602" t="inlineStr"/>
      <c r="L602" t="inlineStr"/>
      <c r="M602" t="inlineStr"/>
      <c r="N602" t="inlineStr"/>
      <c r="O602">
        <f>(1-Summary!$B$55)*T602+Summary!$B$55*V602</f>
        <v/>
      </c>
      <c r="P602">
        <f>IF(B618=0,0,O602/B618)</f>
        <v/>
      </c>
      <c r="Q602" t="n">
        <v>0</v>
      </c>
      <c r="R602" t="n">
        <v>0</v>
      </c>
      <c r="S602">
        <f>IFERROR(O602/N602,0)</f>
        <v/>
      </c>
      <c r="T602" t="n">
        <v>0</v>
      </c>
      <c r="V602" t="n">
        <v>0</v>
      </c>
    </row>
    <row r="603">
      <c r="A603">
        <f>Skills!A24</f>
        <v/>
      </c>
      <c r="B603">
        <f>Skills!B24</f>
        <v/>
      </c>
      <c r="C603">
        <f>Inputs!$B$3&gt;=120</f>
        <v/>
      </c>
      <c r="D603">
        <f>IF(Skills!C24=1,60+Inputs!$B$25+Inputs!$B$29,IF(Skills!C24=2,90+Inputs!$B$26+Inputs!$B$29,IF(Skills!C24=3,120+Inputs!$B$27+Inputs!$B$29,MAX(0,(Inputs!$B$3-100)*3)+Inputs!$B$28+Inputs!$B$29)))</f>
        <v/>
      </c>
      <c r="E603">
        <f>INDEX(FactorTable!$B$2:$Y$301, MATCH(ROUND(MIN(300,MAX(1,D603)),0), FactorTable!$A$2:$A$301,0), Skills!M24+1)</f>
        <v/>
      </c>
      <c r="F603">
        <f>IF(Skills!N24=TRUE,(Skills!L24/10)*(E603/1000),Skills!L24/10)+Skills!O24</f>
        <v/>
      </c>
      <c r="G603">
        <f>Skills!G24*IF(Skills!H24&gt;0,Skills!I24/Skills!H24,1)</f>
        <v/>
      </c>
      <c r="H603">
        <f>1-(1-Skills!J24/100)^Skills!K24</f>
        <v/>
      </c>
      <c r="I603" t="inlineStr">
        <is>
          <t>1</t>
        </is>
      </c>
      <c r="J603" t="inlineStr"/>
      <c r="K603" t="inlineStr"/>
      <c r="L603" t="inlineStr"/>
      <c r="M603" t="inlineStr"/>
      <c r="N603" t="inlineStr"/>
      <c r="O603">
        <f>(1-Summary!$B$55)*T603+Summary!$B$55*V603</f>
        <v/>
      </c>
      <c r="P603">
        <f>IF(B618=0,0,O603/B618)</f>
        <v/>
      </c>
      <c r="Q603" t="n">
        <v>0</v>
      </c>
      <c r="R603" t="n">
        <v>0</v>
      </c>
      <c r="S603">
        <f>IFERROR(O603/N603,0)</f>
        <v/>
      </c>
      <c r="T603" t="n">
        <v>0</v>
      </c>
      <c r="V603" t="n">
        <v>0</v>
      </c>
    </row>
    <row r="604">
      <c r="A604">
        <f>Skills!A25</f>
        <v/>
      </c>
      <c r="B604">
        <f>Skills!B25</f>
        <v/>
      </c>
      <c r="C604">
        <f>Inputs!$B$3&gt;=125</f>
        <v/>
      </c>
      <c r="D604">
        <f>IF(Skills!C25=1,60+Inputs!$B$25+Inputs!$B$29,IF(Skills!C25=2,90+Inputs!$B$26+Inputs!$B$29,IF(Skills!C25=3,120+Inputs!$B$27+Inputs!$B$29,MAX(0,(Inputs!$B$3-100)*3)+Inputs!$B$28+Inputs!$B$29)))</f>
        <v/>
      </c>
      <c r="E604">
        <f>INDEX(FactorTable!$B$2:$Y$301, MATCH(ROUND(MIN(300,MAX(1,D604)),0), FactorTable!$A$2:$A$301,0), Skills!M25+1)</f>
        <v/>
      </c>
      <c r="F604">
        <f>IF(Skills!N25=TRUE,(Skills!L25/10)*(E604/1000),Skills!L25/10)+Skills!O25</f>
        <v/>
      </c>
      <c r="G604">
        <f>Skills!G25*IF(Skills!H25&gt;0,Skills!I25/Skills!H25,1)</f>
        <v/>
      </c>
      <c r="H604">
        <f>1-(1-Skills!J25/100)^Skills!K25</f>
        <v/>
      </c>
      <c r="I604" t="inlineStr">
        <is>
          <t>1</t>
        </is>
      </c>
      <c r="J604" t="inlineStr"/>
      <c r="K604" t="inlineStr"/>
      <c r="L604" t="inlineStr"/>
      <c r="M604" t="inlineStr"/>
      <c r="N604" t="inlineStr"/>
      <c r="O604">
        <f>(1-Summary!$B$55)*T604+Summary!$B$55*V604</f>
        <v/>
      </c>
      <c r="P604">
        <f>IF(B618=0,0,O604/B618)</f>
        <v/>
      </c>
      <c r="Q604" t="n">
        <v>0</v>
      </c>
      <c r="R604" t="n">
        <v>0</v>
      </c>
      <c r="S604">
        <f>IFERROR(O604/N604,0)</f>
        <v/>
      </c>
      <c r="T604" t="n">
        <v>0</v>
      </c>
      <c r="V604" t="n">
        <v>0</v>
      </c>
    </row>
    <row r="605">
      <c r="A605">
        <f>Skills!A26</f>
        <v/>
      </c>
      <c r="B605">
        <f>Skills!B26</f>
        <v/>
      </c>
      <c r="C605">
        <f>Inputs!$B$3&gt;=72</f>
        <v/>
      </c>
      <c r="D605">
        <f>IF(Skills!C26=1,60+Inputs!$B$25+Inputs!$B$29,IF(Skills!C26=2,90+Inputs!$B$26+Inputs!$B$29,IF(Skills!C26=3,120+Inputs!$B$27+Inputs!$B$29,MAX(0,(Inputs!$B$3-100)*3)+Inputs!$B$28+Inputs!$B$29)))</f>
        <v/>
      </c>
      <c r="E605">
        <f>INDEX(FactorTable!$B$2:$Y$301, MATCH(ROUND(MIN(300,MAX(1,D605)),0), FactorTable!$A$2:$A$301,0), Skills!M26+1)</f>
        <v/>
      </c>
      <c r="F605">
        <f>IF(Skills!N26=TRUE,(Skills!L26/10)*(E605/1000),Skills!L26/10)+Skills!O26</f>
        <v/>
      </c>
      <c r="G605">
        <f>Skills!G26*IF(Skills!H26&gt;0,Skills!I26/Skills!H26,1)</f>
        <v/>
      </c>
      <c r="H605">
        <f>1-(1-Skills!J26/100)^Skills!K26</f>
        <v/>
      </c>
      <c r="I605" t="inlineStr">
        <is>
          <t>1</t>
        </is>
      </c>
      <c r="J605" t="inlineStr"/>
      <c r="K605" t="inlineStr"/>
      <c r="L605" t="inlineStr"/>
      <c r="M605" t="inlineStr"/>
      <c r="N605" t="inlineStr"/>
      <c r="O605">
        <f>(1-Summary!$B$55)*T605+Summary!$B$55*V605</f>
        <v/>
      </c>
      <c r="P605">
        <f>IF(B618=0,0,O605/B618)</f>
        <v/>
      </c>
      <c r="Q605" t="n">
        <v>0</v>
      </c>
      <c r="R605" t="n">
        <v>0</v>
      </c>
      <c r="S605">
        <f>IFERROR(O605/N605,0)</f>
        <v/>
      </c>
      <c r="T605" t="n">
        <v>0</v>
      </c>
      <c r="V605" t="n">
        <v>0</v>
      </c>
    </row>
    <row r="607">
      <c r="A607" t="inlineStr">
        <is>
          <t>Attack% Bucket Multiplier</t>
        </is>
      </c>
      <c r="B607">
        <f>(1+(((C592=TRUE)*F592*IF(Inputs!$B$3&gt;=110,7,5))+((C594=TRUE)*F594*IF(AND(Inputs!$B$38&lt;&gt;"pvp",Inputs!$B$43&gt;0),(((R594-1)*(Skills!T15*(1+Inputs!$B$34/100))+MIN((Skills!T15*(1+Inputs!$B$34/100)),MAX(0,Inputs!$B$43-((R594-1)*Skills!D15))))/Inputs!$B$43),IF(Inputs!$B$38="pvp",MIN((Skills!T15*(1+Inputs!$B$34/100)),15)/15,(Skills!T15*(1+Inputs!$B$34/100))/Skills!D15)))+0)/100)</f>
        <v/>
      </c>
    </row>
    <row r="608">
      <c r="A608" t="inlineStr">
        <is>
          <t>Global Crit Rate Bonus %</t>
        </is>
      </c>
      <c r="B608" t="n">
        <v>0</v>
      </c>
    </row>
    <row r="609">
      <c r="A609" t="inlineStr">
        <is>
          <t>Attack Speed Buff Bonus %</t>
        </is>
      </c>
      <c r="B609">
        <f>((C598=TRUE)*F598*IF(AND(Inputs!$B$38&lt;&gt;"pvp",Inputs!$B$43&gt;0),(((R598-1)*(Skills!T19*(1+Inputs!$B$34/100))+MIN((Skills!T19*(1+Inputs!$B$34/100)),MAX(0,Inputs!$B$43-((R598-1)*Skills!D19))))/Inputs!$B$43),IF(Inputs!$B$38="pvp",MIN((Skills!T19*(1+Inputs!$B$34/100)),15)/15,(Skills!T19*(1+Inputs!$B$34/100))/Skills!D19)))</f>
        <v/>
      </c>
    </row>
    <row r="610">
      <c r="A610" t="inlineStr">
        <is>
          <t>Actions Per Second</t>
        </is>
      </c>
      <c r="B610">
        <f>1+MIN(150,150*(1-(1-(Inputs!$B$11+((C599=TRUE)*(F599-Calc!F20)))/150)*(1-B609/150)))/100</f>
        <v/>
      </c>
    </row>
    <row r="611">
      <c r="A611" t="inlineStr">
        <is>
          <t>Skill + Buff Cast Rate</t>
        </is>
      </c>
      <c r="B611">
        <f>IF(AND(Inputs!$B$38&lt;&gt;"pvp",Inputs!$B$43&gt;0),SUMPRODUCT((Skills!E2:E26=TRUE)*(C581:C605=TRUE)*R581:R605*Skills!F2:F26)/Inputs!$B$43,SUMPRODUCT((Skills!E2:E26=TRUE)*(C581:C605=TRUE)*Q581:Q605*Skills!F2:F26))</f>
        <v/>
      </c>
    </row>
    <row r="612">
      <c r="A612" t="inlineStr">
        <is>
          <t>Raging Blow Casts Per Second</t>
        </is>
      </c>
      <c r="B612">
        <f>MAX(0,B610-B611)</f>
        <v/>
      </c>
    </row>
    <row r="613">
      <c r="A613" t="inlineStr">
        <is>
          <t>Global Critical Damage Bonus % (Enrage)</t>
        </is>
      </c>
      <c r="B613">
        <f>((C597=TRUE)*F597*IF(AND(Inputs!$B$38&lt;&gt;"pvp",Inputs!$B$43&gt;0),(((R597-1)*(Skills!T18*(1+Inputs!$B$34/100))+MIN((Skills!T18*(1+Inputs!$B$34/100)),MAX(0,Inputs!$B$43-((R597-1)*Skills!D18))))/Inputs!$B$43),IF(Inputs!$B$38="pvp",MIN((Skills!T18*(1+Inputs!$B$34/100)),15)/15,(Skills!T18*(1+Inputs!$B$34/100))/Skills!D18)))</f>
        <v/>
      </c>
    </row>
    <row r="614">
      <c r="A614" t="inlineStr">
        <is>
          <t>Global Final Damage Bonus % (Enrage + Combo Synergy)</t>
        </is>
      </c>
      <c r="B614">
        <f>((C596=TRUE)*F596*IF(AND(Inputs!$B$38&lt;&gt;"pvp",Inputs!$B$43&gt;0),(((R596-1)*(Skills!T17*(1+Inputs!$B$34/100))+MIN((Skills!T17*(1+Inputs!$B$34/100)),MAX(0,Inputs!$B$43-((R596-1)*Skills!D17))))/Inputs!$B$43),IF(Inputs!$B$38="pvp",MIN((Skills!T17*(1+Inputs!$B$34/100)),15)/15,(Skills!T17*(1+Inputs!$B$34/100))/Skills!D17)))+((C593=TRUE)*F593*IF(Inputs!$B$3&gt;=110,7,5))</f>
        <v/>
      </c>
    </row>
    <row r="615">
      <c r="A615" t="inlineStr">
        <is>
          <t>Buff-Casting Startup Delay (s, fixed-duration only)</t>
        </is>
      </c>
      <c r="B615">
        <f>IF(AND(Inputs!$B$38&lt;&gt;"pvp",Inputs!$B$43&gt;0),SUMPRODUCT((Skills!T2:T26&gt;0)*(Skills!E2:E26=TRUE)*(C581:C605=TRUE))/B610,0)</f>
        <v/>
      </c>
    </row>
    <row r="616">
      <c r="A616" t="inlineStr">
        <is>
          <t>Boss-Only Total DPS (this block's swept value)</t>
        </is>
      </c>
      <c r="B616">
        <f>SUM(T581:T605)</f>
        <v/>
      </c>
    </row>
    <row r="617">
      <c r="A617" t="inlineStr">
        <is>
          <t>Normal-Only Total DPS (this block's swept value)</t>
        </is>
      </c>
      <c r="B617">
        <f>SUM(V581:V605)</f>
        <v/>
      </c>
    </row>
    <row r="618">
      <c r="A618" s="5" t="inlineStr">
        <is>
          <t>TOTAL DPS</t>
        </is>
      </c>
      <c r="B618" s="5">
        <f>SUM(O581:O605)</f>
        <v/>
      </c>
    </row>
    <row r="621">
      <c r="A621" s="5" t="inlineStr">
        <is>
          <t>Stat: BASIC_ATTACK_DAMAGE %</t>
        </is>
      </c>
    </row>
    <row r="622">
      <c r="A622" s="9" t="inlineStr">
        <is>
          <t>Key</t>
        </is>
      </c>
      <c r="B622" s="9" t="inlineStr">
        <is>
          <t>Name</t>
        </is>
      </c>
      <c r="C622" s="9" t="inlineStr">
        <is>
          <t>Unlocked</t>
        </is>
      </c>
      <c r="D622" s="9" t="inlineStr">
        <is>
          <t>InputLevel</t>
        </is>
      </c>
      <c r="E622" s="9" t="inlineStr">
        <is>
          <t>Factor</t>
        </is>
      </c>
      <c r="F622" s="9" t="inlineStr">
        <is>
          <t>CoefficientPercent</t>
        </is>
      </c>
      <c r="G622" s="9" t="inlineStr">
        <is>
          <t>EffectiveHits</t>
        </is>
      </c>
      <c r="H622" s="9" t="inlineStr">
        <is>
          <t>ProcProbability</t>
        </is>
      </c>
      <c r="I622" s="9" t="inlineStr">
        <is>
          <t>MapleHeroMultiplier</t>
        </is>
      </c>
      <c r="J622" s="9" t="inlineStr">
        <is>
          <t>BaseDamage</t>
        </is>
      </c>
      <c r="K622" s="9" t="inlineStr">
        <is>
          <t>BaseHitDamage</t>
        </is>
      </c>
      <c r="L622" s="9" t="inlineStr">
        <is>
          <t>NonCritAvg</t>
        </is>
      </c>
      <c r="M622" s="9" t="inlineStr">
        <is>
          <t>CritAvg</t>
        </is>
      </c>
      <c r="N622" s="9" t="inlineStr">
        <is>
          <t>ExpectedDamage(perHit)</t>
        </is>
      </c>
      <c r="O622" s="9" t="inlineStr">
        <is>
          <t>DPS</t>
        </is>
      </c>
      <c r="P622" s="9" t="inlineStr">
        <is>
          <t>% of Total</t>
        </is>
      </c>
      <c r="Q622" s="9" t="inlineStr">
        <is>
          <t>InvCooldown</t>
        </is>
      </c>
      <c r="R622" s="9" t="inlineStr">
        <is>
          <t>CastsInFight</t>
        </is>
      </c>
      <c r="S622" s="9" t="inlineStr">
        <is>
          <t>HitRate(perSec)</t>
        </is>
      </c>
      <c r="U622" t="inlineStr">
        <is>
          <t>helpers</t>
        </is>
      </c>
    </row>
    <row r="623">
      <c r="A623">
        <f>Skills!A2</f>
        <v/>
      </c>
      <c r="B623">
        <f>Skills!B2</f>
        <v/>
      </c>
      <c r="C623">
        <f>Inputs!$B$3&gt;=100</f>
        <v/>
      </c>
      <c r="D623" t="inlineStr"/>
      <c r="E623" t="inlineStr"/>
      <c r="F623">
        <f>U625+Skills!O2</f>
        <v/>
      </c>
      <c r="G623">
        <f>Skills!G2*IF(Skills!H2&gt;0,Skills!I2/Skills!H2,1)</f>
        <v/>
      </c>
      <c r="H623">
        <f>1-(1-Skills!J2/100)^Skills!K2</f>
        <v/>
      </c>
      <c r="I623" t="inlineStr">
        <is>
          <t>1</t>
        </is>
      </c>
      <c r="J623">
        <f>((Inputs!$B$6*(1+Inputs!$B$7/100))+(((Inputs!$B$12*(1+Inputs!$B$13/100))-(Inputs!$B$12*(1+Inputs!$B$13/100)))+0.25*(Inputs!$B$14-Inputs!$B$14))*(1+Inputs!$B$7/100))*(F623/100)</f>
        <v/>
      </c>
      <c r="K623">
        <f>J623*(1+((Inputs!$B$12*(1+Inputs!$B$13/100))*0.01+Inputs!$B$14*0.0025)/100)*(1+Inputs!$B$15/100)*(1+Inputs!$B$16/100)*(5000/(6000+Inputs!$B$42*(1-(Inputs!$B$19+0)/100)))*(1+(Inputs!$B$24+((C646=TRUE)*(F646-Calc!F25))+B656)/100)*(1+IF(Skills!A2="ENHANCED_RAGING_BLOW",IF(Inputs!$B$3&gt;=134,MAX(0,IF(Inputs!$B$3&gt;=110,7,5)-5)*50,0),0)/100)*(1+(IF(Skills!A2="RAGING_BLOW",(Inputs!$B$17+1)+((C642=TRUE)*(F642-Calc!F21)),Inputs!$B$18+((C644=TRUE)*(F644-Calc!F23))))/100)*((1+(((C634=TRUE)*F634*IF(Inputs!$B$3&gt;=110,7,5))+((C636=TRUE)*F636*IF(AND(Inputs!$B$38&lt;&gt;"pvp",Inputs!$B$43&gt;0),(((R636-1)*(Skills!T15*(1+Inputs!$B$34/100))+MIN((Skills!T15*(1+Inputs!$B$34/100)),MAX(0,Inputs!$B$43-((R636-1)*Skills!D15))))/Inputs!$B$43),IF(Inputs!$B$38="pvp",MIN((Skills!T15*(1+Inputs!$B$34/100)),15)/15,(Skills!T15*(1+Inputs!$B$34/100))/Skills!D15)))+0)/100)*I623)</f>
        <v/>
      </c>
      <c r="L623">
        <f>K623*(MIN(Inputs!$B$22+((C643=TRUE)*(F643-Calc!F22)),Inputs!$B$23+((C645=TRUE)*(F645-Calc!F24)))/100+(Inputs!$B$23+((C645=TRUE)*(F645-Calc!F24)))/100)/2</f>
        <v/>
      </c>
      <c r="M623">
        <f>L623*(1+(Inputs!$B$10+0+B655)/100)</f>
        <v/>
      </c>
      <c r="N623">
        <f>L623*(1-MIN((Inputs!$B$9+((C647=TRUE)*(F647-Calc!F26))+B650),100)/100)+M623*(MIN((Inputs!$B$9+((C647=TRUE)*(F647-Calc!F26))+B650),100)/100)</f>
        <v/>
      </c>
      <c r="O623">
        <f>(1-Summary!$B$55)*T623+Summary!$B$55*V623</f>
        <v/>
      </c>
      <c r="P623">
        <f>IF(B660=0,0,O623/B660)</f>
        <v/>
      </c>
      <c r="Q623" t="n">
        <v>0</v>
      </c>
      <c r="R623" t="n">
        <v>0</v>
      </c>
      <c r="S623">
        <f>IFERROR(O623/N623,0)</f>
        <v/>
      </c>
      <c r="T623">
        <f>IF(C623,(Skills!G2*N623*B654)*IF(Inputs!$B$38="pvp",1,1+(Inputs!$B$20+0+Skills!P2+Summary!$B$59)/100),0)</f>
        <v/>
      </c>
      <c r="U623">
        <f>MAX(0,(Inputs!$B$3-100)*3)+Inputs!$B$28+Inputs!$B$29</f>
        <v/>
      </c>
      <c r="V623">
        <f>IF(C623,(Skills!G2*N623*B654)*IF(Inputs!$B$38="pvp",1,(1+(Inputs!$B$21+Skills!Q2+Summary!$B$59)/100)*(MIN((6+Inputs!$B$33),Inputs!$B$37))),0)</f>
        <v/>
      </c>
    </row>
    <row r="624">
      <c r="A624">
        <f>Skills!A3</f>
        <v/>
      </c>
      <c r="B624">
        <f>Skills!B3</f>
        <v/>
      </c>
      <c r="C624">
        <f>Inputs!$B$3&gt;=50</f>
        <v/>
      </c>
      <c r="D624">
        <f>IF(Skills!C3=1,60+Inputs!$B$25+Inputs!$B$29,IF(Skills!C3=2,90+Inputs!$B$26+Inputs!$B$29,IF(Skills!C3=3,120+Inputs!$B$27+Inputs!$B$29,MAX(0,(Inputs!$B$3-100)*3)+Inputs!$B$28+Inputs!$B$29)))</f>
        <v/>
      </c>
      <c r="E624">
        <f>INDEX(FactorTable!$B$2:$Y$301, MATCH(ROUND(MIN(300,MAX(1,D624)),0), FactorTable!$A$2:$A$301,0), Skills!M3+1)</f>
        <v/>
      </c>
      <c r="F624">
        <f>IF(Skills!N3=TRUE,(Skills!L3/10)*(E624/1000),Skills!L3/10)+Skills!O3</f>
        <v/>
      </c>
      <c r="G624" t="inlineStr"/>
      <c r="H624" t="inlineStr"/>
      <c r="I624" t="inlineStr">
        <is>
          <t>1</t>
        </is>
      </c>
      <c r="J624" t="inlineStr"/>
      <c r="K624" t="inlineStr"/>
      <c r="L624" t="inlineStr"/>
      <c r="M624" t="inlineStr"/>
      <c r="N624" t="inlineStr"/>
      <c r="O624" t="inlineStr"/>
      <c r="P624" t="inlineStr"/>
      <c r="Q624" t="inlineStr"/>
      <c r="R624" t="inlineStr"/>
      <c r="S624" t="inlineStr"/>
      <c r="U624">
        <f>INDEX(FactorTable!$B$2:$Y$301, MATCH(ROUND(MIN(300,MAX(1,U623)),0), FactorTable!$A$2:$A$301,0), 22)</f>
        <v/>
      </c>
    </row>
    <row r="625">
      <c r="A625">
        <f>Skills!A4</f>
        <v/>
      </c>
      <c r="B625">
        <f>Skills!B4</f>
        <v/>
      </c>
      <c r="C625">
        <f>Inputs!$B$3&gt;=105</f>
        <v/>
      </c>
      <c r="D625">
        <f>IF(Skills!C4=1,60+Inputs!$B$25+Inputs!$B$29,IF(Skills!C4=2,90+Inputs!$B$26+Inputs!$B$29,IF(Skills!C4=3,120+Inputs!$B$27+Inputs!$B$29,MAX(0,(Inputs!$B$3-100)*3)+Inputs!$B$28+Inputs!$B$29)))</f>
        <v/>
      </c>
      <c r="E625">
        <f>INDEX(FactorTable!$B$2:$Y$301, MATCH(ROUND(MIN(300,MAX(1,D625)),0), FactorTable!$A$2:$A$301,0), Skills!M4+1)</f>
        <v/>
      </c>
      <c r="F625">
        <f>IF(Skills!N4=TRUE,(Skills!L4/10)*(E625/1000),Skills!L4/10)+Skills!O4</f>
        <v/>
      </c>
      <c r="G625" t="inlineStr"/>
      <c r="H625" t="inlineStr"/>
      <c r="I625" t="inlineStr">
        <is>
          <t>1</t>
        </is>
      </c>
      <c r="J625" t="inlineStr"/>
      <c r="K625" t="inlineStr"/>
      <c r="L625" t="inlineStr"/>
      <c r="M625" t="inlineStr"/>
      <c r="N625" t="inlineStr"/>
      <c r="O625" t="inlineStr"/>
      <c r="P625" t="inlineStr"/>
      <c r="Q625" t="inlineStr"/>
      <c r="R625" t="inlineStr"/>
      <c r="S625" t="inlineStr"/>
      <c r="U625">
        <f>290*U624/1000</f>
        <v/>
      </c>
    </row>
    <row r="626">
      <c r="A626">
        <f>Skills!A5</f>
        <v/>
      </c>
      <c r="B626">
        <f>Skills!B5</f>
        <v/>
      </c>
      <c r="C626">
        <f>Inputs!$B$3&gt;=103</f>
        <v/>
      </c>
      <c r="D626">
        <f>IF(Skills!C5=1,60+Inputs!$B$25+Inputs!$B$29,IF(Skills!C5=2,90+Inputs!$B$26+Inputs!$B$29,IF(Skills!C5=3,120+Inputs!$B$27+Inputs!$B$29,MAX(0,(Inputs!$B$3-100)*3)+Inputs!$B$28+Inputs!$B$29)))</f>
        <v/>
      </c>
      <c r="E626">
        <f>INDEX(FactorTable!$B$2:$Y$301, MATCH(ROUND(MIN(300,MAX(1,D626)),0), FactorTable!$A$2:$A$301,0), Skills!M5+1)</f>
        <v/>
      </c>
      <c r="F626">
        <f>IF(Skills!N5=TRUE,(Skills!L5/10)*(E626/1000),Skills!L5/10)+Skills!O5</f>
        <v/>
      </c>
      <c r="G626">
        <f>Skills!G5*IF(Skills!H5&gt;0,Skills!I5/Skills!H5,1)</f>
        <v/>
      </c>
      <c r="H626">
        <f>1-(1-Skills!J5/100)^Skills!K5</f>
        <v/>
      </c>
      <c r="I626" t="inlineStr">
        <is>
          <t>1</t>
        </is>
      </c>
      <c r="J626">
        <f>((Inputs!$B$6*(1+Inputs!$B$7/100))+(((Inputs!$B$12*(1+Inputs!$B$13/100))-(Inputs!$B$12*(1+Inputs!$B$13/100)))+0.25*(Inputs!$B$14-Inputs!$B$14))*(1+Inputs!$B$7/100))*(F626/100)</f>
        <v/>
      </c>
      <c r="K626">
        <f>J626*(1+((Inputs!$B$12*(1+Inputs!$B$13/100))*0.01+Inputs!$B$14*0.0025)/100)*(1+Inputs!$B$15/100)*(1+Inputs!$B$16/100)*(5000/(6000+Inputs!$B$42*(1-(Inputs!$B$19+0)/100)))*(1+(Inputs!$B$24+((C646=TRUE)*(F646-Calc!F25))+B656)/100)*(1+IF(Skills!A5="ENHANCED_RAGING_BLOW",IF(Inputs!$B$3&gt;=134,MAX(0,IF(Inputs!$B$3&gt;=110,7,5)-5)*50,0),0)/100)*(1+(IF(Skills!A5="RAGING_BLOW",(Inputs!$B$17+1)+((C642=TRUE)*(F642-Calc!F21)),Inputs!$B$18+((C644=TRUE)*(F644-Calc!F23))))/100)*((1+(((C634=TRUE)*F634*IF(Inputs!$B$3&gt;=110,7,5))+((C636=TRUE)*F636*IF(AND(Inputs!$B$38&lt;&gt;"pvp",Inputs!$B$43&gt;0),(((R636-1)*(Skills!T15*(1+Inputs!$B$34/100))+MIN((Skills!T15*(1+Inputs!$B$34/100)),MAX(0,Inputs!$B$43-((R636-1)*Skills!D15))))/Inputs!$B$43),IF(Inputs!$B$38="pvp",MIN((Skills!T15*(1+Inputs!$B$34/100)),15)/15,(Skills!T15*(1+Inputs!$B$34/100))/Skills!D15)))+0)/100)*I626)</f>
        <v/>
      </c>
      <c r="L626">
        <f>K626*(MIN(Inputs!$B$22+((C643=TRUE)*(F643-Calc!F22)),Inputs!$B$23+((C645=TRUE)*(F645-Calc!F24)))/100+(Inputs!$B$23+((C645=TRUE)*(F645-Calc!F24)))/100)/2</f>
        <v/>
      </c>
      <c r="M626">
        <f>L626*(1+(Inputs!$B$10+0+B655)/100)</f>
        <v/>
      </c>
      <c r="N626">
        <f>L626*(1-MIN((Inputs!$B$9+((C647=TRUE)*(F647-Calc!F26))+B650),100)/100)+M626*(MIN((Inputs!$B$9+((C647=TRUE)*(F647-Calc!F26))+B650),100)/100)</f>
        <v/>
      </c>
      <c r="O626">
        <f>(1-Summary!$B$55)*T626+Summary!$B$55*V626</f>
        <v/>
      </c>
      <c r="P626">
        <f>IF(B660=0,0,O626/B660)</f>
        <v/>
      </c>
      <c r="Q626">
        <f>IFERROR(1/IF(Inputs!$B$38="pvp",15,MAX(0.1,Skills!D5-IF(Skills!E5=TRUE,Inputs!$B$32,0))),0)</f>
        <v/>
      </c>
      <c r="R626">
        <f>IF(AND(Inputs!$B$38&lt;&gt;"pvp",Inputs!$B$43&gt;0),IF(MAX(0,Inputs!$B$43-B657)&lt;=0,0,(INT(MAX(0,Inputs!$B$43-B657)/IF(Inputs!$B$38="pvp",15,MAX(0.1,Skills!D5-IF(Skills!E5=TRUE,Inputs!$B$32,0))))+1)),0)</f>
        <v/>
      </c>
      <c r="S626">
        <f>IFERROR(O626/N626,0)</f>
        <v/>
      </c>
      <c r="T626">
        <f>IF(C626,(H626*N626*IF(AND(Inputs!$B$38&lt;&gt;"pvp",Inputs!$B$43&gt;0),((Skills!G5*((R626-1)*IF(Skills!H5&gt;0,Skills!I5/Skills!H5,1)+IF(Skills!H5&gt;0,MIN(Skills!I5,MAX(0,MAX(0,Inputs!$B$43-B657)-((R626-1)*IF(Inputs!$B$38="pvp",15,MAX(0.1,Skills!D5-IF(Skills!E5=TRUE,Inputs!$B$32,0))))))/Skills!H5,1)))/Inputs!$B$43),G626*Q626))*IF(Inputs!$B$38="pvp",1,1+(Inputs!$B$20+0+Skills!P5+Summary!$B$59)/100),0)</f>
        <v/>
      </c>
      <c r="V626">
        <f>IF(C626,(H626*N626*IF(AND(Inputs!$B$38&lt;&gt;"pvp",Inputs!$B$43&gt;0),((Skills!G5*((R626-1)*IF(Skills!H5&gt;0,Skills!I5/Skills!H5,1)+IF(Skills!H5&gt;0,MIN(Skills!I5,MAX(0,MAX(0,Inputs!$B$43-B657)-((R626-1)*IF(Inputs!$B$38="pvp",15,MAX(0.1,Skills!D5-IF(Skills!E5=TRUE,Inputs!$B$32,0))))))/Skills!H5,1)))/Inputs!$B$43),G626*Q626))*IF(Inputs!$B$38="pvp",1,(1+(Inputs!$B$21+Skills!Q5+Summary!$B$59)/100)*(MIN(Skills!R5,Inputs!$B$37))),0)</f>
        <v/>
      </c>
    </row>
    <row r="627">
      <c r="A627">
        <f>Skills!A6</f>
        <v/>
      </c>
      <c r="B627">
        <f>Skills!B6</f>
        <v/>
      </c>
      <c r="C627">
        <f>Inputs!$B$3&gt;=103</f>
        <v/>
      </c>
      <c r="D627">
        <f>IF(Skills!C6=1,60+Inputs!$B$25+Inputs!$B$29,IF(Skills!C6=2,90+Inputs!$B$26+Inputs!$B$29,IF(Skills!C6=3,120+Inputs!$B$27+Inputs!$B$29,MAX(0,(Inputs!$B$3-100)*3)+Inputs!$B$28+Inputs!$B$29)))</f>
        <v/>
      </c>
      <c r="E627">
        <f>INDEX(FactorTable!$B$2:$Y$301, MATCH(ROUND(MIN(300,MAX(1,D627)),0), FactorTable!$A$2:$A$301,0), Skills!M6+1)</f>
        <v/>
      </c>
      <c r="F627">
        <f>IF(Skills!N6=TRUE,(Skills!L6/10)*(E627/1000),Skills!L6/10)+Skills!O6</f>
        <v/>
      </c>
      <c r="G627">
        <f>Skills!G6*IF(Skills!H6&gt;0,Skills!I6/Skills!H6,1)</f>
        <v/>
      </c>
      <c r="H627">
        <f>1-(1-Skills!J6/100)^Skills!K6</f>
        <v/>
      </c>
      <c r="I627" t="inlineStr">
        <is>
          <t>1</t>
        </is>
      </c>
      <c r="J627">
        <f>((Inputs!$B$6*(1+Inputs!$B$7/100))+(((Inputs!$B$12*(1+Inputs!$B$13/100))-(Inputs!$B$12*(1+Inputs!$B$13/100)))+0.25*(Inputs!$B$14-Inputs!$B$14))*(1+Inputs!$B$7/100))*(F627/100)</f>
        <v/>
      </c>
      <c r="K627">
        <f>J627*(1+((Inputs!$B$12*(1+Inputs!$B$13/100))*0.01+Inputs!$B$14*0.0025)/100)*(1+Inputs!$B$15/100)*(1+Inputs!$B$16/100)*(5000/(6000+Inputs!$B$42*(1-(Inputs!$B$19+0)/100)))*(1+(Inputs!$B$24+((C646=TRUE)*(F646-Calc!F25))+B656)/100)*(1+IF(Skills!A6="ENHANCED_RAGING_BLOW",IF(Inputs!$B$3&gt;=134,MAX(0,IF(Inputs!$B$3&gt;=110,7,5)-5)*50,0),0)/100)*(1+(IF(Skills!A6="RAGING_BLOW",(Inputs!$B$17+1)+((C642=TRUE)*(F642-Calc!F21)),Inputs!$B$18+((C644=TRUE)*(F644-Calc!F23))))/100)*((1+(((C634=TRUE)*F634*IF(Inputs!$B$3&gt;=110,7,5))+((C636=TRUE)*F636*IF(AND(Inputs!$B$38&lt;&gt;"pvp",Inputs!$B$43&gt;0),(((R636-1)*(Skills!T15*(1+Inputs!$B$34/100))+MIN((Skills!T15*(1+Inputs!$B$34/100)),MAX(0,Inputs!$B$43-((R636-1)*Skills!D15))))/Inputs!$B$43),IF(Inputs!$B$38="pvp",MIN((Skills!T15*(1+Inputs!$B$34/100)),15)/15,(Skills!T15*(1+Inputs!$B$34/100))/Skills!D15)))+0)/100)*I627)</f>
        <v/>
      </c>
      <c r="L627">
        <f>K627*(MIN(Inputs!$B$22+((C643=TRUE)*(F643-Calc!F22)),Inputs!$B$23+((C645=TRUE)*(F645-Calc!F24)))/100+(Inputs!$B$23+((C645=TRUE)*(F645-Calc!F24)))/100)/2</f>
        <v/>
      </c>
      <c r="M627">
        <f>L627*(1+(Inputs!$B$10+0+B655)/100)</f>
        <v/>
      </c>
      <c r="N627">
        <f>L627*(1-MIN((Inputs!$B$9+((C647=TRUE)*(F647-Calc!F26))+B650),100)/100)+M627*(MIN((Inputs!$B$9+((C647=TRUE)*(F647-Calc!F26))+B650),100)/100)</f>
        <v/>
      </c>
      <c r="O627">
        <f>(1-Summary!$B$55)*T627+Summary!$B$55*V627</f>
        <v/>
      </c>
      <c r="P627">
        <f>IF(B660=0,0,O627/B660)</f>
        <v/>
      </c>
      <c r="Q627">
        <f>IFERROR(1/IF(Inputs!$B$38="pvp",15,MAX(0.1,Skills!D6-IF(Skills!E6=TRUE,Inputs!$B$32,0))),0)</f>
        <v/>
      </c>
      <c r="R627">
        <f>IF(AND(Inputs!$B$38&lt;&gt;"pvp",Inputs!$B$43&gt;0),IF(MAX(0,Inputs!$B$43-B657)&lt;=0,0,(INT(MAX(0,Inputs!$B$43-B657)/IF(Inputs!$B$38="pvp",15,MAX(0.1,Skills!D6-IF(Skills!E6=TRUE,Inputs!$B$32,0))))+1)),0)</f>
        <v/>
      </c>
      <c r="S627">
        <f>IFERROR(O627/N627,0)</f>
        <v/>
      </c>
      <c r="T627">
        <f>IF(C627,(H627*N627*IF(AND(Inputs!$B$38&lt;&gt;"pvp",Inputs!$B$43&gt;0),((Skills!G6*((R627-1)*IF(Skills!H6&gt;0,Skills!I6/Skills!H6,1)+IF(Skills!H6&gt;0,MIN(Skills!I6,MAX(0,MAX(0,Inputs!$B$43-B657)-((R627-1)*IF(Inputs!$B$38="pvp",15,MAX(0.1,Skills!D6-IF(Skills!E6=TRUE,Inputs!$B$32,0))))))/Skills!H6,1)))/Inputs!$B$43),G627*Q627))*IF(Inputs!$B$38="pvp",1,1+(Inputs!$B$20+0+Skills!P6+Summary!$B$59)/100),0)</f>
        <v/>
      </c>
      <c r="V627">
        <f>IF(C627,(H627*N627*IF(AND(Inputs!$B$38&lt;&gt;"pvp",Inputs!$B$43&gt;0),((Skills!G6*((R627-1)*IF(Skills!H6&gt;0,Skills!I6/Skills!H6,1)+IF(Skills!H6&gt;0,MIN(Skills!I6,MAX(0,MAX(0,Inputs!$B$43-B657)-((R627-1)*IF(Inputs!$B$38="pvp",15,MAX(0.1,Skills!D6-IF(Skills!E6=TRUE,Inputs!$B$32,0))))))/Skills!H6,1)))/Inputs!$B$43),G627*Q627))*IF(Inputs!$B$38="pvp",1,(1+(Inputs!$B$21+Skills!Q6+Summary!$B$59)/100)*(MIN(Skills!R6,Inputs!$B$37))),0)</f>
        <v/>
      </c>
    </row>
    <row r="628">
      <c r="A628">
        <f>Skills!A7</f>
        <v/>
      </c>
      <c r="B628">
        <f>Skills!B7</f>
        <v/>
      </c>
      <c r="C628">
        <f>Inputs!$B$3&gt;=107</f>
        <v/>
      </c>
      <c r="D628">
        <f>IF(Skills!C7=1,60+Inputs!$B$25+Inputs!$B$29,IF(Skills!C7=2,90+Inputs!$B$26+Inputs!$B$29,IF(Skills!C7=3,120+Inputs!$B$27+Inputs!$B$29,MAX(0,(Inputs!$B$3-100)*3)+Inputs!$B$28+Inputs!$B$29)))</f>
        <v/>
      </c>
      <c r="E628">
        <f>INDEX(FactorTable!$B$2:$Y$301, MATCH(ROUND(MIN(300,MAX(1,D628)),0), FactorTable!$A$2:$A$301,0), Skills!M7+1)</f>
        <v/>
      </c>
      <c r="F628">
        <f>IF(Skills!N7=TRUE,(Skills!L7/10)*(E628/1000),Skills!L7/10)+Skills!O7</f>
        <v/>
      </c>
      <c r="G628">
        <f>Skills!G7*IF(Skills!H7&gt;0,Skills!I7/Skills!H7,1)</f>
        <v/>
      </c>
      <c r="H628">
        <f>1-(1-Skills!J7/100)^Skills!K7</f>
        <v/>
      </c>
      <c r="I628" t="inlineStr">
        <is>
          <t>1</t>
        </is>
      </c>
      <c r="J628">
        <f>((Inputs!$B$6*(1+Inputs!$B$7/100))+(((Inputs!$B$12*(1+Inputs!$B$13/100))-(Inputs!$B$12*(1+Inputs!$B$13/100)))+0.25*(Inputs!$B$14-Inputs!$B$14))*(1+Inputs!$B$7/100))*(F628/100)</f>
        <v/>
      </c>
      <c r="K628">
        <f>J628*(1+((Inputs!$B$12*(1+Inputs!$B$13/100))*0.01+Inputs!$B$14*0.0025)/100)*(1+Inputs!$B$15/100)*(1+Inputs!$B$16/100)*(5000/(6000+Inputs!$B$42*(1-(Inputs!$B$19+0)/100)))*(1+(Inputs!$B$24+((C646=TRUE)*(F646-Calc!F25))+B656)/100)*(1+IF(Skills!A7="ENHANCED_RAGING_BLOW",IF(Inputs!$B$3&gt;=134,MAX(0,IF(Inputs!$B$3&gt;=110,7,5)-5)*50,0),0)/100)*(1+(IF(Skills!A7="RAGING_BLOW",(Inputs!$B$17+1)+((C642=TRUE)*(F642-Calc!F21)),Inputs!$B$18+((C644=TRUE)*(F644-Calc!F23))))/100)*((1+(((C634=TRUE)*F634*IF(Inputs!$B$3&gt;=110,7,5))+((C636=TRUE)*F636*IF(AND(Inputs!$B$38&lt;&gt;"pvp",Inputs!$B$43&gt;0),(((R636-1)*(Skills!T15*(1+Inputs!$B$34/100))+MIN((Skills!T15*(1+Inputs!$B$34/100)),MAX(0,Inputs!$B$43-((R636-1)*Skills!D15))))/Inputs!$B$43),IF(Inputs!$B$38="pvp",MIN((Skills!T15*(1+Inputs!$B$34/100)),15)/15,(Skills!T15*(1+Inputs!$B$34/100))/Skills!D15)))+0)/100)*I628)</f>
        <v/>
      </c>
      <c r="L628">
        <f>K628*(MIN(Inputs!$B$22+((C643=TRUE)*(F643-Calc!F22)),Inputs!$B$23+((C645=TRUE)*(F645-Calc!F24)))/100+(Inputs!$B$23+((C645=TRUE)*(F645-Calc!F24)))/100)/2</f>
        <v/>
      </c>
      <c r="M628">
        <f>L628*(1+(Inputs!$B$10+0+B655)/100)</f>
        <v/>
      </c>
      <c r="N628">
        <f>L628*(1-MIN((Inputs!$B$9+((C647=TRUE)*(F647-Calc!F26))+B650),100)/100)+M628*(MIN((Inputs!$B$9+((C647=TRUE)*(F647-Calc!F26))+B650),100)/100)</f>
        <v/>
      </c>
      <c r="O628">
        <f>(1-Summary!$B$55)*T628+Summary!$B$55*V628</f>
        <v/>
      </c>
      <c r="P628">
        <f>IF(B660=0,0,O628/B660)</f>
        <v/>
      </c>
      <c r="Q628">
        <f>IFERROR(1/IF(Inputs!$B$38="pvp",15,MAX(0.1,Skills!D7-IF(Skills!E7=TRUE,Inputs!$B$32,0))),0)</f>
        <v/>
      </c>
      <c r="R628">
        <f>IF(AND(Inputs!$B$38&lt;&gt;"pvp",Inputs!$B$43&gt;0),IF(MAX(0,Inputs!$B$43-B657)&lt;=0,0,(INT(MAX(0,Inputs!$B$43-B657)/IF(Inputs!$B$38="pvp",15,MAX(0.1,Skills!D7-IF(Skills!E7=TRUE,Inputs!$B$32,0))))+1)),0)</f>
        <v/>
      </c>
      <c r="S628">
        <f>IFERROR(O628/N628,0)</f>
        <v/>
      </c>
      <c r="T628">
        <f>IF(C628,(H628*N628*IF(AND(Inputs!$B$38&lt;&gt;"pvp",Inputs!$B$43&gt;0),((Skills!G7*((R628-1)*IF(Skills!H7&gt;0,Skills!I7/Skills!H7,1)+IF(Skills!H7&gt;0,MIN(Skills!I7,MAX(0,MAX(0,Inputs!$B$43-B657)-((R628-1)*IF(Inputs!$B$38="pvp",15,MAX(0.1,Skills!D7-IF(Skills!E7=TRUE,Inputs!$B$32,0))))))/Skills!H7,1)))/Inputs!$B$43),G628*Q628))*IF(Inputs!$B$38="pvp",1,1+(Inputs!$B$20+0+Skills!P7+Summary!$B$59)/100),0)</f>
        <v/>
      </c>
      <c r="V628">
        <f>IF(C628,(H628*N628*IF(AND(Inputs!$B$38&lt;&gt;"pvp",Inputs!$B$43&gt;0),((Skills!G7*((R628-1)*IF(Skills!H7&gt;0,Skills!I7/Skills!H7,1)+IF(Skills!H7&gt;0,MIN(Skills!I7,MAX(0,MAX(0,Inputs!$B$43-B657)-((R628-1)*IF(Inputs!$B$38="pvp",15,MAX(0.1,Skills!D7-IF(Skills!E7=TRUE,Inputs!$B$32,0))))))/Skills!H7,1)))/Inputs!$B$43),G628*Q628))*IF(Inputs!$B$38="pvp",1,(1+(Inputs!$B$21+Skills!Q7+Summary!$B$59)/100)*(MIN(Skills!R7,Inputs!$B$37))),0)</f>
        <v/>
      </c>
    </row>
    <row r="629">
      <c r="A629">
        <f>Skills!A8</f>
        <v/>
      </c>
      <c r="B629">
        <f>Skills!B8</f>
        <v/>
      </c>
      <c r="C629">
        <f>Inputs!$B$3&gt;=117</f>
        <v/>
      </c>
      <c r="D629">
        <f>IF(Skills!C8=1,60+Inputs!$B$25+Inputs!$B$29,IF(Skills!C8=2,90+Inputs!$B$26+Inputs!$B$29,IF(Skills!C8=3,120+Inputs!$B$27+Inputs!$B$29,MAX(0,(Inputs!$B$3-100)*3)+Inputs!$B$28+Inputs!$B$29)))</f>
        <v/>
      </c>
      <c r="E629">
        <f>INDEX(FactorTable!$B$2:$Y$301, MATCH(ROUND(MIN(300,MAX(1,D629)),0), FactorTable!$A$2:$A$301,0), Skills!M8+1)</f>
        <v/>
      </c>
      <c r="F629">
        <f>IF(Skills!N8=TRUE,(Skills!L8/10)*(E629/1000),Skills!L8/10)+Skills!O8</f>
        <v/>
      </c>
      <c r="G629">
        <f>Skills!G8*IF(Skills!H8&gt;0,Skills!I8/Skills!H8,1)</f>
        <v/>
      </c>
      <c r="H629">
        <f>1-(1-Skills!J8/100)^Skills!K8</f>
        <v/>
      </c>
      <c r="I629" t="inlineStr">
        <is>
          <t>1</t>
        </is>
      </c>
      <c r="J629">
        <f>((Inputs!$B$6*(1+Inputs!$B$7/100))+(((Inputs!$B$12*(1+Inputs!$B$13/100))-(Inputs!$B$12*(1+Inputs!$B$13/100)))+0.25*(Inputs!$B$14-Inputs!$B$14))*(1+Inputs!$B$7/100))*(F629/100)</f>
        <v/>
      </c>
      <c r="K629">
        <f>J629*(1+((Inputs!$B$12*(1+Inputs!$B$13/100))*0.01+Inputs!$B$14*0.0025)/100)*(1+Inputs!$B$15/100)*(1+Inputs!$B$16/100)*(5000/(6000+Inputs!$B$42*(1-(Inputs!$B$19+0)/100)))*(1+(Inputs!$B$24+((C646=TRUE)*(F646-Calc!F25))+B656)/100)*(1+IF(Skills!A8="ENHANCED_RAGING_BLOW",IF(Inputs!$B$3&gt;=134,MAX(0,IF(Inputs!$B$3&gt;=110,7,5)-5)*50,0),0)/100)*(1+(IF(Skills!A8="RAGING_BLOW",(Inputs!$B$17+1)+((C642=TRUE)*(F642-Calc!F21)),Inputs!$B$18+((C644=TRUE)*(F644-Calc!F23))))/100)*((1+(((C634=TRUE)*F634*IF(Inputs!$B$3&gt;=110,7,5))+((C636=TRUE)*F636*IF(AND(Inputs!$B$38&lt;&gt;"pvp",Inputs!$B$43&gt;0),(((R636-1)*(Skills!T15*(1+Inputs!$B$34/100))+MIN((Skills!T15*(1+Inputs!$B$34/100)),MAX(0,Inputs!$B$43-((R636-1)*Skills!D15))))/Inputs!$B$43),IF(Inputs!$B$38="pvp",MIN((Skills!T15*(1+Inputs!$B$34/100)),15)/15,(Skills!T15*(1+Inputs!$B$34/100))/Skills!D15)))+0)/100)*I629)</f>
        <v/>
      </c>
      <c r="L629">
        <f>K629*(MIN(Inputs!$B$22+((C643=TRUE)*(F643-Calc!F22)),Inputs!$B$23+((C645=TRUE)*(F645-Calc!F24)))/100+(Inputs!$B$23+((C645=TRUE)*(F645-Calc!F24)))/100)/2</f>
        <v/>
      </c>
      <c r="M629">
        <f>L629*(1+(Inputs!$B$10+0+B655)/100)</f>
        <v/>
      </c>
      <c r="N629">
        <f>L629*(1-MIN((Inputs!$B$9+((C647=TRUE)*(F647-Calc!F26))+B650),100)/100)+M629*(MIN((Inputs!$B$9+((C647=TRUE)*(F647-Calc!F26))+B650),100)/100)</f>
        <v/>
      </c>
      <c r="O629">
        <f>(1-Summary!$B$55)*T629+Summary!$B$55*V629</f>
        <v/>
      </c>
      <c r="P629">
        <f>IF(B660=0,0,O629/B660)</f>
        <v/>
      </c>
      <c r="Q629">
        <f>IFERROR(1/IF(Inputs!$B$38="pvp",15,MAX(0.1,Skills!D8-IF(Skills!E8=TRUE,Inputs!$B$32,0))),0)</f>
        <v/>
      </c>
      <c r="R629">
        <f>IF(AND(Inputs!$B$38&lt;&gt;"pvp",Inputs!$B$43&gt;0),IF(MAX(0,Inputs!$B$43-B657)&lt;=0,0,(INT(MAX(0,Inputs!$B$43-B657)/IF(Inputs!$B$38="pvp",15,MAX(0.1,Skills!D8-IF(Skills!E8=TRUE,Inputs!$B$32,0))))+1)),0)</f>
        <v/>
      </c>
      <c r="S629">
        <f>IFERROR(O629/N629,0)</f>
        <v/>
      </c>
      <c r="T629">
        <f>IF(C629,(H629*N629*IF(AND(Inputs!$B$38&lt;&gt;"pvp",Inputs!$B$43&gt;0),((Skills!G8*((R629-1)*IF(Skills!H8&gt;0,Skills!I8/Skills!H8,1)+IF(Skills!H8&gt;0,MIN(Skills!I8,MAX(0,MAX(0,Inputs!$B$43-B657)-((R629-1)*IF(Inputs!$B$38="pvp",15,MAX(0.1,Skills!D8-IF(Skills!E8=TRUE,Inputs!$B$32,0))))))/Skills!H8,1)))/Inputs!$B$43),G629*Q629))*IF(Inputs!$B$38="pvp",1,1+(Inputs!$B$20+0+Skills!P8+Summary!$B$59)/100),0)</f>
        <v/>
      </c>
      <c r="V629">
        <f>IF(C629,(H629*N629*IF(AND(Inputs!$B$38&lt;&gt;"pvp",Inputs!$B$43&gt;0),((Skills!G8*((R629-1)*IF(Skills!H8&gt;0,Skills!I8/Skills!H8,1)+IF(Skills!H8&gt;0,MIN(Skills!I8,MAX(0,MAX(0,Inputs!$B$43-B657)-((R629-1)*IF(Inputs!$B$38="pvp",15,MAX(0.1,Skills!D8-IF(Skills!E8=TRUE,Inputs!$B$32,0))))))/Skills!H8,1)))/Inputs!$B$43),G629*Q629))*IF(Inputs!$B$38="pvp",1,(1+(Inputs!$B$21+Skills!Q8+Summary!$B$59)/100)*(MIN(Skills!R8,Inputs!$B$37))),0)</f>
        <v/>
      </c>
    </row>
    <row r="630">
      <c r="A630">
        <f>Skills!A9</f>
        <v/>
      </c>
      <c r="B630">
        <f>Skills!B9</f>
        <v/>
      </c>
      <c r="C630">
        <f>Inputs!$B$3&gt;=69</f>
        <v/>
      </c>
      <c r="D630">
        <f>IF(Skills!C9=1,60+Inputs!$B$25+Inputs!$B$29,IF(Skills!C9=2,90+Inputs!$B$26+Inputs!$B$29,IF(Skills!C9=3,120+Inputs!$B$27+Inputs!$B$29,MAX(0,(Inputs!$B$3-100)*3)+Inputs!$B$28+Inputs!$B$29)))</f>
        <v/>
      </c>
      <c r="E630">
        <f>INDEX(FactorTable!$B$2:$Y$301, MATCH(ROUND(MIN(300,MAX(1,D630)),0), FactorTable!$A$2:$A$301,0), Skills!M9+1)</f>
        <v/>
      </c>
      <c r="F630">
        <f>IF(Skills!N9=TRUE,(Skills!L9/10)*(E630/1000),Skills!L9/10)+Skills!O9</f>
        <v/>
      </c>
      <c r="G630">
        <f>Skills!G9*IF(Skills!H9&gt;0,Skills!I9/Skills!H9,1)</f>
        <v/>
      </c>
      <c r="H630">
        <f>1-(1-Skills!J9/100)^Skills!K9</f>
        <v/>
      </c>
      <c r="I630" t="inlineStr">
        <is>
          <t>1</t>
        </is>
      </c>
      <c r="J630">
        <f>((Inputs!$B$6*(1+Inputs!$B$7/100))+(((Inputs!$B$12*(1+Inputs!$B$13/100))-(Inputs!$B$12*(1+Inputs!$B$13/100)))+0.25*(Inputs!$B$14-Inputs!$B$14))*(1+Inputs!$B$7/100))*(F630/100)</f>
        <v/>
      </c>
      <c r="K630">
        <f>J630*(1+((Inputs!$B$12*(1+Inputs!$B$13/100))*0.01+Inputs!$B$14*0.0025)/100)*(1+Inputs!$B$15/100)*(1+Inputs!$B$16/100)*(5000/(6000+Inputs!$B$42*(1-(Inputs!$B$19+0)/100)))*(1+(Inputs!$B$24+((C646=TRUE)*(F646-Calc!F25))+B656)/100)*(1+1.0*IF(C633=TRUE,F633,0)/100)*(1+IF(Skills!A9="ENHANCED_RAGING_BLOW",IF(Inputs!$B$3&gt;=134,MAX(0,IF(Inputs!$B$3&gt;=110,7,5)-5)*50,0),0)/100)*(1+(IF(Skills!A9="RAGING_BLOW",(Inputs!$B$17+1)+((C642=TRUE)*(F642-Calc!F21)),Inputs!$B$18+((C644=TRUE)*(F644-Calc!F23))))/100)*((1+(((C634=TRUE)*F634*IF(Inputs!$B$3&gt;=110,7,5))+((C636=TRUE)*F636*IF(AND(Inputs!$B$38&lt;&gt;"pvp",Inputs!$B$43&gt;0),(((R636-1)*(Skills!T15*(1+Inputs!$B$34/100))+MIN((Skills!T15*(1+Inputs!$B$34/100)),MAX(0,Inputs!$B$43-((R636-1)*Skills!D15))))/Inputs!$B$43),IF(Inputs!$B$38="pvp",MIN((Skills!T15*(1+Inputs!$B$34/100)),15)/15,(Skills!T15*(1+Inputs!$B$34/100))/Skills!D15)))+0)/100)*I630)</f>
        <v/>
      </c>
      <c r="L630">
        <f>K630*(MIN(Inputs!$B$22+((C643=TRUE)*(F643-Calc!F22)),Inputs!$B$23+((C645=TRUE)*(F645-Calc!F24)))/100+(Inputs!$B$23+((C645=TRUE)*(F645-Calc!F24)))/100)/2</f>
        <v/>
      </c>
      <c r="M630">
        <f>L630*(1+(Inputs!$B$10+0+B655)/100)</f>
        <v/>
      </c>
      <c r="N630">
        <f>L630*(1-MIN((Inputs!$B$9+((C647=TRUE)*(F647-Calc!F26))+B650),100)/100)+M630*(MIN((Inputs!$B$9+((C647=TRUE)*(F647-Calc!F26))+B650),100)/100)</f>
        <v/>
      </c>
      <c r="O630">
        <f>(1-Summary!$B$55)*T630+Summary!$B$55*V630</f>
        <v/>
      </c>
      <c r="P630">
        <f>IF(B660=0,0,O630/B660)</f>
        <v/>
      </c>
      <c r="Q630">
        <f>IFERROR(1/IF(Inputs!$B$38="pvp",15,MAX(0.1,Skills!D9-IF(Skills!E9=TRUE,Inputs!$B$32,0))),0)</f>
        <v/>
      </c>
      <c r="R630">
        <f>IF(AND(Inputs!$B$38&lt;&gt;"pvp",Inputs!$B$43&gt;0),IF(MAX(0,Inputs!$B$43-B657)&lt;=0,0,(INT(MAX(0,Inputs!$B$43-B657)/IF(Inputs!$B$38="pvp",15,MAX(0.1,Skills!D9-IF(Skills!E9=TRUE,Inputs!$B$32,0))))+1)),0)</f>
        <v/>
      </c>
      <c r="S630">
        <f>IFERROR(O630/N630,0)</f>
        <v/>
      </c>
      <c r="T630">
        <f>IF(C630,(H630*N630*IF(AND(Inputs!$B$38&lt;&gt;"pvp",Inputs!$B$43&gt;0),((Skills!G9*((R630-1)*IF(Skills!H9&gt;0,Skills!I9/Skills!H9,1)+IF(Skills!H9&gt;0,MIN(Skills!I9,MAX(0,MAX(0,Inputs!$B$43-B657)-((R630-1)*IF(Inputs!$B$38="pvp",15,MAX(0.1,Skills!D9-IF(Skills!E9=TRUE,Inputs!$B$32,0))))))/Skills!H9,1)))/Inputs!$B$43),G630*Q630))*IF(Inputs!$B$38="pvp",1,1+(Inputs!$B$20+0+Skills!P9+Summary!$B$59)/100),0)</f>
        <v/>
      </c>
      <c r="V630">
        <f>IF(C630,(H630*N630*IF(AND(Inputs!$B$38&lt;&gt;"pvp",Inputs!$B$43&gt;0),((Skills!G9*((R630-1)*IF(Skills!H9&gt;0,Skills!I9/Skills!H9,1)+IF(Skills!H9&gt;0,MIN(Skills!I9,MAX(0,MAX(0,Inputs!$B$43-B657)-((R630-1)*IF(Inputs!$B$38="pvp",15,MAX(0.1,Skills!D9-IF(Skills!E9=TRUE,Inputs!$B$32,0))))))/Skills!H9,1)))/Inputs!$B$43),G630*Q630))*IF(Inputs!$B$38="pvp",1,(1+(Inputs!$B$21+Skills!Q9+Summary!$B$59)/100)*(MIN(Skills!R9,Inputs!$B$37))),0)</f>
        <v/>
      </c>
    </row>
    <row r="631">
      <c r="A631">
        <f>Skills!A10</f>
        <v/>
      </c>
      <c r="B631">
        <f>Skills!B10</f>
        <v/>
      </c>
      <c r="C631">
        <f>Inputs!$B$3&gt;=63</f>
        <v/>
      </c>
      <c r="D631">
        <f>IF(Skills!C10=1,60+Inputs!$B$25+Inputs!$B$29,IF(Skills!C10=2,90+Inputs!$B$26+Inputs!$B$29,IF(Skills!C10=3,120+Inputs!$B$27+Inputs!$B$29,MAX(0,(Inputs!$B$3-100)*3)+Inputs!$B$28+Inputs!$B$29)))</f>
        <v/>
      </c>
      <c r="E631">
        <f>INDEX(FactorTable!$B$2:$Y$301, MATCH(ROUND(MIN(300,MAX(1,D631)),0), FactorTable!$A$2:$A$301,0), Skills!M10+1)</f>
        <v/>
      </c>
      <c r="F631">
        <f>IF(Skills!N10=TRUE,(Skills!L10/10)*(E631/1000),Skills!L10/10)+Skills!O10</f>
        <v/>
      </c>
      <c r="G631">
        <f>Skills!G10*IF(Skills!H10&gt;0,Skills!I10/Skills!H10,1)</f>
        <v/>
      </c>
      <c r="H631">
        <f>1-(1-Skills!J10/100)^Skills!K10</f>
        <v/>
      </c>
      <c r="I631" t="inlineStr">
        <is>
          <t>1</t>
        </is>
      </c>
      <c r="J631">
        <f>((Inputs!$B$6*(1+Inputs!$B$7/100))+(((Inputs!$B$12*(1+Inputs!$B$13/100))-(Inputs!$B$12*(1+Inputs!$B$13/100)))+0.25*(Inputs!$B$14-Inputs!$B$14))*(1+Inputs!$B$7/100))*(F631/100)</f>
        <v/>
      </c>
      <c r="K631">
        <f>J631*(1+((Inputs!$B$12*(1+Inputs!$B$13/100))*0.01+Inputs!$B$14*0.0025)/100)*(1+Inputs!$B$15/100)*(1+Inputs!$B$16/100)*(5000/(6000+Inputs!$B$42*(1-(Inputs!$B$19+0)/100)))*(1+(Inputs!$B$24+((C646=TRUE)*(F646-Calc!F25))+B656)/100)*(1+1.5*IF(C633=TRUE,F633,0)/100)*(1+IF(Skills!A10="ENHANCED_RAGING_BLOW",IF(Inputs!$B$3&gt;=134,MAX(0,IF(Inputs!$B$3&gt;=110,7,5)-5)*50,0),0)/100)*(1+(IF(Skills!A10="RAGING_BLOW",(Inputs!$B$17+1)+((C642=TRUE)*(F642-Calc!F21)),Inputs!$B$18+((C644=TRUE)*(F644-Calc!F23))))/100)*((1+(((C634=TRUE)*F634*IF(Inputs!$B$3&gt;=110,7,5))+((C636=TRUE)*F636*IF(AND(Inputs!$B$38&lt;&gt;"pvp",Inputs!$B$43&gt;0),(((R636-1)*(Skills!T15*(1+Inputs!$B$34/100))+MIN((Skills!T15*(1+Inputs!$B$34/100)),MAX(0,Inputs!$B$43-((R636-1)*Skills!D15))))/Inputs!$B$43),IF(Inputs!$B$38="pvp",MIN((Skills!T15*(1+Inputs!$B$34/100)),15)/15,(Skills!T15*(1+Inputs!$B$34/100))/Skills!D15)))+0)/100)*I631)</f>
        <v/>
      </c>
      <c r="L631">
        <f>K631*(MIN(Inputs!$B$22+((C643=TRUE)*(F643-Calc!F22)),Inputs!$B$23+((C645=TRUE)*(F645-Calc!F24)))/100+(Inputs!$B$23+((C645=TRUE)*(F645-Calc!F24)))/100)/2</f>
        <v/>
      </c>
      <c r="M631">
        <f>L631*(1+(Inputs!$B$10+0+B655)/100)</f>
        <v/>
      </c>
      <c r="N631">
        <f>L631*(1-MIN((Inputs!$B$9+((C647=TRUE)*(F647-Calc!F26))+B650),100)/100)+M631*(MIN((Inputs!$B$9+((C647=TRUE)*(F647-Calc!F26))+B650),100)/100)</f>
        <v/>
      </c>
      <c r="O631">
        <f>(1-Summary!$B$55)*T631+Summary!$B$55*V631</f>
        <v/>
      </c>
      <c r="P631">
        <f>IF(B660=0,0,O631/B660)</f>
        <v/>
      </c>
      <c r="Q631">
        <f>IFERROR(1/IF(Inputs!$B$38="pvp",15,MAX(0.1,Skills!D10-IF(Skills!E10=TRUE,Inputs!$B$32,0))),0)</f>
        <v/>
      </c>
      <c r="R631">
        <f>IF(AND(Inputs!$B$38&lt;&gt;"pvp",Inputs!$B$43&gt;0),IF(MAX(0,Inputs!$B$43-B657)&lt;=0,0,(INT(MAX(0,Inputs!$B$43-B657)/IF(Inputs!$B$38="pvp",15,MAX(0.1,Skills!D10-IF(Skills!E10=TRUE,Inputs!$B$32,0))))+1)),0)</f>
        <v/>
      </c>
      <c r="S631">
        <f>IFERROR(O631/N631,0)</f>
        <v/>
      </c>
      <c r="T631">
        <f>IF(C631,(H631*N631*IF(AND(Inputs!$B$38&lt;&gt;"pvp",Inputs!$B$43&gt;0),((Skills!G10*((R631-1)*IF(Skills!H10&gt;0,Skills!I10/Skills!H10,1)+IF(Skills!H10&gt;0,MIN(Skills!I10,MAX(0,MAX(0,Inputs!$B$43-B657)-((R631-1)*IF(Inputs!$B$38="pvp",15,MAX(0.1,Skills!D10-IF(Skills!E10=TRUE,Inputs!$B$32,0))))))/Skills!H10,1)))/Inputs!$B$43),G631*Q631))*IF(Inputs!$B$38="pvp",1,1+(Inputs!$B$20+0+Skills!P10+Summary!$B$59)/100),0)</f>
        <v/>
      </c>
      <c r="V631">
        <f>IF(C631,(H631*N631*IF(AND(Inputs!$B$38&lt;&gt;"pvp",Inputs!$B$43&gt;0),((Skills!G10*((R631-1)*IF(Skills!H10&gt;0,Skills!I10/Skills!H10,1)+IF(Skills!H10&gt;0,MIN(Skills!I10,MAX(0,MAX(0,Inputs!$B$43-B657)-((R631-1)*IF(Inputs!$B$38="pvp",15,MAX(0.1,Skills!D10-IF(Skills!E10=TRUE,Inputs!$B$32,0))))))/Skills!H10,1)))/Inputs!$B$43),G631*Q631))*IF(Inputs!$B$38="pvp",1,(1+(Inputs!$B$21+Skills!Q10+Summary!$B$59)/100)*(MIN(Skills!R10,Inputs!$B$37))),0)</f>
        <v/>
      </c>
    </row>
    <row r="632">
      <c r="A632">
        <f>Skills!A11</f>
        <v/>
      </c>
      <c r="B632">
        <f>Skills!B11</f>
        <v/>
      </c>
      <c r="C632">
        <f>Inputs!$B$3&gt;=35</f>
        <v/>
      </c>
      <c r="D632">
        <f>IF(Skills!C11=1,60+Inputs!$B$25+Inputs!$B$29,IF(Skills!C11=2,90+Inputs!$B$26+Inputs!$B$29,IF(Skills!C11=3,120+Inputs!$B$27+Inputs!$B$29,MAX(0,(Inputs!$B$3-100)*3)+Inputs!$B$28+Inputs!$B$29)))</f>
        <v/>
      </c>
      <c r="E632">
        <f>INDEX(FactorTable!$B$2:$Y$301, MATCH(ROUND(MIN(300,MAX(1,D632)),0), FactorTable!$A$2:$A$301,0), Skills!M11+1)</f>
        <v/>
      </c>
      <c r="F632">
        <f>IF(Skills!N11=TRUE,(Skills!L11/10)*(E632/1000),Skills!L11/10)+Skills!O11</f>
        <v/>
      </c>
      <c r="G632">
        <f>Skills!G11*IF(Skills!H11&gt;0,Skills!I11/Skills!H11,1)</f>
        <v/>
      </c>
      <c r="H632">
        <f>1-(1-Skills!J11/100)^Skills!K11</f>
        <v/>
      </c>
      <c r="I632" t="inlineStr">
        <is>
          <t>1</t>
        </is>
      </c>
      <c r="J632">
        <f>((Inputs!$B$6*(1+Inputs!$B$7/100))+(((Inputs!$B$12*(1+Inputs!$B$13/100))-(Inputs!$B$12*(1+Inputs!$B$13/100)))+0.25*(Inputs!$B$14-Inputs!$B$14))*(1+Inputs!$B$7/100))*(F632/100)</f>
        <v/>
      </c>
      <c r="K632">
        <f>J632*(1+((Inputs!$B$12*(1+Inputs!$B$13/100))*0.01+Inputs!$B$14*0.0025)/100)*(1+Inputs!$B$15/100)*(1+Inputs!$B$16/100)*(5000/(6000+Inputs!$B$42*(1-(Inputs!$B$19+0)/100)))*(1+(Inputs!$B$24+((C646=TRUE)*(F646-Calc!F25))+B656)/100)*(1+4.0*IF(C633=TRUE,F633,0)/100)*(1+IF(Skills!A11="ENHANCED_RAGING_BLOW",IF(Inputs!$B$3&gt;=134,MAX(0,IF(Inputs!$B$3&gt;=110,7,5)-5)*50,0),0)/100)*(1+(IF(Skills!A11="RAGING_BLOW",(Inputs!$B$17+1)+((C642=TRUE)*(F642-Calc!F21)),Inputs!$B$18+((C644=TRUE)*(F644-Calc!F23))))/100)*((1+(((C634=TRUE)*F634*IF(Inputs!$B$3&gt;=110,7,5))+((C636=TRUE)*F636*IF(AND(Inputs!$B$38&lt;&gt;"pvp",Inputs!$B$43&gt;0),(((R636-1)*(Skills!T15*(1+Inputs!$B$34/100))+MIN((Skills!T15*(1+Inputs!$B$34/100)),MAX(0,Inputs!$B$43-((R636-1)*Skills!D15))))/Inputs!$B$43),IF(Inputs!$B$38="pvp",MIN((Skills!T15*(1+Inputs!$B$34/100)),15)/15,(Skills!T15*(1+Inputs!$B$34/100))/Skills!D15)))+0)/100)*I632)</f>
        <v/>
      </c>
      <c r="L632">
        <f>K632*(MIN(Inputs!$B$22+((C643=TRUE)*(F643-Calc!F22)),Inputs!$B$23+((C645=TRUE)*(F645-Calc!F24)))/100+(Inputs!$B$23+((C645=TRUE)*(F645-Calc!F24)))/100)/2</f>
        <v/>
      </c>
      <c r="M632">
        <f>L632*(1+(Inputs!$B$10+0+B655)/100)</f>
        <v/>
      </c>
      <c r="N632">
        <f>L632*(1-MIN((Inputs!$B$9+((C647=TRUE)*(F647-Calc!F26))+B650),100)/100)+M632*(MIN((Inputs!$B$9+((C647=TRUE)*(F647-Calc!F26))+B650),100)/100)</f>
        <v/>
      </c>
      <c r="O632">
        <f>(1-Summary!$B$55)*T632+Summary!$B$55*V632</f>
        <v/>
      </c>
      <c r="P632">
        <f>IF(B660=0,0,O632/B660)</f>
        <v/>
      </c>
      <c r="Q632">
        <f>IFERROR(1/IF(Inputs!$B$38="pvp",15,MAX(0.1,Skills!D11-IF(Skills!E11=TRUE,Inputs!$B$32,0))),0)</f>
        <v/>
      </c>
      <c r="R632">
        <f>IF(AND(Inputs!$B$38&lt;&gt;"pvp",Inputs!$B$43&gt;0),IF(MAX(0,Inputs!$B$43-B657)&lt;=0,0,(INT(MAX(0,Inputs!$B$43-B657)/IF(Inputs!$B$38="pvp",15,MAX(0.1,Skills!D11-IF(Skills!E11=TRUE,Inputs!$B$32,0))))+1)),0)</f>
        <v/>
      </c>
      <c r="S632">
        <f>IFERROR(O632/N632,0)</f>
        <v/>
      </c>
      <c r="T632">
        <f>IF(C632,(H632*N632*IF(AND(Inputs!$B$38&lt;&gt;"pvp",Inputs!$B$43&gt;0),((Skills!G11*((R632-1)*IF(Skills!H11&gt;0,Skills!I11/Skills!H11,1)+IF(Skills!H11&gt;0,MIN(Skills!I11,MAX(0,MAX(0,Inputs!$B$43-B657)-((R632-1)*IF(Inputs!$B$38="pvp",15,MAX(0.1,Skills!D11-IF(Skills!E11=TRUE,Inputs!$B$32,0))))))/Skills!H11,1)))/Inputs!$B$43),G632*Q632))*IF(Inputs!$B$38="pvp",1,1+(Inputs!$B$20+0+Skills!P11+Summary!$B$59)/100),0)</f>
        <v/>
      </c>
      <c r="V632">
        <f>IF(C632,(H632*N632*IF(AND(Inputs!$B$38&lt;&gt;"pvp",Inputs!$B$43&gt;0),((Skills!G11*((R632-1)*IF(Skills!H11&gt;0,Skills!I11/Skills!H11,1)+IF(Skills!H11&gt;0,MIN(Skills!I11,MAX(0,MAX(0,Inputs!$B$43-B657)-((R632-1)*IF(Inputs!$B$38="pvp",15,MAX(0.1,Skills!D11-IF(Skills!E11=TRUE,Inputs!$B$32,0))))))/Skills!H11,1)))/Inputs!$B$43),G632*Q632))*IF(Inputs!$B$38="pvp",1,(1+(Inputs!$B$21+Skills!Q11+Summary!$B$59)/100)*(MIN(Skills!R11,Inputs!$B$37))),0)</f>
        <v/>
      </c>
    </row>
    <row r="633">
      <c r="A633">
        <f>Skills!A12</f>
        <v/>
      </c>
      <c r="B633">
        <f>Skills!B12</f>
        <v/>
      </c>
      <c r="C633">
        <f>Inputs!$B$3&gt;=100</f>
        <v/>
      </c>
      <c r="D633">
        <f>IF(Skills!C12=1,60+Inputs!$B$25+Inputs!$B$29,IF(Skills!C12=2,90+Inputs!$B$26+Inputs!$B$29,IF(Skills!C12=3,120+Inputs!$B$27+Inputs!$B$29,MAX(0,(Inputs!$B$3-100)*3)+Inputs!$B$28+Inputs!$B$29)))</f>
        <v/>
      </c>
      <c r="E633">
        <f>INDEX(FactorTable!$B$2:$Y$301, MATCH(ROUND(MIN(300,MAX(1,D633)),0), FactorTable!$A$2:$A$301,0), Skills!M12+1)</f>
        <v/>
      </c>
      <c r="F633">
        <f>IF(Skills!N12=TRUE,(Skills!L12/10)*(E633/1000),Skills!L12/10)+Skills!O12</f>
        <v/>
      </c>
      <c r="G633" t="inlineStr"/>
      <c r="H633" t="inlineStr"/>
      <c r="I633" t="inlineStr">
        <is>
          <t>1</t>
        </is>
      </c>
      <c r="J633" t="inlineStr"/>
      <c r="K633" t="inlineStr"/>
      <c r="L633" t="inlineStr"/>
      <c r="M633" t="inlineStr"/>
      <c r="N633" t="inlineStr"/>
      <c r="O633" t="inlineStr"/>
      <c r="P633" t="inlineStr"/>
      <c r="Q633" t="inlineStr"/>
      <c r="R633" t="inlineStr"/>
      <c r="S633" t="inlineStr"/>
    </row>
    <row r="634">
      <c r="A634">
        <f>Skills!A13</f>
        <v/>
      </c>
      <c r="B634">
        <f>Skills!B13</f>
        <v/>
      </c>
      <c r="C634">
        <f>Inputs!$B$3&gt;=45</f>
        <v/>
      </c>
      <c r="D634">
        <f>IF(Skills!C13=1,60+Inputs!$B$25+Inputs!$B$29,IF(Skills!C13=2,90+Inputs!$B$26+Inputs!$B$29,IF(Skills!C13=3,120+Inputs!$B$27+Inputs!$B$29,MAX(0,(Inputs!$B$3-100)*3)+Inputs!$B$28+Inputs!$B$29)))</f>
        <v/>
      </c>
      <c r="E634">
        <f>INDEX(FactorTable!$B$2:$Y$301, MATCH(ROUND(MIN(300,MAX(1,D634)),0), FactorTable!$A$2:$A$301,0), Skills!M13+1)</f>
        <v/>
      </c>
      <c r="F634">
        <f>IF(Skills!N13=TRUE,(Skills!L13/10)*(E634/1000),Skills!L13/10)+Skills!O13</f>
        <v/>
      </c>
      <c r="G634">
        <f>Skills!G13*IF(Skills!H13&gt;0,Skills!I13/Skills!H13,1)</f>
        <v/>
      </c>
      <c r="H634">
        <f>1-(1-Skills!J13/100)^Skills!K13</f>
        <v/>
      </c>
      <c r="I634" t="inlineStr">
        <is>
          <t>1</t>
        </is>
      </c>
      <c r="J634" t="inlineStr"/>
      <c r="K634" t="inlineStr"/>
      <c r="L634" t="inlineStr"/>
      <c r="M634" t="inlineStr"/>
      <c r="N634" t="inlineStr"/>
      <c r="O634">
        <f>(1-Summary!$B$55)*T634+Summary!$B$55*V634</f>
        <v/>
      </c>
      <c r="P634">
        <f>IF(B660=0,0,O634/B660)</f>
        <v/>
      </c>
      <c r="Q634" t="n">
        <v>0</v>
      </c>
      <c r="R634" t="n">
        <v>0</v>
      </c>
      <c r="S634">
        <f>IFERROR(O634/N634,0)</f>
        <v/>
      </c>
      <c r="T634" t="n">
        <v>0</v>
      </c>
      <c r="V634" t="n">
        <v>0</v>
      </c>
    </row>
    <row r="635">
      <c r="A635">
        <f>Skills!A14</f>
        <v/>
      </c>
      <c r="B635">
        <f>Skills!B14</f>
        <v/>
      </c>
      <c r="C635">
        <f>Inputs!$B$3&gt;=75</f>
        <v/>
      </c>
      <c r="D635">
        <f>IF(Skills!C14=1,60+Inputs!$B$25+Inputs!$B$29,IF(Skills!C14=2,90+Inputs!$B$26+Inputs!$B$29,IF(Skills!C14=3,120+Inputs!$B$27+Inputs!$B$29,MAX(0,(Inputs!$B$3-100)*3)+Inputs!$B$28+Inputs!$B$29)))</f>
        <v/>
      </c>
      <c r="E635">
        <f>INDEX(FactorTable!$B$2:$Y$301, MATCH(ROUND(MIN(300,MAX(1,D635)),0), FactorTable!$A$2:$A$301,0), Skills!M14+1)</f>
        <v/>
      </c>
      <c r="F635">
        <f>IF(Skills!N14=TRUE,(Skills!L14/10)*(E635/1000),Skills!L14/10)+Skills!O14</f>
        <v/>
      </c>
      <c r="G635">
        <f>Skills!G14*IF(Skills!H14&gt;0,Skills!I14/Skills!H14,1)</f>
        <v/>
      </c>
      <c r="H635">
        <f>1-(1-Skills!J14/100)^Skills!K14</f>
        <v/>
      </c>
      <c r="I635" t="inlineStr">
        <is>
          <t>1</t>
        </is>
      </c>
      <c r="J635" t="inlineStr"/>
      <c r="K635" t="inlineStr"/>
      <c r="L635" t="inlineStr"/>
      <c r="M635" t="inlineStr"/>
      <c r="N635" t="inlineStr"/>
      <c r="O635">
        <f>(1-Summary!$B$55)*T635+Summary!$B$55*V635</f>
        <v/>
      </c>
      <c r="P635">
        <f>IF(B660=0,0,O635/B660)</f>
        <v/>
      </c>
      <c r="Q635" t="n">
        <v>0</v>
      </c>
      <c r="R635" t="n">
        <v>0</v>
      </c>
      <c r="S635">
        <f>IFERROR(O635/N635,0)</f>
        <v/>
      </c>
      <c r="T635" t="n">
        <v>0</v>
      </c>
      <c r="V635" t="n">
        <v>0</v>
      </c>
    </row>
    <row r="636">
      <c r="A636">
        <f>Skills!A15</f>
        <v/>
      </c>
      <c r="B636">
        <f>Skills!B15</f>
        <v/>
      </c>
      <c r="C636">
        <f>Inputs!$B$3&gt;=40</f>
        <v/>
      </c>
      <c r="D636">
        <f>IF(Skills!C15=1,60+Inputs!$B$25+Inputs!$B$29,IF(Skills!C15=2,90+Inputs!$B$26+Inputs!$B$29,IF(Skills!C15=3,120+Inputs!$B$27+Inputs!$B$29,MAX(0,(Inputs!$B$3-100)*3)+Inputs!$B$28+Inputs!$B$29)))</f>
        <v/>
      </c>
      <c r="E636">
        <f>INDEX(FactorTable!$B$2:$Y$301, MATCH(ROUND(MIN(300,MAX(1,D636)),0), FactorTable!$A$2:$A$301,0), Skills!M15+1)</f>
        <v/>
      </c>
      <c r="F636">
        <f>IF(Skills!N15=TRUE,(Skills!L15/10)*(E636/1000),Skills!L15/10)+Skills!O15</f>
        <v/>
      </c>
      <c r="G636">
        <f>Skills!G15*IF(Skills!H15&gt;0,Skills!I15/Skills!H15,1)</f>
        <v/>
      </c>
      <c r="H636">
        <f>1-(1-Skills!J15/100)^Skills!K15</f>
        <v/>
      </c>
      <c r="I636" t="inlineStr">
        <is>
          <t>1</t>
        </is>
      </c>
      <c r="J636" t="inlineStr"/>
      <c r="K636" t="inlineStr"/>
      <c r="L636" t="inlineStr"/>
      <c r="M636" t="inlineStr"/>
      <c r="N636" t="inlineStr"/>
      <c r="O636">
        <f>(1-Summary!$B$55)*T636+Summary!$B$55*V636</f>
        <v/>
      </c>
      <c r="P636">
        <f>IF(B660=0,0,O636/B660)</f>
        <v/>
      </c>
      <c r="Q636">
        <f>IFERROR(1/IF(Inputs!$B$38="pvp",15,MAX(0.1,Skills!D15-IF(Skills!E15=TRUE,Inputs!$B$32,0))),0)</f>
        <v/>
      </c>
      <c r="R636">
        <f>IF(AND(Inputs!$B$38&lt;&gt;"pvp",Inputs!$B$43&gt;0),IF(Inputs!$B$43&lt;=0,0,(INT(Inputs!$B$43/IF(Inputs!$B$38="pvp",15,MAX(0.1,Skills!D15-IF(Skills!E15=TRUE,Inputs!$B$32,0))))+1)),0)</f>
        <v/>
      </c>
      <c r="S636">
        <f>IFERROR(O636/N636,0)</f>
        <v/>
      </c>
      <c r="T636" t="n">
        <v>0</v>
      </c>
      <c r="V636" t="n">
        <v>0</v>
      </c>
    </row>
    <row r="637">
      <c r="A637">
        <f>Skills!A16</f>
        <v/>
      </c>
      <c r="B637">
        <f>Skills!B16</f>
        <v/>
      </c>
      <c r="C637">
        <f>Inputs!$B$3&gt;=66</f>
        <v/>
      </c>
      <c r="D637">
        <f>IF(Skills!C16=1,60+Inputs!$B$25+Inputs!$B$29,IF(Skills!C16=2,90+Inputs!$B$26+Inputs!$B$29,IF(Skills!C16=3,120+Inputs!$B$27+Inputs!$B$29,MAX(0,(Inputs!$B$3-100)*3)+Inputs!$B$28+Inputs!$B$29)))</f>
        <v/>
      </c>
      <c r="E637">
        <f>INDEX(FactorTable!$B$2:$Y$301, MATCH(ROUND(MIN(300,MAX(1,D637)),0), FactorTable!$A$2:$A$301,0), Skills!M16+1)</f>
        <v/>
      </c>
      <c r="F637">
        <f>IF(Skills!N16=TRUE,(Skills!L16/10)*(E637/1000),Skills!L16/10)+Skills!O16</f>
        <v/>
      </c>
      <c r="G637">
        <f>Skills!G16*IF(Skills!H16&gt;0,Skills!I16/Skills!H16,1)</f>
        <v/>
      </c>
      <c r="H637">
        <f>1-(1-Skills!J16/100)^Skills!K16</f>
        <v/>
      </c>
      <c r="I637" t="inlineStr">
        <is>
          <t>1</t>
        </is>
      </c>
      <c r="J637" t="inlineStr"/>
      <c r="K637" t="inlineStr"/>
      <c r="L637" t="inlineStr"/>
      <c r="M637" t="inlineStr"/>
      <c r="N637" t="inlineStr"/>
      <c r="O637">
        <f>(1-Summary!$B$55)*T637+Summary!$B$55*V637</f>
        <v/>
      </c>
      <c r="P637">
        <f>IF(B660=0,0,O637/B660)</f>
        <v/>
      </c>
      <c r="Q637">
        <f>IFERROR(1/IF(Inputs!$B$38="pvp",15,MAX(0.1,Skills!D16-IF(Skills!E16=TRUE,Inputs!$B$32,0))),0)</f>
        <v/>
      </c>
      <c r="R637">
        <f>IF(AND(Inputs!$B$38&lt;&gt;"pvp",Inputs!$B$43&gt;0),IF(Inputs!$B$43&lt;=0,0,(INT(Inputs!$B$43/IF(Inputs!$B$38="pvp",15,MAX(0.1,Skills!D16-IF(Skills!E16=TRUE,Inputs!$B$32,0))))+1)),0)</f>
        <v/>
      </c>
      <c r="S637">
        <f>IFERROR(O637/N637,0)</f>
        <v/>
      </c>
      <c r="T637" t="n">
        <v>0</v>
      </c>
      <c r="V637" t="n">
        <v>0</v>
      </c>
    </row>
    <row r="638">
      <c r="A638">
        <f>Skills!A17</f>
        <v/>
      </c>
      <c r="B638">
        <f>Skills!B17</f>
        <v/>
      </c>
      <c r="C638">
        <f>Inputs!$B$3&gt;=115</f>
        <v/>
      </c>
      <c r="D638">
        <f>IF(Skills!C17=1,60+Inputs!$B$25+Inputs!$B$29,IF(Skills!C17=2,90+Inputs!$B$26+Inputs!$B$29,IF(Skills!C17=3,120+Inputs!$B$27+Inputs!$B$29,MAX(0,(Inputs!$B$3-100)*3)+Inputs!$B$28+Inputs!$B$29)))</f>
        <v/>
      </c>
      <c r="E638">
        <f>INDEX(FactorTable!$B$2:$Y$301, MATCH(ROUND(MIN(300,MAX(1,D638)),0), FactorTable!$A$2:$A$301,0), Skills!M17+1)</f>
        <v/>
      </c>
      <c r="F638">
        <f>IF(Skills!N17=TRUE,(Skills!L17/10)*(E638/1000),Skills!L17/10)+Skills!O17</f>
        <v/>
      </c>
      <c r="G638">
        <f>Skills!G17*IF(Skills!H17&gt;0,Skills!I17/Skills!H17,1)</f>
        <v/>
      </c>
      <c r="H638">
        <f>1-(1-Skills!J17/100)^Skills!K17</f>
        <v/>
      </c>
      <c r="I638" t="inlineStr">
        <is>
          <t>1</t>
        </is>
      </c>
      <c r="J638" t="inlineStr"/>
      <c r="K638" t="inlineStr"/>
      <c r="L638" t="inlineStr"/>
      <c r="M638" t="inlineStr"/>
      <c r="N638" t="inlineStr"/>
      <c r="O638">
        <f>(1-Summary!$B$55)*T638+Summary!$B$55*V638</f>
        <v/>
      </c>
      <c r="P638">
        <f>IF(B660=0,0,O638/B660)</f>
        <v/>
      </c>
      <c r="Q638">
        <f>IFERROR(1/IF(Inputs!$B$38="pvp",15,MAX(0.1,Skills!D17-IF(Skills!E17=TRUE,Inputs!$B$32,0))),0)</f>
        <v/>
      </c>
      <c r="R638">
        <f>IF(AND(Inputs!$B$38&lt;&gt;"pvp",Inputs!$B$43&gt;0),IF(Inputs!$B$43&lt;=0,0,(INT(Inputs!$B$43/IF(Inputs!$B$38="pvp",15,MAX(0.1,Skills!D17-IF(Skills!E17=TRUE,Inputs!$B$32,0))))+1)),0)</f>
        <v/>
      </c>
      <c r="S638">
        <f>IFERROR(O638/N638,0)</f>
        <v/>
      </c>
      <c r="T638" t="n">
        <v>0</v>
      </c>
      <c r="V638" t="n">
        <v>0</v>
      </c>
    </row>
    <row r="639">
      <c r="A639">
        <f>Skills!A18</f>
        <v/>
      </c>
      <c r="B639">
        <f>Skills!B18</f>
        <v/>
      </c>
      <c r="C639">
        <f>Inputs!$B$3&gt;=115</f>
        <v/>
      </c>
      <c r="D639">
        <f>IF(Skills!C18=1,60+Inputs!$B$25+Inputs!$B$29,IF(Skills!C18=2,90+Inputs!$B$26+Inputs!$B$29,IF(Skills!C18=3,120+Inputs!$B$27+Inputs!$B$29,MAX(0,(Inputs!$B$3-100)*3)+Inputs!$B$28+Inputs!$B$29)))</f>
        <v/>
      </c>
      <c r="E639">
        <f>INDEX(FactorTable!$B$2:$Y$301, MATCH(ROUND(MIN(300,MAX(1,D639)),0), FactorTable!$A$2:$A$301,0), Skills!M18+1)</f>
        <v/>
      </c>
      <c r="F639">
        <f>IF(Skills!N18=TRUE,(Skills!L18/10)*(E639/1000),Skills!L18/10)+Skills!O18</f>
        <v/>
      </c>
      <c r="G639">
        <f>Skills!G18*IF(Skills!H18&gt;0,Skills!I18/Skills!H18,1)</f>
        <v/>
      </c>
      <c r="H639">
        <f>1-(1-Skills!J18/100)^Skills!K18</f>
        <v/>
      </c>
      <c r="I639" t="inlineStr">
        <is>
          <t>1</t>
        </is>
      </c>
      <c r="J639" t="inlineStr"/>
      <c r="K639" t="inlineStr"/>
      <c r="L639" t="inlineStr"/>
      <c r="M639" t="inlineStr"/>
      <c r="N639" t="inlineStr"/>
      <c r="O639">
        <f>(1-Summary!$B$55)*T639+Summary!$B$55*V639</f>
        <v/>
      </c>
      <c r="P639">
        <f>IF(B660=0,0,O639/B660)</f>
        <v/>
      </c>
      <c r="Q639">
        <f>IFERROR(1/IF(Inputs!$B$38="pvp",15,MAX(0.1,Skills!D18-IF(Skills!E18=TRUE,Inputs!$B$32,0))),0)</f>
        <v/>
      </c>
      <c r="R639">
        <f>IF(AND(Inputs!$B$38&lt;&gt;"pvp",Inputs!$B$43&gt;0),IF(Inputs!$B$43&lt;=0,0,(INT(Inputs!$B$43/IF(Inputs!$B$38="pvp",15,MAX(0.1,Skills!D18-IF(Skills!E18=TRUE,Inputs!$B$32,0))))+1)),0)</f>
        <v/>
      </c>
      <c r="S639">
        <f>IFERROR(O639/N639,0)</f>
        <v/>
      </c>
      <c r="T639" t="n">
        <v>0</v>
      </c>
      <c r="V639" t="n">
        <v>0</v>
      </c>
    </row>
    <row r="640">
      <c r="A640">
        <f>Skills!A19</f>
        <v/>
      </c>
      <c r="B640">
        <f>Skills!B19</f>
        <v/>
      </c>
      <c r="C640">
        <f>TRUE</f>
        <v/>
      </c>
      <c r="D640">
        <f>IF(Skills!C19=1,60+Inputs!$B$25+Inputs!$B$29,IF(Skills!C19=2,90+Inputs!$B$26+Inputs!$B$29,IF(Skills!C19=3,120+Inputs!$B$27+Inputs!$B$29,MAX(0,(Inputs!$B$3-100)*3)+Inputs!$B$28+Inputs!$B$29)))</f>
        <v/>
      </c>
      <c r="E640">
        <f>INDEX(FactorTable!$B$2:$Y$301, MATCH(ROUND(MIN(300,MAX(1,D640)),0), FactorTable!$A$2:$A$301,0), Skills!M19+1)</f>
        <v/>
      </c>
      <c r="F640">
        <f>IF(Skills!N19=TRUE,(Skills!L19/10)*(E640/1000),Skills!L19/10)+Skills!O19</f>
        <v/>
      </c>
      <c r="G640">
        <f>Skills!G19*IF(Skills!H19&gt;0,Skills!I19/Skills!H19,1)</f>
        <v/>
      </c>
      <c r="H640">
        <f>1-(1-Skills!J19/100)^Skills!K19</f>
        <v/>
      </c>
      <c r="I640" t="inlineStr">
        <is>
          <t>1</t>
        </is>
      </c>
      <c r="J640" t="inlineStr"/>
      <c r="K640" t="inlineStr"/>
      <c r="L640" t="inlineStr"/>
      <c r="M640" t="inlineStr"/>
      <c r="N640" t="inlineStr"/>
      <c r="O640">
        <f>(1-Summary!$B$55)*T640+Summary!$B$55*V640</f>
        <v/>
      </c>
      <c r="P640">
        <f>IF(B660=0,0,O640/B660)</f>
        <v/>
      </c>
      <c r="Q640">
        <f>IFERROR(1/IF(Inputs!$B$38="pvp",15,MAX(0.1,Skills!D19-IF(Skills!E19=TRUE,Inputs!$B$32,0))),0)</f>
        <v/>
      </c>
      <c r="R640">
        <f>IF(AND(Inputs!$B$38&lt;&gt;"pvp",Inputs!$B$43&gt;0),IF(Inputs!$B$43&lt;=0,0,(INT(Inputs!$B$43/IF(Inputs!$B$38="pvp",15,MAX(0.1,Skills!D19-IF(Skills!E19=TRUE,Inputs!$B$32,0))))+1)),0)</f>
        <v/>
      </c>
      <c r="S640">
        <f>IFERROR(O640/N640,0)</f>
        <v/>
      </c>
      <c r="T640" t="n">
        <v>0</v>
      </c>
      <c r="V640" t="n">
        <v>0</v>
      </c>
    </row>
    <row r="641">
      <c r="A641">
        <f>Skills!A20</f>
        <v/>
      </c>
      <c r="B641">
        <f>Skills!B20</f>
        <v/>
      </c>
      <c r="C641">
        <f>Inputs!$B$3&gt;=33</f>
        <v/>
      </c>
      <c r="D641">
        <f>IF(Skills!C20=1,60+Inputs!$B$25+Inputs!$B$29,IF(Skills!C20=2,90+Inputs!$B$26+Inputs!$B$29,IF(Skills!C20=3,120+Inputs!$B$27+Inputs!$B$29,MAX(0,(Inputs!$B$3-100)*3)+Inputs!$B$28+Inputs!$B$29)))</f>
        <v/>
      </c>
      <c r="E641">
        <f>INDEX(FactorTable!$B$2:$Y$301, MATCH(ROUND(MIN(300,MAX(1,D641)),0), FactorTable!$A$2:$A$301,0), Skills!M20+1)</f>
        <v/>
      </c>
      <c r="F641">
        <f>IF(Skills!N20=TRUE,(Skills!L20/10)*(E641/1000),Skills!L20/10)+Skills!O20</f>
        <v/>
      </c>
      <c r="G641">
        <f>Skills!G20*IF(Skills!H20&gt;0,Skills!I20/Skills!H20,1)</f>
        <v/>
      </c>
      <c r="H641">
        <f>1-(1-Skills!J20/100)^Skills!K20</f>
        <v/>
      </c>
      <c r="I641" t="inlineStr">
        <is>
          <t>1</t>
        </is>
      </c>
      <c r="J641" t="inlineStr"/>
      <c r="K641" t="inlineStr"/>
      <c r="L641" t="inlineStr"/>
      <c r="M641" t="inlineStr"/>
      <c r="N641" t="inlineStr"/>
      <c r="O641">
        <f>(1-Summary!$B$55)*T641+Summary!$B$55*V641</f>
        <v/>
      </c>
      <c r="P641">
        <f>IF(B660=0,0,O641/B660)</f>
        <v/>
      </c>
      <c r="Q641" t="n">
        <v>0</v>
      </c>
      <c r="R641" t="n">
        <v>0</v>
      </c>
      <c r="S641">
        <f>IFERROR(O641/N641,0)</f>
        <v/>
      </c>
      <c r="T641" t="n">
        <v>0</v>
      </c>
      <c r="V641" t="n">
        <v>0</v>
      </c>
    </row>
    <row r="642">
      <c r="A642">
        <f>Skills!A21</f>
        <v/>
      </c>
      <c r="B642">
        <f>Skills!B21</f>
        <v/>
      </c>
      <c r="C642">
        <f>Inputs!$B$3&gt;=38</f>
        <v/>
      </c>
      <c r="D642">
        <f>IF(Skills!C21=1,60+Inputs!$B$25+Inputs!$B$29,IF(Skills!C21=2,90+Inputs!$B$26+Inputs!$B$29,IF(Skills!C21=3,120+Inputs!$B$27+Inputs!$B$29,MAX(0,(Inputs!$B$3-100)*3)+Inputs!$B$28+Inputs!$B$29)))</f>
        <v/>
      </c>
      <c r="E642">
        <f>INDEX(FactorTable!$B$2:$Y$301, MATCH(ROUND(MIN(300,MAX(1,D642)),0), FactorTable!$A$2:$A$301,0), Skills!M21+1)</f>
        <v/>
      </c>
      <c r="F642">
        <f>IF(Skills!N21=TRUE,(Skills!L21/10)*(E642/1000),Skills!L21/10)+Skills!O21</f>
        <v/>
      </c>
      <c r="G642">
        <f>Skills!G21*IF(Skills!H21&gt;0,Skills!I21/Skills!H21,1)</f>
        <v/>
      </c>
      <c r="H642">
        <f>1-(1-Skills!J21/100)^Skills!K21</f>
        <v/>
      </c>
      <c r="I642" t="inlineStr">
        <is>
          <t>1</t>
        </is>
      </c>
      <c r="J642" t="inlineStr"/>
      <c r="K642" t="inlineStr"/>
      <c r="L642" t="inlineStr"/>
      <c r="M642" t="inlineStr"/>
      <c r="N642" t="inlineStr"/>
      <c r="O642">
        <f>(1-Summary!$B$55)*T642+Summary!$B$55*V642</f>
        <v/>
      </c>
      <c r="P642">
        <f>IF(B660=0,0,O642/B660)</f>
        <v/>
      </c>
      <c r="Q642" t="n">
        <v>0</v>
      </c>
      <c r="R642" t="n">
        <v>0</v>
      </c>
      <c r="S642">
        <f>IFERROR(O642/N642,0)</f>
        <v/>
      </c>
      <c r="T642" t="n">
        <v>0</v>
      </c>
      <c r="V642" t="n">
        <v>0</v>
      </c>
    </row>
    <row r="643">
      <c r="A643">
        <f>Skills!A22</f>
        <v/>
      </c>
      <c r="B643">
        <f>Skills!B22</f>
        <v/>
      </c>
      <c r="C643">
        <f>Inputs!$B$3&gt;=43</f>
        <v/>
      </c>
      <c r="D643">
        <f>IF(Skills!C22=1,60+Inputs!$B$25+Inputs!$B$29,IF(Skills!C22=2,90+Inputs!$B$26+Inputs!$B$29,IF(Skills!C22=3,120+Inputs!$B$27+Inputs!$B$29,MAX(0,(Inputs!$B$3-100)*3)+Inputs!$B$28+Inputs!$B$29)))</f>
        <v/>
      </c>
      <c r="E643">
        <f>INDEX(FactorTable!$B$2:$Y$301, MATCH(ROUND(MIN(300,MAX(1,D643)),0), FactorTable!$A$2:$A$301,0), Skills!M22+1)</f>
        <v/>
      </c>
      <c r="F643">
        <f>IF(Skills!N22=TRUE,(Skills!L22/10)*(E643/1000),Skills!L22/10)+Skills!O22</f>
        <v/>
      </c>
      <c r="G643">
        <f>Skills!G22*IF(Skills!H22&gt;0,Skills!I22/Skills!H22,1)</f>
        <v/>
      </c>
      <c r="H643">
        <f>1-(1-Skills!J22/100)^Skills!K22</f>
        <v/>
      </c>
      <c r="I643" t="inlineStr">
        <is>
          <t>1</t>
        </is>
      </c>
      <c r="J643" t="inlineStr"/>
      <c r="K643" t="inlineStr"/>
      <c r="L643" t="inlineStr"/>
      <c r="M643" t="inlineStr"/>
      <c r="N643" t="inlineStr"/>
      <c r="O643">
        <f>(1-Summary!$B$55)*T643+Summary!$B$55*V643</f>
        <v/>
      </c>
      <c r="P643">
        <f>IF(B660=0,0,O643/B660)</f>
        <v/>
      </c>
      <c r="Q643" t="n">
        <v>0</v>
      </c>
      <c r="R643" t="n">
        <v>0</v>
      </c>
      <c r="S643">
        <f>IFERROR(O643/N643,0)</f>
        <v/>
      </c>
      <c r="T643" t="n">
        <v>0</v>
      </c>
      <c r="V643" t="n">
        <v>0</v>
      </c>
    </row>
    <row r="644">
      <c r="A644">
        <f>Skills!A23</f>
        <v/>
      </c>
      <c r="B644">
        <f>Skills!B23</f>
        <v/>
      </c>
      <c r="C644">
        <f>Inputs!$B$3&gt;=120</f>
        <v/>
      </c>
      <c r="D644">
        <f>IF(Skills!C23=1,60+Inputs!$B$25+Inputs!$B$29,IF(Skills!C23=2,90+Inputs!$B$26+Inputs!$B$29,IF(Skills!C23=3,120+Inputs!$B$27+Inputs!$B$29,MAX(0,(Inputs!$B$3-100)*3)+Inputs!$B$28+Inputs!$B$29)))</f>
        <v/>
      </c>
      <c r="E644">
        <f>INDEX(FactorTable!$B$2:$Y$301, MATCH(ROUND(MIN(300,MAX(1,D644)),0), FactorTable!$A$2:$A$301,0), Skills!M23+1)</f>
        <v/>
      </c>
      <c r="F644">
        <f>IF(Skills!N23=TRUE,(Skills!L23/10)*(E644/1000),Skills!L23/10)+Skills!O23</f>
        <v/>
      </c>
      <c r="G644">
        <f>Skills!G23*IF(Skills!H23&gt;0,Skills!I23/Skills!H23,1)</f>
        <v/>
      </c>
      <c r="H644">
        <f>1-(1-Skills!J23/100)^Skills!K23</f>
        <v/>
      </c>
      <c r="I644" t="inlineStr">
        <is>
          <t>1</t>
        </is>
      </c>
      <c r="J644" t="inlineStr"/>
      <c r="K644" t="inlineStr"/>
      <c r="L644" t="inlineStr"/>
      <c r="M644" t="inlineStr"/>
      <c r="N644" t="inlineStr"/>
      <c r="O644">
        <f>(1-Summary!$B$55)*T644+Summary!$B$55*V644</f>
        <v/>
      </c>
      <c r="P644">
        <f>IF(B660=0,0,O644/B660)</f>
        <v/>
      </c>
      <c r="Q644" t="n">
        <v>0</v>
      </c>
      <c r="R644" t="n">
        <v>0</v>
      </c>
      <c r="S644">
        <f>IFERROR(O644/N644,0)</f>
        <v/>
      </c>
      <c r="T644" t="n">
        <v>0</v>
      </c>
      <c r="V644" t="n">
        <v>0</v>
      </c>
    </row>
    <row r="645">
      <c r="A645">
        <f>Skills!A24</f>
        <v/>
      </c>
      <c r="B645">
        <f>Skills!B24</f>
        <v/>
      </c>
      <c r="C645">
        <f>Inputs!$B$3&gt;=120</f>
        <v/>
      </c>
      <c r="D645">
        <f>IF(Skills!C24=1,60+Inputs!$B$25+Inputs!$B$29,IF(Skills!C24=2,90+Inputs!$B$26+Inputs!$B$29,IF(Skills!C24=3,120+Inputs!$B$27+Inputs!$B$29,MAX(0,(Inputs!$B$3-100)*3)+Inputs!$B$28+Inputs!$B$29)))</f>
        <v/>
      </c>
      <c r="E645">
        <f>INDEX(FactorTable!$B$2:$Y$301, MATCH(ROUND(MIN(300,MAX(1,D645)),0), FactorTable!$A$2:$A$301,0), Skills!M24+1)</f>
        <v/>
      </c>
      <c r="F645">
        <f>IF(Skills!N24=TRUE,(Skills!L24/10)*(E645/1000),Skills!L24/10)+Skills!O24</f>
        <v/>
      </c>
      <c r="G645">
        <f>Skills!G24*IF(Skills!H24&gt;0,Skills!I24/Skills!H24,1)</f>
        <v/>
      </c>
      <c r="H645">
        <f>1-(1-Skills!J24/100)^Skills!K24</f>
        <v/>
      </c>
      <c r="I645" t="inlineStr">
        <is>
          <t>1</t>
        </is>
      </c>
      <c r="J645" t="inlineStr"/>
      <c r="K645" t="inlineStr"/>
      <c r="L645" t="inlineStr"/>
      <c r="M645" t="inlineStr"/>
      <c r="N645" t="inlineStr"/>
      <c r="O645">
        <f>(1-Summary!$B$55)*T645+Summary!$B$55*V645</f>
        <v/>
      </c>
      <c r="P645">
        <f>IF(B660=0,0,O645/B660)</f>
        <v/>
      </c>
      <c r="Q645" t="n">
        <v>0</v>
      </c>
      <c r="R645" t="n">
        <v>0</v>
      </c>
      <c r="S645">
        <f>IFERROR(O645/N645,0)</f>
        <v/>
      </c>
      <c r="T645" t="n">
        <v>0</v>
      </c>
      <c r="V645" t="n">
        <v>0</v>
      </c>
    </row>
    <row r="646">
      <c r="A646">
        <f>Skills!A25</f>
        <v/>
      </c>
      <c r="B646">
        <f>Skills!B25</f>
        <v/>
      </c>
      <c r="C646">
        <f>Inputs!$B$3&gt;=125</f>
        <v/>
      </c>
      <c r="D646">
        <f>IF(Skills!C25=1,60+Inputs!$B$25+Inputs!$B$29,IF(Skills!C25=2,90+Inputs!$B$26+Inputs!$B$29,IF(Skills!C25=3,120+Inputs!$B$27+Inputs!$B$29,MAX(0,(Inputs!$B$3-100)*3)+Inputs!$B$28+Inputs!$B$29)))</f>
        <v/>
      </c>
      <c r="E646">
        <f>INDEX(FactorTable!$B$2:$Y$301, MATCH(ROUND(MIN(300,MAX(1,D646)),0), FactorTable!$A$2:$A$301,0), Skills!M25+1)</f>
        <v/>
      </c>
      <c r="F646">
        <f>IF(Skills!N25=TRUE,(Skills!L25/10)*(E646/1000),Skills!L25/10)+Skills!O25</f>
        <v/>
      </c>
      <c r="G646">
        <f>Skills!G25*IF(Skills!H25&gt;0,Skills!I25/Skills!H25,1)</f>
        <v/>
      </c>
      <c r="H646">
        <f>1-(1-Skills!J25/100)^Skills!K25</f>
        <v/>
      </c>
      <c r="I646" t="inlineStr">
        <is>
          <t>1</t>
        </is>
      </c>
      <c r="J646" t="inlineStr"/>
      <c r="K646" t="inlineStr"/>
      <c r="L646" t="inlineStr"/>
      <c r="M646" t="inlineStr"/>
      <c r="N646" t="inlineStr"/>
      <c r="O646">
        <f>(1-Summary!$B$55)*T646+Summary!$B$55*V646</f>
        <v/>
      </c>
      <c r="P646">
        <f>IF(B660=0,0,O646/B660)</f>
        <v/>
      </c>
      <c r="Q646" t="n">
        <v>0</v>
      </c>
      <c r="R646" t="n">
        <v>0</v>
      </c>
      <c r="S646">
        <f>IFERROR(O646/N646,0)</f>
        <v/>
      </c>
      <c r="T646" t="n">
        <v>0</v>
      </c>
      <c r="V646" t="n">
        <v>0</v>
      </c>
    </row>
    <row r="647">
      <c r="A647">
        <f>Skills!A26</f>
        <v/>
      </c>
      <c r="B647">
        <f>Skills!B26</f>
        <v/>
      </c>
      <c r="C647">
        <f>Inputs!$B$3&gt;=72</f>
        <v/>
      </c>
      <c r="D647">
        <f>IF(Skills!C26=1,60+Inputs!$B$25+Inputs!$B$29,IF(Skills!C26=2,90+Inputs!$B$26+Inputs!$B$29,IF(Skills!C26=3,120+Inputs!$B$27+Inputs!$B$29,MAX(0,(Inputs!$B$3-100)*3)+Inputs!$B$28+Inputs!$B$29)))</f>
        <v/>
      </c>
      <c r="E647">
        <f>INDEX(FactorTable!$B$2:$Y$301, MATCH(ROUND(MIN(300,MAX(1,D647)),0), FactorTable!$A$2:$A$301,0), Skills!M26+1)</f>
        <v/>
      </c>
      <c r="F647">
        <f>IF(Skills!N26=TRUE,(Skills!L26/10)*(E647/1000),Skills!L26/10)+Skills!O26</f>
        <v/>
      </c>
      <c r="G647">
        <f>Skills!G26*IF(Skills!H26&gt;0,Skills!I26/Skills!H26,1)</f>
        <v/>
      </c>
      <c r="H647">
        <f>1-(1-Skills!J26/100)^Skills!K26</f>
        <v/>
      </c>
      <c r="I647" t="inlineStr">
        <is>
          <t>1</t>
        </is>
      </c>
      <c r="J647" t="inlineStr"/>
      <c r="K647" t="inlineStr"/>
      <c r="L647" t="inlineStr"/>
      <c r="M647" t="inlineStr"/>
      <c r="N647" t="inlineStr"/>
      <c r="O647">
        <f>(1-Summary!$B$55)*T647+Summary!$B$55*V647</f>
        <v/>
      </c>
      <c r="P647">
        <f>IF(B660=0,0,O647/B660)</f>
        <v/>
      </c>
      <c r="Q647" t="n">
        <v>0</v>
      </c>
      <c r="R647" t="n">
        <v>0</v>
      </c>
      <c r="S647">
        <f>IFERROR(O647/N647,0)</f>
        <v/>
      </c>
      <c r="T647" t="n">
        <v>0</v>
      </c>
      <c r="V647" t="n">
        <v>0</v>
      </c>
    </row>
    <row r="649">
      <c r="A649" t="inlineStr">
        <is>
          <t>Attack% Bucket Multiplier</t>
        </is>
      </c>
      <c r="B649">
        <f>(1+(((C634=TRUE)*F634*IF(Inputs!$B$3&gt;=110,7,5))+((C636=TRUE)*F636*IF(AND(Inputs!$B$38&lt;&gt;"pvp",Inputs!$B$43&gt;0),(((R636-1)*(Skills!T15*(1+Inputs!$B$34/100))+MIN((Skills!T15*(1+Inputs!$B$34/100)),MAX(0,Inputs!$B$43-((R636-1)*Skills!D15))))/Inputs!$B$43),IF(Inputs!$B$38="pvp",MIN((Skills!T15*(1+Inputs!$B$34/100)),15)/15,(Skills!T15*(1+Inputs!$B$34/100))/Skills!D15)))+0)/100)</f>
        <v/>
      </c>
    </row>
    <row r="650">
      <c r="A650" t="inlineStr">
        <is>
          <t>Global Crit Rate Bonus %</t>
        </is>
      </c>
      <c r="B650" t="n">
        <v>0</v>
      </c>
    </row>
    <row r="651">
      <c r="A651" t="inlineStr">
        <is>
          <t>Attack Speed Buff Bonus %</t>
        </is>
      </c>
      <c r="B651">
        <f>((C640=TRUE)*F640*IF(AND(Inputs!$B$38&lt;&gt;"pvp",Inputs!$B$43&gt;0),(((R640-1)*(Skills!T19*(1+Inputs!$B$34/100))+MIN((Skills!T19*(1+Inputs!$B$34/100)),MAX(0,Inputs!$B$43-((R640-1)*Skills!D19))))/Inputs!$B$43),IF(Inputs!$B$38="pvp",MIN((Skills!T19*(1+Inputs!$B$34/100)),15)/15,(Skills!T19*(1+Inputs!$B$34/100))/Skills!D19)))</f>
        <v/>
      </c>
    </row>
    <row r="652">
      <c r="A652" t="inlineStr">
        <is>
          <t>Actions Per Second</t>
        </is>
      </c>
      <c r="B652">
        <f>1+MIN(150,150*(1-(1-(Inputs!$B$11+((C641=TRUE)*(F641-Calc!F20)))/150)*(1-B651/150)))/100</f>
        <v/>
      </c>
    </row>
    <row r="653">
      <c r="A653" t="inlineStr">
        <is>
          <t>Skill + Buff Cast Rate</t>
        </is>
      </c>
      <c r="B653">
        <f>IF(AND(Inputs!$B$38&lt;&gt;"pvp",Inputs!$B$43&gt;0),SUMPRODUCT((Skills!E2:E26=TRUE)*(C623:C647=TRUE)*R623:R647*Skills!F2:F26)/Inputs!$B$43,SUMPRODUCT((Skills!E2:E26=TRUE)*(C623:C647=TRUE)*Q623:Q647*Skills!F2:F26))</f>
        <v/>
      </c>
    </row>
    <row r="654">
      <c r="A654" t="inlineStr">
        <is>
          <t>Raging Blow Casts Per Second</t>
        </is>
      </c>
      <c r="B654">
        <f>MAX(0,B652-B653)</f>
        <v/>
      </c>
    </row>
    <row r="655">
      <c r="A655" t="inlineStr">
        <is>
          <t>Global Critical Damage Bonus % (Enrage)</t>
        </is>
      </c>
      <c r="B655">
        <f>((C639=TRUE)*F639*IF(AND(Inputs!$B$38&lt;&gt;"pvp",Inputs!$B$43&gt;0),(((R639-1)*(Skills!T18*(1+Inputs!$B$34/100))+MIN((Skills!T18*(1+Inputs!$B$34/100)),MAX(0,Inputs!$B$43-((R639-1)*Skills!D18))))/Inputs!$B$43),IF(Inputs!$B$38="pvp",MIN((Skills!T18*(1+Inputs!$B$34/100)),15)/15,(Skills!T18*(1+Inputs!$B$34/100))/Skills!D18)))</f>
        <v/>
      </c>
    </row>
    <row r="656">
      <c r="A656" t="inlineStr">
        <is>
          <t>Global Final Damage Bonus % (Enrage + Combo Synergy)</t>
        </is>
      </c>
      <c r="B656">
        <f>((C638=TRUE)*F638*IF(AND(Inputs!$B$38&lt;&gt;"pvp",Inputs!$B$43&gt;0),(((R638-1)*(Skills!T17*(1+Inputs!$B$34/100))+MIN((Skills!T17*(1+Inputs!$B$34/100)),MAX(0,Inputs!$B$43-((R638-1)*Skills!D17))))/Inputs!$B$43),IF(Inputs!$B$38="pvp",MIN((Skills!T17*(1+Inputs!$B$34/100)),15)/15,(Skills!T17*(1+Inputs!$B$34/100))/Skills!D17)))+((C635=TRUE)*F635*IF(Inputs!$B$3&gt;=110,7,5))</f>
        <v/>
      </c>
    </row>
    <row r="657">
      <c r="A657" t="inlineStr">
        <is>
          <t>Buff-Casting Startup Delay (s, fixed-duration only)</t>
        </is>
      </c>
      <c r="B657">
        <f>IF(AND(Inputs!$B$38&lt;&gt;"pvp",Inputs!$B$43&gt;0),SUMPRODUCT((Skills!T2:T26&gt;0)*(Skills!E2:E26=TRUE)*(C623:C647=TRUE))/B652,0)</f>
        <v/>
      </c>
    </row>
    <row r="658">
      <c r="A658" t="inlineStr">
        <is>
          <t>Boss-Only Total DPS (this block's swept value)</t>
        </is>
      </c>
      <c r="B658">
        <f>SUM(T623:T647)</f>
        <v/>
      </c>
    </row>
    <row r="659">
      <c r="A659" t="inlineStr">
        <is>
          <t>Normal-Only Total DPS (this block's swept value)</t>
        </is>
      </c>
      <c r="B659">
        <f>SUM(V623:V647)</f>
        <v/>
      </c>
    </row>
    <row r="660">
      <c r="A660" s="5" t="inlineStr">
        <is>
          <t>TOTAL DPS</t>
        </is>
      </c>
      <c r="B660" s="5">
        <f>SUM(O623:O647)</f>
        <v/>
      </c>
    </row>
    <row r="663">
      <c r="A663" s="5" t="inlineStr">
        <is>
          <t>Stat: SKILL_DAMAGE %</t>
        </is>
      </c>
    </row>
    <row r="664">
      <c r="A664" s="9" t="inlineStr">
        <is>
          <t>Key</t>
        </is>
      </c>
      <c r="B664" s="9" t="inlineStr">
        <is>
          <t>Name</t>
        </is>
      </c>
      <c r="C664" s="9" t="inlineStr">
        <is>
          <t>Unlocked</t>
        </is>
      </c>
      <c r="D664" s="9" t="inlineStr">
        <is>
          <t>InputLevel</t>
        </is>
      </c>
      <c r="E664" s="9" t="inlineStr">
        <is>
          <t>Factor</t>
        </is>
      </c>
      <c r="F664" s="9" t="inlineStr">
        <is>
          <t>CoefficientPercent</t>
        </is>
      </c>
      <c r="G664" s="9" t="inlineStr">
        <is>
          <t>EffectiveHits</t>
        </is>
      </c>
      <c r="H664" s="9" t="inlineStr">
        <is>
          <t>ProcProbability</t>
        </is>
      </c>
      <c r="I664" s="9" t="inlineStr">
        <is>
          <t>MapleHeroMultiplier</t>
        </is>
      </c>
      <c r="J664" s="9" t="inlineStr">
        <is>
          <t>BaseDamage</t>
        </is>
      </c>
      <c r="K664" s="9" t="inlineStr">
        <is>
          <t>BaseHitDamage</t>
        </is>
      </c>
      <c r="L664" s="9" t="inlineStr">
        <is>
          <t>NonCritAvg</t>
        </is>
      </c>
      <c r="M664" s="9" t="inlineStr">
        <is>
          <t>CritAvg</t>
        </is>
      </c>
      <c r="N664" s="9" t="inlineStr">
        <is>
          <t>ExpectedDamage(perHit)</t>
        </is>
      </c>
      <c r="O664" s="9" t="inlineStr">
        <is>
          <t>DPS</t>
        </is>
      </c>
      <c r="P664" s="9" t="inlineStr">
        <is>
          <t>% of Total</t>
        </is>
      </c>
      <c r="Q664" s="9" t="inlineStr">
        <is>
          <t>InvCooldown</t>
        </is>
      </c>
      <c r="R664" s="9" t="inlineStr">
        <is>
          <t>CastsInFight</t>
        </is>
      </c>
      <c r="S664" s="9" t="inlineStr">
        <is>
          <t>HitRate(perSec)</t>
        </is>
      </c>
      <c r="U664" t="inlineStr">
        <is>
          <t>helpers</t>
        </is>
      </c>
    </row>
    <row r="665">
      <c r="A665">
        <f>Skills!A2</f>
        <v/>
      </c>
      <c r="B665">
        <f>Skills!B2</f>
        <v/>
      </c>
      <c r="C665">
        <f>Inputs!$B$3&gt;=100</f>
        <v/>
      </c>
      <c r="D665" t="inlineStr"/>
      <c r="E665" t="inlineStr"/>
      <c r="F665">
        <f>U667+Skills!O2</f>
        <v/>
      </c>
      <c r="G665">
        <f>Skills!G2*IF(Skills!H2&gt;0,Skills!I2/Skills!H2,1)</f>
        <v/>
      </c>
      <c r="H665">
        <f>1-(1-Skills!J2/100)^Skills!K2</f>
        <v/>
      </c>
      <c r="I665" t="inlineStr">
        <is>
          <t>1</t>
        </is>
      </c>
      <c r="J665">
        <f>((Inputs!$B$6*(1+Inputs!$B$7/100))+(((Inputs!$B$12*(1+Inputs!$B$13/100))-(Inputs!$B$12*(1+Inputs!$B$13/100)))+0.25*(Inputs!$B$14-Inputs!$B$14))*(1+Inputs!$B$7/100))*(F665/100)</f>
        <v/>
      </c>
      <c r="K665">
        <f>J665*(1+((Inputs!$B$12*(1+Inputs!$B$13/100))*0.01+Inputs!$B$14*0.0025)/100)*(1+Inputs!$B$15/100)*(1+Inputs!$B$16/100)*(5000/(6000+Inputs!$B$42*(1-(Inputs!$B$19+0)/100)))*(1+(Inputs!$B$24+((C688=TRUE)*(F688-Calc!F25))+B698)/100)*(1+IF(Skills!A2="ENHANCED_RAGING_BLOW",IF(Inputs!$B$3&gt;=134,MAX(0,IF(Inputs!$B$3&gt;=110,7,5)-5)*50,0),0)/100)*(1+(IF(Skills!A2="RAGING_BLOW",Inputs!$B$17+((C684=TRUE)*(F684-Calc!F21)),(Inputs!$B$18+1)+((C686=TRUE)*(F686-Calc!F23))))/100)*((1+(((C676=TRUE)*F676*IF(Inputs!$B$3&gt;=110,7,5))+((C678=TRUE)*F678*IF(AND(Inputs!$B$38&lt;&gt;"pvp",Inputs!$B$43&gt;0),(((R678-1)*(Skills!T15*(1+Inputs!$B$34/100))+MIN((Skills!T15*(1+Inputs!$B$34/100)),MAX(0,Inputs!$B$43-((R678-1)*Skills!D15))))/Inputs!$B$43),IF(Inputs!$B$38="pvp",MIN((Skills!T15*(1+Inputs!$B$34/100)),15)/15,(Skills!T15*(1+Inputs!$B$34/100))/Skills!D15)))+0)/100)*I665)</f>
        <v/>
      </c>
      <c r="L665">
        <f>K665*(MIN(Inputs!$B$22+((C685=TRUE)*(F685-Calc!F22)),Inputs!$B$23+((C687=TRUE)*(F687-Calc!F24)))/100+(Inputs!$B$23+((C687=TRUE)*(F687-Calc!F24)))/100)/2</f>
        <v/>
      </c>
      <c r="M665">
        <f>L665*(1+(Inputs!$B$10+0+B697)/100)</f>
        <v/>
      </c>
      <c r="N665">
        <f>L665*(1-MIN((Inputs!$B$9+((C689=TRUE)*(F689-Calc!F26))+B692),100)/100)+M665*(MIN((Inputs!$B$9+((C689=TRUE)*(F689-Calc!F26))+B692),100)/100)</f>
        <v/>
      </c>
      <c r="O665">
        <f>(1-Summary!$B$55)*T665+Summary!$B$55*V665</f>
        <v/>
      </c>
      <c r="P665">
        <f>IF(B702=0,0,O665/B702)</f>
        <v/>
      </c>
      <c r="Q665" t="n">
        <v>0</v>
      </c>
      <c r="R665" t="n">
        <v>0</v>
      </c>
      <c r="S665">
        <f>IFERROR(O665/N665,0)</f>
        <v/>
      </c>
      <c r="T665">
        <f>IF(C665,(Skills!G2*N665*B696)*IF(Inputs!$B$38="pvp",1,1+(Inputs!$B$20+0+Skills!P2+Summary!$B$59)/100),0)</f>
        <v/>
      </c>
      <c r="U665">
        <f>MAX(0,(Inputs!$B$3-100)*3)+Inputs!$B$28+Inputs!$B$29</f>
        <v/>
      </c>
      <c r="V665">
        <f>IF(C665,(Skills!G2*N665*B696)*IF(Inputs!$B$38="pvp",1,(1+(Inputs!$B$21+Skills!Q2+Summary!$B$59)/100)*(MIN((6+Inputs!$B$33),Inputs!$B$37))),0)</f>
        <v/>
      </c>
    </row>
    <row r="666">
      <c r="A666">
        <f>Skills!A3</f>
        <v/>
      </c>
      <c r="B666">
        <f>Skills!B3</f>
        <v/>
      </c>
      <c r="C666">
        <f>Inputs!$B$3&gt;=50</f>
        <v/>
      </c>
      <c r="D666">
        <f>IF(Skills!C3=1,60+Inputs!$B$25+Inputs!$B$29,IF(Skills!C3=2,90+Inputs!$B$26+Inputs!$B$29,IF(Skills!C3=3,120+Inputs!$B$27+Inputs!$B$29,MAX(0,(Inputs!$B$3-100)*3)+Inputs!$B$28+Inputs!$B$29)))</f>
        <v/>
      </c>
      <c r="E666">
        <f>INDEX(FactorTable!$B$2:$Y$301, MATCH(ROUND(MIN(300,MAX(1,D666)),0), FactorTable!$A$2:$A$301,0), Skills!M3+1)</f>
        <v/>
      </c>
      <c r="F666">
        <f>IF(Skills!N3=TRUE,(Skills!L3/10)*(E666/1000),Skills!L3/10)+Skills!O3</f>
        <v/>
      </c>
      <c r="G666" t="inlineStr"/>
      <c r="H666" t="inlineStr"/>
      <c r="I666" t="inlineStr">
        <is>
          <t>1</t>
        </is>
      </c>
      <c r="J666" t="inlineStr"/>
      <c r="K666" t="inlineStr"/>
      <c r="L666" t="inlineStr"/>
      <c r="M666" t="inlineStr"/>
      <c r="N666" t="inlineStr"/>
      <c r="O666" t="inlineStr"/>
      <c r="P666" t="inlineStr"/>
      <c r="Q666" t="inlineStr"/>
      <c r="R666" t="inlineStr"/>
      <c r="S666" t="inlineStr"/>
      <c r="U666">
        <f>INDEX(FactorTable!$B$2:$Y$301, MATCH(ROUND(MIN(300,MAX(1,U665)),0), FactorTable!$A$2:$A$301,0), 22)</f>
        <v/>
      </c>
    </row>
    <row r="667">
      <c r="A667">
        <f>Skills!A4</f>
        <v/>
      </c>
      <c r="B667">
        <f>Skills!B4</f>
        <v/>
      </c>
      <c r="C667">
        <f>Inputs!$B$3&gt;=105</f>
        <v/>
      </c>
      <c r="D667">
        <f>IF(Skills!C4=1,60+Inputs!$B$25+Inputs!$B$29,IF(Skills!C4=2,90+Inputs!$B$26+Inputs!$B$29,IF(Skills!C4=3,120+Inputs!$B$27+Inputs!$B$29,MAX(0,(Inputs!$B$3-100)*3)+Inputs!$B$28+Inputs!$B$29)))</f>
        <v/>
      </c>
      <c r="E667">
        <f>INDEX(FactorTable!$B$2:$Y$301, MATCH(ROUND(MIN(300,MAX(1,D667)),0), FactorTable!$A$2:$A$301,0), Skills!M4+1)</f>
        <v/>
      </c>
      <c r="F667">
        <f>IF(Skills!N4=TRUE,(Skills!L4/10)*(E667/1000),Skills!L4/10)+Skills!O4</f>
        <v/>
      </c>
      <c r="G667" t="inlineStr"/>
      <c r="H667" t="inlineStr"/>
      <c r="I667" t="inlineStr">
        <is>
          <t>1</t>
        </is>
      </c>
      <c r="J667" t="inlineStr"/>
      <c r="K667" t="inlineStr"/>
      <c r="L667" t="inlineStr"/>
      <c r="M667" t="inlineStr"/>
      <c r="N667" t="inlineStr"/>
      <c r="O667" t="inlineStr"/>
      <c r="P667" t="inlineStr"/>
      <c r="Q667" t="inlineStr"/>
      <c r="R667" t="inlineStr"/>
      <c r="S667" t="inlineStr"/>
      <c r="U667">
        <f>290*U666/1000</f>
        <v/>
      </c>
    </row>
    <row r="668">
      <c r="A668">
        <f>Skills!A5</f>
        <v/>
      </c>
      <c r="B668">
        <f>Skills!B5</f>
        <v/>
      </c>
      <c r="C668">
        <f>Inputs!$B$3&gt;=103</f>
        <v/>
      </c>
      <c r="D668">
        <f>IF(Skills!C5=1,60+Inputs!$B$25+Inputs!$B$29,IF(Skills!C5=2,90+Inputs!$B$26+Inputs!$B$29,IF(Skills!C5=3,120+Inputs!$B$27+Inputs!$B$29,MAX(0,(Inputs!$B$3-100)*3)+Inputs!$B$28+Inputs!$B$29)))</f>
        <v/>
      </c>
      <c r="E668">
        <f>INDEX(FactorTable!$B$2:$Y$301, MATCH(ROUND(MIN(300,MAX(1,D668)),0), FactorTable!$A$2:$A$301,0), Skills!M5+1)</f>
        <v/>
      </c>
      <c r="F668">
        <f>IF(Skills!N5=TRUE,(Skills!L5/10)*(E668/1000),Skills!L5/10)+Skills!O5</f>
        <v/>
      </c>
      <c r="G668">
        <f>Skills!G5*IF(Skills!H5&gt;0,Skills!I5/Skills!H5,1)</f>
        <v/>
      </c>
      <c r="H668">
        <f>1-(1-Skills!J5/100)^Skills!K5</f>
        <v/>
      </c>
      <c r="I668" t="inlineStr">
        <is>
          <t>1</t>
        </is>
      </c>
      <c r="J668">
        <f>((Inputs!$B$6*(1+Inputs!$B$7/100))+(((Inputs!$B$12*(1+Inputs!$B$13/100))-(Inputs!$B$12*(1+Inputs!$B$13/100)))+0.25*(Inputs!$B$14-Inputs!$B$14))*(1+Inputs!$B$7/100))*(F668/100)</f>
        <v/>
      </c>
      <c r="K668">
        <f>J668*(1+((Inputs!$B$12*(1+Inputs!$B$13/100))*0.01+Inputs!$B$14*0.0025)/100)*(1+Inputs!$B$15/100)*(1+Inputs!$B$16/100)*(5000/(6000+Inputs!$B$42*(1-(Inputs!$B$19+0)/100)))*(1+(Inputs!$B$24+((C688=TRUE)*(F688-Calc!F25))+B698)/100)*(1+IF(Skills!A5="ENHANCED_RAGING_BLOW",IF(Inputs!$B$3&gt;=134,MAX(0,IF(Inputs!$B$3&gt;=110,7,5)-5)*50,0),0)/100)*(1+(IF(Skills!A5="RAGING_BLOW",Inputs!$B$17+((C684=TRUE)*(F684-Calc!F21)),(Inputs!$B$18+1)+((C686=TRUE)*(F686-Calc!F23))))/100)*((1+(((C676=TRUE)*F676*IF(Inputs!$B$3&gt;=110,7,5))+((C678=TRUE)*F678*IF(AND(Inputs!$B$38&lt;&gt;"pvp",Inputs!$B$43&gt;0),(((R678-1)*(Skills!T15*(1+Inputs!$B$34/100))+MIN((Skills!T15*(1+Inputs!$B$34/100)),MAX(0,Inputs!$B$43-((R678-1)*Skills!D15))))/Inputs!$B$43),IF(Inputs!$B$38="pvp",MIN((Skills!T15*(1+Inputs!$B$34/100)),15)/15,(Skills!T15*(1+Inputs!$B$34/100))/Skills!D15)))+0)/100)*I668)</f>
        <v/>
      </c>
      <c r="L668">
        <f>K668*(MIN(Inputs!$B$22+((C685=TRUE)*(F685-Calc!F22)),Inputs!$B$23+((C687=TRUE)*(F687-Calc!F24)))/100+(Inputs!$B$23+((C687=TRUE)*(F687-Calc!F24)))/100)/2</f>
        <v/>
      </c>
      <c r="M668">
        <f>L668*(1+(Inputs!$B$10+0+B697)/100)</f>
        <v/>
      </c>
      <c r="N668">
        <f>L668*(1-MIN((Inputs!$B$9+((C689=TRUE)*(F689-Calc!F26))+B692),100)/100)+M668*(MIN((Inputs!$B$9+((C689=TRUE)*(F689-Calc!F26))+B692),100)/100)</f>
        <v/>
      </c>
      <c r="O668">
        <f>(1-Summary!$B$55)*T668+Summary!$B$55*V668</f>
        <v/>
      </c>
      <c r="P668">
        <f>IF(B702=0,0,O668/B702)</f>
        <v/>
      </c>
      <c r="Q668">
        <f>IFERROR(1/IF(Inputs!$B$38="pvp",15,MAX(0.1,Skills!D5-IF(Skills!E5=TRUE,Inputs!$B$32,0))),0)</f>
        <v/>
      </c>
      <c r="R668">
        <f>IF(AND(Inputs!$B$38&lt;&gt;"pvp",Inputs!$B$43&gt;0),IF(MAX(0,Inputs!$B$43-B699)&lt;=0,0,(INT(MAX(0,Inputs!$B$43-B699)/IF(Inputs!$B$38="pvp",15,MAX(0.1,Skills!D5-IF(Skills!E5=TRUE,Inputs!$B$32,0))))+1)),0)</f>
        <v/>
      </c>
      <c r="S668">
        <f>IFERROR(O668/N668,0)</f>
        <v/>
      </c>
      <c r="T668">
        <f>IF(C668,(H668*N668*IF(AND(Inputs!$B$38&lt;&gt;"pvp",Inputs!$B$43&gt;0),((Skills!G5*((R668-1)*IF(Skills!H5&gt;0,Skills!I5/Skills!H5,1)+IF(Skills!H5&gt;0,MIN(Skills!I5,MAX(0,MAX(0,Inputs!$B$43-B699)-((R668-1)*IF(Inputs!$B$38="pvp",15,MAX(0.1,Skills!D5-IF(Skills!E5=TRUE,Inputs!$B$32,0))))))/Skills!H5,1)))/Inputs!$B$43),G668*Q668))*IF(Inputs!$B$38="pvp",1,1+(Inputs!$B$20+0+Skills!P5+Summary!$B$59)/100),0)</f>
        <v/>
      </c>
      <c r="V668">
        <f>IF(C668,(H668*N668*IF(AND(Inputs!$B$38&lt;&gt;"pvp",Inputs!$B$43&gt;0),((Skills!G5*((R668-1)*IF(Skills!H5&gt;0,Skills!I5/Skills!H5,1)+IF(Skills!H5&gt;0,MIN(Skills!I5,MAX(0,MAX(0,Inputs!$B$43-B699)-((R668-1)*IF(Inputs!$B$38="pvp",15,MAX(0.1,Skills!D5-IF(Skills!E5=TRUE,Inputs!$B$32,0))))))/Skills!H5,1)))/Inputs!$B$43),G668*Q668))*IF(Inputs!$B$38="pvp",1,(1+(Inputs!$B$21+Skills!Q5+Summary!$B$59)/100)*(MIN(Skills!R5,Inputs!$B$37))),0)</f>
        <v/>
      </c>
    </row>
    <row r="669">
      <c r="A669">
        <f>Skills!A6</f>
        <v/>
      </c>
      <c r="B669">
        <f>Skills!B6</f>
        <v/>
      </c>
      <c r="C669">
        <f>Inputs!$B$3&gt;=103</f>
        <v/>
      </c>
      <c r="D669">
        <f>IF(Skills!C6=1,60+Inputs!$B$25+Inputs!$B$29,IF(Skills!C6=2,90+Inputs!$B$26+Inputs!$B$29,IF(Skills!C6=3,120+Inputs!$B$27+Inputs!$B$29,MAX(0,(Inputs!$B$3-100)*3)+Inputs!$B$28+Inputs!$B$29)))</f>
        <v/>
      </c>
      <c r="E669">
        <f>INDEX(FactorTable!$B$2:$Y$301, MATCH(ROUND(MIN(300,MAX(1,D669)),0), FactorTable!$A$2:$A$301,0), Skills!M6+1)</f>
        <v/>
      </c>
      <c r="F669">
        <f>IF(Skills!N6=TRUE,(Skills!L6/10)*(E669/1000),Skills!L6/10)+Skills!O6</f>
        <v/>
      </c>
      <c r="G669">
        <f>Skills!G6*IF(Skills!H6&gt;0,Skills!I6/Skills!H6,1)</f>
        <v/>
      </c>
      <c r="H669">
        <f>1-(1-Skills!J6/100)^Skills!K6</f>
        <v/>
      </c>
      <c r="I669" t="inlineStr">
        <is>
          <t>1</t>
        </is>
      </c>
      <c r="J669">
        <f>((Inputs!$B$6*(1+Inputs!$B$7/100))+(((Inputs!$B$12*(1+Inputs!$B$13/100))-(Inputs!$B$12*(1+Inputs!$B$13/100)))+0.25*(Inputs!$B$14-Inputs!$B$14))*(1+Inputs!$B$7/100))*(F669/100)</f>
        <v/>
      </c>
      <c r="K669">
        <f>J669*(1+((Inputs!$B$12*(1+Inputs!$B$13/100))*0.01+Inputs!$B$14*0.0025)/100)*(1+Inputs!$B$15/100)*(1+Inputs!$B$16/100)*(5000/(6000+Inputs!$B$42*(1-(Inputs!$B$19+0)/100)))*(1+(Inputs!$B$24+((C688=TRUE)*(F688-Calc!F25))+B698)/100)*(1+IF(Skills!A6="ENHANCED_RAGING_BLOW",IF(Inputs!$B$3&gt;=134,MAX(0,IF(Inputs!$B$3&gt;=110,7,5)-5)*50,0),0)/100)*(1+(IF(Skills!A6="RAGING_BLOW",Inputs!$B$17+((C684=TRUE)*(F684-Calc!F21)),(Inputs!$B$18+1)+((C686=TRUE)*(F686-Calc!F23))))/100)*((1+(((C676=TRUE)*F676*IF(Inputs!$B$3&gt;=110,7,5))+((C678=TRUE)*F678*IF(AND(Inputs!$B$38&lt;&gt;"pvp",Inputs!$B$43&gt;0),(((R678-1)*(Skills!T15*(1+Inputs!$B$34/100))+MIN((Skills!T15*(1+Inputs!$B$34/100)),MAX(0,Inputs!$B$43-((R678-1)*Skills!D15))))/Inputs!$B$43),IF(Inputs!$B$38="pvp",MIN((Skills!T15*(1+Inputs!$B$34/100)),15)/15,(Skills!T15*(1+Inputs!$B$34/100))/Skills!D15)))+0)/100)*I669)</f>
        <v/>
      </c>
      <c r="L669">
        <f>K669*(MIN(Inputs!$B$22+((C685=TRUE)*(F685-Calc!F22)),Inputs!$B$23+((C687=TRUE)*(F687-Calc!F24)))/100+(Inputs!$B$23+((C687=TRUE)*(F687-Calc!F24)))/100)/2</f>
        <v/>
      </c>
      <c r="M669">
        <f>L669*(1+(Inputs!$B$10+0+B697)/100)</f>
        <v/>
      </c>
      <c r="N669">
        <f>L669*(1-MIN((Inputs!$B$9+((C689=TRUE)*(F689-Calc!F26))+B692),100)/100)+M669*(MIN((Inputs!$B$9+((C689=TRUE)*(F689-Calc!F26))+B692),100)/100)</f>
        <v/>
      </c>
      <c r="O669">
        <f>(1-Summary!$B$55)*T669+Summary!$B$55*V669</f>
        <v/>
      </c>
      <c r="P669">
        <f>IF(B702=0,0,O669/B702)</f>
        <v/>
      </c>
      <c r="Q669">
        <f>IFERROR(1/IF(Inputs!$B$38="pvp",15,MAX(0.1,Skills!D6-IF(Skills!E6=TRUE,Inputs!$B$32,0))),0)</f>
        <v/>
      </c>
      <c r="R669">
        <f>IF(AND(Inputs!$B$38&lt;&gt;"pvp",Inputs!$B$43&gt;0),IF(MAX(0,Inputs!$B$43-B699)&lt;=0,0,(INT(MAX(0,Inputs!$B$43-B699)/IF(Inputs!$B$38="pvp",15,MAX(0.1,Skills!D6-IF(Skills!E6=TRUE,Inputs!$B$32,0))))+1)),0)</f>
        <v/>
      </c>
      <c r="S669">
        <f>IFERROR(O669/N669,0)</f>
        <v/>
      </c>
      <c r="T669">
        <f>IF(C669,(H669*N669*IF(AND(Inputs!$B$38&lt;&gt;"pvp",Inputs!$B$43&gt;0),((Skills!G6*((R669-1)*IF(Skills!H6&gt;0,Skills!I6/Skills!H6,1)+IF(Skills!H6&gt;0,MIN(Skills!I6,MAX(0,MAX(0,Inputs!$B$43-B699)-((R669-1)*IF(Inputs!$B$38="pvp",15,MAX(0.1,Skills!D6-IF(Skills!E6=TRUE,Inputs!$B$32,0))))))/Skills!H6,1)))/Inputs!$B$43),G669*Q669))*IF(Inputs!$B$38="pvp",1,1+(Inputs!$B$20+0+Skills!P6+Summary!$B$59)/100),0)</f>
        <v/>
      </c>
      <c r="V669">
        <f>IF(C669,(H669*N669*IF(AND(Inputs!$B$38&lt;&gt;"pvp",Inputs!$B$43&gt;0),((Skills!G6*((R669-1)*IF(Skills!H6&gt;0,Skills!I6/Skills!H6,1)+IF(Skills!H6&gt;0,MIN(Skills!I6,MAX(0,MAX(0,Inputs!$B$43-B699)-((R669-1)*IF(Inputs!$B$38="pvp",15,MAX(0.1,Skills!D6-IF(Skills!E6=TRUE,Inputs!$B$32,0))))))/Skills!H6,1)))/Inputs!$B$43),G669*Q669))*IF(Inputs!$B$38="pvp",1,(1+(Inputs!$B$21+Skills!Q6+Summary!$B$59)/100)*(MIN(Skills!R6,Inputs!$B$37))),0)</f>
        <v/>
      </c>
    </row>
    <row r="670">
      <c r="A670">
        <f>Skills!A7</f>
        <v/>
      </c>
      <c r="B670">
        <f>Skills!B7</f>
        <v/>
      </c>
      <c r="C670">
        <f>Inputs!$B$3&gt;=107</f>
        <v/>
      </c>
      <c r="D670">
        <f>IF(Skills!C7=1,60+Inputs!$B$25+Inputs!$B$29,IF(Skills!C7=2,90+Inputs!$B$26+Inputs!$B$29,IF(Skills!C7=3,120+Inputs!$B$27+Inputs!$B$29,MAX(0,(Inputs!$B$3-100)*3)+Inputs!$B$28+Inputs!$B$29)))</f>
        <v/>
      </c>
      <c r="E670">
        <f>INDEX(FactorTable!$B$2:$Y$301, MATCH(ROUND(MIN(300,MAX(1,D670)),0), FactorTable!$A$2:$A$301,0), Skills!M7+1)</f>
        <v/>
      </c>
      <c r="F670">
        <f>IF(Skills!N7=TRUE,(Skills!L7/10)*(E670/1000),Skills!L7/10)+Skills!O7</f>
        <v/>
      </c>
      <c r="G670">
        <f>Skills!G7*IF(Skills!H7&gt;0,Skills!I7/Skills!H7,1)</f>
        <v/>
      </c>
      <c r="H670">
        <f>1-(1-Skills!J7/100)^Skills!K7</f>
        <v/>
      </c>
      <c r="I670" t="inlineStr">
        <is>
          <t>1</t>
        </is>
      </c>
      <c r="J670">
        <f>((Inputs!$B$6*(1+Inputs!$B$7/100))+(((Inputs!$B$12*(1+Inputs!$B$13/100))-(Inputs!$B$12*(1+Inputs!$B$13/100)))+0.25*(Inputs!$B$14-Inputs!$B$14))*(1+Inputs!$B$7/100))*(F670/100)</f>
        <v/>
      </c>
      <c r="K670">
        <f>J670*(1+((Inputs!$B$12*(1+Inputs!$B$13/100))*0.01+Inputs!$B$14*0.0025)/100)*(1+Inputs!$B$15/100)*(1+Inputs!$B$16/100)*(5000/(6000+Inputs!$B$42*(1-(Inputs!$B$19+0)/100)))*(1+(Inputs!$B$24+((C688=TRUE)*(F688-Calc!F25))+B698)/100)*(1+IF(Skills!A7="ENHANCED_RAGING_BLOW",IF(Inputs!$B$3&gt;=134,MAX(0,IF(Inputs!$B$3&gt;=110,7,5)-5)*50,0),0)/100)*(1+(IF(Skills!A7="RAGING_BLOW",Inputs!$B$17+((C684=TRUE)*(F684-Calc!F21)),(Inputs!$B$18+1)+((C686=TRUE)*(F686-Calc!F23))))/100)*((1+(((C676=TRUE)*F676*IF(Inputs!$B$3&gt;=110,7,5))+((C678=TRUE)*F678*IF(AND(Inputs!$B$38&lt;&gt;"pvp",Inputs!$B$43&gt;0),(((R678-1)*(Skills!T15*(1+Inputs!$B$34/100))+MIN((Skills!T15*(1+Inputs!$B$34/100)),MAX(0,Inputs!$B$43-((R678-1)*Skills!D15))))/Inputs!$B$43),IF(Inputs!$B$38="pvp",MIN((Skills!T15*(1+Inputs!$B$34/100)),15)/15,(Skills!T15*(1+Inputs!$B$34/100))/Skills!D15)))+0)/100)*I670)</f>
        <v/>
      </c>
      <c r="L670">
        <f>K670*(MIN(Inputs!$B$22+((C685=TRUE)*(F685-Calc!F22)),Inputs!$B$23+((C687=TRUE)*(F687-Calc!F24)))/100+(Inputs!$B$23+((C687=TRUE)*(F687-Calc!F24)))/100)/2</f>
        <v/>
      </c>
      <c r="M670">
        <f>L670*(1+(Inputs!$B$10+0+B697)/100)</f>
        <v/>
      </c>
      <c r="N670">
        <f>L670*(1-MIN((Inputs!$B$9+((C689=TRUE)*(F689-Calc!F26))+B692),100)/100)+M670*(MIN((Inputs!$B$9+((C689=TRUE)*(F689-Calc!F26))+B692),100)/100)</f>
        <v/>
      </c>
      <c r="O670">
        <f>(1-Summary!$B$55)*T670+Summary!$B$55*V670</f>
        <v/>
      </c>
      <c r="P670">
        <f>IF(B702=0,0,O670/B702)</f>
        <v/>
      </c>
      <c r="Q670">
        <f>IFERROR(1/IF(Inputs!$B$38="pvp",15,MAX(0.1,Skills!D7-IF(Skills!E7=TRUE,Inputs!$B$32,0))),0)</f>
        <v/>
      </c>
      <c r="R670">
        <f>IF(AND(Inputs!$B$38&lt;&gt;"pvp",Inputs!$B$43&gt;0),IF(MAX(0,Inputs!$B$43-B699)&lt;=0,0,(INT(MAX(0,Inputs!$B$43-B699)/IF(Inputs!$B$38="pvp",15,MAX(0.1,Skills!D7-IF(Skills!E7=TRUE,Inputs!$B$32,0))))+1)),0)</f>
        <v/>
      </c>
      <c r="S670">
        <f>IFERROR(O670/N670,0)</f>
        <v/>
      </c>
      <c r="T670">
        <f>IF(C670,(H670*N670*IF(AND(Inputs!$B$38&lt;&gt;"pvp",Inputs!$B$43&gt;0),((Skills!G7*((R670-1)*IF(Skills!H7&gt;0,Skills!I7/Skills!H7,1)+IF(Skills!H7&gt;0,MIN(Skills!I7,MAX(0,MAX(0,Inputs!$B$43-B699)-((R670-1)*IF(Inputs!$B$38="pvp",15,MAX(0.1,Skills!D7-IF(Skills!E7=TRUE,Inputs!$B$32,0))))))/Skills!H7,1)))/Inputs!$B$43),G670*Q670))*IF(Inputs!$B$38="pvp",1,1+(Inputs!$B$20+0+Skills!P7+Summary!$B$59)/100),0)</f>
        <v/>
      </c>
      <c r="V670">
        <f>IF(C670,(H670*N670*IF(AND(Inputs!$B$38&lt;&gt;"pvp",Inputs!$B$43&gt;0),((Skills!G7*((R670-1)*IF(Skills!H7&gt;0,Skills!I7/Skills!H7,1)+IF(Skills!H7&gt;0,MIN(Skills!I7,MAX(0,MAX(0,Inputs!$B$43-B699)-((R670-1)*IF(Inputs!$B$38="pvp",15,MAX(0.1,Skills!D7-IF(Skills!E7=TRUE,Inputs!$B$32,0))))))/Skills!H7,1)))/Inputs!$B$43),G670*Q670))*IF(Inputs!$B$38="pvp",1,(1+(Inputs!$B$21+Skills!Q7+Summary!$B$59)/100)*(MIN(Skills!R7,Inputs!$B$37))),0)</f>
        <v/>
      </c>
    </row>
    <row r="671">
      <c r="A671">
        <f>Skills!A8</f>
        <v/>
      </c>
      <c r="B671">
        <f>Skills!B8</f>
        <v/>
      </c>
      <c r="C671">
        <f>Inputs!$B$3&gt;=117</f>
        <v/>
      </c>
      <c r="D671">
        <f>IF(Skills!C8=1,60+Inputs!$B$25+Inputs!$B$29,IF(Skills!C8=2,90+Inputs!$B$26+Inputs!$B$29,IF(Skills!C8=3,120+Inputs!$B$27+Inputs!$B$29,MAX(0,(Inputs!$B$3-100)*3)+Inputs!$B$28+Inputs!$B$29)))</f>
        <v/>
      </c>
      <c r="E671">
        <f>INDEX(FactorTable!$B$2:$Y$301, MATCH(ROUND(MIN(300,MAX(1,D671)),0), FactorTable!$A$2:$A$301,0), Skills!M8+1)</f>
        <v/>
      </c>
      <c r="F671">
        <f>IF(Skills!N8=TRUE,(Skills!L8/10)*(E671/1000),Skills!L8/10)+Skills!O8</f>
        <v/>
      </c>
      <c r="G671">
        <f>Skills!G8*IF(Skills!H8&gt;0,Skills!I8/Skills!H8,1)</f>
        <v/>
      </c>
      <c r="H671">
        <f>1-(1-Skills!J8/100)^Skills!K8</f>
        <v/>
      </c>
      <c r="I671" t="inlineStr">
        <is>
          <t>1</t>
        </is>
      </c>
      <c r="J671">
        <f>((Inputs!$B$6*(1+Inputs!$B$7/100))+(((Inputs!$B$12*(1+Inputs!$B$13/100))-(Inputs!$B$12*(1+Inputs!$B$13/100)))+0.25*(Inputs!$B$14-Inputs!$B$14))*(1+Inputs!$B$7/100))*(F671/100)</f>
        <v/>
      </c>
      <c r="K671">
        <f>J671*(1+((Inputs!$B$12*(1+Inputs!$B$13/100))*0.01+Inputs!$B$14*0.0025)/100)*(1+Inputs!$B$15/100)*(1+Inputs!$B$16/100)*(5000/(6000+Inputs!$B$42*(1-(Inputs!$B$19+0)/100)))*(1+(Inputs!$B$24+((C688=TRUE)*(F688-Calc!F25))+B698)/100)*(1+IF(Skills!A8="ENHANCED_RAGING_BLOW",IF(Inputs!$B$3&gt;=134,MAX(0,IF(Inputs!$B$3&gt;=110,7,5)-5)*50,0),0)/100)*(1+(IF(Skills!A8="RAGING_BLOW",Inputs!$B$17+((C684=TRUE)*(F684-Calc!F21)),(Inputs!$B$18+1)+((C686=TRUE)*(F686-Calc!F23))))/100)*((1+(((C676=TRUE)*F676*IF(Inputs!$B$3&gt;=110,7,5))+((C678=TRUE)*F678*IF(AND(Inputs!$B$38&lt;&gt;"pvp",Inputs!$B$43&gt;0),(((R678-1)*(Skills!T15*(1+Inputs!$B$34/100))+MIN((Skills!T15*(1+Inputs!$B$34/100)),MAX(0,Inputs!$B$43-((R678-1)*Skills!D15))))/Inputs!$B$43),IF(Inputs!$B$38="pvp",MIN((Skills!T15*(1+Inputs!$B$34/100)),15)/15,(Skills!T15*(1+Inputs!$B$34/100))/Skills!D15)))+0)/100)*I671)</f>
        <v/>
      </c>
      <c r="L671">
        <f>K671*(MIN(Inputs!$B$22+((C685=TRUE)*(F685-Calc!F22)),Inputs!$B$23+((C687=TRUE)*(F687-Calc!F24)))/100+(Inputs!$B$23+((C687=TRUE)*(F687-Calc!F24)))/100)/2</f>
        <v/>
      </c>
      <c r="M671">
        <f>L671*(1+(Inputs!$B$10+0+B697)/100)</f>
        <v/>
      </c>
      <c r="N671">
        <f>L671*(1-MIN((Inputs!$B$9+((C689=TRUE)*(F689-Calc!F26))+B692),100)/100)+M671*(MIN((Inputs!$B$9+((C689=TRUE)*(F689-Calc!F26))+B692),100)/100)</f>
        <v/>
      </c>
      <c r="O671">
        <f>(1-Summary!$B$55)*T671+Summary!$B$55*V671</f>
        <v/>
      </c>
      <c r="P671">
        <f>IF(B702=0,0,O671/B702)</f>
        <v/>
      </c>
      <c r="Q671">
        <f>IFERROR(1/IF(Inputs!$B$38="pvp",15,MAX(0.1,Skills!D8-IF(Skills!E8=TRUE,Inputs!$B$32,0))),0)</f>
        <v/>
      </c>
      <c r="R671">
        <f>IF(AND(Inputs!$B$38&lt;&gt;"pvp",Inputs!$B$43&gt;0),IF(MAX(0,Inputs!$B$43-B699)&lt;=0,0,(INT(MAX(0,Inputs!$B$43-B699)/IF(Inputs!$B$38="pvp",15,MAX(0.1,Skills!D8-IF(Skills!E8=TRUE,Inputs!$B$32,0))))+1)),0)</f>
        <v/>
      </c>
      <c r="S671">
        <f>IFERROR(O671/N671,0)</f>
        <v/>
      </c>
      <c r="T671">
        <f>IF(C671,(H671*N671*IF(AND(Inputs!$B$38&lt;&gt;"pvp",Inputs!$B$43&gt;0),((Skills!G8*((R671-1)*IF(Skills!H8&gt;0,Skills!I8/Skills!H8,1)+IF(Skills!H8&gt;0,MIN(Skills!I8,MAX(0,MAX(0,Inputs!$B$43-B699)-((R671-1)*IF(Inputs!$B$38="pvp",15,MAX(0.1,Skills!D8-IF(Skills!E8=TRUE,Inputs!$B$32,0))))))/Skills!H8,1)))/Inputs!$B$43),G671*Q671))*IF(Inputs!$B$38="pvp",1,1+(Inputs!$B$20+0+Skills!P8+Summary!$B$59)/100),0)</f>
        <v/>
      </c>
      <c r="V671">
        <f>IF(C671,(H671*N671*IF(AND(Inputs!$B$38&lt;&gt;"pvp",Inputs!$B$43&gt;0),((Skills!G8*((R671-1)*IF(Skills!H8&gt;0,Skills!I8/Skills!H8,1)+IF(Skills!H8&gt;0,MIN(Skills!I8,MAX(0,MAX(0,Inputs!$B$43-B699)-((R671-1)*IF(Inputs!$B$38="pvp",15,MAX(0.1,Skills!D8-IF(Skills!E8=TRUE,Inputs!$B$32,0))))))/Skills!H8,1)))/Inputs!$B$43),G671*Q671))*IF(Inputs!$B$38="pvp",1,(1+(Inputs!$B$21+Skills!Q8+Summary!$B$59)/100)*(MIN(Skills!R8,Inputs!$B$37))),0)</f>
        <v/>
      </c>
    </row>
    <row r="672">
      <c r="A672">
        <f>Skills!A9</f>
        <v/>
      </c>
      <c r="B672">
        <f>Skills!B9</f>
        <v/>
      </c>
      <c r="C672">
        <f>Inputs!$B$3&gt;=69</f>
        <v/>
      </c>
      <c r="D672">
        <f>IF(Skills!C9=1,60+Inputs!$B$25+Inputs!$B$29,IF(Skills!C9=2,90+Inputs!$B$26+Inputs!$B$29,IF(Skills!C9=3,120+Inputs!$B$27+Inputs!$B$29,MAX(0,(Inputs!$B$3-100)*3)+Inputs!$B$28+Inputs!$B$29)))</f>
        <v/>
      </c>
      <c r="E672">
        <f>INDEX(FactorTable!$B$2:$Y$301, MATCH(ROUND(MIN(300,MAX(1,D672)),0), FactorTable!$A$2:$A$301,0), Skills!M9+1)</f>
        <v/>
      </c>
      <c r="F672">
        <f>IF(Skills!N9=TRUE,(Skills!L9/10)*(E672/1000),Skills!L9/10)+Skills!O9</f>
        <v/>
      </c>
      <c r="G672">
        <f>Skills!G9*IF(Skills!H9&gt;0,Skills!I9/Skills!H9,1)</f>
        <v/>
      </c>
      <c r="H672">
        <f>1-(1-Skills!J9/100)^Skills!K9</f>
        <v/>
      </c>
      <c r="I672" t="inlineStr">
        <is>
          <t>1</t>
        </is>
      </c>
      <c r="J672">
        <f>((Inputs!$B$6*(1+Inputs!$B$7/100))+(((Inputs!$B$12*(1+Inputs!$B$13/100))-(Inputs!$B$12*(1+Inputs!$B$13/100)))+0.25*(Inputs!$B$14-Inputs!$B$14))*(1+Inputs!$B$7/100))*(F672/100)</f>
        <v/>
      </c>
      <c r="K672">
        <f>J672*(1+((Inputs!$B$12*(1+Inputs!$B$13/100))*0.01+Inputs!$B$14*0.0025)/100)*(1+Inputs!$B$15/100)*(1+Inputs!$B$16/100)*(5000/(6000+Inputs!$B$42*(1-(Inputs!$B$19+0)/100)))*(1+(Inputs!$B$24+((C688=TRUE)*(F688-Calc!F25))+B698)/100)*(1+1.0*IF(C675=TRUE,F675,0)/100)*(1+IF(Skills!A9="ENHANCED_RAGING_BLOW",IF(Inputs!$B$3&gt;=134,MAX(0,IF(Inputs!$B$3&gt;=110,7,5)-5)*50,0),0)/100)*(1+(IF(Skills!A9="RAGING_BLOW",Inputs!$B$17+((C684=TRUE)*(F684-Calc!F21)),(Inputs!$B$18+1)+((C686=TRUE)*(F686-Calc!F23))))/100)*((1+(((C676=TRUE)*F676*IF(Inputs!$B$3&gt;=110,7,5))+((C678=TRUE)*F678*IF(AND(Inputs!$B$38&lt;&gt;"pvp",Inputs!$B$43&gt;0),(((R678-1)*(Skills!T15*(1+Inputs!$B$34/100))+MIN((Skills!T15*(1+Inputs!$B$34/100)),MAX(0,Inputs!$B$43-((R678-1)*Skills!D15))))/Inputs!$B$43),IF(Inputs!$B$38="pvp",MIN((Skills!T15*(1+Inputs!$B$34/100)),15)/15,(Skills!T15*(1+Inputs!$B$34/100))/Skills!D15)))+0)/100)*I672)</f>
        <v/>
      </c>
      <c r="L672">
        <f>K672*(MIN(Inputs!$B$22+((C685=TRUE)*(F685-Calc!F22)),Inputs!$B$23+((C687=TRUE)*(F687-Calc!F24)))/100+(Inputs!$B$23+((C687=TRUE)*(F687-Calc!F24)))/100)/2</f>
        <v/>
      </c>
      <c r="M672">
        <f>L672*(1+(Inputs!$B$10+0+B697)/100)</f>
        <v/>
      </c>
      <c r="N672">
        <f>L672*(1-MIN((Inputs!$B$9+((C689=TRUE)*(F689-Calc!F26))+B692),100)/100)+M672*(MIN((Inputs!$B$9+((C689=TRUE)*(F689-Calc!F26))+B692),100)/100)</f>
        <v/>
      </c>
      <c r="O672">
        <f>(1-Summary!$B$55)*T672+Summary!$B$55*V672</f>
        <v/>
      </c>
      <c r="P672">
        <f>IF(B702=0,0,O672/B702)</f>
        <v/>
      </c>
      <c r="Q672">
        <f>IFERROR(1/IF(Inputs!$B$38="pvp",15,MAX(0.1,Skills!D9-IF(Skills!E9=TRUE,Inputs!$B$32,0))),0)</f>
        <v/>
      </c>
      <c r="R672">
        <f>IF(AND(Inputs!$B$38&lt;&gt;"pvp",Inputs!$B$43&gt;0),IF(MAX(0,Inputs!$B$43-B699)&lt;=0,0,(INT(MAX(0,Inputs!$B$43-B699)/IF(Inputs!$B$38="pvp",15,MAX(0.1,Skills!D9-IF(Skills!E9=TRUE,Inputs!$B$32,0))))+1)),0)</f>
        <v/>
      </c>
      <c r="S672">
        <f>IFERROR(O672/N672,0)</f>
        <v/>
      </c>
      <c r="T672">
        <f>IF(C672,(H672*N672*IF(AND(Inputs!$B$38&lt;&gt;"pvp",Inputs!$B$43&gt;0),((Skills!G9*((R672-1)*IF(Skills!H9&gt;0,Skills!I9/Skills!H9,1)+IF(Skills!H9&gt;0,MIN(Skills!I9,MAX(0,MAX(0,Inputs!$B$43-B699)-((R672-1)*IF(Inputs!$B$38="pvp",15,MAX(0.1,Skills!D9-IF(Skills!E9=TRUE,Inputs!$B$32,0))))))/Skills!H9,1)))/Inputs!$B$43),G672*Q672))*IF(Inputs!$B$38="pvp",1,1+(Inputs!$B$20+0+Skills!P9+Summary!$B$59)/100),0)</f>
        <v/>
      </c>
      <c r="V672">
        <f>IF(C672,(H672*N672*IF(AND(Inputs!$B$38&lt;&gt;"pvp",Inputs!$B$43&gt;0),((Skills!G9*((R672-1)*IF(Skills!H9&gt;0,Skills!I9/Skills!H9,1)+IF(Skills!H9&gt;0,MIN(Skills!I9,MAX(0,MAX(0,Inputs!$B$43-B699)-((R672-1)*IF(Inputs!$B$38="pvp",15,MAX(0.1,Skills!D9-IF(Skills!E9=TRUE,Inputs!$B$32,0))))))/Skills!H9,1)))/Inputs!$B$43),G672*Q672))*IF(Inputs!$B$38="pvp",1,(1+(Inputs!$B$21+Skills!Q9+Summary!$B$59)/100)*(MIN(Skills!R9,Inputs!$B$37))),0)</f>
        <v/>
      </c>
    </row>
    <row r="673">
      <c r="A673">
        <f>Skills!A10</f>
        <v/>
      </c>
      <c r="B673">
        <f>Skills!B10</f>
        <v/>
      </c>
      <c r="C673">
        <f>Inputs!$B$3&gt;=63</f>
        <v/>
      </c>
      <c r="D673">
        <f>IF(Skills!C10=1,60+Inputs!$B$25+Inputs!$B$29,IF(Skills!C10=2,90+Inputs!$B$26+Inputs!$B$29,IF(Skills!C10=3,120+Inputs!$B$27+Inputs!$B$29,MAX(0,(Inputs!$B$3-100)*3)+Inputs!$B$28+Inputs!$B$29)))</f>
        <v/>
      </c>
      <c r="E673">
        <f>INDEX(FactorTable!$B$2:$Y$301, MATCH(ROUND(MIN(300,MAX(1,D673)),0), FactorTable!$A$2:$A$301,0), Skills!M10+1)</f>
        <v/>
      </c>
      <c r="F673">
        <f>IF(Skills!N10=TRUE,(Skills!L10/10)*(E673/1000),Skills!L10/10)+Skills!O10</f>
        <v/>
      </c>
      <c r="G673">
        <f>Skills!G10*IF(Skills!H10&gt;0,Skills!I10/Skills!H10,1)</f>
        <v/>
      </c>
      <c r="H673">
        <f>1-(1-Skills!J10/100)^Skills!K10</f>
        <v/>
      </c>
      <c r="I673" t="inlineStr">
        <is>
          <t>1</t>
        </is>
      </c>
      <c r="J673">
        <f>((Inputs!$B$6*(1+Inputs!$B$7/100))+(((Inputs!$B$12*(1+Inputs!$B$13/100))-(Inputs!$B$12*(1+Inputs!$B$13/100)))+0.25*(Inputs!$B$14-Inputs!$B$14))*(1+Inputs!$B$7/100))*(F673/100)</f>
        <v/>
      </c>
      <c r="K673">
        <f>J673*(1+((Inputs!$B$12*(1+Inputs!$B$13/100))*0.01+Inputs!$B$14*0.0025)/100)*(1+Inputs!$B$15/100)*(1+Inputs!$B$16/100)*(5000/(6000+Inputs!$B$42*(1-(Inputs!$B$19+0)/100)))*(1+(Inputs!$B$24+((C688=TRUE)*(F688-Calc!F25))+B698)/100)*(1+1.5*IF(C675=TRUE,F675,0)/100)*(1+IF(Skills!A10="ENHANCED_RAGING_BLOW",IF(Inputs!$B$3&gt;=134,MAX(0,IF(Inputs!$B$3&gt;=110,7,5)-5)*50,0),0)/100)*(1+(IF(Skills!A10="RAGING_BLOW",Inputs!$B$17+((C684=TRUE)*(F684-Calc!F21)),(Inputs!$B$18+1)+((C686=TRUE)*(F686-Calc!F23))))/100)*((1+(((C676=TRUE)*F676*IF(Inputs!$B$3&gt;=110,7,5))+((C678=TRUE)*F678*IF(AND(Inputs!$B$38&lt;&gt;"pvp",Inputs!$B$43&gt;0),(((R678-1)*(Skills!T15*(1+Inputs!$B$34/100))+MIN((Skills!T15*(1+Inputs!$B$34/100)),MAX(0,Inputs!$B$43-((R678-1)*Skills!D15))))/Inputs!$B$43),IF(Inputs!$B$38="pvp",MIN((Skills!T15*(1+Inputs!$B$34/100)),15)/15,(Skills!T15*(1+Inputs!$B$34/100))/Skills!D15)))+0)/100)*I673)</f>
        <v/>
      </c>
      <c r="L673">
        <f>K673*(MIN(Inputs!$B$22+((C685=TRUE)*(F685-Calc!F22)),Inputs!$B$23+((C687=TRUE)*(F687-Calc!F24)))/100+(Inputs!$B$23+((C687=TRUE)*(F687-Calc!F24)))/100)/2</f>
        <v/>
      </c>
      <c r="M673">
        <f>L673*(1+(Inputs!$B$10+0+B697)/100)</f>
        <v/>
      </c>
      <c r="N673">
        <f>L673*(1-MIN((Inputs!$B$9+((C689=TRUE)*(F689-Calc!F26))+B692),100)/100)+M673*(MIN((Inputs!$B$9+((C689=TRUE)*(F689-Calc!F26))+B692),100)/100)</f>
        <v/>
      </c>
      <c r="O673">
        <f>(1-Summary!$B$55)*T673+Summary!$B$55*V673</f>
        <v/>
      </c>
      <c r="P673">
        <f>IF(B702=0,0,O673/B702)</f>
        <v/>
      </c>
      <c r="Q673">
        <f>IFERROR(1/IF(Inputs!$B$38="pvp",15,MAX(0.1,Skills!D10-IF(Skills!E10=TRUE,Inputs!$B$32,0))),0)</f>
        <v/>
      </c>
      <c r="R673">
        <f>IF(AND(Inputs!$B$38&lt;&gt;"pvp",Inputs!$B$43&gt;0),IF(MAX(0,Inputs!$B$43-B699)&lt;=0,0,(INT(MAX(0,Inputs!$B$43-B699)/IF(Inputs!$B$38="pvp",15,MAX(0.1,Skills!D10-IF(Skills!E10=TRUE,Inputs!$B$32,0))))+1)),0)</f>
        <v/>
      </c>
      <c r="S673">
        <f>IFERROR(O673/N673,0)</f>
        <v/>
      </c>
      <c r="T673">
        <f>IF(C673,(H673*N673*IF(AND(Inputs!$B$38&lt;&gt;"pvp",Inputs!$B$43&gt;0),((Skills!G10*((R673-1)*IF(Skills!H10&gt;0,Skills!I10/Skills!H10,1)+IF(Skills!H10&gt;0,MIN(Skills!I10,MAX(0,MAX(0,Inputs!$B$43-B699)-((R673-1)*IF(Inputs!$B$38="pvp",15,MAX(0.1,Skills!D10-IF(Skills!E10=TRUE,Inputs!$B$32,0))))))/Skills!H10,1)))/Inputs!$B$43),G673*Q673))*IF(Inputs!$B$38="pvp",1,1+(Inputs!$B$20+0+Skills!P10+Summary!$B$59)/100),0)</f>
        <v/>
      </c>
      <c r="V673">
        <f>IF(C673,(H673*N673*IF(AND(Inputs!$B$38&lt;&gt;"pvp",Inputs!$B$43&gt;0),((Skills!G10*((R673-1)*IF(Skills!H10&gt;0,Skills!I10/Skills!H10,1)+IF(Skills!H10&gt;0,MIN(Skills!I10,MAX(0,MAX(0,Inputs!$B$43-B699)-((R673-1)*IF(Inputs!$B$38="pvp",15,MAX(0.1,Skills!D10-IF(Skills!E10=TRUE,Inputs!$B$32,0))))))/Skills!H10,1)))/Inputs!$B$43),G673*Q673))*IF(Inputs!$B$38="pvp",1,(1+(Inputs!$B$21+Skills!Q10+Summary!$B$59)/100)*(MIN(Skills!R10,Inputs!$B$37))),0)</f>
        <v/>
      </c>
    </row>
    <row r="674">
      <c r="A674">
        <f>Skills!A11</f>
        <v/>
      </c>
      <c r="B674">
        <f>Skills!B11</f>
        <v/>
      </c>
      <c r="C674">
        <f>Inputs!$B$3&gt;=35</f>
        <v/>
      </c>
      <c r="D674">
        <f>IF(Skills!C11=1,60+Inputs!$B$25+Inputs!$B$29,IF(Skills!C11=2,90+Inputs!$B$26+Inputs!$B$29,IF(Skills!C11=3,120+Inputs!$B$27+Inputs!$B$29,MAX(0,(Inputs!$B$3-100)*3)+Inputs!$B$28+Inputs!$B$29)))</f>
        <v/>
      </c>
      <c r="E674">
        <f>INDEX(FactorTable!$B$2:$Y$301, MATCH(ROUND(MIN(300,MAX(1,D674)),0), FactorTable!$A$2:$A$301,0), Skills!M11+1)</f>
        <v/>
      </c>
      <c r="F674">
        <f>IF(Skills!N11=TRUE,(Skills!L11/10)*(E674/1000),Skills!L11/10)+Skills!O11</f>
        <v/>
      </c>
      <c r="G674">
        <f>Skills!G11*IF(Skills!H11&gt;0,Skills!I11/Skills!H11,1)</f>
        <v/>
      </c>
      <c r="H674">
        <f>1-(1-Skills!J11/100)^Skills!K11</f>
        <v/>
      </c>
      <c r="I674" t="inlineStr">
        <is>
          <t>1</t>
        </is>
      </c>
      <c r="J674">
        <f>((Inputs!$B$6*(1+Inputs!$B$7/100))+(((Inputs!$B$12*(1+Inputs!$B$13/100))-(Inputs!$B$12*(1+Inputs!$B$13/100)))+0.25*(Inputs!$B$14-Inputs!$B$14))*(1+Inputs!$B$7/100))*(F674/100)</f>
        <v/>
      </c>
      <c r="K674">
        <f>J674*(1+((Inputs!$B$12*(1+Inputs!$B$13/100))*0.01+Inputs!$B$14*0.0025)/100)*(1+Inputs!$B$15/100)*(1+Inputs!$B$16/100)*(5000/(6000+Inputs!$B$42*(1-(Inputs!$B$19+0)/100)))*(1+(Inputs!$B$24+((C688=TRUE)*(F688-Calc!F25))+B698)/100)*(1+4.0*IF(C675=TRUE,F675,0)/100)*(1+IF(Skills!A11="ENHANCED_RAGING_BLOW",IF(Inputs!$B$3&gt;=134,MAX(0,IF(Inputs!$B$3&gt;=110,7,5)-5)*50,0),0)/100)*(1+(IF(Skills!A11="RAGING_BLOW",Inputs!$B$17+((C684=TRUE)*(F684-Calc!F21)),(Inputs!$B$18+1)+((C686=TRUE)*(F686-Calc!F23))))/100)*((1+(((C676=TRUE)*F676*IF(Inputs!$B$3&gt;=110,7,5))+((C678=TRUE)*F678*IF(AND(Inputs!$B$38&lt;&gt;"pvp",Inputs!$B$43&gt;0),(((R678-1)*(Skills!T15*(1+Inputs!$B$34/100))+MIN((Skills!T15*(1+Inputs!$B$34/100)),MAX(0,Inputs!$B$43-((R678-1)*Skills!D15))))/Inputs!$B$43),IF(Inputs!$B$38="pvp",MIN((Skills!T15*(1+Inputs!$B$34/100)),15)/15,(Skills!T15*(1+Inputs!$B$34/100))/Skills!D15)))+0)/100)*I674)</f>
        <v/>
      </c>
      <c r="L674">
        <f>K674*(MIN(Inputs!$B$22+((C685=TRUE)*(F685-Calc!F22)),Inputs!$B$23+((C687=TRUE)*(F687-Calc!F24)))/100+(Inputs!$B$23+((C687=TRUE)*(F687-Calc!F24)))/100)/2</f>
        <v/>
      </c>
      <c r="M674">
        <f>L674*(1+(Inputs!$B$10+0+B697)/100)</f>
        <v/>
      </c>
      <c r="N674">
        <f>L674*(1-MIN((Inputs!$B$9+((C689=TRUE)*(F689-Calc!F26))+B692),100)/100)+M674*(MIN((Inputs!$B$9+((C689=TRUE)*(F689-Calc!F26))+B692),100)/100)</f>
        <v/>
      </c>
      <c r="O674">
        <f>(1-Summary!$B$55)*T674+Summary!$B$55*V674</f>
        <v/>
      </c>
      <c r="P674">
        <f>IF(B702=0,0,O674/B702)</f>
        <v/>
      </c>
      <c r="Q674">
        <f>IFERROR(1/IF(Inputs!$B$38="pvp",15,MAX(0.1,Skills!D11-IF(Skills!E11=TRUE,Inputs!$B$32,0))),0)</f>
        <v/>
      </c>
      <c r="R674">
        <f>IF(AND(Inputs!$B$38&lt;&gt;"pvp",Inputs!$B$43&gt;0),IF(MAX(0,Inputs!$B$43-B699)&lt;=0,0,(INT(MAX(0,Inputs!$B$43-B699)/IF(Inputs!$B$38="pvp",15,MAX(0.1,Skills!D11-IF(Skills!E11=TRUE,Inputs!$B$32,0))))+1)),0)</f>
        <v/>
      </c>
      <c r="S674">
        <f>IFERROR(O674/N674,0)</f>
        <v/>
      </c>
      <c r="T674">
        <f>IF(C674,(H674*N674*IF(AND(Inputs!$B$38&lt;&gt;"pvp",Inputs!$B$43&gt;0),((Skills!G11*((R674-1)*IF(Skills!H11&gt;0,Skills!I11/Skills!H11,1)+IF(Skills!H11&gt;0,MIN(Skills!I11,MAX(0,MAX(0,Inputs!$B$43-B699)-((R674-1)*IF(Inputs!$B$38="pvp",15,MAX(0.1,Skills!D11-IF(Skills!E11=TRUE,Inputs!$B$32,0))))))/Skills!H11,1)))/Inputs!$B$43),G674*Q674))*IF(Inputs!$B$38="pvp",1,1+(Inputs!$B$20+0+Skills!P11+Summary!$B$59)/100),0)</f>
        <v/>
      </c>
      <c r="V674">
        <f>IF(C674,(H674*N674*IF(AND(Inputs!$B$38&lt;&gt;"pvp",Inputs!$B$43&gt;0),((Skills!G11*((R674-1)*IF(Skills!H11&gt;0,Skills!I11/Skills!H11,1)+IF(Skills!H11&gt;0,MIN(Skills!I11,MAX(0,MAX(0,Inputs!$B$43-B699)-((R674-1)*IF(Inputs!$B$38="pvp",15,MAX(0.1,Skills!D11-IF(Skills!E11=TRUE,Inputs!$B$32,0))))))/Skills!H11,1)))/Inputs!$B$43),G674*Q674))*IF(Inputs!$B$38="pvp",1,(1+(Inputs!$B$21+Skills!Q11+Summary!$B$59)/100)*(MIN(Skills!R11,Inputs!$B$37))),0)</f>
        <v/>
      </c>
    </row>
    <row r="675">
      <c r="A675">
        <f>Skills!A12</f>
        <v/>
      </c>
      <c r="B675">
        <f>Skills!B12</f>
        <v/>
      </c>
      <c r="C675">
        <f>Inputs!$B$3&gt;=100</f>
        <v/>
      </c>
      <c r="D675">
        <f>IF(Skills!C12=1,60+Inputs!$B$25+Inputs!$B$29,IF(Skills!C12=2,90+Inputs!$B$26+Inputs!$B$29,IF(Skills!C12=3,120+Inputs!$B$27+Inputs!$B$29,MAX(0,(Inputs!$B$3-100)*3)+Inputs!$B$28+Inputs!$B$29)))</f>
        <v/>
      </c>
      <c r="E675">
        <f>INDEX(FactorTable!$B$2:$Y$301, MATCH(ROUND(MIN(300,MAX(1,D675)),0), FactorTable!$A$2:$A$301,0), Skills!M12+1)</f>
        <v/>
      </c>
      <c r="F675">
        <f>IF(Skills!N12=TRUE,(Skills!L12/10)*(E675/1000),Skills!L12/10)+Skills!O12</f>
        <v/>
      </c>
      <c r="G675" t="inlineStr"/>
      <c r="H675" t="inlineStr"/>
      <c r="I675" t="inlineStr">
        <is>
          <t>1</t>
        </is>
      </c>
      <c r="J675" t="inlineStr"/>
      <c r="K675" t="inlineStr"/>
      <c r="L675" t="inlineStr"/>
      <c r="M675" t="inlineStr"/>
      <c r="N675" t="inlineStr"/>
      <c r="O675" t="inlineStr"/>
      <c r="P675" t="inlineStr"/>
      <c r="Q675" t="inlineStr"/>
      <c r="R675" t="inlineStr"/>
      <c r="S675" t="inlineStr"/>
    </row>
    <row r="676">
      <c r="A676">
        <f>Skills!A13</f>
        <v/>
      </c>
      <c r="B676">
        <f>Skills!B13</f>
        <v/>
      </c>
      <c r="C676">
        <f>Inputs!$B$3&gt;=45</f>
        <v/>
      </c>
      <c r="D676">
        <f>IF(Skills!C13=1,60+Inputs!$B$25+Inputs!$B$29,IF(Skills!C13=2,90+Inputs!$B$26+Inputs!$B$29,IF(Skills!C13=3,120+Inputs!$B$27+Inputs!$B$29,MAX(0,(Inputs!$B$3-100)*3)+Inputs!$B$28+Inputs!$B$29)))</f>
        <v/>
      </c>
      <c r="E676">
        <f>INDEX(FactorTable!$B$2:$Y$301, MATCH(ROUND(MIN(300,MAX(1,D676)),0), FactorTable!$A$2:$A$301,0), Skills!M13+1)</f>
        <v/>
      </c>
      <c r="F676">
        <f>IF(Skills!N13=TRUE,(Skills!L13/10)*(E676/1000),Skills!L13/10)+Skills!O13</f>
        <v/>
      </c>
      <c r="G676">
        <f>Skills!G13*IF(Skills!H13&gt;0,Skills!I13/Skills!H13,1)</f>
        <v/>
      </c>
      <c r="H676">
        <f>1-(1-Skills!J13/100)^Skills!K13</f>
        <v/>
      </c>
      <c r="I676" t="inlineStr">
        <is>
          <t>1</t>
        </is>
      </c>
      <c r="J676" t="inlineStr"/>
      <c r="K676" t="inlineStr"/>
      <c r="L676" t="inlineStr"/>
      <c r="M676" t="inlineStr"/>
      <c r="N676" t="inlineStr"/>
      <c r="O676">
        <f>(1-Summary!$B$55)*T676+Summary!$B$55*V676</f>
        <v/>
      </c>
      <c r="P676">
        <f>IF(B702=0,0,O676/B702)</f>
        <v/>
      </c>
      <c r="Q676" t="n">
        <v>0</v>
      </c>
      <c r="R676" t="n">
        <v>0</v>
      </c>
      <c r="S676">
        <f>IFERROR(O676/N676,0)</f>
        <v/>
      </c>
      <c r="T676" t="n">
        <v>0</v>
      </c>
      <c r="V676" t="n">
        <v>0</v>
      </c>
    </row>
    <row r="677">
      <c r="A677">
        <f>Skills!A14</f>
        <v/>
      </c>
      <c r="B677">
        <f>Skills!B14</f>
        <v/>
      </c>
      <c r="C677">
        <f>Inputs!$B$3&gt;=75</f>
        <v/>
      </c>
      <c r="D677">
        <f>IF(Skills!C14=1,60+Inputs!$B$25+Inputs!$B$29,IF(Skills!C14=2,90+Inputs!$B$26+Inputs!$B$29,IF(Skills!C14=3,120+Inputs!$B$27+Inputs!$B$29,MAX(0,(Inputs!$B$3-100)*3)+Inputs!$B$28+Inputs!$B$29)))</f>
        <v/>
      </c>
      <c r="E677">
        <f>INDEX(FactorTable!$B$2:$Y$301, MATCH(ROUND(MIN(300,MAX(1,D677)),0), FactorTable!$A$2:$A$301,0), Skills!M14+1)</f>
        <v/>
      </c>
      <c r="F677">
        <f>IF(Skills!N14=TRUE,(Skills!L14/10)*(E677/1000),Skills!L14/10)+Skills!O14</f>
        <v/>
      </c>
      <c r="G677">
        <f>Skills!G14*IF(Skills!H14&gt;0,Skills!I14/Skills!H14,1)</f>
        <v/>
      </c>
      <c r="H677">
        <f>1-(1-Skills!J14/100)^Skills!K14</f>
        <v/>
      </c>
      <c r="I677" t="inlineStr">
        <is>
          <t>1</t>
        </is>
      </c>
      <c r="J677" t="inlineStr"/>
      <c r="K677" t="inlineStr"/>
      <c r="L677" t="inlineStr"/>
      <c r="M677" t="inlineStr"/>
      <c r="N677" t="inlineStr"/>
      <c r="O677">
        <f>(1-Summary!$B$55)*T677+Summary!$B$55*V677</f>
        <v/>
      </c>
      <c r="P677">
        <f>IF(B702=0,0,O677/B702)</f>
        <v/>
      </c>
      <c r="Q677" t="n">
        <v>0</v>
      </c>
      <c r="R677" t="n">
        <v>0</v>
      </c>
      <c r="S677">
        <f>IFERROR(O677/N677,0)</f>
        <v/>
      </c>
      <c r="T677" t="n">
        <v>0</v>
      </c>
      <c r="V677" t="n">
        <v>0</v>
      </c>
    </row>
    <row r="678">
      <c r="A678">
        <f>Skills!A15</f>
        <v/>
      </c>
      <c r="B678">
        <f>Skills!B15</f>
        <v/>
      </c>
      <c r="C678">
        <f>Inputs!$B$3&gt;=40</f>
        <v/>
      </c>
      <c r="D678">
        <f>IF(Skills!C15=1,60+Inputs!$B$25+Inputs!$B$29,IF(Skills!C15=2,90+Inputs!$B$26+Inputs!$B$29,IF(Skills!C15=3,120+Inputs!$B$27+Inputs!$B$29,MAX(0,(Inputs!$B$3-100)*3)+Inputs!$B$28+Inputs!$B$29)))</f>
        <v/>
      </c>
      <c r="E678">
        <f>INDEX(FactorTable!$B$2:$Y$301, MATCH(ROUND(MIN(300,MAX(1,D678)),0), FactorTable!$A$2:$A$301,0), Skills!M15+1)</f>
        <v/>
      </c>
      <c r="F678">
        <f>IF(Skills!N15=TRUE,(Skills!L15/10)*(E678/1000),Skills!L15/10)+Skills!O15</f>
        <v/>
      </c>
      <c r="G678">
        <f>Skills!G15*IF(Skills!H15&gt;0,Skills!I15/Skills!H15,1)</f>
        <v/>
      </c>
      <c r="H678">
        <f>1-(1-Skills!J15/100)^Skills!K15</f>
        <v/>
      </c>
      <c r="I678" t="inlineStr">
        <is>
          <t>1</t>
        </is>
      </c>
      <c r="J678" t="inlineStr"/>
      <c r="K678" t="inlineStr"/>
      <c r="L678" t="inlineStr"/>
      <c r="M678" t="inlineStr"/>
      <c r="N678" t="inlineStr"/>
      <c r="O678">
        <f>(1-Summary!$B$55)*T678+Summary!$B$55*V678</f>
        <v/>
      </c>
      <c r="P678">
        <f>IF(B702=0,0,O678/B702)</f>
        <v/>
      </c>
      <c r="Q678">
        <f>IFERROR(1/IF(Inputs!$B$38="pvp",15,MAX(0.1,Skills!D15-IF(Skills!E15=TRUE,Inputs!$B$32,0))),0)</f>
        <v/>
      </c>
      <c r="R678">
        <f>IF(AND(Inputs!$B$38&lt;&gt;"pvp",Inputs!$B$43&gt;0),IF(Inputs!$B$43&lt;=0,0,(INT(Inputs!$B$43/IF(Inputs!$B$38="pvp",15,MAX(0.1,Skills!D15-IF(Skills!E15=TRUE,Inputs!$B$32,0))))+1)),0)</f>
        <v/>
      </c>
      <c r="S678">
        <f>IFERROR(O678/N678,0)</f>
        <v/>
      </c>
      <c r="T678" t="n">
        <v>0</v>
      </c>
      <c r="V678" t="n">
        <v>0</v>
      </c>
    </row>
    <row r="679">
      <c r="A679">
        <f>Skills!A16</f>
        <v/>
      </c>
      <c r="B679">
        <f>Skills!B16</f>
        <v/>
      </c>
      <c r="C679">
        <f>Inputs!$B$3&gt;=66</f>
        <v/>
      </c>
      <c r="D679">
        <f>IF(Skills!C16=1,60+Inputs!$B$25+Inputs!$B$29,IF(Skills!C16=2,90+Inputs!$B$26+Inputs!$B$29,IF(Skills!C16=3,120+Inputs!$B$27+Inputs!$B$29,MAX(0,(Inputs!$B$3-100)*3)+Inputs!$B$28+Inputs!$B$29)))</f>
        <v/>
      </c>
      <c r="E679">
        <f>INDEX(FactorTable!$B$2:$Y$301, MATCH(ROUND(MIN(300,MAX(1,D679)),0), FactorTable!$A$2:$A$301,0), Skills!M16+1)</f>
        <v/>
      </c>
      <c r="F679">
        <f>IF(Skills!N16=TRUE,(Skills!L16/10)*(E679/1000),Skills!L16/10)+Skills!O16</f>
        <v/>
      </c>
      <c r="G679">
        <f>Skills!G16*IF(Skills!H16&gt;0,Skills!I16/Skills!H16,1)</f>
        <v/>
      </c>
      <c r="H679">
        <f>1-(1-Skills!J16/100)^Skills!K16</f>
        <v/>
      </c>
      <c r="I679" t="inlineStr">
        <is>
          <t>1</t>
        </is>
      </c>
      <c r="J679" t="inlineStr"/>
      <c r="K679" t="inlineStr"/>
      <c r="L679" t="inlineStr"/>
      <c r="M679" t="inlineStr"/>
      <c r="N679" t="inlineStr"/>
      <c r="O679">
        <f>(1-Summary!$B$55)*T679+Summary!$B$55*V679</f>
        <v/>
      </c>
      <c r="P679">
        <f>IF(B702=0,0,O679/B702)</f>
        <v/>
      </c>
      <c r="Q679">
        <f>IFERROR(1/IF(Inputs!$B$38="pvp",15,MAX(0.1,Skills!D16-IF(Skills!E16=TRUE,Inputs!$B$32,0))),0)</f>
        <v/>
      </c>
      <c r="R679">
        <f>IF(AND(Inputs!$B$38&lt;&gt;"pvp",Inputs!$B$43&gt;0),IF(Inputs!$B$43&lt;=0,0,(INT(Inputs!$B$43/IF(Inputs!$B$38="pvp",15,MAX(0.1,Skills!D16-IF(Skills!E16=TRUE,Inputs!$B$32,0))))+1)),0)</f>
        <v/>
      </c>
      <c r="S679">
        <f>IFERROR(O679/N679,0)</f>
        <v/>
      </c>
      <c r="T679" t="n">
        <v>0</v>
      </c>
      <c r="V679" t="n">
        <v>0</v>
      </c>
    </row>
    <row r="680">
      <c r="A680">
        <f>Skills!A17</f>
        <v/>
      </c>
      <c r="B680">
        <f>Skills!B17</f>
        <v/>
      </c>
      <c r="C680">
        <f>Inputs!$B$3&gt;=115</f>
        <v/>
      </c>
      <c r="D680">
        <f>IF(Skills!C17=1,60+Inputs!$B$25+Inputs!$B$29,IF(Skills!C17=2,90+Inputs!$B$26+Inputs!$B$29,IF(Skills!C17=3,120+Inputs!$B$27+Inputs!$B$29,MAX(0,(Inputs!$B$3-100)*3)+Inputs!$B$28+Inputs!$B$29)))</f>
        <v/>
      </c>
      <c r="E680">
        <f>INDEX(FactorTable!$B$2:$Y$301, MATCH(ROUND(MIN(300,MAX(1,D680)),0), FactorTable!$A$2:$A$301,0), Skills!M17+1)</f>
        <v/>
      </c>
      <c r="F680">
        <f>IF(Skills!N17=TRUE,(Skills!L17/10)*(E680/1000),Skills!L17/10)+Skills!O17</f>
        <v/>
      </c>
      <c r="G680">
        <f>Skills!G17*IF(Skills!H17&gt;0,Skills!I17/Skills!H17,1)</f>
        <v/>
      </c>
      <c r="H680">
        <f>1-(1-Skills!J17/100)^Skills!K17</f>
        <v/>
      </c>
      <c r="I680" t="inlineStr">
        <is>
          <t>1</t>
        </is>
      </c>
      <c r="J680" t="inlineStr"/>
      <c r="K680" t="inlineStr"/>
      <c r="L680" t="inlineStr"/>
      <c r="M680" t="inlineStr"/>
      <c r="N680" t="inlineStr"/>
      <c r="O680">
        <f>(1-Summary!$B$55)*T680+Summary!$B$55*V680</f>
        <v/>
      </c>
      <c r="P680">
        <f>IF(B702=0,0,O680/B702)</f>
        <v/>
      </c>
      <c r="Q680">
        <f>IFERROR(1/IF(Inputs!$B$38="pvp",15,MAX(0.1,Skills!D17-IF(Skills!E17=TRUE,Inputs!$B$32,0))),0)</f>
        <v/>
      </c>
      <c r="R680">
        <f>IF(AND(Inputs!$B$38&lt;&gt;"pvp",Inputs!$B$43&gt;0),IF(Inputs!$B$43&lt;=0,0,(INT(Inputs!$B$43/IF(Inputs!$B$38="pvp",15,MAX(0.1,Skills!D17-IF(Skills!E17=TRUE,Inputs!$B$32,0))))+1)),0)</f>
        <v/>
      </c>
      <c r="S680">
        <f>IFERROR(O680/N680,0)</f>
        <v/>
      </c>
      <c r="T680" t="n">
        <v>0</v>
      </c>
      <c r="V680" t="n">
        <v>0</v>
      </c>
    </row>
    <row r="681">
      <c r="A681">
        <f>Skills!A18</f>
        <v/>
      </c>
      <c r="B681">
        <f>Skills!B18</f>
        <v/>
      </c>
      <c r="C681">
        <f>Inputs!$B$3&gt;=115</f>
        <v/>
      </c>
      <c r="D681">
        <f>IF(Skills!C18=1,60+Inputs!$B$25+Inputs!$B$29,IF(Skills!C18=2,90+Inputs!$B$26+Inputs!$B$29,IF(Skills!C18=3,120+Inputs!$B$27+Inputs!$B$29,MAX(0,(Inputs!$B$3-100)*3)+Inputs!$B$28+Inputs!$B$29)))</f>
        <v/>
      </c>
      <c r="E681">
        <f>INDEX(FactorTable!$B$2:$Y$301, MATCH(ROUND(MIN(300,MAX(1,D681)),0), FactorTable!$A$2:$A$301,0), Skills!M18+1)</f>
        <v/>
      </c>
      <c r="F681">
        <f>IF(Skills!N18=TRUE,(Skills!L18/10)*(E681/1000),Skills!L18/10)+Skills!O18</f>
        <v/>
      </c>
      <c r="G681">
        <f>Skills!G18*IF(Skills!H18&gt;0,Skills!I18/Skills!H18,1)</f>
        <v/>
      </c>
      <c r="H681">
        <f>1-(1-Skills!J18/100)^Skills!K18</f>
        <v/>
      </c>
      <c r="I681" t="inlineStr">
        <is>
          <t>1</t>
        </is>
      </c>
      <c r="J681" t="inlineStr"/>
      <c r="K681" t="inlineStr"/>
      <c r="L681" t="inlineStr"/>
      <c r="M681" t="inlineStr"/>
      <c r="N681" t="inlineStr"/>
      <c r="O681">
        <f>(1-Summary!$B$55)*T681+Summary!$B$55*V681</f>
        <v/>
      </c>
      <c r="P681">
        <f>IF(B702=0,0,O681/B702)</f>
        <v/>
      </c>
      <c r="Q681">
        <f>IFERROR(1/IF(Inputs!$B$38="pvp",15,MAX(0.1,Skills!D18-IF(Skills!E18=TRUE,Inputs!$B$32,0))),0)</f>
        <v/>
      </c>
      <c r="R681">
        <f>IF(AND(Inputs!$B$38&lt;&gt;"pvp",Inputs!$B$43&gt;0),IF(Inputs!$B$43&lt;=0,0,(INT(Inputs!$B$43/IF(Inputs!$B$38="pvp",15,MAX(0.1,Skills!D18-IF(Skills!E18=TRUE,Inputs!$B$32,0))))+1)),0)</f>
        <v/>
      </c>
      <c r="S681">
        <f>IFERROR(O681/N681,0)</f>
        <v/>
      </c>
      <c r="T681" t="n">
        <v>0</v>
      </c>
      <c r="V681" t="n">
        <v>0</v>
      </c>
    </row>
    <row r="682">
      <c r="A682">
        <f>Skills!A19</f>
        <v/>
      </c>
      <c r="B682">
        <f>Skills!B19</f>
        <v/>
      </c>
      <c r="C682">
        <f>TRUE</f>
        <v/>
      </c>
      <c r="D682">
        <f>IF(Skills!C19=1,60+Inputs!$B$25+Inputs!$B$29,IF(Skills!C19=2,90+Inputs!$B$26+Inputs!$B$29,IF(Skills!C19=3,120+Inputs!$B$27+Inputs!$B$29,MAX(0,(Inputs!$B$3-100)*3)+Inputs!$B$28+Inputs!$B$29)))</f>
        <v/>
      </c>
      <c r="E682">
        <f>INDEX(FactorTable!$B$2:$Y$301, MATCH(ROUND(MIN(300,MAX(1,D682)),0), FactorTable!$A$2:$A$301,0), Skills!M19+1)</f>
        <v/>
      </c>
      <c r="F682">
        <f>IF(Skills!N19=TRUE,(Skills!L19/10)*(E682/1000),Skills!L19/10)+Skills!O19</f>
        <v/>
      </c>
      <c r="G682">
        <f>Skills!G19*IF(Skills!H19&gt;0,Skills!I19/Skills!H19,1)</f>
        <v/>
      </c>
      <c r="H682">
        <f>1-(1-Skills!J19/100)^Skills!K19</f>
        <v/>
      </c>
      <c r="I682" t="inlineStr">
        <is>
          <t>1</t>
        </is>
      </c>
      <c r="J682" t="inlineStr"/>
      <c r="K682" t="inlineStr"/>
      <c r="L682" t="inlineStr"/>
      <c r="M682" t="inlineStr"/>
      <c r="N682" t="inlineStr"/>
      <c r="O682">
        <f>(1-Summary!$B$55)*T682+Summary!$B$55*V682</f>
        <v/>
      </c>
      <c r="P682">
        <f>IF(B702=0,0,O682/B702)</f>
        <v/>
      </c>
      <c r="Q682">
        <f>IFERROR(1/IF(Inputs!$B$38="pvp",15,MAX(0.1,Skills!D19-IF(Skills!E19=TRUE,Inputs!$B$32,0))),0)</f>
        <v/>
      </c>
      <c r="R682">
        <f>IF(AND(Inputs!$B$38&lt;&gt;"pvp",Inputs!$B$43&gt;0),IF(Inputs!$B$43&lt;=0,0,(INT(Inputs!$B$43/IF(Inputs!$B$38="pvp",15,MAX(0.1,Skills!D19-IF(Skills!E19=TRUE,Inputs!$B$32,0))))+1)),0)</f>
        <v/>
      </c>
      <c r="S682">
        <f>IFERROR(O682/N682,0)</f>
        <v/>
      </c>
      <c r="T682" t="n">
        <v>0</v>
      </c>
      <c r="V682" t="n">
        <v>0</v>
      </c>
    </row>
    <row r="683">
      <c r="A683">
        <f>Skills!A20</f>
        <v/>
      </c>
      <c r="B683">
        <f>Skills!B20</f>
        <v/>
      </c>
      <c r="C683">
        <f>Inputs!$B$3&gt;=33</f>
        <v/>
      </c>
      <c r="D683">
        <f>IF(Skills!C20=1,60+Inputs!$B$25+Inputs!$B$29,IF(Skills!C20=2,90+Inputs!$B$26+Inputs!$B$29,IF(Skills!C20=3,120+Inputs!$B$27+Inputs!$B$29,MAX(0,(Inputs!$B$3-100)*3)+Inputs!$B$28+Inputs!$B$29)))</f>
        <v/>
      </c>
      <c r="E683">
        <f>INDEX(FactorTable!$B$2:$Y$301, MATCH(ROUND(MIN(300,MAX(1,D683)),0), FactorTable!$A$2:$A$301,0), Skills!M20+1)</f>
        <v/>
      </c>
      <c r="F683">
        <f>IF(Skills!N20=TRUE,(Skills!L20/10)*(E683/1000),Skills!L20/10)+Skills!O20</f>
        <v/>
      </c>
      <c r="G683">
        <f>Skills!G20*IF(Skills!H20&gt;0,Skills!I20/Skills!H20,1)</f>
        <v/>
      </c>
      <c r="H683">
        <f>1-(1-Skills!J20/100)^Skills!K20</f>
        <v/>
      </c>
      <c r="I683" t="inlineStr">
        <is>
          <t>1</t>
        </is>
      </c>
      <c r="J683" t="inlineStr"/>
      <c r="K683" t="inlineStr"/>
      <c r="L683" t="inlineStr"/>
      <c r="M683" t="inlineStr"/>
      <c r="N683" t="inlineStr"/>
      <c r="O683">
        <f>(1-Summary!$B$55)*T683+Summary!$B$55*V683</f>
        <v/>
      </c>
      <c r="P683">
        <f>IF(B702=0,0,O683/B702)</f>
        <v/>
      </c>
      <c r="Q683" t="n">
        <v>0</v>
      </c>
      <c r="R683" t="n">
        <v>0</v>
      </c>
      <c r="S683">
        <f>IFERROR(O683/N683,0)</f>
        <v/>
      </c>
      <c r="T683" t="n">
        <v>0</v>
      </c>
      <c r="V683" t="n">
        <v>0</v>
      </c>
    </row>
    <row r="684">
      <c r="A684">
        <f>Skills!A21</f>
        <v/>
      </c>
      <c r="B684">
        <f>Skills!B21</f>
        <v/>
      </c>
      <c r="C684">
        <f>Inputs!$B$3&gt;=38</f>
        <v/>
      </c>
      <c r="D684">
        <f>IF(Skills!C21=1,60+Inputs!$B$25+Inputs!$B$29,IF(Skills!C21=2,90+Inputs!$B$26+Inputs!$B$29,IF(Skills!C21=3,120+Inputs!$B$27+Inputs!$B$29,MAX(0,(Inputs!$B$3-100)*3)+Inputs!$B$28+Inputs!$B$29)))</f>
        <v/>
      </c>
      <c r="E684">
        <f>INDEX(FactorTable!$B$2:$Y$301, MATCH(ROUND(MIN(300,MAX(1,D684)),0), FactorTable!$A$2:$A$301,0), Skills!M21+1)</f>
        <v/>
      </c>
      <c r="F684">
        <f>IF(Skills!N21=TRUE,(Skills!L21/10)*(E684/1000),Skills!L21/10)+Skills!O21</f>
        <v/>
      </c>
      <c r="G684">
        <f>Skills!G21*IF(Skills!H21&gt;0,Skills!I21/Skills!H21,1)</f>
        <v/>
      </c>
      <c r="H684">
        <f>1-(1-Skills!J21/100)^Skills!K21</f>
        <v/>
      </c>
      <c r="I684" t="inlineStr">
        <is>
          <t>1</t>
        </is>
      </c>
      <c r="J684" t="inlineStr"/>
      <c r="K684" t="inlineStr"/>
      <c r="L684" t="inlineStr"/>
      <c r="M684" t="inlineStr"/>
      <c r="N684" t="inlineStr"/>
      <c r="O684">
        <f>(1-Summary!$B$55)*T684+Summary!$B$55*V684</f>
        <v/>
      </c>
      <c r="P684">
        <f>IF(B702=0,0,O684/B702)</f>
        <v/>
      </c>
      <c r="Q684" t="n">
        <v>0</v>
      </c>
      <c r="R684" t="n">
        <v>0</v>
      </c>
      <c r="S684">
        <f>IFERROR(O684/N684,0)</f>
        <v/>
      </c>
      <c r="T684" t="n">
        <v>0</v>
      </c>
      <c r="V684" t="n">
        <v>0</v>
      </c>
    </row>
    <row r="685">
      <c r="A685">
        <f>Skills!A22</f>
        <v/>
      </c>
      <c r="B685">
        <f>Skills!B22</f>
        <v/>
      </c>
      <c r="C685">
        <f>Inputs!$B$3&gt;=43</f>
        <v/>
      </c>
      <c r="D685">
        <f>IF(Skills!C22=1,60+Inputs!$B$25+Inputs!$B$29,IF(Skills!C22=2,90+Inputs!$B$26+Inputs!$B$29,IF(Skills!C22=3,120+Inputs!$B$27+Inputs!$B$29,MAX(0,(Inputs!$B$3-100)*3)+Inputs!$B$28+Inputs!$B$29)))</f>
        <v/>
      </c>
      <c r="E685">
        <f>INDEX(FactorTable!$B$2:$Y$301, MATCH(ROUND(MIN(300,MAX(1,D685)),0), FactorTable!$A$2:$A$301,0), Skills!M22+1)</f>
        <v/>
      </c>
      <c r="F685">
        <f>IF(Skills!N22=TRUE,(Skills!L22/10)*(E685/1000),Skills!L22/10)+Skills!O22</f>
        <v/>
      </c>
      <c r="G685">
        <f>Skills!G22*IF(Skills!H22&gt;0,Skills!I22/Skills!H22,1)</f>
        <v/>
      </c>
      <c r="H685">
        <f>1-(1-Skills!J22/100)^Skills!K22</f>
        <v/>
      </c>
      <c r="I685" t="inlineStr">
        <is>
          <t>1</t>
        </is>
      </c>
      <c r="J685" t="inlineStr"/>
      <c r="K685" t="inlineStr"/>
      <c r="L685" t="inlineStr"/>
      <c r="M685" t="inlineStr"/>
      <c r="N685" t="inlineStr"/>
      <c r="O685">
        <f>(1-Summary!$B$55)*T685+Summary!$B$55*V685</f>
        <v/>
      </c>
      <c r="P685">
        <f>IF(B702=0,0,O685/B702)</f>
        <v/>
      </c>
      <c r="Q685" t="n">
        <v>0</v>
      </c>
      <c r="R685" t="n">
        <v>0</v>
      </c>
      <c r="S685">
        <f>IFERROR(O685/N685,0)</f>
        <v/>
      </c>
      <c r="T685" t="n">
        <v>0</v>
      </c>
      <c r="V685" t="n">
        <v>0</v>
      </c>
    </row>
    <row r="686">
      <c r="A686">
        <f>Skills!A23</f>
        <v/>
      </c>
      <c r="B686">
        <f>Skills!B23</f>
        <v/>
      </c>
      <c r="C686">
        <f>Inputs!$B$3&gt;=120</f>
        <v/>
      </c>
      <c r="D686">
        <f>IF(Skills!C23=1,60+Inputs!$B$25+Inputs!$B$29,IF(Skills!C23=2,90+Inputs!$B$26+Inputs!$B$29,IF(Skills!C23=3,120+Inputs!$B$27+Inputs!$B$29,MAX(0,(Inputs!$B$3-100)*3)+Inputs!$B$28+Inputs!$B$29)))</f>
        <v/>
      </c>
      <c r="E686">
        <f>INDEX(FactorTable!$B$2:$Y$301, MATCH(ROUND(MIN(300,MAX(1,D686)),0), FactorTable!$A$2:$A$301,0), Skills!M23+1)</f>
        <v/>
      </c>
      <c r="F686">
        <f>IF(Skills!N23=TRUE,(Skills!L23/10)*(E686/1000),Skills!L23/10)+Skills!O23</f>
        <v/>
      </c>
      <c r="G686">
        <f>Skills!G23*IF(Skills!H23&gt;0,Skills!I23/Skills!H23,1)</f>
        <v/>
      </c>
      <c r="H686">
        <f>1-(1-Skills!J23/100)^Skills!K23</f>
        <v/>
      </c>
      <c r="I686" t="inlineStr">
        <is>
          <t>1</t>
        </is>
      </c>
      <c r="J686" t="inlineStr"/>
      <c r="K686" t="inlineStr"/>
      <c r="L686" t="inlineStr"/>
      <c r="M686" t="inlineStr"/>
      <c r="N686" t="inlineStr"/>
      <c r="O686">
        <f>(1-Summary!$B$55)*T686+Summary!$B$55*V686</f>
        <v/>
      </c>
      <c r="P686">
        <f>IF(B702=0,0,O686/B702)</f>
        <v/>
      </c>
      <c r="Q686" t="n">
        <v>0</v>
      </c>
      <c r="R686" t="n">
        <v>0</v>
      </c>
      <c r="S686">
        <f>IFERROR(O686/N686,0)</f>
        <v/>
      </c>
      <c r="T686" t="n">
        <v>0</v>
      </c>
      <c r="V686" t="n">
        <v>0</v>
      </c>
    </row>
    <row r="687">
      <c r="A687">
        <f>Skills!A24</f>
        <v/>
      </c>
      <c r="B687">
        <f>Skills!B24</f>
        <v/>
      </c>
      <c r="C687">
        <f>Inputs!$B$3&gt;=120</f>
        <v/>
      </c>
      <c r="D687">
        <f>IF(Skills!C24=1,60+Inputs!$B$25+Inputs!$B$29,IF(Skills!C24=2,90+Inputs!$B$26+Inputs!$B$29,IF(Skills!C24=3,120+Inputs!$B$27+Inputs!$B$29,MAX(0,(Inputs!$B$3-100)*3)+Inputs!$B$28+Inputs!$B$29)))</f>
        <v/>
      </c>
      <c r="E687">
        <f>INDEX(FactorTable!$B$2:$Y$301, MATCH(ROUND(MIN(300,MAX(1,D687)),0), FactorTable!$A$2:$A$301,0), Skills!M24+1)</f>
        <v/>
      </c>
      <c r="F687">
        <f>IF(Skills!N24=TRUE,(Skills!L24/10)*(E687/1000),Skills!L24/10)+Skills!O24</f>
        <v/>
      </c>
      <c r="G687">
        <f>Skills!G24*IF(Skills!H24&gt;0,Skills!I24/Skills!H24,1)</f>
        <v/>
      </c>
      <c r="H687">
        <f>1-(1-Skills!J24/100)^Skills!K24</f>
        <v/>
      </c>
      <c r="I687" t="inlineStr">
        <is>
          <t>1</t>
        </is>
      </c>
      <c r="J687" t="inlineStr"/>
      <c r="K687" t="inlineStr"/>
      <c r="L687" t="inlineStr"/>
      <c r="M687" t="inlineStr"/>
      <c r="N687" t="inlineStr"/>
      <c r="O687">
        <f>(1-Summary!$B$55)*T687+Summary!$B$55*V687</f>
        <v/>
      </c>
      <c r="P687">
        <f>IF(B702=0,0,O687/B702)</f>
        <v/>
      </c>
      <c r="Q687" t="n">
        <v>0</v>
      </c>
      <c r="R687" t="n">
        <v>0</v>
      </c>
      <c r="S687">
        <f>IFERROR(O687/N687,0)</f>
        <v/>
      </c>
      <c r="T687" t="n">
        <v>0</v>
      </c>
      <c r="V687" t="n">
        <v>0</v>
      </c>
    </row>
    <row r="688">
      <c r="A688">
        <f>Skills!A25</f>
        <v/>
      </c>
      <c r="B688">
        <f>Skills!B25</f>
        <v/>
      </c>
      <c r="C688">
        <f>Inputs!$B$3&gt;=125</f>
        <v/>
      </c>
      <c r="D688">
        <f>IF(Skills!C25=1,60+Inputs!$B$25+Inputs!$B$29,IF(Skills!C25=2,90+Inputs!$B$26+Inputs!$B$29,IF(Skills!C25=3,120+Inputs!$B$27+Inputs!$B$29,MAX(0,(Inputs!$B$3-100)*3)+Inputs!$B$28+Inputs!$B$29)))</f>
        <v/>
      </c>
      <c r="E688">
        <f>INDEX(FactorTable!$B$2:$Y$301, MATCH(ROUND(MIN(300,MAX(1,D688)),0), FactorTable!$A$2:$A$301,0), Skills!M25+1)</f>
        <v/>
      </c>
      <c r="F688">
        <f>IF(Skills!N25=TRUE,(Skills!L25/10)*(E688/1000),Skills!L25/10)+Skills!O25</f>
        <v/>
      </c>
      <c r="G688">
        <f>Skills!G25*IF(Skills!H25&gt;0,Skills!I25/Skills!H25,1)</f>
        <v/>
      </c>
      <c r="H688">
        <f>1-(1-Skills!J25/100)^Skills!K25</f>
        <v/>
      </c>
      <c r="I688" t="inlineStr">
        <is>
          <t>1</t>
        </is>
      </c>
      <c r="J688" t="inlineStr"/>
      <c r="K688" t="inlineStr"/>
      <c r="L688" t="inlineStr"/>
      <c r="M688" t="inlineStr"/>
      <c r="N688" t="inlineStr"/>
      <c r="O688">
        <f>(1-Summary!$B$55)*T688+Summary!$B$55*V688</f>
        <v/>
      </c>
      <c r="P688">
        <f>IF(B702=0,0,O688/B702)</f>
        <v/>
      </c>
      <c r="Q688" t="n">
        <v>0</v>
      </c>
      <c r="R688" t="n">
        <v>0</v>
      </c>
      <c r="S688">
        <f>IFERROR(O688/N688,0)</f>
        <v/>
      </c>
      <c r="T688" t="n">
        <v>0</v>
      </c>
      <c r="V688" t="n">
        <v>0</v>
      </c>
    </row>
    <row r="689">
      <c r="A689">
        <f>Skills!A26</f>
        <v/>
      </c>
      <c r="B689">
        <f>Skills!B26</f>
        <v/>
      </c>
      <c r="C689">
        <f>Inputs!$B$3&gt;=72</f>
        <v/>
      </c>
      <c r="D689">
        <f>IF(Skills!C26=1,60+Inputs!$B$25+Inputs!$B$29,IF(Skills!C26=2,90+Inputs!$B$26+Inputs!$B$29,IF(Skills!C26=3,120+Inputs!$B$27+Inputs!$B$29,MAX(0,(Inputs!$B$3-100)*3)+Inputs!$B$28+Inputs!$B$29)))</f>
        <v/>
      </c>
      <c r="E689">
        <f>INDEX(FactorTable!$B$2:$Y$301, MATCH(ROUND(MIN(300,MAX(1,D689)),0), FactorTable!$A$2:$A$301,0), Skills!M26+1)</f>
        <v/>
      </c>
      <c r="F689">
        <f>IF(Skills!N26=TRUE,(Skills!L26/10)*(E689/1000),Skills!L26/10)+Skills!O26</f>
        <v/>
      </c>
      <c r="G689">
        <f>Skills!G26*IF(Skills!H26&gt;0,Skills!I26/Skills!H26,1)</f>
        <v/>
      </c>
      <c r="H689">
        <f>1-(1-Skills!J26/100)^Skills!K26</f>
        <v/>
      </c>
      <c r="I689" t="inlineStr">
        <is>
          <t>1</t>
        </is>
      </c>
      <c r="J689" t="inlineStr"/>
      <c r="K689" t="inlineStr"/>
      <c r="L689" t="inlineStr"/>
      <c r="M689" t="inlineStr"/>
      <c r="N689" t="inlineStr"/>
      <c r="O689">
        <f>(1-Summary!$B$55)*T689+Summary!$B$55*V689</f>
        <v/>
      </c>
      <c r="P689">
        <f>IF(B702=0,0,O689/B702)</f>
        <v/>
      </c>
      <c r="Q689" t="n">
        <v>0</v>
      </c>
      <c r="R689" t="n">
        <v>0</v>
      </c>
      <c r="S689">
        <f>IFERROR(O689/N689,0)</f>
        <v/>
      </c>
      <c r="T689" t="n">
        <v>0</v>
      </c>
      <c r="V689" t="n">
        <v>0</v>
      </c>
    </row>
    <row r="691">
      <c r="A691" t="inlineStr">
        <is>
          <t>Attack% Bucket Multiplier</t>
        </is>
      </c>
      <c r="B691">
        <f>(1+(((C676=TRUE)*F676*IF(Inputs!$B$3&gt;=110,7,5))+((C678=TRUE)*F678*IF(AND(Inputs!$B$38&lt;&gt;"pvp",Inputs!$B$43&gt;0),(((R678-1)*(Skills!T15*(1+Inputs!$B$34/100))+MIN((Skills!T15*(1+Inputs!$B$34/100)),MAX(0,Inputs!$B$43-((R678-1)*Skills!D15))))/Inputs!$B$43),IF(Inputs!$B$38="pvp",MIN((Skills!T15*(1+Inputs!$B$34/100)),15)/15,(Skills!T15*(1+Inputs!$B$34/100))/Skills!D15)))+0)/100)</f>
        <v/>
      </c>
    </row>
    <row r="692">
      <c r="A692" t="inlineStr">
        <is>
          <t>Global Crit Rate Bonus %</t>
        </is>
      </c>
      <c r="B692" t="n">
        <v>0</v>
      </c>
    </row>
    <row r="693">
      <c r="A693" t="inlineStr">
        <is>
          <t>Attack Speed Buff Bonus %</t>
        </is>
      </c>
      <c r="B693">
        <f>((C682=TRUE)*F682*IF(AND(Inputs!$B$38&lt;&gt;"pvp",Inputs!$B$43&gt;0),(((R682-1)*(Skills!T19*(1+Inputs!$B$34/100))+MIN((Skills!T19*(1+Inputs!$B$34/100)),MAX(0,Inputs!$B$43-((R682-1)*Skills!D19))))/Inputs!$B$43),IF(Inputs!$B$38="pvp",MIN((Skills!T19*(1+Inputs!$B$34/100)),15)/15,(Skills!T19*(1+Inputs!$B$34/100))/Skills!D19)))</f>
        <v/>
      </c>
    </row>
    <row r="694">
      <c r="A694" t="inlineStr">
        <is>
          <t>Actions Per Second</t>
        </is>
      </c>
      <c r="B694">
        <f>1+MIN(150,150*(1-(1-(Inputs!$B$11+((C683=TRUE)*(F683-Calc!F20)))/150)*(1-B693/150)))/100</f>
        <v/>
      </c>
    </row>
    <row r="695">
      <c r="A695" t="inlineStr">
        <is>
          <t>Skill + Buff Cast Rate</t>
        </is>
      </c>
      <c r="B695">
        <f>IF(AND(Inputs!$B$38&lt;&gt;"pvp",Inputs!$B$43&gt;0),SUMPRODUCT((Skills!E2:E26=TRUE)*(C665:C689=TRUE)*R665:R689*Skills!F2:F26)/Inputs!$B$43,SUMPRODUCT((Skills!E2:E26=TRUE)*(C665:C689=TRUE)*Q665:Q689*Skills!F2:F26))</f>
        <v/>
      </c>
    </row>
    <row r="696">
      <c r="A696" t="inlineStr">
        <is>
          <t>Raging Blow Casts Per Second</t>
        </is>
      </c>
      <c r="B696">
        <f>MAX(0,B694-B695)</f>
        <v/>
      </c>
    </row>
    <row r="697">
      <c r="A697" t="inlineStr">
        <is>
          <t>Global Critical Damage Bonus % (Enrage)</t>
        </is>
      </c>
      <c r="B697">
        <f>((C681=TRUE)*F681*IF(AND(Inputs!$B$38&lt;&gt;"pvp",Inputs!$B$43&gt;0),(((R681-1)*(Skills!T18*(1+Inputs!$B$34/100))+MIN((Skills!T18*(1+Inputs!$B$34/100)),MAX(0,Inputs!$B$43-((R681-1)*Skills!D18))))/Inputs!$B$43),IF(Inputs!$B$38="pvp",MIN((Skills!T18*(1+Inputs!$B$34/100)),15)/15,(Skills!T18*(1+Inputs!$B$34/100))/Skills!D18)))</f>
        <v/>
      </c>
    </row>
    <row r="698">
      <c r="A698" t="inlineStr">
        <is>
          <t>Global Final Damage Bonus % (Enrage + Combo Synergy)</t>
        </is>
      </c>
      <c r="B698">
        <f>((C680=TRUE)*F680*IF(AND(Inputs!$B$38&lt;&gt;"pvp",Inputs!$B$43&gt;0),(((R680-1)*(Skills!T17*(1+Inputs!$B$34/100))+MIN((Skills!T17*(1+Inputs!$B$34/100)),MAX(0,Inputs!$B$43-((R680-1)*Skills!D17))))/Inputs!$B$43),IF(Inputs!$B$38="pvp",MIN((Skills!T17*(1+Inputs!$B$34/100)),15)/15,(Skills!T17*(1+Inputs!$B$34/100))/Skills!D17)))+((C677=TRUE)*F677*IF(Inputs!$B$3&gt;=110,7,5))</f>
        <v/>
      </c>
    </row>
    <row r="699">
      <c r="A699" t="inlineStr">
        <is>
          <t>Buff-Casting Startup Delay (s, fixed-duration only)</t>
        </is>
      </c>
      <c r="B699">
        <f>IF(AND(Inputs!$B$38&lt;&gt;"pvp",Inputs!$B$43&gt;0),SUMPRODUCT((Skills!T2:T26&gt;0)*(Skills!E2:E26=TRUE)*(C665:C689=TRUE))/B694,0)</f>
        <v/>
      </c>
    </row>
    <row r="700">
      <c r="A700" t="inlineStr">
        <is>
          <t>Boss-Only Total DPS (this block's swept value)</t>
        </is>
      </c>
      <c r="B700">
        <f>SUM(T665:T689)</f>
        <v/>
      </c>
    </row>
    <row r="701">
      <c r="A701" t="inlineStr">
        <is>
          <t>Normal-Only Total DPS (this block's swept value)</t>
        </is>
      </c>
      <c r="B701">
        <f>SUM(V665:V689)</f>
        <v/>
      </c>
    </row>
    <row r="702">
      <c r="A702" s="5" t="inlineStr">
        <is>
          <t>TOTAL DPS</t>
        </is>
      </c>
      <c r="B702" s="5">
        <f>SUM(O665:O689)</f>
        <v/>
      </c>
    </row>
    <row r="705">
      <c r="A705" s="5" t="inlineStr">
        <is>
          <t>Stat: Skill Level Bonus — 1st Job</t>
        </is>
      </c>
    </row>
    <row r="706">
      <c r="A706" s="9" t="inlineStr">
        <is>
          <t>Key</t>
        </is>
      </c>
      <c r="B706" s="9" t="inlineStr">
        <is>
          <t>Name</t>
        </is>
      </c>
      <c r="C706" s="9" t="inlineStr">
        <is>
          <t>Unlocked</t>
        </is>
      </c>
      <c r="D706" s="9" t="inlineStr">
        <is>
          <t>InputLevel</t>
        </is>
      </c>
      <c r="E706" s="9" t="inlineStr">
        <is>
          <t>Factor</t>
        </is>
      </c>
      <c r="F706" s="9" t="inlineStr">
        <is>
          <t>CoefficientPercent</t>
        </is>
      </c>
      <c r="G706" s="9" t="inlineStr">
        <is>
          <t>EffectiveHits</t>
        </is>
      </c>
      <c r="H706" s="9" t="inlineStr">
        <is>
          <t>ProcProbability</t>
        </is>
      </c>
      <c r="I706" s="9" t="inlineStr">
        <is>
          <t>MapleHeroMultiplier</t>
        </is>
      </c>
      <c r="J706" s="9" t="inlineStr">
        <is>
          <t>BaseDamage</t>
        </is>
      </c>
      <c r="K706" s="9" t="inlineStr">
        <is>
          <t>BaseHitDamage</t>
        </is>
      </c>
      <c r="L706" s="9" t="inlineStr">
        <is>
          <t>NonCritAvg</t>
        </is>
      </c>
      <c r="M706" s="9" t="inlineStr">
        <is>
          <t>CritAvg</t>
        </is>
      </c>
      <c r="N706" s="9" t="inlineStr">
        <is>
          <t>ExpectedDamage(perHit)</t>
        </is>
      </c>
      <c r="O706" s="9" t="inlineStr">
        <is>
          <t>DPS</t>
        </is>
      </c>
      <c r="P706" s="9" t="inlineStr">
        <is>
          <t>% of Total</t>
        </is>
      </c>
      <c r="Q706" s="9" t="inlineStr">
        <is>
          <t>InvCooldown</t>
        </is>
      </c>
      <c r="R706" s="9" t="inlineStr">
        <is>
          <t>CastsInFight</t>
        </is>
      </c>
      <c r="S706" s="9" t="inlineStr">
        <is>
          <t>HitRate(perSec)</t>
        </is>
      </c>
      <c r="U706" t="inlineStr">
        <is>
          <t>helpers</t>
        </is>
      </c>
    </row>
    <row r="707">
      <c r="A707">
        <f>Skills!A2</f>
        <v/>
      </c>
      <c r="B707">
        <f>Skills!B2</f>
        <v/>
      </c>
      <c r="C707">
        <f>Inputs!$B$3&gt;=100</f>
        <v/>
      </c>
      <c r="D707" t="inlineStr"/>
      <c r="E707" t="inlineStr"/>
      <c r="F707">
        <f>U709+Skills!O2</f>
        <v/>
      </c>
      <c r="G707">
        <f>Skills!G2*IF(Skills!H2&gt;0,Skills!I2/Skills!H2,1)</f>
        <v/>
      </c>
      <c r="H707">
        <f>1-(1-Skills!J2/100)^Skills!K2</f>
        <v/>
      </c>
      <c r="I707" t="inlineStr">
        <is>
          <t>1</t>
        </is>
      </c>
      <c r="J707">
        <f>((Inputs!$B$6*(1+Inputs!$B$7/100))+(((Inputs!$B$12*(1+Inputs!$B$13/100))-(Inputs!$B$12*(1+Inputs!$B$13/100)))+0.25*(Inputs!$B$14-Inputs!$B$14))*(1+Inputs!$B$7/100))*(F707/100)</f>
        <v/>
      </c>
      <c r="K707">
        <f>J707*(1+((Inputs!$B$12*(1+Inputs!$B$13/100))*0.01+Inputs!$B$14*0.0025)/100)*(1+Inputs!$B$15/100)*(1+Inputs!$B$16/100)*(5000/(6000+Inputs!$B$42*(1-(Inputs!$B$19+0)/100)))*(1+(Inputs!$B$24+((C730=TRUE)*(F730-Calc!F25))+B740)/100)*(1+IF(Skills!A2="ENHANCED_RAGING_BLOW",IF(Inputs!$B$3&gt;=134,MAX(0,IF(Inputs!$B$3&gt;=110,7,5)-5)*50,0),0)/100)*(1+(IF(Skills!A2="RAGING_BLOW",Inputs!$B$17+((C726=TRUE)*(F726-Calc!F21)),Inputs!$B$18+((C728=TRUE)*(F728-Calc!F23))))/100)*((1+(((C718=TRUE)*F718*IF(Inputs!$B$3&gt;=110,7,5))+((C720=TRUE)*F720*IF(AND(Inputs!$B$38&lt;&gt;"pvp",Inputs!$B$43&gt;0),(((R720-1)*(Skills!T15*(1+Inputs!$B$34/100))+MIN((Skills!T15*(1+Inputs!$B$34/100)),MAX(0,Inputs!$B$43-((R720-1)*Skills!D15))))/Inputs!$B$43),IF(Inputs!$B$38="pvp",MIN((Skills!T15*(1+Inputs!$B$34/100)),15)/15,(Skills!T15*(1+Inputs!$B$34/100))/Skills!D15)))+0)/100)*I707)</f>
        <v/>
      </c>
      <c r="L707">
        <f>K707*(MIN(Inputs!$B$22+((C727=TRUE)*(F727-Calc!F22)),Inputs!$B$23+((C729=TRUE)*(F729-Calc!F24)))/100+(Inputs!$B$23+((C729=TRUE)*(F729-Calc!F24)))/100)/2</f>
        <v/>
      </c>
      <c r="M707">
        <f>L707*(1+(Inputs!$B$10+0+B739)/100)</f>
        <v/>
      </c>
      <c r="N707">
        <f>L707*(1-MIN((Inputs!$B$9+((C731=TRUE)*(F731-Calc!F26))+B734),100)/100)+M707*(MIN((Inputs!$B$9+((C731=TRUE)*(F731-Calc!F26))+B734),100)/100)</f>
        <v/>
      </c>
      <c r="O707">
        <f>(1-Summary!$B$55)*T707+Summary!$B$55*V707</f>
        <v/>
      </c>
      <c r="P707">
        <f>IF(B744=0,0,O707/B744)</f>
        <v/>
      </c>
      <c r="Q707" t="n">
        <v>0</v>
      </c>
      <c r="R707" t="n">
        <v>0</v>
      </c>
      <c r="S707">
        <f>IFERROR(O707/N707,0)</f>
        <v/>
      </c>
      <c r="T707">
        <f>IF(C707,(Skills!G2*N707*B738)*IF(Inputs!$B$38="pvp",1,1+(Inputs!$B$20+0+Skills!P2+Summary!$B$59)/100),0)</f>
        <v/>
      </c>
      <c r="U707">
        <f>MAX(0,(Inputs!$B$3-100)*3)+Inputs!$B$28+Inputs!$B$29</f>
        <v/>
      </c>
      <c r="V707">
        <f>IF(C707,(Skills!G2*N707*B738)*IF(Inputs!$B$38="pvp",1,(1+(Inputs!$B$21+Skills!Q2+Summary!$B$59)/100)*(MIN((6+Inputs!$B$33),Inputs!$B$37))),0)</f>
        <v/>
      </c>
    </row>
    <row r="708">
      <c r="A708">
        <f>Skills!A3</f>
        <v/>
      </c>
      <c r="B708">
        <f>Skills!B3</f>
        <v/>
      </c>
      <c r="C708">
        <f>Inputs!$B$3&gt;=50</f>
        <v/>
      </c>
      <c r="D708">
        <f>IF(Skills!C3=1,60+(Inputs!$B$25+1)+Inputs!$B$29,IF(Skills!C3=2,90+Inputs!$B$26+Inputs!$B$29,IF(Skills!C3=3,120+Inputs!$B$27+Inputs!$B$29,MAX(0,(Inputs!$B$3-100)*3)+Inputs!$B$28+Inputs!$B$29)))</f>
        <v/>
      </c>
      <c r="E708">
        <f>INDEX(FactorTable!$B$2:$Y$301, MATCH(ROUND(MIN(300,MAX(1,D708)),0), FactorTable!$A$2:$A$301,0), Skills!M3+1)</f>
        <v/>
      </c>
      <c r="F708">
        <f>IF(Skills!N3=TRUE,(Skills!L3/10)*(E708/1000),Skills!L3/10)+Skills!O3</f>
        <v/>
      </c>
      <c r="G708" t="inlineStr"/>
      <c r="H708" t="inlineStr"/>
      <c r="I708" t="inlineStr">
        <is>
          <t>1</t>
        </is>
      </c>
      <c r="J708" t="inlineStr"/>
      <c r="K708" t="inlineStr"/>
      <c r="L708" t="inlineStr"/>
      <c r="M708" t="inlineStr"/>
      <c r="N708" t="inlineStr"/>
      <c r="O708" t="inlineStr"/>
      <c r="P708" t="inlineStr"/>
      <c r="Q708" t="inlineStr"/>
      <c r="R708" t="inlineStr"/>
      <c r="S708" t="inlineStr"/>
      <c r="U708">
        <f>INDEX(FactorTable!$B$2:$Y$301, MATCH(ROUND(MIN(300,MAX(1,U707)),0), FactorTable!$A$2:$A$301,0), 22)</f>
        <v/>
      </c>
    </row>
    <row r="709">
      <c r="A709">
        <f>Skills!A4</f>
        <v/>
      </c>
      <c r="B709">
        <f>Skills!B4</f>
        <v/>
      </c>
      <c r="C709">
        <f>Inputs!$B$3&gt;=105</f>
        <v/>
      </c>
      <c r="D709">
        <f>IF(Skills!C4=1,60+(Inputs!$B$25+1)+Inputs!$B$29,IF(Skills!C4=2,90+Inputs!$B$26+Inputs!$B$29,IF(Skills!C4=3,120+Inputs!$B$27+Inputs!$B$29,MAX(0,(Inputs!$B$3-100)*3)+Inputs!$B$28+Inputs!$B$29)))</f>
        <v/>
      </c>
      <c r="E709">
        <f>INDEX(FactorTable!$B$2:$Y$301, MATCH(ROUND(MIN(300,MAX(1,D709)),0), FactorTable!$A$2:$A$301,0), Skills!M4+1)</f>
        <v/>
      </c>
      <c r="F709">
        <f>IF(Skills!N4=TRUE,(Skills!L4/10)*(E709/1000),Skills!L4/10)+Skills!O4</f>
        <v/>
      </c>
      <c r="G709" t="inlineStr"/>
      <c r="H709" t="inlineStr"/>
      <c r="I709" t="inlineStr">
        <is>
          <t>1</t>
        </is>
      </c>
      <c r="J709" t="inlineStr"/>
      <c r="K709" t="inlineStr"/>
      <c r="L709" t="inlineStr"/>
      <c r="M709" t="inlineStr"/>
      <c r="N709" t="inlineStr"/>
      <c r="O709" t="inlineStr"/>
      <c r="P709" t="inlineStr"/>
      <c r="Q709" t="inlineStr"/>
      <c r="R709" t="inlineStr"/>
      <c r="S709" t="inlineStr"/>
      <c r="U709">
        <f>290*U708/1000</f>
        <v/>
      </c>
    </row>
    <row r="710">
      <c r="A710">
        <f>Skills!A5</f>
        <v/>
      </c>
      <c r="B710">
        <f>Skills!B5</f>
        <v/>
      </c>
      <c r="C710">
        <f>Inputs!$B$3&gt;=103</f>
        <v/>
      </c>
      <c r="D710">
        <f>IF(Skills!C5=1,60+(Inputs!$B$25+1)+Inputs!$B$29,IF(Skills!C5=2,90+Inputs!$B$26+Inputs!$B$29,IF(Skills!C5=3,120+Inputs!$B$27+Inputs!$B$29,MAX(0,(Inputs!$B$3-100)*3)+Inputs!$B$28+Inputs!$B$29)))</f>
        <v/>
      </c>
      <c r="E710">
        <f>INDEX(FactorTable!$B$2:$Y$301, MATCH(ROUND(MIN(300,MAX(1,D710)),0), FactorTable!$A$2:$A$301,0), Skills!M5+1)</f>
        <v/>
      </c>
      <c r="F710">
        <f>IF(Skills!N5=TRUE,(Skills!L5/10)*(E710/1000),Skills!L5/10)+Skills!O5</f>
        <v/>
      </c>
      <c r="G710">
        <f>Skills!G5*IF(Skills!H5&gt;0,Skills!I5/Skills!H5,1)</f>
        <v/>
      </c>
      <c r="H710">
        <f>1-(1-Skills!J5/100)^Skills!K5</f>
        <v/>
      </c>
      <c r="I710" t="inlineStr">
        <is>
          <t>1</t>
        </is>
      </c>
      <c r="J710">
        <f>((Inputs!$B$6*(1+Inputs!$B$7/100))+(((Inputs!$B$12*(1+Inputs!$B$13/100))-(Inputs!$B$12*(1+Inputs!$B$13/100)))+0.25*(Inputs!$B$14-Inputs!$B$14))*(1+Inputs!$B$7/100))*(F710/100)</f>
        <v/>
      </c>
      <c r="K710">
        <f>J710*(1+((Inputs!$B$12*(1+Inputs!$B$13/100))*0.01+Inputs!$B$14*0.0025)/100)*(1+Inputs!$B$15/100)*(1+Inputs!$B$16/100)*(5000/(6000+Inputs!$B$42*(1-(Inputs!$B$19+0)/100)))*(1+(Inputs!$B$24+((C730=TRUE)*(F730-Calc!F25))+B740)/100)*(1+IF(Skills!A5="ENHANCED_RAGING_BLOW",IF(Inputs!$B$3&gt;=134,MAX(0,IF(Inputs!$B$3&gt;=110,7,5)-5)*50,0),0)/100)*(1+(IF(Skills!A5="RAGING_BLOW",Inputs!$B$17+((C726=TRUE)*(F726-Calc!F21)),Inputs!$B$18+((C728=TRUE)*(F728-Calc!F23))))/100)*((1+(((C718=TRUE)*F718*IF(Inputs!$B$3&gt;=110,7,5))+((C720=TRUE)*F720*IF(AND(Inputs!$B$38&lt;&gt;"pvp",Inputs!$B$43&gt;0),(((R720-1)*(Skills!T15*(1+Inputs!$B$34/100))+MIN((Skills!T15*(1+Inputs!$B$34/100)),MAX(0,Inputs!$B$43-((R720-1)*Skills!D15))))/Inputs!$B$43),IF(Inputs!$B$38="pvp",MIN((Skills!T15*(1+Inputs!$B$34/100)),15)/15,(Skills!T15*(1+Inputs!$B$34/100))/Skills!D15)))+0)/100)*I710)</f>
        <v/>
      </c>
      <c r="L710">
        <f>K710*(MIN(Inputs!$B$22+((C727=TRUE)*(F727-Calc!F22)),Inputs!$B$23+((C729=TRUE)*(F729-Calc!F24)))/100+(Inputs!$B$23+((C729=TRUE)*(F729-Calc!F24)))/100)/2</f>
        <v/>
      </c>
      <c r="M710">
        <f>L710*(1+(Inputs!$B$10+0+B739)/100)</f>
        <v/>
      </c>
      <c r="N710">
        <f>L710*(1-MIN((Inputs!$B$9+((C731=TRUE)*(F731-Calc!F26))+B734),100)/100)+M710*(MIN((Inputs!$B$9+((C731=TRUE)*(F731-Calc!F26))+B734),100)/100)</f>
        <v/>
      </c>
      <c r="O710">
        <f>(1-Summary!$B$55)*T710+Summary!$B$55*V710</f>
        <v/>
      </c>
      <c r="P710">
        <f>IF(B744=0,0,O710/B744)</f>
        <v/>
      </c>
      <c r="Q710">
        <f>IFERROR(1/IF(Inputs!$B$38="pvp",15,MAX(0.1,Skills!D5-IF(Skills!E5=TRUE,Inputs!$B$32,0))),0)</f>
        <v/>
      </c>
      <c r="R710">
        <f>IF(AND(Inputs!$B$38&lt;&gt;"pvp",Inputs!$B$43&gt;0),IF(MAX(0,Inputs!$B$43-B741)&lt;=0,0,(INT(MAX(0,Inputs!$B$43-B741)/IF(Inputs!$B$38="pvp",15,MAX(0.1,Skills!D5-IF(Skills!E5=TRUE,Inputs!$B$32,0))))+1)),0)</f>
        <v/>
      </c>
      <c r="S710">
        <f>IFERROR(O710/N710,0)</f>
        <v/>
      </c>
      <c r="T710">
        <f>IF(C710,(H710*N710*IF(AND(Inputs!$B$38&lt;&gt;"pvp",Inputs!$B$43&gt;0),((Skills!G5*((R710-1)*IF(Skills!H5&gt;0,Skills!I5/Skills!H5,1)+IF(Skills!H5&gt;0,MIN(Skills!I5,MAX(0,MAX(0,Inputs!$B$43-B741)-((R710-1)*IF(Inputs!$B$38="pvp",15,MAX(0.1,Skills!D5-IF(Skills!E5=TRUE,Inputs!$B$32,0))))))/Skills!H5,1)))/Inputs!$B$43),G710*Q710))*IF(Inputs!$B$38="pvp",1,1+(Inputs!$B$20+0+Skills!P5+Summary!$B$59)/100),0)</f>
        <v/>
      </c>
      <c r="V710">
        <f>IF(C710,(H710*N710*IF(AND(Inputs!$B$38&lt;&gt;"pvp",Inputs!$B$43&gt;0),((Skills!G5*((R710-1)*IF(Skills!H5&gt;0,Skills!I5/Skills!H5,1)+IF(Skills!H5&gt;0,MIN(Skills!I5,MAX(0,MAX(0,Inputs!$B$43-B741)-((R710-1)*IF(Inputs!$B$38="pvp",15,MAX(0.1,Skills!D5-IF(Skills!E5=TRUE,Inputs!$B$32,0))))))/Skills!H5,1)))/Inputs!$B$43),G710*Q710))*IF(Inputs!$B$38="pvp",1,(1+(Inputs!$B$21+Skills!Q5+Summary!$B$59)/100)*(MIN(Skills!R5,Inputs!$B$37))),0)</f>
        <v/>
      </c>
    </row>
    <row r="711">
      <c r="A711">
        <f>Skills!A6</f>
        <v/>
      </c>
      <c r="B711">
        <f>Skills!B6</f>
        <v/>
      </c>
      <c r="C711">
        <f>Inputs!$B$3&gt;=103</f>
        <v/>
      </c>
      <c r="D711">
        <f>IF(Skills!C6=1,60+(Inputs!$B$25+1)+Inputs!$B$29,IF(Skills!C6=2,90+Inputs!$B$26+Inputs!$B$29,IF(Skills!C6=3,120+Inputs!$B$27+Inputs!$B$29,MAX(0,(Inputs!$B$3-100)*3)+Inputs!$B$28+Inputs!$B$29)))</f>
        <v/>
      </c>
      <c r="E711">
        <f>INDEX(FactorTable!$B$2:$Y$301, MATCH(ROUND(MIN(300,MAX(1,D711)),0), FactorTable!$A$2:$A$301,0), Skills!M6+1)</f>
        <v/>
      </c>
      <c r="F711">
        <f>IF(Skills!N6=TRUE,(Skills!L6/10)*(E711/1000),Skills!L6/10)+Skills!O6</f>
        <v/>
      </c>
      <c r="G711">
        <f>Skills!G6*IF(Skills!H6&gt;0,Skills!I6/Skills!H6,1)</f>
        <v/>
      </c>
      <c r="H711">
        <f>1-(1-Skills!J6/100)^Skills!K6</f>
        <v/>
      </c>
      <c r="I711" t="inlineStr">
        <is>
          <t>1</t>
        </is>
      </c>
      <c r="J711">
        <f>((Inputs!$B$6*(1+Inputs!$B$7/100))+(((Inputs!$B$12*(1+Inputs!$B$13/100))-(Inputs!$B$12*(1+Inputs!$B$13/100)))+0.25*(Inputs!$B$14-Inputs!$B$14))*(1+Inputs!$B$7/100))*(F711/100)</f>
        <v/>
      </c>
      <c r="K711">
        <f>J711*(1+((Inputs!$B$12*(1+Inputs!$B$13/100))*0.01+Inputs!$B$14*0.0025)/100)*(1+Inputs!$B$15/100)*(1+Inputs!$B$16/100)*(5000/(6000+Inputs!$B$42*(1-(Inputs!$B$19+0)/100)))*(1+(Inputs!$B$24+((C730=TRUE)*(F730-Calc!F25))+B740)/100)*(1+IF(Skills!A6="ENHANCED_RAGING_BLOW",IF(Inputs!$B$3&gt;=134,MAX(0,IF(Inputs!$B$3&gt;=110,7,5)-5)*50,0),0)/100)*(1+(IF(Skills!A6="RAGING_BLOW",Inputs!$B$17+((C726=TRUE)*(F726-Calc!F21)),Inputs!$B$18+((C728=TRUE)*(F728-Calc!F23))))/100)*((1+(((C718=TRUE)*F718*IF(Inputs!$B$3&gt;=110,7,5))+((C720=TRUE)*F720*IF(AND(Inputs!$B$38&lt;&gt;"pvp",Inputs!$B$43&gt;0),(((R720-1)*(Skills!T15*(1+Inputs!$B$34/100))+MIN((Skills!T15*(1+Inputs!$B$34/100)),MAX(0,Inputs!$B$43-((R720-1)*Skills!D15))))/Inputs!$B$43),IF(Inputs!$B$38="pvp",MIN((Skills!T15*(1+Inputs!$B$34/100)),15)/15,(Skills!T15*(1+Inputs!$B$34/100))/Skills!D15)))+0)/100)*I711)</f>
        <v/>
      </c>
      <c r="L711">
        <f>K711*(MIN(Inputs!$B$22+((C727=TRUE)*(F727-Calc!F22)),Inputs!$B$23+((C729=TRUE)*(F729-Calc!F24)))/100+(Inputs!$B$23+((C729=TRUE)*(F729-Calc!F24)))/100)/2</f>
        <v/>
      </c>
      <c r="M711">
        <f>L711*(1+(Inputs!$B$10+0+B739)/100)</f>
        <v/>
      </c>
      <c r="N711">
        <f>L711*(1-MIN((Inputs!$B$9+((C731=TRUE)*(F731-Calc!F26))+B734),100)/100)+M711*(MIN((Inputs!$B$9+((C731=TRUE)*(F731-Calc!F26))+B734),100)/100)</f>
        <v/>
      </c>
      <c r="O711">
        <f>(1-Summary!$B$55)*T711+Summary!$B$55*V711</f>
        <v/>
      </c>
      <c r="P711">
        <f>IF(B744=0,0,O711/B744)</f>
        <v/>
      </c>
      <c r="Q711">
        <f>IFERROR(1/IF(Inputs!$B$38="pvp",15,MAX(0.1,Skills!D6-IF(Skills!E6=TRUE,Inputs!$B$32,0))),0)</f>
        <v/>
      </c>
      <c r="R711">
        <f>IF(AND(Inputs!$B$38&lt;&gt;"pvp",Inputs!$B$43&gt;0),IF(MAX(0,Inputs!$B$43-B741)&lt;=0,0,(INT(MAX(0,Inputs!$B$43-B741)/IF(Inputs!$B$38="pvp",15,MAX(0.1,Skills!D6-IF(Skills!E6=TRUE,Inputs!$B$32,0))))+1)),0)</f>
        <v/>
      </c>
      <c r="S711">
        <f>IFERROR(O711/N711,0)</f>
        <v/>
      </c>
      <c r="T711">
        <f>IF(C711,(H711*N711*IF(AND(Inputs!$B$38&lt;&gt;"pvp",Inputs!$B$43&gt;0),((Skills!G6*((R711-1)*IF(Skills!H6&gt;0,Skills!I6/Skills!H6,1)+IF(Skills!H6&gt;0,MIN(Skills!I6,MAX(0,MAX(0,Inputs!$B$43-B741)-((R711-1)*IF(Inputs!$B$38="pvp",15,MAX(0.1,Skills!D6-IF(Skills!E6=TRUE,Inputs!$B$32,0))))))/Skills!H6,1)))/Inputs!$B$43),G711*Q711))*IF(Inputs!$B$38="pvp",1,1+(Inputs!$B$20+0+Skills!P6+Summary!$B$59)/100),0)</f>
        <v/>
      </c>
      <c r="V711">
        <f>IF(C711,(H711*N711*IF(AND(Inputs!$B$38&lt;&gt;"pvp",Inputs!$B$43&gt;0),((Skills!G6*((R711-1)*IF(Skills!H6&gt;0,Skills!I6/Skills!H6,1)+IF(Skills!H6&gt;0,MIN(Skills!I6,MAX(0,MAX(0,Inputs!$B$43-B741)-((R711-1)*IF(Inputs!$B$38="pvp",15,MAX(0.1,Skills!D6-IF(Skills!E6=TRUE,Inputs!$B$32,0))))))/Skills!H6,1)))/Inputs!$B$43),G711*Q711))*IF(Inputs!$B$38="pvp",1,(1+(Inputs!$B$21+Skills!Q6+Summary!$B$59)/100)*(MIN(Skills!R6,Inputs!$B$37))),0)</f>
        <v/>
      </c>
    </row>
    <row r="712">
      <c r="A712">
        <f>Skills!A7</f>
        <v/>
      </c>
      <c r="B712">
        <f>Skills!B7</f>
        <v/>
      </c>
      <c r="C712">
        <f>Inputs!$B$3&gt;=107</f>
        <v/>
      </c>
      <c r="D712">
        <f>IF(Skills!C7=1,60+(Inputs!$B$25+1)+Inputs!$B$29,IF(Skills!C7=2,90+Inputs!$B$26+Inputs!$B$29,IF(Skills!C7=3,120+Inputs!$B$27+Inputs!$B$29,MAX(0,(Inputs!$B$3-100)*3)+Inputs!$B$28+Inputs!$B$29)))</f>
        <v/>
      </c>
      <c r="E712">
        <f>INDEX(FactorTable!$B$2:$Y$301, MATCH(ROUND(MIN(300,MAX(1,D712)),0), FactorTable!$A$2:$A$301,0), Skills!M7+1)</f>
        <v/>
      </c>
      <c r="F712">
        <f>IF(Skills!N7=TRUE,(Skills!L7/10)*(E712/1000),Skills!L7/10)+Skills!O7</f>
        <v/>
      </c>
      <c r="G712">
        <f>Skills!G7*IF(Skills!H7&gt;0,Skills!I7/Skills!H7,1)</f>
        <v/>
      </c>
      <c r="H712">
        <f>1-(1-Skills!J7/100)^Skills!K7</f>
        <v/>
      </c>
      <c r="I712" t="inlineStr">
        <is>
          <t>1</t>
        </is>
      </c>
      <c r="J712">
        <f>((Inputs!$B$6*(1+Inputs!$B$7/100))+(((Inputs!$B$12*(1+Inputs!$B$13/100))-(Inputs!$B$12*(1+Inputs!$B$13/100)))+0.25*(Inputs!$B$14-Inputs!$B$14))*(1+Inputs!$B$7/100))*(F712/100)</f>
        <v/>
      </c>
      <c r="K712">
        <f>J712*(1+((Inputs!$B$12*(1+Inputs!$B$13/100))*0.01+Inputs!$B$14*0.0025)/100)*(1+Inputs!$B$15/100)*(1+Inputs!$B$16/100)*(5000/(6000+Inputs!$B$42*(1-(Inputs!$B$19+0)/100)))*(1+(Inputs!$B$24+((C730=TRUE)*(F730-Calc!F25))+B740)/100)*(1+IF(Skills!A7="ENHANCED_RAGING_BLOW",IF(Inputs!$B$3&gt;=134,MAX(0,IF(Inputs!$B$3&gt;=110,7,5)-5)*50,0),0)/100)*(1+(IF(Skills!A7="RAGING_BLOW",Inputs!$B$17+((C726=TRUE)*(F726-Calc!F21)),Inputs!$B$18+((C728=TRUE)*(F728-Calc!F23))))/100)*((1+(((C718=TRUE)*F718*IF(Inputs!$B$3&gt;=110,7,5))+((C720=TRUE)*F720*IF(AND(Inputs!$B$38&lt;&gt;"pvp",Inputs!$B$43&gt;0),(((R720-1)*(Skills!T15*(1+Inputs!$B$34/100))+MIN((Skills!T15*(1+Inputs!$B$34/100)),MAX(0,Inputs!$B$43-((R720-1)*Skills!D15))))/Inputs!$B$43),IF(Inputs!$B$38="pvp",MIN((Skills!T15*(1+Inputs!$B$34/100)),15)/15,(Skills!T15*(1+Inputs!$B$34/100))/Skills!D15)))+0)/100)*I712)</f>
        <v/>
      </c>
      <c r="L712">
        <f>K712*(MIN(Inputs!$B$22+((C727=TRUE)*(F727-Calc!F22)),Inputs!$B$23+((C729=TRUE)*(F729-Calc!F24)))/100+(Inputs!$B$23+((C729=TRUE)*(F729-Calc!F24)))/100)/2</f>
        <v/>
      </c>
      <c r="M712">
        <f>L712*(1+(Inputs!$B$10+0+B739)/100)</f>
        <v/>
      </c>
      <c r="N712">
        <f>L712*(1-MIN((Inputs!$B$9+((C731=TRUE)*(F731-Calc!F26))+B734),100)/100)+M712*(MIN((Inputs!$B$9+((C731=TRUE)*(F731-Calc!F26))+B734),100)/100)</f>
        <v/>
      </c>
      <c r="O712">
        <f>(1-Summary!$B$55)*T712+Summary!$B$55*V712</f>
        <v/>
      </c>
      <c r="P712">
        <f>IF(B744=0,0,O712/B744)</f>
        <v/>
      </c>
      <c r="Q712">
        <f>IFERROR(1/IF(Inputs!$B$38="pvp",15,MAX(0.1,Skills!D7-IF(Skills!E7=TRUE,Inputs!$B$32,0))),0)</f>
        <v/>
      </c>
      <c r="R712">
        <f>IF(AND(Inputs!$B$38&lt;&gt;"pvp",Inputs!$B$43&gt;0),IF(MAX(0,Inputs!$B$43-B741)&lt;=0,0,(INT(MAX(0,Inputs!$B$43-B741)/IF(Inputs!$B$38="pvp",15,MAX(0.1,Skills!D7-IF(Skills!E7=TRUE,Inputs!$B$32,0))))+1)),0)</f>
        <v/>
      </c>
      <c r="S712">
        <f>IFERROR(O712/N712,0)</f>
        <v/>
      </c>
      <c r="T712">
        <f>IF(C712,(H712*N712*IF(AND(Inputs!$B$38&lt;&gt;"pvp",Inputs!$B$43&gt;0),((Skills!G7*((R712-1)*IF(Skills!H7&gt;0,Skills!I7/Skills!H7,1)+IF(Skills!H7&gt;0,MIN(Skills!I7,MAX(0,MAX(0,Inputs!$B$43-B741)-((R712-1)*IF(Inputs!$B$38="pvp",15,MAX(0.1,Skills!D7-IF(Skills!E7=TRUE,Inputs!$B$32,0))))))/Skills!H7,1)))/Inputs!$B$43),G712*Q712))*IF(Inputs!$B$38="pvp",1,1+(Inputs!$B$20+0+Skills!P7+Summary!$B$59)/100),0)</f>
        <v/>
      </c>
      <c r="V712">
        <f>IF(C712,(H712*N712*IF(AND(Inputs!$B$38&lt;&gt;"pvp",Inputs!$B$43&gt;0),((Skills!G7*((R712-1)*IF(Skills!H7&gt;0,Skills!I7/Skills!H7,1)+IF(Skills!H7&gt;0,MIN(Skills!I7,MAX(0,MAX(0,Inputs!$B$43-B741)-((R712-1)*IF(Inputs!$B$38="pvp",15,MAX(0.1,Skills!D7-IF(Skills!E7=TRUE,Inputs!$B$32,0))))))/Skills!H7,1)))/Inputs!$B$43),G712*Q712))*IF(Inputs!$B$38="pvp",1,(1+(Inputs!$B$21+Skills!Q7+Summary!$B$59)/100)*(MIN(Skills!R7,Inputs!$B$37))),0)</f>
        <v/>
      </c>
    </row>
    <row r="713">
      <c r="A713">
        <f>Skills!A8</f>
        <v/>
      </c>
      <c r="B713">
        <f>Skills!B8</f>
        <v/>
      </c>
      <c r="C713">
        <f>Inputs!$B$3&gt;=117</f>
        <v/>
      </c>
      <c r="D713">
        <f>IF(Skills!C8=1,60+(Inputs!$B$25+1)+Inputs!$B$29,IF(Skills!C8=2,90+Inputs!$B$26+Inputs!$B$29,IF(Skills!C8=3,120+Inputs!$B$27+Inputs!$B$29,MAX(0,(Inputs!$B$3-100)*3)+Inputs!$B$28+Inputs!$B$29)))</f>
        <v/>
      </c>
      <c r="E713">
        <f>INDEX(FactorTable!$B$2:$Y$301, MATCH(ROUND(MIN(300,MAX(1,D713)),0), FactorTable!$A$2:$A$301,0), Skills!M8+1)</f>
        <v/>
      </c>
      <c r="F713">
        <f>IF(Skills!N8=TRUE,(Skills!L8/10)*(E713/1000),Skills!L8/10)+Skills!O8</f>
        <v/>
      </c>
      <c r="G713">
        <f>Skills!G8*IF(Skills!H8&gt;0,Skills!I8/Skills!H8,1)</f>
        <v/>
      </c>
      <c r="H713">
        <f>1-(1-Skills!J8/100)^Skills!K8</f>
        <v/>
      </c>
      <c r="I713" t="inlineStr">
        <is>
          <t>1</t>
        </is>
      </c>
      <c r="J713">
        <f>((Inputs!$B$6*(1+Inputs!$B$7/100))+(((Inputs!$B$12*(1+Inputs!$B$13/100))-(Inputs!$B$12*(1+Inputs!$B$13/100)))+0.25*(Inputs!$B$14-Inputs!$B$14))*(1+Inputs!$B$7/100))*(F713/100)</f>
        <v/>
      </c>
      <c r="K713">
        <f>J713*(1+((Inputs!$B$12*(1+Inputs!$B$13/100))*0.01+Inputs!$B$14*0.0025)/100)*(1+Inputs!$B$15/100)*(1+Inputs!$B$16/100)*(5000/(6000+Inputs!$B$42*(1-(Inputs!$B$19+0)/100)))*(1+(Inputs!$B$24+((C730=TRUE)*(F730-Calc!F25))+B740)/100)*(1+IF(Skills!A8="ENHANCED_RAGING_BLOW",IF(Inputs!$B$3&gt;=134,MAX(0,IF(Inputs!$B$3&gt;=110,7,5)-5)*50,0),0)/100)*(1+(IF(Skills!A8="RAGING_BLOW",Inputs!$B$17+((C726=TRUE)*(F726-Calc!F21)),Inputs!$B$18+((C728=TRUE)*(F728-Calc!F23))))/100)*((1+(((C718=TRUE)*F718*IF(Inputs!$B$3&gt;=110,7,5))+((C720=TRUE)*F720*IF(AND(Inputs!$B$38&lt;&gt;"pvp",Inputs!$B$43&gt;0),(((R720-1)*(Skills!T15*(1+Inputs!$B$34/100))+MIN((Skills!T15*(1+Inputs!$B$34/100)),MAX(0,Inputs!$B$43-((R720-1)*Skills!D15))))/Inputs!$B$43),IF(Inputs!$B$38="pvp",MIN((Skills!T15*(1+Inputs!$B$34/100)),15)/15,(Skills!T15*(1+Inputs!$B$34/100))/Skills!D15)))+0)/100)*I713)</f>
        <v/>
      </c>
      <c r="L713">
        <f>K713*(MIN(Inputs!$B$22+((C727=TRUE)*(F727-Calc!F22)),Inputs!$B$23+((C729=TRUE)*(F729-Calc!F24)))/100+(Inputs!$B$23+((C729=TRUE)*(F729-Calc!F24)))/100)/2</f>
        <v/>
      </c>
      <c r="M713">
        <f>L713*(1+(Inputs!$B$10+0+B739)/100)</f>
        <v/>
      </c>
      <c r="N713">
        <f>L713*(1-MIN((Inputs!$B$9+((C731=TRUE)*(F731-Calc!F26))+B734),100)/100)+M713*(MIN((Inputs!$B$9+((C731=TRUE)*(F731-Calc!F26))+B734),100)/100)</f>
        <v/>
      </c>
      <c r="O713">
        <f>(1-Summary!$B$55)*T713+Summary!$B$55*V713</f>
        <v/>
      </c>
      <c r="P713">
        <f>IF(B744=0,0,O713/B744)</f>
        <v/>
      </c>
      <c r="Q713">
        <f>IFERROR(1/IF(Inputs!$B$38="pvp",15,MAX(0.1,Skills!D8-IF(Skills!E8=TRUE,Inputs!$B$32,0))),0)</f>
        <v/>
      </c>
      <c r="R713">
        <f>IF(AND(Inputs!$B$38&lt;&gt;"pvp",Inputs!$B$43&gt;0),IF(MAX(0,Inputs!$B$43-B741)&lt;=0,0,(INT(MAX(0,Inputs!$B$43-B741)/IF(Inputs!$B$38="pvp",15,MAX(0.1,Skills!D8-IF(Skills!E8=TRUE,Inputs!$B$32,0))))+1)),0)</f>
        <v/>
      </c>
      <c r="S713">
        <f>IFERROR(O713/N713,0)</f>
        <v/>
      </c>
      <c r="T713">
        <f>IF(C713,(H713*N713*IF(AND(Inputs!$B$38&lt;&gt;"pvp",Inputs!$B$43&gt;0),((Skills!G8*((R713-1)*IF(Skills!H8&gt;0,Skills!I8/Skills!H8,1)+IF(Skills!H8&gt;0,MIN(Skills!I8,MAX(0,MAX(0,Inputs!$B$43-B741)-((R713-1)*IF(Inputs!$B$38="pvp",15,MAX(0.1,Skills!D8-IF(Skills!E8=TRUE,Inputs!$B$32,0))))))/Skills!H8,1)))/Inputs!$B$43),G713*Q713))*IF(Inputs!$B$38="pvp",1,1+(Inputs!$B$20+0+Skills!P8+Summary!$B$59)/100),0)</f>
        <v/>
      </c>
      <c r="V713">
        <f>IF(C713,(H713*N713*IF(AND(Inputs!$B$38&lt;&gt;"pvp",Inputs!$B$43&gt;0),((Skills!G8*((R713-1)*IF(Skills!H8&gt;0,Skills!I8/Skills!H8,1)+IF(Skills!H8&gt;0,MIN(Skills!I8,MAX(0,MAX(0,Inputs!$B$43-B741)-((R713-1)*IF(Inputs!$B$38="pvp",15,MAX(0.1,Skills!D8-IF(Skills!E8=TRUE,Inputs!$B$32,0))))))/Skills!H8,1)))/Inputs!$B$43),G713*Q713))*IF(Inputs!$B$38="pvp",1,(1+(Inputs!$B$21+Skills!Q8+Summary!$B$59)/100)*(MIN(Skills!R8,Inputs!$B$37))),0)</f>
        <v/>
      </c>
    </row>
    <row r="714">
      <c r="A714">
        <f>Skills!A9</f>
        <v/>
      </c>
      <c r="B714">
        <f>Skills!B9</f>
        <v/>
      </c>
      <c r="C714">
        <f>Inputs!$B$3&gt;=69</f>
        <v/>
      </c>
      <c r="D714">
        <f>IF(Skills!C9=1,60+(Inputs!$B$25+1)+Inputs!$B$29,IF(Skills!C9=2,90+Inputs!$B$26+Inputs!$B$29,IF(Skills!C9=3,120+Inputs!$B$27+Inputs!$B$29,MAX(0,(Inputs!$B$3-100)*3)+Inputs!$B$28+Inputs!$B$29)))</f>
        <v/>
      </c>
      <c r="E714">
        <f>INDEX(FactorTable!$B$2:$Y$301, MATCH(ROUND(MIN(300,MAX(1,D714)),0), FactorTable!$A$2:$A$301,0), Skills!M9+1)</f>
        <v/>
      </c>
      <c r="F714">
        <f>IF(Skills!N9=TRUE,(Skills!L9/10)*(E714/1000),Skills!L9/10)+Skills!O9</f>
        <v/>
      </c>
      <c r="G714">
        <f>Skills!G9*IF(Skills!H9&gt;0,Skills!I9/Skills!H9,1)</f>
        <v/>
      </c>
      <c r="H714">
        <f>1-(1-Skills!J9/100)^Skills!K9</f>
        <v/>
      </c>
      <c r="I714" t="inlineStr">
        <is>
          <t>1</t>
        </is>
      </c>
      <c r="J714">
        <f>((Inputs!$B$6*(1+Inputs!$B$7/100))+(((Inputs!$B$12*(1+Inputs!$B$13/100))-(Inputs!$B$12*(1+Inputs!$B$13/100)))+0.25*(Inputs!$B$14-Inputs!$B$14))*(1+Inputs!$B$7/100))*(F714/100)</f>
        <v/>
      </c>
      <c r="K714">
        <f>J714*(1+((Inputs!$B$12*(1+Inputs!$B$13/100))*0.01+Inputs!$B$14*0.0025)/100)*(1+Inputs!$B$15/100)*(1+Inputs!$B$16/100)*(5000/(6000+Inputs!$B$42*(1-(Inputs!$B$19+0)/100)))*(1+(Inputs!$B$24+((C730=TRUE)*(F730-Calc!F25))+B740)/100)*(1+1.0*IF(C717=TRUE,F717,0)/100)*(1+IF(Skills!A9="ENHANCED_RAGING_BLOW",IF(Inputs!$B$3&gt;=134,MAX(0,IF(Inputs!$B$3&gt;=110,7,5)-5)*50,0),0)/100)*(1+(IF(Skills!A9="RAGING_BLOW",Inputs!$B$17+((C726=TRUE)*(F726-Calc!F21)),Inputs!$B$18+((C728=TRUE)*(F728-Calc!F23))))/100)*((1+(((C718=TRUE)*F718*IF(Inputs!$B$3&gt;=110,7,5))+((C720=TRUE)*F720*IF(AND(Inputs!$B$38&lt;&gt;"pvp",Inputs!$B$43&gt;0),(((R720-1)*(Skills!T15*(1+Inputs!$B$34/100))+MIN((Skills!T15*(1+Inputs!$B$34/100)),MAX(0,Inputs!$B$43-((R720-1)*Skills!D15))))/Inputs!$B$43),IF(Inputs!$B$38="pvp",MIN((Skills!T15*(1+Inputs!$B$34/100)),15)/15,(Skills!T15*(1+Inputs!$B$34/100))/Skills!D15)))+0)/100)*I714)</f>
        <v/>
      </c>
      <c r="L714">
        <f>K714*(MIN(Inputs!$B$22+((C727=TRUE)*(F727-Calc!F22)),Inputs!$B$23+((C729=TRUE)*(F729-Calc!F24)))/100+(Inputs!$B$23+((C729=TRUE)*(F729-Calc!F24)))/100)/2</f>
        <v/>
      </c>
      <c r="M714">
        <f>L714*(1+(Inputs!$B$10+0+B739)/100)</f>
        <v/>
      </c>
      <c r="N714">
        <f>L714*(1-MIN((Inputs!$B$9+((C731=TRUE)*(F731-Calc!F26))+B734),100)/100)+M714*(MIN((Inputs!$B$9+((C731=TRUE)*(F731-Calc!F26))+B734),100)/100)</f>
        <v/>
      </c>
      <c r="O714">
        <f>(1-Summary!$B$55)*T714+Summary!$B$55*V714</f>
        <v/>
      </c>
      <c r="P714">
        <f>IF(B744=0,0,O714/B744)</f>
        <v/>
      </c>
      <c r="Q714">
        <f>IFERROR(1/IF(Inputs!$B$38="pvp",15,MAX(0.1,Skills!D9-IF(Skills!E9=TRUE,Inputs!$B$32,0))),0)</f>
        <v/>
      </c>
      <c r="R714">
        <f>IF(AND(Inputs!$B$38&lt;&gt;"pvp",Inputs!$B$43&gt;0),IF(MAX(0,Inputs!$B$43-B741)&lt;=0,0,(INT(MAX(0,Inputs!$B$43-B741)/IF(Inputs!$B$38="pvp",15,MAX(0.1,Skills!D9-IF(Skills!E9=TRUE,Inputs!$B$32,0))))+1)),0)</f>
        <v/>
      </c>
      <c r="S714">
        <f>IFERROR(O714/N714,0)</f>
        <v/>
      </c>
      <c r="T714">
        <f>IF(C714,(H714*N714*IF(AND(Inputs!$B$38&lt;&gt;"pvp",Inputs!$B$43&gt;0),((Skills!G9*((R714-1)*IF(Skills!H9&gt;0,Skills!I9/Skills!H9,1)+IF(Skills!H9&gt;0,MIN(Skills!I9,MAX(0,MAX(0,Inputs!$B$43-B741)-((R714-1)*IF(Inputs!$B$38="pvp",15,MAX(0.1,Skills!D9-IF(Skills!E9=TRUE,Inputs!$B$32,0))))))/Skills!H9,1)))/Inputs!$B$43),G714*Q714))*IF(Inputs!$B$38="pvp",1,1+(Inputs!$B$20+0+Skills!P9+Summary!$B$59)/100),0)</f>
        <v/>
      </c>
      <c r="V714">
        <f>IF(C714,(H714*N714*IF(AND(Inputs!$B$38&lt;&gt;"pvp",Inputs!$B$43&gt;0),((Skills!G9*((R714-1)*IF(Skills!H9&gt;0,Skills!I9/Skills!H9,1)+IF(Skills!H9&gt;0,MIN(Skills!I9,MAX(0,MAX(0,Inputs!$B$43-B741)-((R714-1)*IF(Inputs!$B$38="pvp",15,MAX(0.1,Skills!D9-IF(Skills!E9=TRUE,Inputs!$B$32,0))))))/Skills!H9,1)))/Inputs!$B$43),G714*Q714))*IF(Inputs!$B$38="pvp",1,(1+(Inputs!$B$21+Skills!Q9+Summary!$B$59)/100)*(MIN(Skills!R9,Inputs!$B$37))),0)</f>
        <v/>
      </c>
    </row>
    <row r="715">
      <c r="A715">
        <f>Skills!A10</f>
        <v/>
      </c>
      <c r="B715">
        <f>Skills!B10</f>
        <v/>
      </c>
      <c r="C715">
        <f>Inputs!$B$3&gt;=63</f>
        <v/>
      </c>
      <c r="D715">
        <f>IF(Skills!C10=1,60+(Inputs!$B$25+1)+Inputs!$B$29,IF(Skills!C10=2,90+Inputs!$B$26+Inputs!$B$29,IF(Skills!C10=3,120+Inputs!$B$27+Inputs!$B$29,MAX(0,(Inputs!$B$3-100)*3)+Inputs!$B$28+Inputs!$B$29)))</f>
        <v/>
      </c>
      <c r="E715">
        <f>INDEX(FactorTable!$B$2:$Y$301, MATCH(ROUND(MIN(300,MAX(1,D715)),0), FactorTable!$A$2:$A$301,0), Skills!M10+1)</f>
        <v/>
      </c>
      <c r="F715">
        <f>IF(Skills!N10=TRUE,(Skills!L10/10)*(E715/1000),Skills!L10/10)+Skills!O10</f>
        <v/>
      </c>
      <c r="G715">
        <f>Skills!G10*IF(Skills!H10&gt;0,Skills!I10/Skills!H10,1)</f>
        <v/>
      </c>
      <c r="H715">
        <f>1-(1-Skills!J10/100)^Skills!K10</f>
        <v/>
      </c>
      <c r="I715" t="inlineStr">
        <is>
          <t>1</t>
        </is>
      </c>
      <c r="J715">
        <f>((Inputs!$B$6*(1+Inputs!$B$7/100))+(((Inputs!$B$12*(1+Inputs!$B$13/100))-(Inputs!$B$12*(1+Inputs!$B$13/100)))+0.25*(Inputs!$B$14-Inputs!$B$14))*(1+Inputs!$B$7/100))*(F715/100)</f>
        <v/>
      </c>
      <c r="K715">
        <f>J715*(1+((Inputs!$B$12*(1+Inputs!$B$13/100))*0.01+Inputs!$B$14*0.0025)/100)*(1+Inputs!$B$15/100)*(1+Inputs!$B$16/100)*(5000/(6000+Inputs!$B$42*(1-(Inputs!$B$19+0)/100)))*(1+(Inputs!$B$24+((C730=TRUE)*(F730-Calc!F25))+B740)/100)*(1+1.5*IF(C717=TRUE,F717,0)/100)*(1+IF(Skills!A10="ENHANCED_RAGING_BLOW",IF(Inputs!$B$3&gt;=134,MAX(0,IF(Inputs!$B$3&gt;=110,7,5)-5)*50,0),0)/100)*(1+(IF(Skills!A10="RAGING_BLOW",Inputs!$B$17+((C726=TRUE)*(F726-Calc!F21)),Inputs!$B$18+((C728=TRUE)*(F728-Calc!F23))))/100)*((1+(((C718=TRUE)*F718*IF(Inputs!$B$3&gt;=110,7,5))+((C720=TRUE)*F720*IF(AND(Inputs!$B$38&lt;&gt;"pvp",Inputs!$B$43&gt;0),(((R720-1)*(Skills!T15*(1+Inputs!$B$34/100))+MIN((Skills!T15*(1+Inputs!$B$34/100)),MAX(0,Inputs!$B$43-((R720-1)*Skills!D15))))/Inputs!$B$43),IF(Inputs!$B$38="pvp",MIN((Skills!T15*(1+Inputs!$B$34/100)),15)/15,(Skills!T15*(1+Inputs!$B$34/100))/Skills!D15)))+0)/100)*I715)</f>
        <v/>
      </c>
      <c r="L715">
        <f>K715*(MIN(Inputs!$B$22+((C727=TRUE)*(F727-Calc!F22)),Inputs!$B$23+((C729=TRUE)*(F729-Calc!F24)))/100+(Inputs!$B$23+((C729=TRUE)*(F729-Calc!F24)))/100)/2</f>
        <v/>
      </c>
      <c r="M715">
        <f>L715*(1+(Inputs!$B$10+0+B739)/100)</f>
        <v/>
      </c>
      <c r="N715">
        <f>L715*(1-MIN((Inputs!$B$9+((C731=TRUE)*(F731-Calc!F26))+B734),100)/100)+M715*(MIN((Inputs!$B$9+((C731=TRUE)*(F731-Calc!F26))+B734),100)/100)</f>
        <v/>
      </c>
      <c r="O715">
        <f>(1-Summary!$B$55)*T715+Summary!$B$55*V715</f>
        <v/>
      </c>
      <c r="P715">
        <f>IF(B744=0,0,O715/B744)</f>
        <v/>
      </c>
      <c r="Q715">
        <f>IFERROR(1/IF(Inputs!$B$38="pvp",15,MAX(0.1,Skills!D10-IF(Skills!E10=TRUE,Inputs!$B$32,0))),0)</f>
        <v/>
      </c>
      <c r="R715">
        <f>IF(AND(Inputs!$B$38&lt;&gt;"pvp",Inputs!$B$43&gt;0),IF(MAX(0,Inputs!$B$43-B741)&lt;=0,0,(INT(MAX(0,Inputs!$B$43-B741)/IF(Inputs!$B$38="pvp",15,MAX(0.1,Skills!D10-IF(Skills!E10=TRUE,Inputs!$B$32,0))))+1)),0)</f>
        <v/>
      </c>
      <c r="S715">
        <f>IFERROR(O715/N715,0)</f>
        <v/>
      </c>
      <c r="T715">
        <f>IF(C715,(H715*N715*IF(AND(Inputs!$B$38&lt;&gt;"pvp",Inputs!$B$43&gt;0),((Skills!G10*((R715-1)*IF(Skills!H10&gt;0,Skills!I10/Skills!H10,1)+IF(Skills!H10&gt;0,MIN(Skills!I10,MAX(0,MAX(0,Inputs!$B$43-B741)-((R715-1)*IF(Inputs!$B$38="pvp",15,MAX(0.1,Skills!D10-IF(Skills!E10=TRUE,Inputs!$B$32,0))))))/Skills!H10,1)))/Inputs!$B$43),G715*Q715))*IF(Inputs!$B$38="pvp",1,1+(Inputs!$B$20+0+Skills!P10+Summary!$B$59)/100),0)</f>
        <v/>
      </c>
      <c r="V715">
        <f>IF(C715,(H715*N715*IF(AND(Inputs!$B$38&lt;&gt;"pvp",Inputs!$B$43&gt;0),((Skills!G10*((R715-1)*IF(Skills!H10&gt;0,Skills!I10/Skills!H10,1)+IF(Skills!H10&gt;0,MIN(Skills!I10,MAX(0,MAX(0,Inputs!$B$43-B741)-((R715-1)*IF(Inputs!$B$38="pvp",15,MAX(0.1,Skills!D10-IF(Skills!E10=TRUE,Inputs!$B$32,0))))))/Skills!H10,1)))/Inputs!$B$43),G715*Q715))*IF(Inputs!$B$38="pvp",1,(1+(Inputs!$B$21+Skills!Q10+Summary!$B$59)/100)*(MIN(Skills!R10,Inputs!$B$37))),0)</f>
        <v/>
      </c>
    </row>
    <row r="716">
      <c r="A716">
        <f>Skills!A11</f>
        <v/>
      </c>
      <c r="B716">
        <f>Skills!B11</f>
        <v/>
      </c>
      <c r="C716">
        <f>Inputs!$B$3&gt;=35</f>
        <v/>
      </c>
      <c r="D716">
        <f>IF(Skills!C11=1,60+(Inputs!$B$25+1)+Inputs!$B$29,IF(Skills!C11=2,90+Inputs!$B$26+Inputs!$B$29,IF(Skills!C11=3,120+Inputs!$B$27+Inputs!$B$29,MAX(0,(Inputs!$B$3-100)*3)+Inputs!$B$28+Inputs!$B$29)))</f>
        <v/>
      </c>
      <c r="E716">
        <f>INDEX(FactorTable!$B$2:$Y$301, MATCH(ROUND(MIN(300,MAX(1,D716)),0), FactorTable!$A$2:$A$301,0), Skills!M11+1)</f>
        <v/>
      </c>
      <c r="F716">
        <f>IF(Skills!N11=TRUE,(Skills!L11/10)*(E716/1000),Skills!L11/10)+Skills!O11</f>
        <v/>
      </c>
      <c r="G716">
        <f>Skills!G11*IF(Skills!H11&gt;0,Skills!I11/Skills!H11,1)</f>
        <v/>
      </c>
      <c r="H716">
        <f>1-(1-Skills!J11/100)^Skills!K11</f>
        <v/>
      </c>
      <c r="I716" t="inlineStr">
        <is>
          <t>1</t>
        </is>
      </c>
      <c r="J716">
        <f>((Inputs!$B$6*(1+Inputs!$B$7/100))+(((Inputs!$B$12*(1+Inputs!$B$13/100))-(Inputs!$B$12*(1+Inputs!$B$13/100)))+0.25*(Inputs!$B$14-Inputs!$B$14))*(1+Inputs!$B$7/100))*(F716/100)</f>
        <v/>
      </c>
      <c r="K716">
        <f>J716*(1+((Inputs!$B$12*(1+Inputs!$B$13/100))*0.01+Inputs!$B$14*0.0025)/100)*(1+Inputs!$B$15/100)*(1+Inputs!$B$16/100)*(5000/(6000+Inputs!$B$42*(1-(Inputs!$B$19+0)/100)))*(1+(Inputs!$B$24+((C730=TRUE)*(F730-Calc!F25))+B740)/100)*(1+4.0*IF(C717=TRUE,F717,0)/100)*(1+IF(Skills!A11="ENHANCED_RAGING_BLOW",IF(Inputs!$B$3&gt;=134,MAX(0,IF(Inputs!$B$3&gt;=110,7,5)-5)*50,0),0)/100)*(1+(IF(Skills!A11="RAGING_BLOW",Inputs!$B$17+((C726=TRUE)*(F726-Calc!F21)),Inputs!$B$18+((C728=TRUE)*(F728-Calc!F23))))/100)*((1+(((C718=TRUE)*F718*IF(Inputs!$B$3&gt;=110,7,5))+((C720=TRUE)*F720*IF(AND(Inputs!$B$38&lt;&gt;"pvp",Inputs!$B$43&gt;0),(((R720-1)*(Skills!T15*(1+Inputs!$B$34/100))+MIN((Skills!T15*(1+Inputs!$B$34/100)),MAX(0,Inputs!$B$43-((R720-1)*Skills!D15))))/Inputs!$B$43),IF(Inputs!$B$38="pvp",MIN((Skills!T15*(1+Inputs!$B$34/100)),15)/15,(Skills!T15*(1+Inputs!$B$34/100))/Skills!D15)))+0)/100)*I716)</f>
        <v/>
      </c>
      <c r="L716">
        <f>K716*(MIN(Inputs!$B$22+((C727=TRUE)*(F727-Calc!F22)),Inputs!$B$23+((C729=TRUE)*(F729-Calc!F24)))/100+(Inputs!$B$23+((C729=TRUE)*(F729-Calc!F24)))/100)/2</f>
        <v/>
      </c>
      <c r="M716">
        <f>L716*(1+(Inputs!$B$10+0+B739)/100)</f>
        <v/>
      </c>
      <c r="N716">
        <f>L716*(1-MIN((Inputs!$B$9+((C731=TRUE)*(F731-Calc!F26))+B734),100)/100)+M716*(MIN((Inputs!$B$9+((C731=TRUE)*(F731-Calc!F26))+B734),100)/100)</f>
        <v/>
      </c>
      <c r="O716">
        <f>(1-Summary!$B$55)*T716+Summary!$B$55*V716</f>
        <v/>
      </c>
      <c r="P716">
        <f>IF(B744=0,0,O716/B744)</f>
        <v/>
      </c>
      <c r="Q716">
        <f>IFERROR(1/IF(Inputs!$B$38="pvp",15,MAX(0.1,Skills!D11-IF(Skills!E11=TRUE,Inputs!$B$32,0))),0)</f>
        <v/>
      </c>
      <c r="R716">
        <f>IF(AND(Inputs!$B$38&lt;&gt;"pvp",Inputs!$B$43&gt;0),IF(MAX(0,Inputs!$B$43-B741)&lt;=0,0,(INT(MAX(0,Inputs!$B$43-B741)/IF(Inputs!$B$38="pvp",15,MAX(0.1,Skills!D11-IF(Skills!E11=TRUE,Inputs!$B$32,0))))+1)),0)</f>
        <v/>
      </c>
      <c r="S716">
        <f>IFERROR(O716/N716,0)</f>
        <v/>
      </c>
      <c r="T716">
        <f>IF(C716,(H716*N716*IF(AND(Inputs!$B$38&lt;&gt;"pvp",Inputs!$B$43&gt;0),((Skills!G11*((R716-1)*IF(Skills!H11&gt;0,Skills!I11/Skills!H11,1)+IF(Skills!H11&gt;0,MIN(Skills!I11,MAX(0,MAX(0,Inputs!$B$43-B741)-((R716-1)*IF(Inputs!$B$38="pvp",15,MAX(0.1,Skills!D11-IF(Skills!E11=TRUE,Inputs!$B$32,0))))))/Skills!H11,1)))/Inputs!$B$43),G716*Q716))*IF(Inputs!$B$38="pvp",1,1+(Inputs!$B$20+0+Skills!P11+Summary!$B$59)/100),0)</f>
        <v/>
      </c>
      <c r="V716">
        <f>IF(C716,(H716*N716*IF(AND(Inputs!$B$38&lt;&gt;"pvp",Inputs!$B$43&gt;0),((Skills!G11*((R716-1)*IF(Skills!H11&gt;0,Skills!I11/Skills!H11,1)+IF(Skills!H11&gt;0,MIN(Skills!I11,MAX(0,MAX(0,Inputs!$B$43-B741)-((R716-1)*IF(Inputs!$B$38="pvp",15,MAX(0.1,Skills!D11-IF(Skills!E11=TRUE,Inputs!$B$32,0))))))/Skills!H11,1)))/Inputs!$B$43),G716*Q716))*IF(Inputs!$B$38="pvp",1,(1+(Inputs!$B$21+Skills!Q11+Summary!$B$59)/100)*(MIN(Skills!R11,Inputs!$B$37))),0)</f>
        <v/>
      </c>
    </row>
    <row r="717">
      <c r="A717">
        <f>Skills!A12</f>
        <v/>
      </c>
      <c r="B717">
        <f>Skills!B12</f>
        <v/>
      </c>
      <c r="C717">
        <f>Inputs!$B$3&gt;=100</f>
        <v/>
      </c>
      <c r="D717">
        <f>IF(Skills!C12=1,60+(Inputs!$B$25+1)+Inputs!$B$29,IF(Skills!C12=2,90+Inputs!$B$26+Inputs!$B$29,IF(Skills!C12=3,120+Inputs!$B$27+Inputs!$B$29,MAX(0,(Inputs!$B$3-100)*3)+Inputs!$B$28+Inputs!$B$29)))</f>
        <v/>
      </c>
      <c r="E717">
        <f>INDEX(FactorTable!$B$2:$Y$301, MATCH(ROUND(MIN(300,MAX(1,D717)),0), FactorTable!$A$2:$A$301,0), Skills!M12+1)</f>
        <v/>
      </c>
      <c r="F717">
        <f>IF(Skills!N12=TRUE,(Skills!L12/10)*(E717/1000),Skills!L12/10)+Skills!O12</f>
        <v/>
      </c>
      <c r="G717" t="inlineStr"/>
      <c r="H717" t="inlineStr"/>
      <c r="I717" t="inlineStr">
        <is>
          <t>1</t>
        </is>
      </c>
      <c r="J717" t="inlineStr"/>
      <c r="K717" t="inlineStr"/>
      <c r="L717" t="inlineStr"/>
      <c r="M717" t="inlineStr"/>
      <c r="N717" t="inlineStr"/>
      <c r="O717" t="inlineStr"/>
      <c r="P717" t="inlineStr"/>
      <c r="Q717" t="inlineStr"/>
      <c r="R717" t="inlineStr"/>
      <c r="S717" t="inlineStr"/>
    </row>
    <row r="718">
      <c r="A718">
        <f>Skills!A13</f>
        <v/>
      </c>
      <c r="B718">
        <f>Skills!B13</f>
        <v/>
      </c>
      <c r="C718">
        <f>Inputs!$B$3&gt;=45</f>
        <v/>
      </c>
      <c r="D718">
        <f>IF(Skills!C13=1,60+(Inputs!$B$25+1)+Inputs!$B$29,IF(Skills!C13=2,90+Inputs!$B$26+Inputs!$B$29,IF(Skills!C13=3,120+Inputs!$B$27+Inputs!$B$29,MAX(0,(Inputs!$B$3-100)*3)+Inputs!$B$28+Inputs!$B$29)))</f>
        <v/>
      </c>
      <c r="E718">
        <f>INDEX(FactorTable!$B$2:$Y$301, MATCH(ROUND(MIN(300,MAX(1,D718)),0), FactorTable!$A$2:$A$301,0), Skills!M13+1)</f>
        <v/>
      </c>
      <c r="F718">
        <f>IF(Skills!N13=TRUE,(Skills!L13/10)*(E718/1000),Skills!L13/10)+Skills!O13</f>
        <v/>
      </c>
      <c r="G718">
        <f>Skills!G13*IF(Skills!H13&gt;0,Skills!I13/Skills!H13,1)</f>
        <v/>
      </c>
      <c r="H718">
        <f>1-(1-Skills!J13/100)^Skills!K13</f>
        <v/>
      </c>
      <c r="I718" t="inlineStr">
        <is>
          <t>1</t>
        </is>
      </c>
      <c r="J718" t="inlineStr"/>
      <c r="K718" t="inlineStr"/>
      <c r="L718" t="inlineStr"/>
      <c r="M718" t="inlineStr"/>
      <c r="N718" t="inlineStr"/>
      <c r="O718">
        <f>(1-Summary!$B$55)*T718+Summary!$B$55*V718</f>
        <v/>
      </c>
      <c r="P718">
        <f>IF(B744=0,0,O718/B744)</f>
        <v/>
      </c>
      <c r="Q718" t="n">
        <v>0</v>
      </c>
      <c r="R718" t="n">
        <v>0</v>
      </c>
      <c r="S718">
        <f>IFERROR(O718/N718,0)</f>
        <v/>
      </c>
      <c r="T718" t="n">
        <v>0</v>
      </c>
      <c r="V718" t="n">
        <v>0</v>
      </c>
    </row>
    <row r="719">
      <c r="A719">
        <f>Skills!A14</f>
        <v/>
      </c>
      <c r="B719">
        <f>Skills!B14</f>
        <v/>
      </c>
      <c r="C719">
        <f>Inputs!$B$3&gt;=75</f>
        <v/>
      </c>
      <c r="D719">
        <f>IF(Skills!C14=1,60+(Inputs!$B$25+1)+Inputs!$B$29,IF(Skills!C14=2,90+Inputs!$B$26+Inputs!$B$29,IF(Skills!C14=3,120+Inputs!$B$27+Inputs!$B$29,MAX(0,(Inputs!$B$3-100)*3)+Inputs!$B$28+Inputs!$B$29)))</f>
        <v/>
      </c>
      <c r="E719">
        <f>INDEX(FactorTable!$B$2:$Y$301, MATCH(ROUND(MIN(300,MAX(1,D719)),0), FactorTable!$A$2:$A$301,0), Skills!M14+1)</f>
        <v/>
      </c>
      <c r="F719">
        <f>IF(Skills!N14=TRUE,(Skills!L14/10)*(E719/1000),Skills!L14/10)+Skills!O14</f>
        <v/>
      </c>
      <c r="G719">
        <f>Skills!G14*IF(Skills!H14&gt;0,Skills!I14/Skills!H14,1)</f>
        <v/>
      </c>
      <c r="H719">
        <f>1-(1-Skills!J14/100)^Skills!K14</f>
        <v/>
      </c>
      <c r="I719" t="inlineStr">
        <is>
          <t>1</t>
        </is>
      </c>
      <c r="J719" t="inlineStr"/>
      <c r="K719" t="inlineStr"/>
      <c r="L719" t="inlineStr"/>
      <c r="M719" t="inlineStr"/>
      <c r="N719" t="inlineStr"/>
      <c r="O719">
        <f>(1-Summary!$B$55)*T719+Summary!$B$55*V719</f>
        <v/>
      </c>
      <c r="P719">
        <f>IF(B744=0,0,O719/B744)</f>
        <v/>
      </c>
      <c r="Q719" t="n">
        <v>0</v>
      </c>
      <c r="R719" t="n">
        <v>0</v>
      </c>
      <c r="S719">
        <f>IFERROR(O719/N719,0)</f>
        <v/>
      </c>
      <c r="T719" t="n">
        <v>0</v>
      </c>
      <c r="V719" t="n">
        <v>0</v>
      </c>
    </row>
    <row r="720">
      <c r="A720">
        <f>Skills!A15</f>
        <v/>
      </c>
      <c r="B720">
        <f>Skills!B15</f>
        <v/>
      </c>
      <c r="C720">
        <f>Inputs!$B$3&gt;=40</f>
        <v/>
      </c>
      <c r="D720">
        <f>IF(Skills!C15=1,60+(Inputs!$B$25+1)+Inputs!$B$29,IF(Skills!C15=2,90+Inputs!$B$26+Inputs!$B$29,IF(Skills!C15=3,120+Inputs!$B$27+Inputs!$B$29,MAX(0,(Inputs!$B$3-100)*3)+Inputs!$B$28+Inputs!$B$29)))</f>
        <v/>
      </c>
      <c r="E720">
        <f>INDEX(FactorTable!$B$2:$Y$301, MATCH(ROUND(MIN(300,MAX(1,D720)),0), FactorTable!$A$2:$A$301,0), Skills!M15+1)</f>
        <v/>
      </c>
      <c r="F720">
        <f>IF(Skills!N15=TRUE,(Skills!L15/10)*(E720/1000),Skills!L15/10)+Skills!O15</f>
        <v/>
      </c>
      <c r="G720">
        <f>Skills!G15*IF(Skills!H15&gt;0,Skills!I15/Skills!H15,1)</f>
        <v/>
      </c>
      <c r="H720">
        <f>1-(1-Skills!J15/100)^Skills!K15</f>
        <v/>
      </c>
      <c r="I720" t="inlineStr">
        <is>
          <t>1</t>
        </is>
      </c>
      <c r="J720" t="inlineStr"/>
      <c r="K720" t="inlineStr"/>
      <c r="L720" t="inlineStr"/>
      <c r="M720" t="inlineStr"/>
      <c r="N720" t="inlineStr"/>
      <c r="O720">
        <f>(1-Summary!$B$55)*T720+Summary!$B$55*V720</f>
        <v/>
      </c>
      <c r="P720">
        <f>IF(B744=0,0,O720/B744)</f>
        <v/>
      </c>
      <c r="Q720">
        <f>IFERROR(1/IF(Inputs!$B$38="pvp",15,MAX(0.1,Skills!D15-IF(Skills!E15=TRUE,Inputs!$B$32,0))),0)</f>
        <v/>
      </c>
      <c r="R720">
        <f>IF(AND(Inputs!$B$38&lt;&gt;"pvp",Inputs!$B$43&gt;0),IF(Inputs!$B$43&lt;=0,0,(INT(Inputs!$B$43/IF(Inputs!$B$38="pvp",15,MAX(0.1,Skills!D15-IF(Skills!E15=TRUE,Inputs!$B$32,0))))+1)),0)</f>
        <v/>
      </c>
      <c r="S720">
        <f>IFERROR(O720/N720,0)</f>
        <v/>
      </c>
      <c r="T720" t="n">
        <v>0</v>
      </c>
      <c r="V720" t="n">
        <v>0</v>
      </c>
    </row>
    <row r="721">
      <c r="A721">
        <f>Skills!A16</f>
        <v/>
      </c>
      <c r="B721">
        <f>Skills!B16</f>
        <v/>
      </c>
      <c r="C721">
        <f>Inputs!$B$3&gt;=66</f>
        <v/>
      </c>
      <c r="D721">
        <f>IF(Skills!C16=1,60+(Inputs!$B$25+1)+Inputs!$B$29,IF(Skills!C16=2,90+Inputs!$B$26+Inputs!$B$29,IF(Skills!C16=3,120+Inputs!$B$27+Inputs!$B$29,MAX(0,(Inputs!$B$3-100)*3)+Inputs!$B$28+Inputs!$B$29)))</f>
        <v/>
      </c>
      <c r="E721">
        <f>INDEX(FactorTable!$B$2:$Y$301, MATCH(ROUND(MIN(300,MAX(1,D721)),0), FactorTable!$A$2:$A$301,0), Skills!M16+1)</f>
        <v/>
      </c>
      <c r="F721">
        <f>IF(Skills!N16=TRUE,(Skills!L16/10)*(E721/1000),Skills!L16/10)+Skills!O16</f>
        <v/>
      </c>
      <c r="G721">
        <f>Skills!G16*IF(Skills!H16&gt;0,Skills!I16/Skills!H16,1)</f>
        <v/>
      </c>
      <c r="H721">
        <f>1-(1-Skills!J16/100)^Skills!K16</f>
        <v/>
      </c>
      <c r="I721" t="inlineStr">
        <is>
          <t>1</t>
        </is>
      </c>
      <c r="J721" t="inlineStr"/>
      <c r="K721" t="inlineStr"/>
      <c r="L721" t="inlineStr"/>
      <c r="M721" t="inlineStr"/>
      <c r="N721" t="inlineStr"/>
      <c r="O721">
        <f>(1-Summary!$B$55)*T721+Summary!$B$55*V721</f>
        <v/>
      </c>
      <c r="P721">
        <f>IF(B744=0,0,O721/B744)</f>
        <v/>
      </c>
      <c r="Q721">
        <f>IFERROR(1/IF(Inputs!$B$38="pvp",15,MAX(0.1,Skills!D16-IF(Skills!E16=TRUE,Inputs!$B$32,0))),0)</f>
        <v/>
      </c>
      <c r="R721">
        <f>IF(AND(Inputs!$B$38&lt;&gt;"pvp",Inputs!$B$43&gt;0),IF(Inputs!$B$43&lt;=0,0,(INT(Inputs!$B$43/IF(Inputs!$B$38="pvp",15,MAX(0.1,Skills!D16-IF(Skills!E16=TRUE,Inputs!$B$32,0))))+1)),0)</f>
        <v/>
      </c>
      <c r="S721">
        <f>IFERROR(O721/N721,0)</f>
        <v/>
      </c>
      <c r="T721" t="n">
        <v>0</v>
      </c>
      <c r="V721" t="n">
        <v>0</v>
      </c>
    </row>
    <row r="722">
      <c r="A722">
        <f>Skills!A17</f>
        <v/>
      </c>
      <c r="B722">
        <f>Skills!B17</f>
        <v/>
      </c>
      <c r="C722">
        <f>Inputs!$B$3&gt;=115</f>
        <v/>
      </c>
      <c r="D722">
        <f>IF(Skills!C17=1,60+(Inputs!$B$25+1)+Inputs!$B$29,IF(Skills!C17=2,90+Inputs!$B$26+Inputs!$B$29,IF(Skills!C17=3,120+Inputs!$B$27+Inputs!$B$29,MAX(0,(Inputs!$B$3-100)*3)+Inputs!$B$28+Inputs!$B$29)))</f>
        <v/>
      </c>
      <c r="E722">
        <f>INDEX(FactorTable!$B$2:$Y$301, MATCH(ROUND(MIN(300,MAX(1,D722)),0), FactorTable!$A$2:$A$301,0), Skills!M17+1)</f>
        <v/>
      </c>
      <c r="F722">
        <f>IF(Skills!N17=TRUE,(Skills!L17/10)*(E722/1000),Skills!L17/10)+Skills!O17</f>
        <v/>
      </c>
      <c r="G722">
        <f>Skills!G17*IF(Skills!H17&gt;0,Skills!I17/Skills!H17,1)</f>
        <v/>
      </c>
      <c r="H722">
        <f>1-(1-Skills!J17/100)^Skills!K17</f>
        <v/>
      </c>
      <c r="I722" t="inlineStr">
        <is>
          <t>1</t>
        </is>
      </c>
      <c r="J722" t="inlineStr"/>
      <c r="K722" t="inlineStr"/>
      <c r="L722" t="inlineStr"/>
      <c r="M722" t="inlineStr"/>
      <c r="N722" t="inlineStr"/>
      <c r="O722">
        <f>(1-Summary!$B$55)*T722+Summary!$B$55*V722</f>
        <v/>
      </c>
      <c r="P722">
        <f>IF(B744=0,0,O722/B744)</f>
        <v/>
      </c>
      <c r="Q722">
        <f>IFERROR(1/IF(Inputs!$B$38="pvp",15,MAX(0.1,Skills!D17-IF(Skills!E17=TRUE,Inputs!$B$32,0))),0)</f>
        <v/>
      </c>
      <c r="R722">
        <f>IF(AND(Inputs!$B$38&lt;&gt;"pvp",Inputs!$B$43&gt;0),IF(Inputs!$B$43&lt;=0,0,(INT(Inputs!$B$43/IF(Inputs!$B$38="pvp",15,MAX(0.1,Skills!D17-IF(Skills!E17=TRUE,Inputs!$B$32,0))))+1)),0)</f>
        <v/>
      </c>
      <c r="S722">
        <f>IFERROR(O722/N722,0)</f>
        <v/>
      </c>
      <c r="T722" t="n">
        <v>0</v>
      </c>
      <c r="V722" t="n">
        <v>0</v>
      </c>
    </row>
    <row r="723">
      <c r="A723">
        <f>Skills!A18</f>
        <v/>
      </c>
      <c r="B723">
        <f>Skills!B18</f>
        <v/>
      </c>
      <c r="C723">
        <f>Inputs!$B$3&gt;=115</f>
        <v/>
      </c>
      <c r="D723">
        <f>IF(Skills!C18=1,60+(Inputs!$B$25+1)+Inputs!$B$29,IF(Skills!C18=2,90+Inputs!$B$26+Inputs!$B$29,IF(Skills!C18=3,120+Inputs!$B$27+Inputs!$B$29,MAX(0,(Inputs!$B$3-100)*3)+Inputs!$B$28+Inputs!$B$29)))</f>
        <v/>
      </c>
      <c r="E723">
        <f>INDEX(FactorTable!$B$2:$Y$301, MATCH(ROUND(MIN(300,MAX(1,D723)),0), FactorTable!$A$2:$A$301,0), Skills!M18+1)</f>
        <v/>
      </c>
      <c r="F723">
        <f>IF(Skills!N18=TRUE,(Skills!L18/10)*(E723/1000),Skills!L18/10)+Skills!O18</f>
        <v/>
      </c>
      <c r="G723">
        <f>Skills!G18*IF(Skills!H18&gt;0,Skills!I18/Skills!H18,1)</f>
        <v/>
      </c>
      <c r="H723">
        <f>1-(1-Skills!J18/100)^Skills!K18</f>
        <v/>
      </c>
      <c r="I723" t="inlineStr">
        <is>
          <t>1</t>
        </is>
      </c>
      <c r="J723" t="inlineStr"/>
      <c r="K723" t="inlineStr"/>
      <c r="L723" t="inlineStr"/>
      <c r="M723" t="inlineStr"/>
      <c r="N723" t="inlineStr"/>
      <c r="O723">
        <f>(1-Summary!$B$55)*T723+Summary!$B$55*V723</f>
        <v/>
      </c>
      <c r="P723">
        <f>IF(B744=0,0,O723/B744)</f>
        <v/>
      </c>
      <c r="Q723">
        <f>IFERROR(1/IF(Inputs!$B$38="pvp",15,MAX(0.1,Skills!D18-IF(Skills!E18=TRUE,Inputs!$B$32,0))),0)</f>
        <v/>
      </c>
      <c r="R723">
        <f>IF(AND(Inputs!$B$38&lt;&gt;"pvp",Inputs!$B$43&gt;0),IF(Inputs!$B$43&lt;=0,0,(INT(Inputs!$B$43/IF(Inputs!$B$38="pvp",15,MAX(0.1,Skills!D18-IF(Skills!E18=TRUE,Inputs!$B$32,0))))+1)),0)</f>
        <v/>
      </c>
      <c r="S723">
        <f>IFERROR(O723/N723,0)</f>
        <v/>
      </c>
      <c r="T723" t="n">
        <v>0</v>
      </c>
      <c r="V723" t="n">
        <v>0</v>
      </c>
    </row>
    <row r="724">
      <c r="A724">
        <f>Skills!A19</f>
        <v/>
      </c>
      <c r="B724">
        <f>Skills!B19</f>
        <v/>
      </c>
      <c r="C724">
        <f>TRUE</f>
        <v/>
      </c>
      <c r="D724">
        <f>IF(Skills!C19=1,60+(Inputs!$B$25+1)+Inputs!$B$29,IF(Skills!C19=2,90+Inputs!$B$26+Inputs!$B$29,IF(Skills!C19=3,120+Inputs!$B$27+Inputs!$B$29,MAX(0,(Inputs!$B$3-100)*3)+Inputs!$B$28+Inputs!$B$29)))</f>
        <v/>
      </c>
      <c r="E724">
        <f>INDEX(FactorTable!$B$2:$Y$301, MATCH(ROUND(MIN(300,MAX(1,D724)),0), FactorTable!$A$2:$A$301,0), Skills!M19+1)</f>
        <v/>
      </c>
      <c r="F724">
        <f>IF(Skills!N19=TRUE,(Skills!L19/10)*(E724/1000),Skills!L19/10)+Skills!O19</f>
        <v/>
      </c>
      <c r="G724">
        <f>Skills!G19*IF(Skills!H19&gt;0,Skills!I19/Skills!H19,1)</f>
        <v/>
      </c>
      <c r="H724">
        <f>1-(1-Skills!J19/100)^Skills!K19</f>
        <v/>
      </c>
      <c r="I724" t="inlineStr">
        <is>
          <t>1</t>
        </is>
      </c>
      <c r="J724" t="inlineStr"/>
      <c r="K724" t="inlineStr"/>
      <c r="L724" t="inlineStr"/>
      <c r="M724" t="inlineStr"/>
      <c r="N724" t="inlineStr"/>
      <c r="O724">
        <f>(1-Summary!$B$55)*T724+Summary!$B$55*V724</f>
        <v/>
      </c>
      <c r="P724">
        <f>IF(B744=0,0,O724/B744)</f>
        <v/>
      </c>
      <c r="Q724">
        <f>IFERROR(1/IF(Inputs!$B$38="pvp",15,MAX(0.1,Skills!D19-IF(Skills!E19=TRUE,Inputs!$B$32,0))),0)</f>
        <v/>
      </c>
      <c r="R724">
        <f>IF(AND(Inputs!$B$38&lt;&gt;"pvp",Inputs!$B$43&gt;0),IF(Inputs!$B$43&lt;=0,0,(INT(Inputs!$B$43/IF(Inputs!$B$38="pvp",15,MAX(0.1,Skills!D19-IF(Skills!E19=TRUE,Inputs!$B$32,0))))+1)),0)</f>
        <v/>
      </c>
      <c r="S724">
        <f>IFERROR(O724/N724,0)</f>
        <v/>
      </c>
      <c r="T724" t="n">
        <v>0</v>
      </c>
      <c r="V724" t="n">
        <v>0</v>
      </c>
    </row>
    <row r="725">
      <c r="A725">
        <f>Skills!A20</f>
        <v/>
      </c>
      <c r="B725">
        <f>Skills!B20</f>
        <v/>
      </c>
      <c r="C725">
        <f>Inputs!$B$3&gt;=33</f>
        <v/>
      </c>
      <c r="D725">
        <f>IF(Skills!C20=1,60+(Inputs!$B$25+1)+Inputs!$B$29,IF(Skills!C20=2,90+Inputs!$B$26+Inputs!$B$29,IF(Skills!C20=3,120+Inputs!$B$27+Inputs!$B$29,MAX(0,(Inputs!$B$3-100)*3)+Inputs!$B$28+Inputs!$B$29)))</f>
        <v/>
      </c>
      <c r="E725">
        <f>INDEX(FactorTable!$B$2:$Y$301, MATCH(ROUND(MIN(300,MAX(1,D725)),0), FactorTable!$A$2:$A$301,0), Skills!M20+1)</f>
        <v/>
      </c>
      <c r="F725">
        <f>IF(Skills!N20=TRUE,(Skills!L20/10)*(E725/1000),Skills!L20/10)+Skills!O20</f>
        <v/>
      </c>
      <c r="G725">
        <f>Skills!G20*IF(Skills!H20&gt;0,Skills!I20/Skills!H20,1)</f>
        <v/>
      </c>
      <c r="H725">
        <f>1-(1-Skills!J20/100)^Skills!K20</f>
        <v/>
      </c>
      <c r="I725" t="inlineStr">
        <is>
          <t>1</t>
        </is>
      </c>
      <c r="J725" t="inlineStr"/>
      <c r="K725" t="inlineStr"/>
      <c r="L725" t="inlineStr"/>
      <c r="M725" t="inlineStr"/>
      <c r="N725" t="inlineStr"/>
      <c r="O725">
        <f>(1-Summary!$B$55)*T725+Summary!$B$55*V725</f>
        <v/>
      </c>
      <c r="P725">
        <f>IF(B744=0,0,O725/B744)</f>
        <v/>
      </c>
      <c r="Q725" t="n">
        <v>0</v>
      </c>
      <c r="R725" t="n">
        <v>0</v>
      </c>
      <c r="S725">
        <f>IFERROR(O725/N725,0)</f>
        <v/>
      </c>
      <c r="T725" t="n">
        <v>0</v>
      </c>
      <c r="V725" t="n">
        <v>0</v>
      </c>
    </row>
    <row r="726">
      <c r="A726">
        <f>Skills!A21</f>
        <v/>
      </c>
      <c r="B726">
        <f>Skills!B21</f>
        <v/>
      </c>
      <c r="C726">
        <f>Inputs!$B$3&gt;=38</f>
        <v/>
      </c>
      <c r="D726">
        <f>IF(Skills!C21=1,60+(Inputs!$B$25+1)+Inputs!$B$29,IF(Skills!C21=2,90+Inputs!$B$26+Inputs!$B$29,IF(Skills!C21=3,120+Inputs!$B$27+Inputs!$B$29,MAX(0,(Inputs!$B$3-100)*3)+Inputs!$B$28+Inputs!$B$29)))</f>
        <v/>
      </c>
      <c r="E726">
        <f>INDEX(FactorTable!$B$2:$Y$301, MATCH(ROUND(MIN(300,MAX(1,D726)),0), FactorTable!$A$2:$A$301,0), Skills!M21+1)</f>
        <v/>
      </c>
      <c r="F726">
        <f>IF(Skills!N21=TRUE,(Skills!L21/10)*(E726/1000),Skills!L21/10)+Skills!O21</f>
        <v/>
      </c>
      <c r="G726">
        <f>Skills!G21*IF(Skills!H21&gt;0,Skills!I21/Skills!H21,1)</f>
        <v/>
      </c>
      <c r="H726">
        <f>1-(1-Skills!J21/100)^Skills!K21</f>
        <v/>
      </c>
      <c r="I726" t="inlineStr">
        <is>
          <t>1</t>
        </is>
      </c>
      <c r="J726" t="inlineStr"/>
      <c r="K726" t="inlineStr"/>
      <c r="L726" t="inlineStr"/>
      <c r="M726" t="inlineStr"/>
      <c r="N726" t="inlineStr"/>
      <c r="O726">
        <f>(1-Summary!$B$55)*T726+Summary!$B$55*V726</f>
        <v/>
      </c>
      <c r="P726">
        <f>IF(B744=0,0,O726/B744)</f>
        <v/>
      </c>
      <c r="Q726" t="n">
        <v>0</v>
      </c>
      <c r="R726" t="n">
        <v>0</v>
      </c>
      <c r="S726">
        <f>IFERROR(O726/N726,0)</f>
        <v/>
      </c>
      <c r="T726" t="n">
        <v>0</v>
      </c>
      <c r="V726" t="n">
        <v>0</v>
      </c>
    </row>
    <row r="727">
      <c r="A727">
        <f>Skills!A22</f>
        <v/>
      </c>
      <c r="B727">
        <f>Skills!B22</f>
        <v/>
      </c>
      <c r="C727">
        <f>Inputs!$B$3&gt;=43</f>
        <v/>
      </c>
      <c r="D727">
        <f>IF(Skills!C22=1,60+(Inputs!$B$25+1)+Inputs!$B$29,IF(Skills!C22=2,90+Inputs!$B$26+Inputs!$B$29,IF(Skills!C22=3,120+Inputs!$B$27+Inputs!$B$29,MAX(0,(Inputs!$B$3-100)*3)+Inputs!$B$28+Inputs!$B$29)))</f>
        <v/>
      </c>
      <c r="E727">
        <f>INDEX(FactorTable!$B$2:$Y$301, MATCH(ROUND(MIN(300,MAX(1,D727)),0), FactorTable!$A$2:$A$301,0), Skills!M22+1)</f>
        <v/>
      </c>
      <c r="F727">
        <f>IF(Skills!N22=TRUE,(Skills!L22/10)*(E727/1000),Skills!L22/10)+Skills!O22</f>
        <v/>
      </c>
      <c r="G727">
        <f>Skills!G22*IF(Skills!H22&gt;0,Skills!I22/Skills!H22,1)</f>
        <v/>
      </c>
      <c r="H727">
        <f>1-(1-Skills!J22/100)^Skills!K22</f>
        <v/>
      </c>
      <c r="I727" t="inlineStr">
        <is>
          <t>1</t>
        </is>
      </c>
      <c r="J727" t="inlineStr"/>
      <c r="K727" t="inlineStr"/>
      <c r="L727" t="inlineStr"/>
      <c r="M727" t="inlineStr"/>
      <c r="N727" t="inlineStr"/>
      <c r="O727">
        <f>(1-Summary!$B$55)*T727+Summary!$B$55*V727</f>
        <v/>
      </c>
      <c r="P727">
        <f>IF(B744=0,0,O727/B744)</f>
        <v/>
      </c>
      <c r="Q727" t="n">
        <v>0</v>
      </c>
      <c r="R727" t="n">
        <v>0</v>
      </c>
      <c r="S727">
        <f>IFERROR(O727/N727,0)</f>
        <v/>
      </c>
      <c r="T727" t="n">
        <v>0</v>
      </c>
      <c r="V727" t="n">
        <v>0</v>
      </c>
    </row>
    <row r="728">
      <c r="A728">
        <f>Skills!A23</f>
        <v/>
      </c>
      <c r="B728">
        <f>Skills!B23</f>
        <v/>
      </c>
      <c r="C728">
        <f>Inputs!$B$3&gt;=120</f>
        <v/>
      </c>
      <c r="D728">
        <f>IF(Skills!C23=1,60+(Inputs!$B$25+1)+Inputs!$B$29,IF(Skills!C23=2,90+Inputs!$B$26+Inputs!$B$29,IF(Skills!C23=3,120+Inputs!$B$27+Inputs!$B$29,MAX(0,(Inputs!$B$3-100)*3)+Inputs!$B$28+Inputs!$B$29)))</f>
        <v/>
      </c>
      <c r="E728">
        <f>INDEX(FactorTable!$B$2:$Y$301, MATCH(ROUND(MIN(300,MAX(1,D728)),0), FactorTable!$A$2:$A$301,0), Skills!M23+1)</f>
        <v/>
      </c>
      <c r="F728">
        <f>IF(Skills!N23=TRUE,(Skills!L23/10)*(E728/1000),Skills!L23/10)+Skills!O23</f>
        <v/>
      </c>
      <c r="G728">
        <f>Skills!G23*IF(Skills!H23&gt;0,Skills!I23/Skills!H23,1)</f>
        <v/>
      </c>
      <c r="H728">
        <f>1-(1-Skills!J23/100)^Skills!K23</f>
        <v/>
      </c>
      <c r="I728" t="inlineStr">
        <is>
          <t>1</t>
        </is>
      </c>
      <c r="J728" t="inlineStr"/>
      <c r="K728" t="inlineStr"/>
      <c r="L728" t="inlineStr"/>
      <c r="M728" t="inlineStr"/>
      <c r="N728" t="inlineStr"/>
      <c r="O728">
        <f>(1-Summary!$B$55)*T728+Summary!$B$55*V728</f>
        <v/>
      </c>
      <c r="P728">
        <f>IF(B744=0,0,O728/B744)</f>
        <v/>
      </c>
      <c r="Q728" t="n">
        <v>0</v>
      </c>
      <c r="R728" t="n">
        <v>0</v>
      </c>
      <c r="S728">
        <f>IFERROR(O728/N728,0)</f>
        <v/>
      </c>
      <c r="T728" t="n">
        <v>0</v>
      </c>
      <c r="V728" t="n">
        <v>0</v>
      </c>
    </row>
    <row r="729">
      <c r="A729">
        <f>Skills!A24</f>
        <v/>
      </c>
      <c r="B729">
        <f>Skills!B24</f>
        <v/>
      </c>
      <c r="C729">
        <f>Inputs!$B$3&gt;=120</f>
        <v/>
      </c>
      <c r="D729">
        <f>IF(Skills!C24=1,60+(Inputs!$B$25+1)+Inputs!$B$29,IF(Skills!C24=2,90+Inputs!$B$26+Inputs!$B$29,IF(Skills!C24=3,120+Inputs!$B$27+Inputs!$B$29,MAX(0,(Inputs!$B$3-100)*3)+Inputs!$B$28+Inputs!$B$29)))</f>
        <v/>
      </c>
      <c r="E729">
        <f>INDEX(FactorTable!$B$2:$Y$301, MATCH(ROUND(MIN(300,MAX(1,D729)),0), FactorTable!$A$2:$A$301,0), Skills!M24+1)</f>
        <v/>
      </c>
      <c r="F729">
        <f>IF(Skills!N24=TRUE,(Skills!L24/10)*(E729/1000),Skills!L24/10)+Skills!O24</f>
        <v/>
      </c>
      <c r="G729">
        <f>Skills!G24*IF(Skills!H24&gt;0,Skills!I24/Skills!H24,1)</f>
        <v/>
      </c>
      <c r="H729">
        <f>1-(1-Skills!J24/100)^Skills!K24</f>
        <v/>
      </c>
      <c r="I729" t="inlineStr">
        <is>
          <t>1</t>
        </is>
      </c>
      <c r="J729" t="inlineStr"/>
      <c r="K729" t="inlineStr"/>
      <c r="L729" t="inlineStr"/>
      <c r="M729" t="inlineStr"/>
      <c r="N729" t="inlineStr"/>
      <c r="O729">
        <f>(1-Summary!$B$55)*T729+Summary!$B$55*V729</f>
        <v/>
      </c>
      <c r="P729">
        <f>IF(B744=0,0,O729/B744)</f>
        <v/>
      </c>
      <c r="Q729" t="n">
        <v>0</v>
      </c>
      <c r="R729" t="n">
        <v>0</v>
      </c>
      <c r="S729">
        <f>IFERROR(O729/N729,0)</f>
        <v/>
      </c>
      <c r="T729" t="n">
        <v>0</v>
      </c>
      <c r="V729" t="n">
        <v>0</v>
      </c>
    </row>
    <row r="730">
      <c r="A730">
        <f>Skills!A25</f>
        <v/>
      </c>
      <c r="B730">
        <f>Skills!B25</f>
        <v/>
      </c>
      <c r="C730">
        <f>Inputs!$B$3&gt;=125</f>
        <v/>
      </c>
      <c r="D730">
        <f>IF(Skills!C25=1,60+(Inputs!$B$25+1)+Inputs!$B$29,IF(Skills!C25=2,90+Inputs!$B$26+Inputs!$B$29,IF(Skills!C25=3,120+Inputs!$B$27+Inputs!$B$29,MAX(0,(Inputs!$B$3-100)*3)+Inputs!$B$28+Inputs!$B$29)))</f>
        <v/>
      </c>
      <c r="E730">
        <f>INDEX(FactorTable!$B$2:$Y$301, MATCH(ROUND(MIN(300,MAX(1,D730)),0), FactorTable!$A$2:$A$301,0), Skills!M25+1)</f>
        <v/>
      </c>
      <c r="F730">
        <f>IF(Skills!N25=TRUE,(Skills!L25/10)*(E730/1000),Skills!L25/10)+Skills!O25</f>
        <v/>
      </c>
      <c r="G730">
        <f>Skills!G25*IF(Skills!H25&gt;0,Skills!I25/Skills!H25,1)</f>
        <v/>
      </c>
      <c r="H730">
        <f>1-(1-Skills!J25/100)^Skills!K25</f>
        <v/>
      </c>
      <c r="I730" t="inlineStr">
        <is>
          <t>1</t>
        </is>
      </c>
      <c r="J730" t="inlineStr"/>
      <c r="K730" t="inlineStr"/>
      <c r="L730" t="inlineStr"/>
      <c r="M730" t="inlineStr"/>
      <c r="N730" t="inlineStr"/>
      <c r="O730">
        <f>(1-Summary!$B$55)*T730+Summary!$B$55*V730</f>
        <v/>
      </c>
      <c r="P730">
        <f>IF(B744=0,0,O730/B744)</f>
        <v/>
      </c>
      <c r="Q730" t="n">
        <v>0</v>
      </c>
      <c r="R730" t="n">
        <v>0</v>
      </c>
      <c r="S730">
        <f>IFERROR(O730/N730,0)</f>
        <v/>
      </c>
      <c r="T730" t="n">
        <v>0</v>
      </c>
      <c r="V730" t="n">
        <v>0</v>
      </c>
    </row>
    <row r="731">
      <c r="A731">
        <f>Skills!A26</f>
        <v/>
      </c>
      <c r="B731">
        <f>Skills!B26</f>
        <v/>
      </c>
      <c r="C731">
        <f>Inputs!$B$3&gt;=72</f>
        <v/>
      </c>
      <c r="D731">
        <f>IF(Skills!C26=1,60+(Inputs!$B$25+1)+Inputs!$B$29,IF(Skills!C26=2,90+Inputs!$B$26+Inputs!$B$29,IF(Skills!C26=3,120+Inputs!$B$27+Inputs!$B$29,MAX(0,(Inputs!$B$3-100)*3)+Inputs!$B$28+Inputs!$B$29)))</f>
        <v/>
      </c>
      <c r="E731">
        <f>INDEX(FactorTable!$B$2:$Y$301, MATCH(ROUND(MIN(300,MAX(1,D731)),0), FactorTable!$A$2:$A$301,0), Skills!M26+1)</f>
        <v/>
      </c>
      <c r="F731">
        <f>IF(Skills!N26=TRUE,(Skills!L26/10)*(E731/1000),Skills!L26/10)+Skills!O26</f>
        <v/>
      </c>
      <c r="G731">
        <f>Skills!G26*IF(Skills!H26&gt;0,Skills!I26/Skills!H26,1)</f>
        <v/>
      </c>
      <c r="H731">
        <f>1-(1-Skills!J26/100)^Skills!K26</f>
        <v/>
      </c>
      <c r="I731" t="inlineStr">
        <is>
          <t>1</t>
        </is>
      </c>
      <c r="J731" t="inlineStr"/>
      <c r="K731" t="inlineStr"/>
      <c r="L731" t="inlineStr"/>
      <c r="M731" t="inlineStr"/>
      <c r="N731" t="inlineStr"/>
      <c r="O731">
        <f>(1-Summary!$B$55)*T731+Summary!$B$55*V731</f>
        <v/>
      </c>
      <c r="P731">
        <f>IF(B744=0,0,O731/B744)</f>
        <v/>
      </c>
      <c r="Q731" t="n">
        <v>0</v>
      </c>
      <c r="R731" t="n">
        <v>0</v>
      </c>
      <c r="S731">
        <f>IFERROR(O731/N731,0)</f>
        <v/>
      </c>
      <c r="T731" t="n">
        <v>0</v>
      </c>
      <c r="V731" t="n">
        <v>0</v>
      </c>
    </row>
    <row r="733">
      <c r="A733" t="inlineStr">
        <is>
          <t>Attack% Bucket Multiplier</t>
        </is>
      </c>
      <c r="B733">
        <f>(1+(((C718=TRUE)*F718*IF(Inputs!$B$3&gt;=110,7,5))+((C720=TRUE)*F720*IF(AND(Inputs!$B$38&lt;&gt;"pvp",Inputs!$B$43&gt;0),(((R720-1)*(Skills!T15*(1+Inputs!$B$34/100))+MIN((Skills!T15*(1+Inputs!$B$34/100)),MAX(0,Inputs!$B$43-((R720-1)*Skills!D15))))/Inputs!$B$43),IF(Inputs!$B$38="pvp",MIN((Skills!T15*(1+Inputs!$B$34/100)),15)/15,(Skills!T15*(1+Inputs!$B$34/100))/Skills!D15)))+0)/100)</f>
        <v/>
      </c>
    </row>
    <row r="734">
      <c r="A734" t="inlineStr">
        <is>
          <t>Global Crit Rate Bonus %</t>
        </is>
      </c>
      <c r="B734" t="n">
        <v>0</v>
      </c>
    </row>
    <row r="735">
      <c r="A735" t="inlineStr">
        <is>
          <t>Attack Speed Buff Bonus %</t>
        </is>
      </c>
      <c r="B735">
        <f>((C724=TRUE)*F724*IF(AND(Inputs!$B$38&lt;&gt;"pvp",Inputs!$B$43&gt;0),(((R724-1)*(Skills!T19*(1+Inputs!$B$34/100))+MIN((Skills!T19*(1+Inputs!$B$34/100)),MAX(0,Inputs!$B$43-((R724-1)*Skills!D19))))/Inputs!$B$43),IF(Inputs!$B$38="pvp",MIN((Skills!T19*(1+Inputs!$B$34/100)),15)/15,(Skills!T19*(1+Inputs!$B$34/100))/Skills!D19)))</f>
        <v/>
      </c>
    </row>
    <row r="736">
      <c r="A736" t="inlineStr">
        <is>
          <t>Actions Per Second</t>
        </is>
      </c>
      <c r="B736">
        <f>1+MIN(150,150*(1-(1-(Inputs!$B$11+((C725=TRUE)*(F725-Calc!F20)))/150)*(1-B735/150)))/100</f>
        <v/>
      </c>
    </row>
    <row r="737">
      <c r="A737" t="inlineStr">
        <is>
          <t>Skill + Buff Cast Rate</t>
        </is>
      </c>
      <c r="B737">
        <f>IF(AND(Inputs!$B$38&lt;&gt;"pvp",Inputs!$B$43&gt;0),SUMPRODUCT((Skills!E2:E26=TRUE)*(C707:C731=TRUE)*R707:R731*Skills!F2:F26)/Inputs!$B$43,SUMPRODUCT((Skills!E2:E26=TRUE)*(C707:C731=TRUE)*Q707:Q731*Skills!F2:F26))</f>
        <v/>
      </c>
    </row>
    <row r="738">
      <c r="A738" t="inlineStr">
        <is>
          <t>Raging Blow Casts Per Second</t>
        </is>
      </c>
      <c r="B738">
        <f>MAX(0,B736-B737)</f>
        <v/>
      </c>
    </row>
    <row r="739">
      <c r="A739" t="inlineStr">
        <is>
          <t>Global Critical Damage Bonus % (Enrage)</t>
        </is>
      </c>
      <c r="B739">
        <f>((C723=TRUE)*F723*IF(AND(Inputs!$B$38&lt;&gt;"pvp",Inputs!$B$43&gt;0),(((R723-1)*(Skills!T18*(1+Inputs!$B$34/100))+MIN((Skills!T18*(1+Inputs!$B$34/100)),MAX(0,Inputs!$B$43-((R723-1)*Skills!D18))))/Inputs!$B$43),IF(Inputs!$B$38="pvp",MIN((Skills!T18*(1+Inputs!$B$34/100)),15)/15,(Skills!T18*(1+Inputs!$B$34/100))/Skills!D18)))</f>
        <v/>
      </c>
    </row>
    <row r="740">
      <c r="A740" t="inlineStr">
        <is>
          <t>Global Final Damage Bonus % (Enrage + Combo Synergy)</t>
        </is>
      </c>
      <c r="B740">
        <f>((C722=TRUE)*F722*IF(AND(Inputs!$B$38&lt;&gt;"pvp",Inputs!$B$43&gt;0),(((R722-1)*(Skills!T17*(1+Inputs!$B$34/100))+MIN((Skills!T17*(1+Inputs!$B$34/100)),MAX(0,Inputs!$B$43-((R722-1)*Skills!D17))))/Inputs!$B$43),IF(Inputs!$B$38="pvp",MIN((Skills!T17*(1+Inputs!$B$34/100)),15)/15,(Skills!T17*(1+Inputs!$B$34/100))/Skills!D17)))+((C719=TRUE)*F719*IF(Inputs!$B$3&gt;=110,7,5))</f>
        <v/>
      </c>
    </row>
    <row r="741">
      <c r="A741" t="inlineStr">
        <is>
          <t>Buff-Casting Startup Delay (s, fixed-duration only)</t>
        </is>
      </c>
      <c r="B741">
        <f>IF(AND(Inputs!$B$38&lt;&gt;"pvp",Inputs!$B$43&gt;0),SUMPRODUCT((Skills!T2:T26&gt;0)*(Skills!E2:E26=TRUE)*(C707:C731=TRUE))/B736,0)</f>
        <v/>
      </c>
    </row>
    <row r="742">
      <c r="A742" t="inlineStr">
        <is>
          <t>Boss-Only Total DPS (this block's swept value)</t>
        </is>
      </c>
      <c r="B742">
        <f>SUM(T707:T731)</f>
        <v/>
      </c>
    </row>
    <row r="743">
      <c r="A743" t="inlineStr">
        <is>
          <t>Normal-Only Total DPS (this block's swept value)</t>
        </is>
      </c>
      <c r="B743">
        <f>SUM(V707:V731)</f>
        <v/>
      </c>
    </row>
    <row r="744">
      <c r="A744" s="5" t="inlineStr">
        <is>
          <t>TOTAL DPS</t>
        </is>
      </c>
      <c r="B744" s="5">
        <f>SUM(O707:O731)</f>
        <v/>
      </c>
    </row>
    <row r="747">
      <c r="A747" s="5" t="inlineStr">
        <is>
          <t>Stat: Skill Level Bonus — 2nd Job</t>
        </is>
      </c>
    </row>
    <row r="748">
      <c r="A748" s="9" t="inlineStr">
        <is>
          <t>Key</t>
        </is>
      </c>
      <c r="B748" s="9" t="inlineStr">
        <is>
          <t>Name</t>
        </is>
      </c>
      <c r="C748" s="9" t="inlineStr">
        <is>
          <t>Unlocked</t>
        </is>
      </c>
      <c r="D748" s="9" t="inlineStr">
        <is>
          <t>InputLevel</t>
        </is>
      </c>
      <c r="E748" s="9" t="inlineStr">
        <is>
          <t>Factor</t>
        </is>
      </c>
      <c r="F748" s="9" t="inlineStr">
        <is>
          <t>CoefficientPercent</t>
        </is>
      </c>
      <c r="G748" s="9" t="inlineStr">
        <is>
          <t>EffectiveHits</t>
        </is>
      </c>
      <c r="H748" s="9" t="inlineStr">
        <is>
          <t>ProcProbability</t>
        </is>
      </c>
      <c r="I748" s="9" t="inlineStr">
        <is>
          <t>MapleHeroMultiplier</t>
        </is>
      </c>
      <c r="J748" s="9" t="inlineStr">
        <is>
          <t>BaseDamage</t>
        </is>
      </c>
      <c r="K748" s="9" t="inlineStr">
        <is>
          <t>BaseHitDamage</t>
        </is>
      </c>
      <c r="L748" s="9" t="inlineStr">
        <is>
          <t>NonCritAvg</t>
        </is>
      </c>
      <c r="M748" s="9" t="inlineStr">
        <is>
          <t>CritAvg</t>
        </is>
      </c>
      <c r="N748" s="9" t="inlineStr">
        <is>
          <t>ExpectedDamage(perHit)</t>
        </is>
      </c>
      <c r="O748" s="9" t="inlineStr">
        <is>
          <t>DPS</t>
        </is>
      </c>
      <c r="P748" s="9" t="inlineStr">
        <is>
          <t>% of Total</t>
        </is>
      </c>
      <c r="Q748" s="9" t="inlineStr">
        <is>
          <t>InvCooldown</t>
        </is>
      </c>
      <c r="R748" s="9" t="inlineStr">
        <is>
          <t>CastsInFight</t>
        </is>
      </c>
      <c r="S748" s="9" t="inlineStr">
        <is>
          <t>HitRate(perSec)</t>
        </is>
      </c>
      <c r="U748" t="inlineStr">
        <is>
          <t>helpers</t>
        </is>
      </c>
    </row>
    <row r="749">
      <c r="A749">
        <f>Skills!A2</f>
        <v/>
      </c>
      <c r="B749">
        <f>Skills!B2</f>
        <v/>
      </c>
      <c r="C749">
        <f>Inputs!$B$3&gt;=100</f>
        <v/>
      </c>
      <c r="D749" t="inlineStr"/>
      <c r="E749" t="inlineStr"/>
      <c r="F749">
        <f>U751+Skills!O2</f>
        <v/>
      </c>
      <c r="G749">
        <f>Skills!G2*IF(Skills!H2&gt;0,Skills!I2/Skills!H2,1)</f>
        <v/>
      </c>
      <c r="H749">
        <f>1-(1-Skills!J2/100)^Skills!K2</f>
        <v/>
      </c>
      <c r="I749" t="inlineStr">
        <is>
          <t>1</t>
        </is>
      </c>
      <c r="J749">
        <f>((Inputs!$B$6*(1+Inputs!$B$7/100))+(((Inputs!$B$12*(1+Inputs!$B$13/100))-(Inputs!$B$12*(1+Inputs!$B$13/100)))+0.25*(Inputs!$B$14-Inputs!$B$14))*(1+Inputs!$B$7/100))*(F749/100)</f>
        <v/>
      </c>
      <c r="K749">
        <f>J749*(1+((Inputs!$B$12*(1+Inputs!$B$13/100))*0.01+Inputs!$B$14*0.0025)/100)*(1+Inputs!$B$15/100)*(1+Inputs!$B$16/100)*(5000/(6000+Inputs!$B$42*(1-(Inputs!$B$19+0)/100)))*(1+(Inputs!$B$24+((C772=TRUE)*(F772-Calc!F25))+B782)/100)*(1+IF(Skills!A2="ENHANCED_RAGING_BLOW",IF(Inputs!$B$3&gt;=134,MAX(0,IF(Inputs!$B$3&gt;=110,7,5)-5)*50,0),0)/100)*(1+(IF(Skills!A2="RAGING_BLOW",Inputs!$B$17+((C768=TRUE)*(F768-Calc!F21)),Inputs!$B$18+((C770=TRUE)*(F770-Calc!F23))))/100)*((1+(((C760=TRUE)*F760*IF(Inputs!$B$3&gt;=110,7,5))+((C762=TRUE)*F762*IF(AND(Inputs!$B$38&lt;&gt;"pvp",Inputs!$B$43&gt;0),(((R762-1)*(Skills!T15*(1+Inputs!$B$34/100))+MIN((Skills!T15*(1+Inputs!$B$34/100)),MAX(0,Inputs!$B$43-((R762-1)*Skills!D15))))/Inputs!$B$43),IF(Inputs!$B$38="pvp",MIN((Skills!T15*(1+Inputs!$B$34/100)),15)/15,(Skills!T15*(1+Inputs!$B$34/100))/Skills!D15)))+0)/100)*I749)</f>
        <v/>
      </c>
      <c r="L749">
        <f>K749*(MIN(Inputs!$B$22+((C769=TRUE)*(F769-Calc!F22)),Inputs!$B$23+((C771=TRUE)*(F771-Calc!F24)))/100+(Inputs!$B$23+((C771=TRUE)*(F771-Calc!F24)))/100)/2</f>
        <v/>
      </c>
      <c r="M749">
        <f>L749*(1+(Inputs!$B$10+0+B781)/100)</f>
        <v/>
      </c>
      <c r="N749">
        <f>L749*(1-MIN((Inputs!$B$9+((C773=TRUE)*(F773-Calc!F26))+B776),100)/100)+M749*(MIN((Inputs!$B$9+((C773=TRUE)*(F773-Calc!F26))+B776),100)/100)</f>
        <v/>
      </c>
      <c r="O749">
        <f>(1-Summary!$B$55)*T749+Summary!$B$55*V749</f>
        <v/>
      </c>
      <c r="P749">
        <f>IF(B786=0,0,O749/B786)</f>
        <v/>
      </c>
      <c r="Q749" t="n">
        <v>0</v>
      </c>
      <c r="R749" t="n">
        <v>0</v>
      </c>
      <c r="S749">
        <f>IFERROR(O749/N749,0)</f>
        <v/>
      </c>
      <c r="T749">
        <f>IF(C749,(Skills!G2*N749*B780)*IF(Inputs!$B$38="pvp",1,1+(Inputs!$B$20+0+Skills!P2+Summary!$B$59)/100),0)</f>
        <v/>
      </c>
      <c r="U749">
        <f>MAX(0,(Inputs!$B$3-100)*3)+Inputs!$B$28+Inputs!$B$29</f>
        <v/>
      </c>
      <c r="V749">
        <f>IF(C749,(Skills!G2*N749*B780)*IF(Inputs!$B$38="pvp",1,(1+(Inputs!$B$21+Skills!Q2+Summary!$B$59)/100)*(MIN((6+Inputs!$B$33),Inputs!$B$37))),0)</f>
        <v/>
      </c>
    </row>
    <row r="750">
      <c r="A750">
        <f>Skills!A3</f>
        <v/>
      </c>
      <c r="B750">
        <f>Skills!B3</f>
        <v/>
      </c>
      <c r="C750">
        <f>Inputs!$B$3&gt;=50</f>
        <v/>
      </c>
      <c r="D750">
        <f>IF(Skills!C3=1,60+Inputs!$B$25+Inputs!$B$29,IF(Skills!C3=2,90+(Inputs!$B$26+1)+Inputs!$B$29,IF(Skills!C3=3,120+Inputs!$B$27+Inputs!$B$29,MAX(0,(Inputs!$B$3-100)*3)+Inputs!$B$28+Inputs!$B$29)))</f>
        <v/>
      </c>
      <c r="E750">
        <f>INDEX(FactorTable!$B$2:$Y$301, MATCH(ROUND(MIN(300,MAX(1,D750)),0), FactorTable!$A$2:$A$301,0), Skills!M3+1)</f>
        <v/>
      </c>
      <c r="F750">
        <f>IF(Skills!N3=TRUE,(Skills!L3/10)*(E750/1000),Skills!L3/10)+Skills!O3</f>
        <v/>
      </c>
      <c r="G750" t="inlineStr"/>
      <c r="H750" t="inlineStr"/>
      <c r="I750" t="inlineStr">
        <is>
          <t>1</t>
        </is>
      </c>
      <c r="J750" t="inlineStr"/>
      <c r="K750" t="inlineStr"/>
      <c r="L750" t="inlineStr"/>
      <c r="M750" t="inlineStr"/>
      <c r="N750" t="inlineStr"/>
      <c r="O750" t="inlineStr"/>
      <c r="P750" t="inlineStr"/>
      <c r="Q750" t="inlineStr"/>
      <c r="R750" t="inlineStr"/>
      <c r="S750" t="inlineStr"/>
      <c r="U750">
        <f>INDEX(FactorTable!$B$2:$Y$301, MATCH(ROUND(MIN(300,MAX(1,U749)),0), FactorTable!$A$2:$A$301,0), 22)</f>
        <v/>
      </c>
    </row>
    <row r="751">
      <c r="A751">
        <f>Skills!A4</f>
        <v/>
      </c>
      <c r="B751">
        <f>Skills!B4</f>
        <v/>
      </c>
      <c r="C751">
        <f>Inputs!$B$3&gt;=105</f>
        <v/>
      </c>
      <c r="D751">
        <f>IF(Skills!C4=1,60+Inputs!$B$25+Inputs!$B$29,IF(Skills!C4=2,90+(Inputs!$B$26+1)+Inputs!$B$29,IF(Skills!C4=3,120+Inputs!$B$27+Inputs!$B$29,MAX(0,(Inputs!$B$3-100)*3)+Inputs!$B$28+Inputs!$B$29)))</f>
        <v/>
      </c>
      <c r="E751">
        <f>INDEX(FactorTable!$B$2:$Y$301, MATCH(ROUND(MIN(300,MAX(1,D751)),0), FactorTable!$A$2:$A$301,0), Skills!M4+1)</f>
        <v/>
      </c>
      <c r="F751">
        <f>IF(Skills!N4=TRUE,(Skills!L4/10)*(E751/1000),Skills!L4/10)+Skills!O4</f>
        <v/>
      </c>
      <c r="G751" t="inlineStr"/>
      <c r="H751" t="inlineStr"/>
      <c r="I751" t="inlineStr">
        <is>
          <t>1</t>
        </is>
      </c>
      <c r="J751" t="inlineStr"/>
      <c r="K751" t="inlineStr"/>
      <c r="L751" t="inlineStr"/>
      <c r="M751" t="inlineStr"/>
      <c r="N751" t="inlineStr"/>
      <c r="O751" t="inlineStr"/>
      <c r="P751" t="inlineStr"/>
      <c r="Q751" t="inlineStr"/>
      <c r="R751" t="inlineStr"/>
      <c r="S751" t="inlineStr"/>
      <c r="U751">
        <f>290*U750/1000</f>
        <v/>
      </c>
    </row>
    <row r="752">
      <c r="A752">
        <f>Skills!A5</f>
        <v/>
      </c>
      <c r="B752">
        <f>Skills!B5</f>
        <v/>
      </c>
      <c r="C752">
        <f>Inputs!$B$3&gt;=103</f>
        <v/>
      </c>
      <c r="D752">
        <f>IF(Skills!C5=1,60+Inputs!$B$25+Inputs!$B$29,IF(Skills!C5=2,90+(Inputs!$B$26+1)+Inputs!$B$29,IF(Skills!C5=3,120+Inputs!$B$27+Inputs!$B$29,MAX(0,(Inputs!$B$3-100)*3)+Inputs!$B$28+Inputs!$B$29)))</f>
        <v/>
      </c>
      <c r="E752">
        <f>INDEX(FactorTable!$B$2:$Y$301, MATCH(ROUND(MIN(300,MAX(1,D752)),0), FactorTable!$A$2:$A$301,0), Skills!M5+1)</f>
        <v/>
      </c>
      <c r="F752">
        <f>IF(Skills!N5=TRUE,(Skills!L5/10)*(E752/1000),Skills!L5/10)+Skills!O5</f>
        <v/>
      </c>
      <c r="G752">
        <f>Skills!G5*IF(Skills!H5&gt;0,Skills!I5/Skills!H5,1)</f>
        <v/>
      </c>
      <c r="H752">
        <f>1-(1-Skills!J5/100)^Skills!K5</f>
        <v/>
      </c>
      <c r="I752" t="inlineStr">
        <is>
          <t>1</t>
        </is>
      </c>
      <c r="J752">
        <f>((Inputs!$B$6*(1+Inputs!$B$7/100))+(((Inputs!$B$12*(1+Inputs!$B$13/100))-(Inputs!$B$12*(1+Inputs!$B$13/100)))+0.25*(Inputs!$B$14-Inputs!$B$14))*(1+Inputs!$B$7/100))*(F752/100)</f>
        <v/>
      </c>
      <c r="K752">
        <f>J752*(1+((Inputs!$B$12*(1+Inputs!$B$13/100))*0.01+Inputs!$B$14*0.0025)/100)*(1+Inputs!$B$15/100)*(1+Inputs!$B$16/100)*(5000/(6000+Inputs!$B$42*(1-(Inputs!$B$19+0)/100)))*(1+(Inputs!$B$24+((C772=TRUE)*(F772-Calc!F25))+B782)/100)*(1+IF(Skills!A5="ENHANCED_RAGING_BLOW",IF(Inputs!$B$3&gt;=134,MAX(0,IF(Inputs!$B$3&gt;=110,7,5)-5)*50,0),0)/100)*(1+(IF(Skills!A5="RAGING_BLOW",Inputs!$B$17+((C768=TRUE)*(F768-Calc!F21)),Inputs!$B$18+((C770=TRUE)*(F770-Calc!F23))))/100)*((1+(((C760=TRUE)*F760*IF(Inputs!$B$3&gt;=110,7,5))+((C762=TRUE)*F762*IF(AND(Inputs!$B$38&lt;&gt;"pvp",Inputs!$B$43&gt;0),(((R762-1)*(Skills!T15*(1+Inputs!$B$34/100))+MIN((Skills!T15*(1+Inputs!$B$34/100)),MAX(0,Inputs!$B$43-((R762-1)*Skills!D15))))/Inputs!$B$43),IF(Inputs!$B$38="pvp",MIN((Skills!T15*(1+Inputs!$B$34/100)),15)/15,(Skills!T15*(1+Inputs!$B$34/100))/Skills!D15)))+0)/100)*I752)</f>
        <v/>
      </c>
      <c r="L752">
        <f>K752*(MIN(Inputs!$B$22+((C769=TRUE)*(F769-Calc!F22)),Inputs!$B$23+((C771=TRUE)*(F771-Calc!F24)))/100+(Inputs!$B$23+((C771=TRUE)*(F771-Calc!F24)))/100)/2</f>
        <v/>
      </c>
      <c r="M752">
        <f>L752*(1+(Inputs!$B$10+0+B781)/100)</f>
        <v/>
      </c>
      <c r="N752">
        <f>L752*(1-MIN((Inputs!$B$9+((C773=TRUE)*(F773-Calc!F26))+B776),100)/100)+M752*(MIN((Inputs!$B$9+((C773=TRUE)*(F773-Calc!F26))+B776),100)/100)</f>
        <v/>
      </c>
      <c r="O752">
        <f>(1-Summary!$B$55)*T752+Summary!$B$55*V752</f>
        <v/>
      </c>
      <c r="P752">
        <f>IF(B786=0,0,O752/B786)</f>
        <v/>
      </c>
      <c r="Q752">
        <f>IFERROR(1/IF(Inputs!$B$38="pvp",15,MAX(0.1,Skills!D5-IF(Skills!E5=TRUE,Inputs!$B$32,0))),0)</f>
        <v/>
      </c>
      <c r="R752">
        <f>IF(AND(Inputs!$B$38&lt;&gt;"pvp",Inputs!$B$43&gt;0),IF(MAX(0,Inputs!$B$43-B783)&lt;=0,0,(INT(MAX(0,Inputs!$B$43-B783)/IF(Inputs!$B$38="pvp",15,MAX(0.1,Skills!D5-IF(Skills!E5=TRUE,Inputs!$B$32,0))))+1)),0)</f>
        <v/>
      </c>
      <c r="S752">
        <f>IFERROR(O752/N752,0)</f>
        <v/>
      </c>
      <c r="T752">
        <f>IF(C752,(H752*N752*IF(AND(Inputs!$B$38&lt;&gt;"pvp",Inputs!$B$43&gt;0),((Skills!G5*((R752-1)*IF(Skills!H5&gt;0,Skills!I5/Skills!H5,1)+IF(Skills!H5&gt;0,MIN(Skills!I5,MAX(0,MAX(0,Inputs!$B$43-B783)-((R752-1)*IF(Inputs!$B$38="pvp",15,MAX(0.1,Skills!D5-IF(Skills!E5=TRUE,Inputs!$B$32,0))))))/Skills!H5,1)))/Inputs!$B$43),G752*Q752))*IF(Inputs!$B$38="pvp",1,1+(Inputs!$B$20+0+Skills!P5+Summary!$B$59)/100),0)</f>
        <v/>
      </c>
      <c r="V752">
        <f>IF(C752,(H752*N752*IF(AND(Inputs!$B$38&lt;&gt;"pvp",Inputs!$B$43&gt;0),((Skills!G5*((R752-1)*IF(Skills!H5&gt;0,Skills!I5/Skills!H5,1)+IF(Skills!H5&gt;0,MIN(Skills!I5,MAX(0,MAX(0,Inputs!$B$43-B783)-((R752-1)*IF(Inputs!$B$38="pvp",15,MAX(0.1,Skills!D5-IF(Skills!E5=TRUE,Inputs!$B$32,0))))))/Skills!H5,1)))/Inputs!$B$43),G752*Q752))*IF(Inputs!$B$38="pvp",1,(1+(Inputs!$B$21+Skills!Q5+Summary!$B$59)/100)*(MIN(Skills!R5,Inputs!$B$37))),0)</f>
        <v/>
      </c>
    </row>
    <row r="753">
      <c r="A753">
        <f>Skills!A6</f>
        <v/>
      </c>
      <c r="B753">
        <f>Skills!B6</f>
        <v/>
      </c>
      <c r="C753">
        <f>Inputs!$B$3&gt;=103</f>
        <v/>
      </c>
      <c r="D753">
        <f>IF(Skills!C6=1,60+Inputs!$B$25+Inputs!$B$29,IF(Skills!C6=2,90+(Inputs!$B$26+1)+Inputs!$B$29,IF(Skills!C6=3,120+Inputs!$B$27+Inputs!$B$29,MAX(0,(Inputs!$B$3-100)*3)+Inputs!$B$28+Inputs!$B$29)))</f>
        <v/>
      </c>
      <c r="E753">
        <f>INDEX(FactorTable!$B$2:$Y$301, MATCH(ROUND(MIN(300,MAX(1,D753)),0), FactorTable!$A$2:$A$301,0), Skills!M6+1)</f>
        <v/>
      </c>
      <c r="F753">
        <f>IF(Skills!N6=TRUE,(Skills!L6/10)*(E753/1000),Skills!L6/10)+Skills!O6</f>
        <v/>
      </c>
      <c r="G753">
        <f>Skills!G6*IF(Skills!H6&gt;0,Skills!I6/Skills!H6,1)</f>
        <v/>
      </c>
      <c r="H753">
        <f>1-(1-Skills!J6/100)^Skills!K6</f>
        <v/>
      </c>
      <c r="I753" t="inlineStr">
        <is>
          <t>1</t>
        </is>
      </c>
      <c r="J753">
        <f>((Inputs!$B$6*(1+Inputs!$B$7/100))+(((Inputs!$B$12*(1+Inputs!$B$13/100))-(Inputs!$B$12*(1+Inputs!$B$13/100)))+0.25*(Inputs!$B$14-Inputs!$B$14))*(1+Inputs!$B$7/100))*(F753/100)</f>
        <v/>
      </c>
      <c r="K753">
        <f>J753*(1+((Inputs!$B$12*(1+Inputs!$B$13/100))*0.01+Inputs!$B$14*0.0025)/100)*(1+Inputs!$B$15/100)*(1+Inputs!$B$16/100)*(5000/(6000+Inputs!$B$42*(1-(Inputs!$B$19+0)/100)))*(1+(Inputs!$B$24+((C772=TRUE)*(F772-Calc!F25))+B782)/100)*(1+IF(Skills!A6="ENHANCED_RAGING_BLOW",IF(Inputs!$B$3&gt;=134,MAX(0,IF(Inputs!$B$3&gt;=110,7,5)-5)*50,0),0)/100)*(1+(IF(Skills!A6="RAGING_BLOW",Inputs!$B$17+((C768=TRUE)*(F768-Calc!F21)),Inputs!$B$18+((C770=TRUE)*(F770-Calc!F23))))/100)*((1+(((C760=TRUE)*F760*IF(Inputs!$B$3&gt;=110,7,5))+((C762=TRUE)*F762*IF(AND(Inputs!$B$38&lt;&gt;"pvp",Inputs!$B$43&gt;0),(((R762-1)*(Skills!T15*(1+Inputs!$B$34/100))+MIN((Skills!T15*(1+Inputs!$B$34/100)),MAX(0,Inputs!$B$43-((R762-1)*Skills!D15))))/Inputs!$B$43),IF(Inputs!$B$38="pvp",MIN((Skills!T15*(1+Inputs!$B$34/100)),15)/15,(Skills!T15*(1+Inputs!$B$34/100))/Skills!D15)))+0)/100)*I753)</f>
        <v/>
      </c>
      <c r="L753">
        <f>K753*(MIN(Inputs!$B$22+((C769=TRUE)*(F769-Calc!F22)),Inputs!$B$23+((C771=TRUE)*(F771-Calc!F24)))/100+(Inputs!$B$23+((C771=TRUE)*(F771-Calc!F24)))/100)/2</f>
        <v/>
      </c>
      <c r="M753">
        <f>L753*(1+(Inputs!$B$10+0+B781)/100)</f>
        <v/>
      </c>
      <c r="N753">
        <f>L753*(1-MIN((Inputs!$B$9+((C773=TRUE)*(F773-Calc!F26))+B776),100)/100)+M753*(MIN((Inputs!$B$9+((C773=TRUE)*(F773-Calc!F26))+B776),100)/100)</f>
        <v/>
      </c>
      <c r="O753">
        <f>(1-Summary!$B$55)*T753+Summary!$B$55*V753</f>
        <v/>
      </c>
      <c r="P753">
        <f>IF(B786=0,0,O753/B786)</f>
        <v/>
      </c>
      <c r="Q753">
        <f>IFERROR(1/IF(Inputs!$B$38="pvp",15,MAX(0.1,Skills!D6-IF(Skills!E6=TRUE,Inputs!$B$32,0))),0)</f>
        <v/>
      </c>
      <c r="R753">
        <f>IF(AND(Inputs!$B$38&lt;&gt;"pvp",Inputs!$B$43&gt;0),IF(MAX(0,Inputs!$B$43-B783)&lt;=0,0,(INT(MAX(0,Inputs!$B$43-B783)/IF(Inputs!$B$38="pvp",15,MAX(0.1,Skills!D6-IF(Skills!E6=TRUE,Inputs!$B$32,0))))+1)),0)</f>
        <v/>
      </c>
      <c r="S753">
        <f>IFERROR(O753/N753,0)</f>
        <v/>
      </c>
      <c r="T753">
        <f>IF(C753,(H753*N753*IF(AND(Inputs!$B$38&lt;&gt;"pvp",Inputs!$B$43&gt;0),((Skills!G6*((R753-1)*IF(Skills!H6&gt;0,Skills!I6/Skills!H6,1)+IF(Skills!H6&gt;0,MIN(Skills!I6,MAX(0,MAX(0,Inputs!$B$43-B783)-((R753-1)*IF(Inputs!$B$38="pvp",15,MAX(0.1,Skills!D6-IF(Skills!E6=TRUE,Inputs!$B$32,0))))))/Skills!H6,1)))/Inputs!$B$43),G753*Q753))*IF(Inputs!$B$38="pvp",1,1+(Inputs!$B$20+0+Skills!P6+Summary!$B$59)/100),0)</f>
        <v/>
      </c>
      <c r="V753">
        <f>IF(C753,(H753*N753*IF(AND(Inputs!$B$38&lt;&gt;"pvp",Inputs!$B$43&gt;0),((Skills!G6*((R753-1)*IF(Skills!H6&gt;0,Skills!I6/Skills!H6,1)+IF(Skills!H6&gt;0,MIN(Skills!I6,MAX(0,MAX(0,Inputs!$B$43-B783)-((R753-1)*IF(Inputs!$B$38="pvp",15,MAX(0.1,Skills!D6-IF(Skills!E6=TRUE,Inputs!$B$32,0))))))/Skills!H6,1)))/Inputs!$B$43),G753*Q753))*IF(Inputs!$B$38="pvp",1,(1+(Inputs!$B$21+Skills!Q6+Summary!$B$59)/100)*(MIN(Skills!R6,Inputs!$B$37))),0)</f>
        <v/>
      </c>
    </row>
    <row r="754">
      <c r="A754">
        <f>Skills!A7</f>
        <v/>
      </c>
      <c r="B754">
        <f>Skills!B7</f>
        <v/>
      </c>
      <c r="C754">
        <f>Inputs!$B$3&gt;=107</f>
        <v/>
      </c>
      <c r="D754">
        <f>IF(Skills!C7=1,60+Inputs!$B$25+Inputs!$B$29,IF(Skills!C7=2,90+(Inputs!$B$26+1)+Inputs!$B$29,IF(Skills!C7=3,120+Inputs!$B$27+Inputs!$B$29,MAX(0,(Inputs!$B$3-100)*3)+Inputs!$B$28+Inputs!$B$29)))</f>
        <v/>
      </c>
      <c r="E754">
        <f>INDEX(FactorTable!$B$2:$Y$301, MATCH(ROUND(MIN(300,MAX(1,D754)),0), FactorTable!$A$2:$A$301,0), Skills!M7+1)</f>
        <v/>
      </c>
      <c r="F754">
        <f>IF(Skills!N7=TRUE,(Skills!L7/10)*(E754/1000),Skills!L7/10)+Skills!O7</f>
        <v/>
      </c>
      <c r="G754">
        <f>Skills!G7*IF(Skills!H7&gt;0,Skills!I7/Skills!H7,1)</f>
        <v/>
      </c>
      <c r="H754">
        <f>1-(1-Skills!J7/100)^Skills!K7</f>
        <v/>
      </c>
      <c r="I754" t="inlineStr">
        <is>
          <t>1</t>
        </is>
      </c>
      <c r="J754">
        <f>((Inputs!$B$6*(1+Inputs!$B$7/100))+(((Inputs!$B$12*(1+Inputs!$B$13/100))-(Inputs!$B$12*(1+Inputs!$B$13/100)))+0.25*(Inputs!$B$14-Inputs!$B$14))*(1+Inputs!$B$7/100))*(F754/100)</f>
        <v/>
      </c>
      <c r="K754">
        <f>J754*(1+((Inputs!$B$12*(1+Inputs!$B$13/100))*0.01+Inputs!$B$14*0.0025)/100)*(1+Inputs!$B$15/100)*(1+Inputs!$B$16/100)*(5000/(6000+Inputs!$B$42*(1-(Inputs!$B$19+0)/100)))*(1+(Inputs!$B$24+((C772=TRUE)*(F772-Calc!F25))+B782)/100)*(1+IF(Skills!A7="ENHANCED_RAGING_BLOW",IF(Inputs!$B$3&gt;=134,MAX(0,IF(Inputs!$B$3&gt;=110,7,5)-5)*50,0),0)/100)*(1+(IF(Skills!A7="RAGING_BLOW",Inputs!$B$17+((C768=TRUE)*(F768-Calc!F21)),Inputs!$B$18+((C770=TRUE)*(F770-Calc!F23))))/100)*((1+(((C760=TRUE)*F760*IF(Inputs!$B$3&gt;=110,7,5))+((C762=TRUE)*F762*IF(AND(Inputs!$B$38&lt;&gt;"pvp",Inputs!$B$43&gt;0),(((R762-1)*(Skills!T15*(1+Inputs!$B$34/100))+MIN((Skills!T15*(1+Inputs!$B$34/100)),MAX(0,Inputs!$B$43-((R762-1)*Skills!D15))))/Inputs!$B$43),IF(Inputs!$B$38="pvp",MIN((Skills!T15*(1+Inputs!$B$34/100)),15)/15,(Skills!T15*(1+Inputs!$B$34/100))/Skills!D15)))+0)/100)*I754)</f>
        <v/>
      </c>
      <c r="L754">
        <f>K754*(MIN(Inputs!$B$22+((C769=TRUE)*(F769-Calc!F22)),Inputs!$B$23+((C771=TRUE)*(F771-Calc!F24)))/100+(Inputs!$B$23+((C771=TRUE)*(F771-Calc!F24)))/100)/2</f>
        <v/>
      </c>
      <c r="M754">
        <f>L754*(1+(Inputs!$B$10+0+B781)/100)</f>
        <v/>
      </c>
      <c r="N754">
        <f>L754*(1-MIN((Inputs!$B$9+((C773=TRUE)*(F773-Calc!F26))+B776),100)/100)+M754*(MIN((Inputs!$B$9+((C773=TRUE)*(F773-Calc!F26))+B776),100)/100)</f>
        <v/>
      </c>
      <c r="O754">
        <f>(1-Summary!$B$55)*T754+Summary!$B$55*V754</f>
        <v/>
      </c>
      <c r="P754">
        <f>IF(B786=0,0,O754/B786)</f>
        <v/>
      </c>
      <c r="Q754">
        <f>IFERROR(1/IF(Inputs!$B$38="pvp",15,MAX(0.1,Skills!D7-IF(Skills!E7=TRUE,Inputs!$B$32,0))),0)</f>
        <v/>
      </c>
      <c r="R754">
        <f>IF(AND(Inputs!$B$38&lt;&gt;"pvp",Inputs!$B$43&gt;0),IF(MAX(0,Inputs!$B$43-B783)&lt;=0,0,(INT(MAX(0,Inputs!$B$43-B783)/IF(Inputs!$B$38="pvp",15,MAX(0.1,Skills!D7-IF(Skills!E7=TRUE,Inputs!$B$32,0))))+1)),0)</f>
        <v/>
      </c>
      <c r="S754">
        <f>IFERROR(O754/N754,0)</f>
        <v/>
      </c>
      <c r="T754">
        <f>IF(C754,(H754*N754*IF(AND(Inputs!$B$38&lt;&gt;"pvp",Inputs!$B$43&gt;0),((Skills!G7*((R754-1)*IF(Skills!H7&gt;0,Skills!I7/Skills!H7,1)+IF(Skills!H7&gt;0,MIN(Skills!I7,MAX(0,MAX(0,Inputs!$B$43-B783)-((R754-1)*IF(Inputs!$B$38="pvp",15,MAX(0.1,Skills!D7-IF(Skills!E7=TRUE,Inputs!$B$32,0))))))/Skills!H7,1)))/Inputs!$B$43),G754*Q754))*IF(Inputs!$B$38="pvp",1,1+(Inputs!$B$20+0+Skills!P7+Summary!$B$59)/100),0)</f>
        <v/>
      </c>
      <c r="V754">
        <f>IF(C754,(H754*N754*IF(AND(Inputs!$B$38&lt;&gt;"pvp",Inputs!$B$43&gt;0),((Skills!G7*((R754-1)*IF(Skills!H7&gt;0,Skills!I7/Skills!H7,1)+IF(Skills!H7&gt;0,MIN(Skills!I7,MAX(0,MAX(0,Inputs!$B$43-B783)-((R754-1)*IF(Inputs!$B$38="pvp",15,MAX(0.1,Skills!D7-IF(Skills!E7=TRUE,Inputs!$B$32,0))))))/Skills!H7,1)))/Inputs!$B$43),G754*Q754))*IF(Inputs!$B$38="pvp",1,(1+(Inputs!$B$21+Skills!Q7+Summary!$B$59)/100)*(MIN(Skills!R7,Inputs!$B$37))),0)</f>
        <v/>
      </c>
    </row>
    <row r="755">
      <c r="A755">
        <f>Skills!A8</f>
        <v/>
      </c>
      <c r="B755">
        <f>Skills!B8</f>
        <v/>
      </c>
      <c r="C755">
        <f>Inputs!$B$3&gt;=117</f>
        <v/>
      </c>
      <c r="D755">
        <f>IF(Skills!C8=1,60+Inputs!$B$25+Inputs!$B$29,IF(Skills!C8=2,90+(Inputs!$B$26+1)+Inputs!$B$29,IF(Skills!C8=3,120+Inputs!$B$27+Inputs!$B$29,MAX(0,(Inputs!$B$3-100)*3)+Inputs!$B$28+Inputs!$B$29)))</f>
        <v/>
      </c>
      <c r="E755">
        <f>INDEX(FactorTable!$B$2:$Y$301, MATCH(ROUND(MIN(300,MAX(1,D755)),0), FactorTable!$A$2:$A$301,0), Skills!M8+1)</f>
        <v/>
      </c>
      <c r="F755">
        <f>IF(Skills!N8=TRUE,(Skills!L8/10)*(E755/1000),Skills!L8/10)+Skills!O8</f>
        <v/>
      </c>
      <c r="G755">
        <f>Skills!G8*IF(Skills!H8&gt;0,Skills!I8/Skills!H8,1)</f>
        <v/>
      </c>
      <c r="H755">
        <f>1-(1-Skills!J8/100)^Skills!K8</f>
        <v/>
      </c>
      <c r="I755" t="inlineStr">
        <is>
          <t>1</t>
        </is>
      </c>
      <c r="J755">
        <f>((Inputs!$B$6*(1+Inputs!$B$7/100))+(((Inputs!$B$12*(1+Inputs!$B$13/100))-(Inputs!$B$12*(1+Inputs!$B$13/100)))+0.25*(Inputs!$B$14-Inputs!$B$14))*(1+Inputs!$B$7/100))*(F755/100)</f>
        <v/>
      </c>
      <c r="K755">
        <f>J755*(1+((Inputs!$B$12*(1+Inputs!$B$13/100))*0.01+Inputs!$B$14*0.0025)/100)*(1+Inputs!$B$15/100)*(1+Inputs!$B$16/100)*(5000/(6000+Inputs!$B$42*(1-(Inputs!$B$19+0)/100)))*(1+(Inputs!$B$24+((C772=TRUE)*(F772-Calc!F25))+B782)/100)*(1+IF(Skills!A8="ENHANCED_RAGING_BLOW",IF(Inputs!$B$3&gt;=134,MAX(0,IF(Inputs!$B$3&gt;=110,7,5)-5)*50,0),0)/100)*(1+(IF(Skills!A8="RAGING_BLOW",Inputs!$B$17+((C768=TRUE)*(F768-Calc!F21)),Inputs!$B$18+((C770=TRUE)*(F770-Calc!F23))))/100)*((1+(((C760=TRUE)*F760*IF(Inputs!$B$3&gt;=110,7,5))+((C762=TRUE)*F762*IF(AND(Inputs!$B$38&lt;&gt;"pvp",Inputs!$B$43&gt;0),(((R762-1)*(Skills!T15*(1+Inputs!$B$34/100))+MIN((Skills!T15*(1+Inputs!$B$34/100)),MAX(0,Inputs!$B$43-((R762-1)*Skills!D15))))/Inputs!$B$43),IF(Inputs!$B$38="pvp",MIN((Skills!T15*(1+Inputs!$B$34/100)),15)/15,(Skills!T15*(1+Inputs!$B$34/100))/Skills!D15)))+0)/100)*I755)</f>
        <v/>
      </c>
      <c r="L755">
        <f>K755*(MIN(Inputs!$B$22+((C769=TRUE)*(F769-Calc!F22)),Inputs!$B$23+((C771=TRUE)*(F771-Calc!F24)))/100+(Inputs!$B$23+((C771=TRUE)*(F771-Calc!F24)))/100)/2</f>
        <v/>
      </c>
      <c r="M755">
        <f>L755*(1+(Inputs!$B$10+0+B781)/100)</f>
        <v/>
      </c>
      <c r="N755">
        <f>L755*(1-MIN((Inputs!$B$9+((C773=TRUE)*(F773-Calc!F26))+B776),100)/100)+M755*(MIN((Inputs!$B$9+((C773=TRUE)*(F773-Calc!F26))+B776),100)/100)</f>
        <v/>
      </c>
      <c r="O755">
        <f>(1-Summary!$B$55)*T755+Summary!$B$55*V755</f>
        <v/>
      </c>
      <c r="P755">
        <f>IF(B786=0,0,O755/B786)</f>
        <v/>
      </c>
      <c r="Q755">
        <f>IFERROR(1/IF(Inputs!$B$38="pvp",15,MAX(0.1,Skills!D8-IF(Skills!E8=TRUE,Inputs!$B$32,0))),0)</f>
        <v/>
      </c>
      <c r="R755">
        <f>IF(AND(Inputs!$B$38&lt;&gt;"pvp",Inputs!$B$43&gt;0),IF(MAX(0,Inputs!$B$43-B783)&lt;=0,0,(INT(MAX(0,Inputs!$B$43-B783)/IF(Inputs!$B$38="pvp",15,MAX(0.1,Skills!D8-IF(Skills!E8=TRUE,Inputs!$B$32,0))))+1)),0)</f>
        <v/>
      </c>
      <c r="S755">
        <f>IFERROR(O755/N755,0)</f>
        <v/>
      </c>
      <c r="T755">
        <f>IF(C755,(H755*N755*IF(AND(Inputs!$B$38&lt;&gt;"pvp",Inputs!$B$43&gt;0),((Skills!G8*((R755-1)*IF(Skills!H8&gt;0,Skills!I8/Skills!H8,1)+IF(Skills!H8&gt;0,MIN(Skills!I8,MAX(0,MAX(0,Inputs!$B$43-B783)-((R755-1)*IF(Inputs!$B$38="pvp",15,MAX(0.1,Skills!D8-IF(Skills!E8=TRUE,Inputs!$B$32,0))))))/Skills!H8,1)))/Inputs!$B$43),G755*Q755))*IF(Inputs!$B$38="pvp",1,1+(Inputs!$B$20+0+Skills!P8+Summary!$B$59)/100),0)</f>
        <v/>
      </c>
      <c r="V755">
        <f>IF(C755,(H755*N755*IF(AND(Inputs!$B$38&lt;&gt;"pvp",Inputs!$B$43&gt;0),((Skills!G8*((R755-1)*IF(Skills!H8&gt;0,Skills!I8/Skills!H8,1)+IF(Skills!H8&gt;0,MIN(Skills!I8,MAX(0,MAX(0,Inputs!$B$43-B783)-((R755-1)*IF(Inputs!$B$38="pvp",15,MAX(0.1,Skills!D8-IF(Skills!E8=TRUE,Inputs!$B$32,0))))))/Skills!H8,1)))/Inputs!$B$43),G755*Q755))*IF(Inputs!$B$38="pvp",1,(1+(Inputs!$B$21+Skills!Q8+Summary!$B$59)/100)*(MIN(Skills!R8,Inputs!$B$37))),0)</f>
        <v/>
      </c>
    </row>
    <row r="756">
      <c r="A756">
        <f>Skills!A9</f>
        <v/>
      </c>
      <c r="B756">
        <f>Skills!B9</f>
        <v/>
      </c>
      <c r="C756">
        <f>Inputs!$B$3&gt;=69</f>
        <v/>
      </c>
      <c r="D756">
        <f>IF(Skills!C9=1,60+Inputs!$B$25+Inputs!$B$29,IF(Skills!C9=2,90+(Inputs!$B$26+1)+Inputs!$B$29,IF(Skills!C9=3,120+Inputs!$B$27+Inputs!$B$29,MAX(0,(Inputs!$B$3-100)*3)+Inputs!$B$28+Inputs!$B$29)))</f>
        <v/>
      </c>
      <c r="E756">
        <f>INDEX(FactorTable!$B$2:$Y$301, MATCH(ROUND(MIN(300,MAX(1,D756)),0), FactorTable!$A$2:$A$301,0), Skills!M9+1)</f>
        <v/>
      </c>
      <c r="F756">
        <f>IF(Skills!N9=TRUE,(Skills!L9/10)*(E756/1000),Skills!L9/10)+Skills!O9</f>
        <v/>
      </c>
      <c r="G756">
        <f>Skills!G9*IF(Skills!H9&gt;0,Skills!I9/Skills!H9,1)</f>
        <v/>
      </c>
      <c r="H756">
        <f>1-(1-Skills!J9/100)^Skills!K9</f>
        <v/>
      </c>
      <c r="I756" t="inlineStr">
        <is>
          <t>1</t>
        </is>
      </c>
      <c r="J756">
        <f>((Inputs!$B$6*(1+Inputs!$B$7/100))+(((Inputs!$B$12*(1+Inputs!$B$13/100))-(Inputs!$B$12*(1+Inputs!$B$13/100)))+0.25*(Inputs!$B$14-Inputs!$B$14))*(1+Inputs!$B$7/100))*(F756/100)</f>
        <v/>
      </c>
      <c r="K756">
        <f>J756*(1+((Inputs!$B$12*(1+Inputs!$B$13/100))*0.01+Inputs!$B$14*0.0025)/100)*(1+Inputs!$B$15/100)*(1+Inputs!$B$16/100)*(5000/(6000+Inputs!$B$42*(1-(Inputs!$B$19+0)/100)))*(1+(Inputs!$B$24+((C772=TRUE)*(F772-Calc!F25))+B782)/100)*(1+1.0*IF(C759=TRUE,F759,0)/100)*(1+IF(Skills!A9="ENHANCED_RAGING_BLOW",IF(Inputs!$B$3&gt;=134,MAX(0,IF(Inputs!$B$3&gt;=110,7,5)-5)*50,0),0)/100)*(1+(IF(Skills!A9="RAGING_BLOW",Inputs!$B$17+((C768=TRUE)*(F768-Calc!F21)),Inputs!$B$18+((C770=TRUE)*(F770-Calc!F23))))/100)*((1+(((C760=TRUE)*F760*IF(Inputs!$B$3&gt;=110,7,5))+((C762=TRUE)*F762*IF(AND(Inputs!$B$38&lt;&gt;"pvp",Inputs!$B$43&gt;0),(((R762-1)*(Skills!T15*(1+Inputs!$B$34/100))+MIN((Skills!T15*(1+Inputs!$B$34/100)),MAX(0,Inputs!$B$43-((R762-1)*Skills!D15))))/Inputs!$B$43),IF(Inputs!$B$38="pvp",MIN((Skills!T15*(1+Inputs!$B$34/100)),15)/15,(Skills!T15*(1+Inputs!$B$34/100))/Skills!D15)))+0)/100)*I756)</f>
        <v/>
      </c>
      <c r="L756">
        <f>K756*(MIN(Inputs!$B$22+((C769=TRUE)*(F769-Calc!F22)),Inputs!$B$23+((C771=TRUE)*(F771-Calc!F24)))/100+(Inputs!$B$23+((C771=TRUE)*(F771-Calc!F24)))/100)/2</f>
        <v/>
      </c>
      <c r="M756">
        <f>L756*(1+(Inputs!$B$10+0+B781)/100)</f>
        <v/>
      </c>
      <c r="N756">
        <f>L756*(1-MIN((Inputs!$B$9+((C773=TRUE)*(F773-Calc!F26))+B776),100)/100)+M756*(MIN((Inputs!$B$9+((C773=TRUE)*(F773-Calc!F26))+B776),100)/100)</f>
        <v/>
      </c>
      <c r="O756">
        <f>(1-Summary!$B$55)*T756+Summary!$B$55*V756</f>
        <v/>
      </c>
      <c r="P756">
        <f>IF(B786=0,0,O756/B786)</f>
        <v/>
      </c>
      <c r="Q756">
        <f>IFERROR(1/IF(Inputs!$B$38="pvp",15,MAX(0.1,Skills!D9-IF(Skills!E9=TRUE,Inputs!$B$32,0))),0)</f>
        <v/>
      </c>
      <c r="R756">
        <f>IF(AND(Inputs!$B$38&lt;&gt;"pvp",Inputs!$B$43&gt;0),IF(MAX(0,Inputs!$B$43-B783)&lt;=0,0,(INT(MAX(0,Inputs!$B$43-B783)/IF(Inputs!$B$38="pvp",15,MAX(0.1,Skills!D9-IF(Skills!E9=TRUE,Inputs!$B$32,0))))+1)),0)</f>
        <v/>
      </c>
      <c r="S756">
        <f>IFERROR(O756/N756,0)</f>
        <v/>
      </c>
      <c r="T756">
        <f>IF(C756,(H756*N756*IF(AND(Inputs!$B$38&lt;&gt;"pvp",Inputs!$B$43&gt;0),((Skills!G9*((R756-1)*IF(Skills!H9&gt;0,Skills!I9/Skills!H9,1)+IF(Skills!H9&gt;0,MIN(Skills!I9,MAX(0,MAX(0,Inputs!$B$43-B783)-((R756-1)*IF(Inputs!$B$38="pvp",15,MAX(0.1,Skills!D9-IF(Skills!E9=TRUE,Inputs!$B$32,0))))))/Skills!H9,1)))/Inputs!$B$43),G756*Q756))*IF(Inputs!$B$38="pvp",1,1+(Inputs!$B$20+0+Skills!P9+Summary!$B$59)/100),0)</f>
        <v/>
      </c>
      <c r="V756">
        <f>IF(C756,(H756*N756*IF(AND(Inputs!$B$38&lt;&gt;"pvp",Inputs!$B$43&gt;0),((Skills!G9*((R756-1)*IF(Skills!H9&gt;0,Skills!I9/Skills!H9,1)+IF(Skills!H9&gt;0,MIN(Skills!I9,MAX(0,MAX(0,Inputs!$B$43-B783)-((R756-1)*IF(Inputs!$B$38="pvp",15,MAX(0.1,Skills!D9-IF(Skills!E9=TRUE,Inputs!$B$32,0))))))/Skills!H9,1)))/Inputs!$B$43),G756*Q756))*IF(Inputs!$B$38="pvp",1,(1+(Inputs!$B$21+Skills!Q9+Summary!$B$59)/100)*(MIN(Skills!R9,Inputs!$B$37))),0)</f>
        <v/>
      </c>
    </row>
    <row r="757">
      <c r="A757">
        <f>Skills!A10</f>
        <v/>
      </c>
      <c r="B757">
        <f>Skills!B10</f>
        <v/>
      </c>
      <c r="C757">
        <f>Inputs!$B$3&gt;=63</f>
        <v/>
      </c>
      <c r="D757">
        <f>IF(Skills!C10=1,60+Inputs!$B$25+Inputs!$B$29,IF(Skills!C10=2,90+(Inputs!$B$26+1)+Inputs!$B$29,IF(Skills!C10=3,120+Inputs!$B$27+Inputs!$B$29,MAX(0,(Inputs!$B$3-100)*3)+Inputs!$B$28+Inputs!$B$29)))</f>
        <v/>
      </c>
      <c r="E757">
        <f>INDEX(FactorTable!$B$2:$Y$301, MATCH(ROUND(MIN(300,MAX(1,D757)),0), FactorTable!$A$2:$A$301,0), Skills!M10+1)</f>
        <v/>
      </c>
      <c r="F757">
        <f>IF(Skills!N10=TRUE,(Skills!L10/10)*(E757/1000),Skills!L10/10)+Skills!O10</f>
        <v/>
      </c>
      <c r="G757">
        <f>Skills!G10*IF(Skills!H10&gt;0,Skills!I10/Skills!H10,1)</f>
        <v/>
      </c>
      <c r="H757">
        <f>1-(1-Skills!J10/100)^Skills!K10</f>
        <v/>
      </c>
      <c r="I757" t="inlineStr">
        <is>
          <t>1</t>
        </is>
      </c>
      <c r="J757">
        <f>((Inputs!$B$6*(1+Inputs!$B$7/100))+(((Inputs!$B$12*(1+Inputs!$B$13/100))-(Inputs!$B$12*(1+Inputs!$B$13/100)))+0.25*(Inputs!$B$14-Inputs!$B$14))*(1+Inputs!$B$7/100))*(F757/100)</f>
        <v/>
      </c>
      <c r="K757">
        <f>J757*(1+((Inputs!$B$12*(1+Inputs!$B$13/100))*0.01+Inputs!$B$14*0.0025)/100)*(1+Inputs!$B$15/100)*(1+Inputs!$B$16/100)*(5000/(6000+Inputs!$B$42*(1-(Inputs!$B$19+0)/100)))*(1+(Inputs!$B$24+((C772=TRUE)*(F772-Calc!F25))+B782)/100)*(1+1.5*IF(C759=TRUE,F759,0)/100)*(1+IF(Skills!A10="ENHANCED_RAGING_BLOW",IF(Inputs!$B$3&gt;=134,MAX(0,IF(Inputs!$B$3&gt;=110,7,5)-5)*50,0),0)/100)*(1+(IF(Skills!A10="RAGING_BLOW",Inputs!$B$17+((C768=TRUE)*(F768-Calc!F21)),Inputs!$B$18+((C770=TRUE)*(F770-Calc!F23))))/100)*((1+(((C760=TRUE)*F760*IF(Inputs!$B$3&gt;=110,7,5))+((C762=TRUE)*F762*IF(AND(Inputs!$B$38&lt;&gt;"pvp",Inputs!$B$43&gt;0),(((R762-1)*(Skills!T15*(1+Inputs!$B$34/100))+MIN((Skills!T15*(1+Inputs!$B$34/100)),MAX(0,Inputs!$B$43-((R762-1)*Skills!D15))))/Inputs!$B$43),IF(Inputs!$B$38="pvp",MIN((Skills!T15*(1+Inputs!$B$34/100)),15)/15,(Skills!T15*(1+Inputs!$B$34/100))/Skills!D15)))+0)/100)*I757)</f>
        <v/>
      </c>
      <c r="L757">
        <f>K757*(MIN(Inputs!$B$22+((C769=TRUE)*(F769-Calc!F22)),Inputs!$B$23+((C771=TRUE)*(F771-Calc!F24)))/100+(Inputs!$B$23+((C771=TRUE)*(F771-Calc!F24)))/100)/2</f>
        <v/>
      </c>
      <c r="M757">
        <f>L757*(1+(Inputs!$B$10+0+B781)/100)</f>
        <v/>
      </c>
      <c r="N757">
        <f>L757*(1-MIN((Inputs!$B$9+((C773=TRUE)*(F773-Calc!F26))+B776),100)/100)+M757*(MIN((Inputs!$B$9+((C773=TRUE)*(F773-Calc!F26))+B776),100)/100)</f>
        <v/>
      </c>
      <c r="O757">
        <f>(1-Summary!$B$55)*T757+Summary!$B$55*V757</f>
        <v/>
      </c>
      <c r="P757">
        <f>IF(B786=0,0,O757/B786)</f>
        <v/>
      </c>
      <c r="Q757">
        <f>IFERROR(1/IF(Inputs!$B$38="pvp",15,MAX(0.1,Skills!D10-IF(Skills!E10=TRUE,Inputs!$B$32,0))),0)</f>
        <v/>
      </c>
      <c r="R757">
        <f>IF(AND(Inputs!$B$38&lt;&gt;"pvp",Inputs!$B$43&gt;0),IF(MAX(0,Inputs!$B$43-B783)&lt;=0,0,(INT(MAX(0,Inputs!$B$43-B783)/IF(Inputs!$B$38="pvp",15,MAX(0.1,Skills!D10-IF(Skills!E10=TRUE,Inputs!$B$32,0))))+1)),0)</f>
        <v/>
      </c>
      <c r="S757">
        <f>IFERROR(O757/N757,0)</f>
        <v/>
      </c>
      <c r="T757">
        <f>IF(C757,(H757*N757*IF(AND(Inputs!$B$38&lt;&gt;"pvp",Inputs!$B$43&gt;0),((Skills!G10*((R757-1)*IF(Skills!H10&gt;0,Skills!I10/Skills!H10,1)+IF(Skills!H10&gt;0,MIN(Skills!I10,MAX(0,MAX(0,Inputs!$B$43-B783)-((R757-1)*IF(Inputs!$B$38="pvp",15,MAX(0.1,Skills!D10-IF(Skills!E10=TRUE,Inputs!$B$32,0))))))/Skills!H10,1)))/Inputs!$B$43),G757*Q757))*IF(Inputs!$B$38="pvp",1,1+(Inputs!$B$20+0+Skills!P10+Summary!$B$59)/100),0)</f>
        <v/>
      </c>
      <c r="V757">
        <f>IF(C757,(H757*N757*IF(AND(Inputs!$B$38&lt;&gt;"pvp",Inputs!$B$43&gt;0),((Skills!G10*((R757-1)*IF(Skills!H10&gt;0,Skills!I10/Skills!H10,1)+IF(Skills!H10&gt;0,MIN(Skills!I10,MAX(0,MAX(0,Inputs!$B$43-B783)-((R757-1)*IF(Inputs!$B$38="pvp",15,MAX(0.1,Skills!D10-IF(Skills!E10=TRUE,Inputs!$B$32,0))))))/Skills!H10,1)))/Inputs!$B$43),G757*Q757))*IF(Inputs!$B$38="pvp",1,(1+(Inputs!$B$21+Skills!Q10+Summary!$B$59)/100)*(MIN(Skills!R10,Inputs!$B$37))),0)</f>
        <v/>
      </c>
    </row>
    <row r="758">
      <c r="A758">
        <f>Skills!A11</f>
        <v/>
      </c>
      <c r="B758">
        <f>Skills!B11</f>
        <v/>
      </c>
      <c r="C758">
        <f>Inputs!$B$3&gt;=35</f>
        <v/>
      </c>
      <c r="D758">
        <f>IF(Skills!C11=1,60+Inputs!$B$25+Inputs!$B$29,IF(Skills!C11=2,90+(Inputs!$B$26+1)+Inputs!$B$29,IF(Skills!C11=3,120+Inputs!$B$27+Inputs!$B$29,MAX(0,(Inputs!$B$3-100)*3)+Inputs!$B$28+Inputs!$B$29)))</f>
        <v/>
      </c>
      <c r="E758">
        <f>INDEX(FactorTable!$B$2:$Y$301, MATCH(ROUND(MIN(300,MAX(1,D758)),0), FactorTable!$A$2:$A$301,0), Skills!M11+1)</f>
        <v/>
      </c>
      <c r="F758">
        <f>IF(Skills!N11=TRUE,(Skills!L11/10)*(E758/1000),Skills!L11/10)+Skills!O11</f>
        <v/>
      </c>
      <c r="G758">
        <f>Skills!G11*IF(Skills!H11&gt;0,Skills!I11/Skills!H11,1)</f>
        <v/>
      </c>
      <c r="H758">
        <f>1-(1-Skills!J11/100)^Skills!K11</f>
        <v/>
      </c>
      <c r="I758" t="inlineStr">
        <is>
          <t>1</t>
        </is>
      </c>
      <c r="J758">
        <f>((Inputs!$B$6*(1+Inputs!$B$7/100))+(((Inputs!$B$12*(1+Inputs!$B$13/100))-(Inputs!$B$12*(1+Inputs!$B$13/100)))+0.25*(Inputs!$B$14-Inputs!$B$14))*(1+Inputs!$B$7/100))*(F758/100)</f>
        <v/>
      </c>
      <c r="K758">
        <f>J758*(1+((Inputs!$B$12*(1+Inputs!$B$13/100))*0.01+Inputs!$B$14*0.0025)/100)*(1+Inputs!$B$15/100)*(1+Inputs!$B$16/100)*(5000/(6000+Inputs!$B$42*(1-(Inputs!$B$19+0)/100)))*(1+(Inputs!$B$24+((C772=TRUE)*(F772-Calc!F25))+B782)/100)*(1+4.0*IF(C759=TRUE,F759,0)/100)*(1+IF(Skills!A11="ENHANCED_RAGING_BLOW",IF(Inputs!$B$3&gt;=134,MAX(0,IF(Inputs!$B$3&gt;=110,7,5)-5)*50,0),0)/100)*(1+(IF(Skills!A11="RAGING_BLOW",Inputs!$B$17+((C768=TRUE)*(F768-Calc!F21)),Inputs!$B$18+((C770=TRUE)*(F770-Calc!F23))))/100)*((1+(((C760=TRUE)*F760*IF(Inputs!$B$3&gt;=110,7,5))+((C762=TRUE)*F762*IF(AND(Inputs!$B$38&lt;&gt;"pvp",Inputs!$B$43&gt;0),(((R762-1)*(Skills!T15*(1+Inputs!$B$34/100))+MIN((Skills!T15*(1+Inputs!$B$34/100)),MAX(0,Inputs!$B$43-((R762-1)*Skills!D15))))/Inputs!$B$43),IF(Inputs!$B$38="pvp",MIN((Skills!T15*(1+Inputs!$B$34/100)),15)/15,(Skills!T15*(1+Inputs!$B$34/100))/Skills!D15)))+0)/100)*I758)</f>
        <v/>
      </c>
      <c r="L758">
        <f>K758*(MIN(Inputs!$B$22+((C769=TRUE)*(F769-Calc!F22)),Inputs!$B$23+((C771=TRUE)*(F771-Calc!F24)))/100+(Inputs!$B$23+((C771=TRUE)*(F771-Calc!F24)))/100)/2</f>
        <v/>
      </c>
      <c r="M758">
        <f>L758*(1+(Inputs!$B$10+0+B781)/100)</f>
        <v/>
      </c>
      <c r="N758">
        <f>L758*(1-MIN((Inputs!$B$9+((C773=TRUE)*(F773-Calc!F26))+B776),100)/100)+M758*(MIN((Inputs!$B$9+((C773=TRUE)*(F773-Calc!F26))+B776),100)/100)</f>
        <v/>
      </c>
      <c r="O758">
        <f>(1-Summary!$B$55)*T758+Summary!$B$55*V758</f>
        <v/>
      </c>
      <c r="P758">
        <f>IF(B786=0,0,O758/B786)</f>
        <v/>
      </c>
      <c r="Q758">
        <f>IFERROR(1/IF(Inputs!$B$38="pvp",15,MAX(0.1,Skills!D11-IF(Skills!E11=TRUE,Inputs!$B$32,0))),0)</f>
        <v/>
      </c>
      <c r="R758">
        <f>IF(AND(Inputs!$B$38&lt;&gt;"pvp",Inputs!$B$43&gt;0),IF(MAX(0,Inputs!$B$43-B783)&lt;=0,0,(INT(MAX(0,Inputs!$B$43-B783)/IF(Inputs!$B$38="pvp",15,MAX(0.1,Skills!D11-IF(Skills!E11=TRUE,Inputs!$B$32,0))))+1)),0)</f>
        <v/>
      </c>
      <c r="S758">
        <f>IFERROR(O758/N758,0)</f>
        <v/>
      </c>
      <c r="T758">
        <f>IF(C758,(H758*N758*IF(AND(Inputs!$B$38&lt;&gt;"pvp",Inputs!$B$43&gt;0),((Skills!G11*((R758-1)*IF(Skills!H11&gt;0,Skills!I11/Skills!H11,1)+IF(Skills!H11&gt;0,MIN(Skills!I11,MAX(0,MAX(0,Inputs!$B$43-B783)-((R758-1)*IF(Inputs!$B$38="pvp",15,MAX(0.1,Skills!D11-IF(Skills!E11=TRUE,Inputs!$B$32,0))))))/Skills!H11,1)))/Inputs!$B$43),G758*Q758))*IF(Inputs!$B$38="pvp",1,1+(Inputs!$B$20+0+Skills!P11+Summary!$B$59)/100),0)</f>
        <v/>
      </c>
      <c r="V758">
        <f>IF(C758,(H758*N758*IF(AND(Inputs!$B$38&lt;&gt;"pvp",Inputs!$B$43&gt;0),((Skills!G11*((R758-1)*IF(Skills!H11&gt;0,Skills!I11/Skills!H11,1)+IF(Skills!H11&gt;0,MIN(Skills!I11,MAX(0,MAX(0,Inputs!$B$43-B783)-((R758-1)*IF(Inputs!$B$38="pvp",15,MAX(0.1,Skills!D11-IF(Skills!E11=TRUE,Inputs!$B$32,0))))))/Skills!H11,1)))/Inputs!$B$43),G758*Q758))*IF(Inputs!$B$38="pvp",1,(1+(Inputs!$B$21+Skills!Q11+Summary!$B$59)/100)*(MIN(Skills!R11,Inputs!$B$37))),0)</f>
        <v/>
      </c>
    </row>
    <row r="759">
      <c r="A759">
        <f>Skills!A12</f>
        <v/>
      </c>
      <c r="B759">
        <f>Skills!B12</f>
        <v/>
      </c>
      <c r="C759">
        <f>Inputs!$B$3&gt;=100</f>
        <v/>
      </c>
      <c r="D759">
        <f>IF(Skills!C12=1,60+Inputs!$B$25+Inputs!$B$29,IF(Skills!C12=2,90+(Inputs!$B$26+1)+Inputs!$B$29,IF(Skills!C12=3,120+Inputs!$B$27+Inputs!$B$29,MAX(0,(Inputs!$B$3-100)*3)+Inputs!$B$28+Inputs!$B$29)))</f>
        <v/>
      </c>
      <c r="E759">
        <f>INDEX(FactorTable!$B$2:$Y$301, MATCH(ROUND(MIN(300,MAX(1,D759)),0), FactorTable!$A$2:$A$301,0), Skills!M12+1)</f>
        <v/>
      </c>
      <c r="F759">
        <f>IF(Skills!N12=TRUE,(Skills!L12/10)*(E759/1000),Skills!L12/10)+Skills!O12</f>
        <v/>
      </c>
      <c r="G759" t="inlineStr"/>
      <c r="H759" t="inlineStr"/>
      <c r="I759" t="inlineStr">
        <is>
          <t>1</t>
        </is>
      </c>
      <c r="J759" t="inlineStr"/>
      <c r="K759" t="inlineStr"/>
      <c r="L759" t="inlineStr"/>
      <c r="M759" t="inlineStr"/>
      <c r="N759" t="inlineStr"/>
      <c r="O759" t="inlineStr"/>
      <c r="P759" t="inlineStr"/>
      <c r="Q759" t="inlineStr"/>
      <c r="R759" t="inlineStr"/>
      <c r="S759" t="inlineStr"/>
    </row>
    <row r="760">
      <c r="A760">
        <f>Skills!A13</f>
        <v/>
      </c>
      <c r="B760">
        <f>Skills!B13</f>
        <v/>
      </c>
      <c r="C760">
        <f>Inputs!$B$3&gt;=45</f>
        <v/>
      </c>
      <c r="D760">
        <f>IF(Skills!C13=1,60+Inputs!$B$25+Inputs!$B$29,IF(Skills!C13=2,90+(Inputs!$B$26+1)+Inputs!$B$29,IF(Skills!C13=3,120+Inputs!$B$27+Inputs!$B$29,MAX(0,(Inputs!$B$3-100)*3)+Inputs!$B$28+Inputs!$B$29)))</f>
        <v/>
      </c>
      <c r="E760">
        <f>INDEX(FactorTable!$B$2:$Y$301, MATCH(ROUND(MIN(300,MAX(1,D760)),0), FactorTable!$A$2:$A$301,0), Skills!M13+1)</f>
        <v/>
      </c>
      <c r="F760">
        <f>IF(Skills!N13=TRUE,(Skills!L13/10)*(E760/1000),Skills!L13/10)+Skills!O13</f>
        <v/>
      </c>
      <c r="G760">
        <f>Skills!G13*IF(Skills!H13&gt;0,Skills!I13/Skills!H13,1)</f>
        <v/>
      </c>
      <c r="H760">
        <f>1-(1-Skills!J13/100)^Skills!K13</f>
        <v/>
      </c>
      <c r="I760" t="inlineStr">
        <is>
          <t>1</t>
        </is>
      </c>
      <c r="J760" t="inlineStr"/>
      <c r="K760" t="inlineStr"/>
      <c r="L760" t="inlineStr"/>
      <c r="M760" t="inlineStr"/>
      <c r="N760" t="inlineStr"/>
      <c r="O760">
        <f>(1-Summary!$B$55)*T760+Summary!$B$55*V760</f>
        <v/>
      </c>
      <c r="P760">
        <f>IF(B786=0,0,O760/B786)</f>
        <v/>
      </c>
      <c r="Q760" t="n">
        <v>0</v>
      </c>
      <c r="R760" t="n">
        <v>0</v>
      </c>
      <c r="S760">
        <f>IFERROR(O760/N760,0)</f>
        <v/>
      </c>
      <c r="T760" t="n">
        <v>0</v>
      </c>
      <c r="V760" t="n">
        <v>0</v>
      </c>
    </row>
    <row r="761">
      <c r="A761">
        <f>Skills!A14</f>
        <v/>
      </c>
      <c r="B761">
        <f>Skills!B14</f>
        <v/>
      </c>
      <c r="C761">
        <f>Inputs!$B$3&gt;=75</f>
        <v/>
      </c>
      <c r="D761">
        <f>IF(Skills!C14=1,60+Inputs!$B$25+Inputs!$B$29,IF(Skills!C14=2,90+(Inputs!$B$26+1)+Inputs!$B$29,IF(Skills!C14=3,120+Inputs!$B$27+Inputs!$B$29,MAX(0,(Inputs!$B$3-100)*3)+Inputs!$B$28+Inputs!$B$29)))</f>
        <v/>
      </c>
      <c r="E761">
        <f>INDEX(FactorTable!$B$2:$Y$301, MATCH(ROUND(MIN(300,MAX(1,D761)),0), FactorTable!$A$2:$A$301,0), Skills!M14+1)</f>
        <v/>
      </c>
      <c r="F761">
        <f>IF(Skills!N14=TRUE,(Skills!L14/10)*(E761/1000),Skills!L14/10)+Skills!O14</f>
        <v/>
      </c>
      <c r="G761">
        <f>Skills!G14*IF(Skills!H14&gt;0,Skills!I14/Skills!H14,1)</f>
        <v/>
      </c>
      <c r="H761">
        <f>1-(1-Skills!J14/100)^Skills!K14</f>
        <v/>
      </c>
      <c r="I761" t="inlineStr">
        <is>
          <t>1</t>
        </is>
      </c>
      <c r="J761" t="inlineStr"/>
      <c r="K761" t="inlineStr"/>
      <c r="L761" t="inlineStr"/>
      <c r="M761" t="inlineStr"/>
      <c r="N761" t="inlineStr"/>
      <c r="O761">
        <f>(1-Summary!$B$55)*T761+Summary!$B$55*V761</f>
        <v/>
      </c>
      <c r="P761">
        <f>IF(B786=0,0,O761/B786)</f>
        <v/>
      </c>
      <c r="Q761" t="n">
        <v>0</v>
      </c>
      <c r="R761" t="n">
        <v>0</v>
      </c>
      <c r="S761">
        <f>IFERROR(O761/N761,0)</f>
        <v/>
      </c>
      <c r="T761" t="n">
        <v>0</v>
      </c>
      <c r="V761" t="n">
        <v>0</v>
      </c>
    </row>
    <row r="762">
      <c r="A762">
        <f>Skills!A15</f>
        <v/>
      </c>
      <c r="B762">
        <f>Skills!B15</f>
        <v/>
      </c>
      <c r="C762">
        <f>Inputs!$B$3&gt;=40</f>
        <v/>
      </c>
      <c r="D762">
        <f>IF(Skills!C15=1,60+Inputs!$B$25+Inputs!$B$29,IF(Skills!C15=2,90+(Inputs!$B$26+1)+Inputs!$B$29,IF(Skills!C15=3,120+Inputs!$B$27+Inputs!$B$29,MAX(0,(Inputs!$B$3-100)*3)+Inputs!$B$28+Inputs!$B$29)))</f>
        <v/>
      </c>
      <c r="E762">
        <f>INDEX(FactorTable!$B$2:$Y$301, MATCH(ROUND(MIN(300,MAX(1,D762)),0), FactorTable!$A$2:$A$301,0), Skills!M15+1)</f>
        <v/>
      </c>
      <c r="F762">
        <f>IF(Skills!N15=TRUE,(Skills!L15/10)*(E762/1000),Skills!L15/10)+Skills!O15</f>
        <v/>
      </c>
      <c r="G762">
        <f>Skills!G15*IF(Skills!H15&gt;0,Skills!I15/Skills!H15,1)</f>
        <v/>
      </c>
      <c r="H762">
        <f>1-(1-Skills!J15/100)^Skills!K15</f>
        <v/>
      </c>
      <c r="I762" t="inlineStr">
        <is>
          <t>1</t>
        </is>
      </c>
      <c r="J762" t="inlineStr"/>
      <c r="K762" t="inlineStr"/>
      <c r="L762" t="inlineStr"/>
      <c r="M762" t="inlineStr"/>
      <c r="N762" t="inlineStr"/>
      <c r="O762">
        <f>(1-Summary!$B$55)*T762+Summary!$B$55*V762</f>
        <v/>
      </c>
      <c r="P762">
        <f>IF(B786=0,0,O762/B786)</f>
        <v/>
      </c>
      <c r="Q762">
        <f>IFERROR(1/IF(Inputs!$B$38="pvp",15,MAX(0.1,Skills!D15-IF(Skills!E15=TRUE,Inputs!$B$32,0))),0)</f>
        <v/>
      </c>
      <c r="R762">
        <f>IF(AND(Inputs!$B$38&lt;&gt;"pvp",Inputs!$B$43&gt;0),IF(Inputs!$B$43&lt;=0,0,(INT(Inputs!$B$43/IF(Inputs!$B$38="pvp",15,MAX(0.1,Skills!D15-IF(Skills!E15=TRUE,Inputs!$B$32,0))))+1)),0)</f>
        <v/>
      </c>
      <c r="S762">
        <f>IFERROR(O762/N762,0)</f>
        <v/>
      </c>
      <c r="T762" t="n">
        <v>0</v>
      </c>
      <c r="V762" t="n">
        <v>0</v>
      </c>
    </row>
    <row r="763">
      <c r="A763">
        <f>Skills!A16</f>
        <v/>
      </c>
      <c r="B763">
        <f>Skills!B16</f>
        <v/>
      </c>
      <c r="C763">
        <f>Inputs!$B$3&gt;=66</f>
        <v/>
      </c>
      <c r="D763">
        <f>IF(Skills!C16=1,60+Inputs!$B$25+Inputs!$B$29,IF(Skills!C16=2,90+(Inputs!$B$26+1)+Inputs!$B$29,IF(Skills!C16=3,120+Inputs!$B$27+Inputs!$B$29,MAX(0,(Inputs!$B$3-100)*3)+Inputs!$B$28+Inputs!$B$29)))</f>
        <v/>
      </c>
      <c r="E763">
        <f>INDEX(FactorTable!$B$2:$Y$301, MATCH(ROUND(MIN(300,MAX(1,D763)),0), FactorTable!$A$2:$A$301,0), Skills!M16+1)</f>
        <v/>
      </c>
      <c r="F763">
        <f>IF(Skills!N16=TRUE,(Skills!L16/10)*(E763/1000),Skills!L16/10)+Skills!O16</f>
        <v/>
      </c>
      <c r="G763">
        <f>Skills!G16*IF(Skills!H16&gt;0,Skills!I16/Skills!H16,1)</f>
        <v/>
      </c>
      <c r="H763">
        <f>1-(1-Skills!J16/100)^Skills!K16</f>
        <v/>
      </c>
      <c r="I763" t="inlineStr">
        <is>
          <t>1</t>
        </is>
      </c>
      <c r="J763" t="inlineStr"/>
      <c r="K763" t="inlineStr"/>
      <c r="L763" t="inlineStr"/>
      <c r="M763" t="inlineStr"/>
      <c r="N763" t="inlineStr"/>
      <c r="O763">
        <f>(1-Summary!$B$55)*T763+Summary!$B$55*V763</f>
        <v/>
      </c>
      <c r="P763">
        <f>IF(B786=0,0,O763/B786)</f>
        <v/>
      </c>
      <c r="Q763">
        <f>IFERROR(1/IF(Inputs!$B$38="pvp",15,MAX(0.1,Skills!D16-IF(Skills!E16=TRUE,Inputs!$B$32,0))),0)</f>
        <v/>
      </c>
      <c r="R763">
        <f>IF(AND(Inputs!$B$38&lt;&gt;"pvp",Inputs!$B$43&gt;0),IF(Inputs!$B$43&lt;=0,0,(INT(Inputs!$B$43/IF(Inputs!$B$38="pvp",15,MAX(0.1,Skills!D16-IF(Skills!E16=TRUE,Inputs!$B$32,0))))+1)),0)</f>
        <v/>
      </c>
      <c r="S763">
        <f>IFERROR(O763/N763,0)</f>
        <v/>
      </c>
      <c r="T763" t="n">
        <v>0</v>
      </c>
      <c r="V763" t="n">
        <v>0</v>
      </c>
    </row>
    <row r="764">
      <c r="A764">
        <f>Skills!A17</f>
        <v/>
      </c>
      <c r="B764">
        <f>Skills!B17</f>
        <v/>
      </c>
      <c r="C764">
        <f>Inputs!$B$3&gt;=115</f>
        <v/>
      </c>
      <c r="D764">
        <f>IF(Skills!C17=1,60+Inputs!$B$25+Inputs!$B$29,IF(Skills!C17=2,90+(Inputs!$B$26+1)+Inputs!$B$29,IF(Skills!C17=3,120+Inputs!$B$27+Inputs!$B$29,MAX(0,(Inputs!$B$3-100)*3)+Inputs!$B$28+Inputs!$B$29)))</f>
        <v/>
      </c>
      <c r="E764">
        <f>INDEX(FactorTable!$B$2:$Y$301, MATCH(ROUND(MIN(300,MAX(1,D764)),0), FactorTable!$A$2:$A$301,0), Skills!M17+1)</f>
        <v/>
      </c>
      <c r="F764">
        <f>IF(Skills!N17=TRUE,(Skills!L17/10)*(E764/1000),Skills!L17/10)+Skills!O17</f>
        <v/>
      </c>
      <c r="G764">
        <f>Skills!G17*IF(Skills!H17&gt;0,Skills!I17/Skills!H17,1)</f>
        <v/>
      </c>
      <c r="H764">
        <f>1-(1-Skills!J17/100)^Skills!K17</f>
        <v/>
      </c>
      <c r="I764" t="inlineStr">
        <is>
          <t>1</t>
        </is>
      </c>
      <c r="J764" t="inlineStr"/>
      <c r="K764" t="inlineStr"/>
      <c r="L764" t="inlineStr"/>
      <c r="M764" t="inlineStr"/>
      <c r="N764" t="inlineStr"/>
      <c r="O764">
        <f>(1-Summary!$B$55)*T764+Summary!$B$55*V764</f>
        <v/>
      </c>
      <c r="P764">
        <f>IF(B786=0,0,O764/B786)</f>
        <v/>
      </c>
      <c r="Q764">
        <f>IFERROR(1/IF(Inputs!$B$38="pvp",15,MAX(0.1,Skills!D17-IF(Skills!E17=TRUE,Inputs!$B$32,0))),0)</f>
        <v/>
      </c>
      <c r="R764">
        <f>IF(AND(Inputs!$B$38&lt;&gt;"pvp",Inputs!$B$43&gt;0),IF(Inputs!$B$43&lt;=0,0,(INT(Inputs!$B$43/IF(Inputs!$B$38="pvp",15,MAX(0.1,Skills!D17-IF(Skills!E17=TRUE,Inputs!$B$32,0))))+1)),0)</f>
        <v/>
      </c>
      <c r="S764">
        <f>IFERROR(O764/N764,0)</f>
        <v/>
      </c>
      <c r="T764" t="n">
        <v>0</v>
      </c>
      <c r="V764" t="n">
        <v>0</v>
      </c>
    </row>
    <row r="765">
      <c r="A765">
        <f>Skills!A18</f>
        <v/>
      </c>
      <c r="B765">
        <f>Skills!B18</f>
        <v/>
      </c>
      <c r="C765">
        <f>Inputs!$B$3&gt;=115</f>
        <v/>
      </c>
      <c r="D765">
        <f>IF(Skills!C18=1,60+Inputs!$B$25+Inputs!$B$29,IF(Skills!C18=2,90+(Inputs!$B$26+1)+Inputs!$B$29,IF(Skills!C18=3,120+Inputs!$B$27+Inputs!$B$29,MAX(0,(Inputs!$B$3-100)*3)+Inputs!$B$28+Inputs!$B$29)))</f>
        <v/>
      </c>
      <c r="E765">
        <f>INDEX(FactorTable!$B$2:$Y$301, MATCH(ROUND(MIN(300,MAX(1,D765)),0), FactorTable!$A$2:$A$301,0), Skills!M18+1)</f>
        <v/>
      </c>
      <c r="F765">
        <f>IF(Skills!N18=TRUE,(Skills!L18/10)*(E765/1000),Skills!L18/10)+Skills!O18</f>
        <v/>
      </c>
      <c r="G765">
        <f>Skills!G18*IF(Skills!H18&gt;0,Skills!I18/Skills!H18,1)</f>
        <v/>
      </c>
      <c r="H765">
        <f>1-(1-Skills!J18/100)^Skills!K18</f>
        <v/>
      </c>
      <c r="I765" t="inlineStr">
        <is>
          <t>1</t>
        </is>
      </c>
      <c r="J765" t="inlineStr"/>
      <c r="K765" t="inlineStr"/>
      <c r="L765" t="inlineStr"/>
      <c r="M765" t="inlineStr"/>
      <c r="N765" t="inlineStr"/>
      <c r="O765">
        <f>(1-Summary!$B$55)*T765+Summary!$B$55*V765</f>
        <v/>
      </c>
      <c r="P765">
        <f>IF(B786=0,0,O765/B786)</f>
        <v/>
      </c>
      <c r="Q765">
        <f>IFERROR(1/IF(Inputs!$B$38="pvp",15,MAX(0.1,Skills!D18-IF(Skills!E18=TRUE,Inputs!$B$32,0))),0)</f>
        <v/>
      </c>
      <c r="R765">
        <f>IF(AND(Inputs!$B$38&lt;&gt;"pvp",Inputs!$B$43&gt;0),IF(Inputs!$B$43&lt;=0,0,(INT(Inputs!$B$43/IF(Inputs!$B$38="pvp",15,MAX(0.1,Skills!D18-IF(Skills!E18=TRUE,Inputs!$B$32,0))))+1)),0)</f>
        <v/>
      </c>
      <c r="S765">
        <f>IFERROR(O765/N765,0)</f>
        <v/>
      </c>
      <c r="T765" t="n">
        <v>0</v>
      </c>
      <c r="V765" t="n">
        <v>0</v>
      </c>
    </row>
    <row r="766">
      <c r="A766">
        <f>Skills!A19</f>
        <v/>
      </c>
      <c r="B766">
        <f>Skills!B19</f>
        <v/>
      </c>
      <c r="C766">
        <f>TRUE</f>
        <v/>
      </c>
      <c r="D766">
        <f>IF(Skills!C19=1,60+Inputs!$B$25+Inputs!$B$29,IF(Skills!C19=2,90+(Inputs!$B$26+1)+Inputs!$B$29,IF(Skills!C19=3,120+Inputs!$B$27+Inputs!$B$29,MAX(0,(Inputs!$B$3-100)*3)+Inputs!$B$28+Inputs!$B$29)))</f>
        <v/>
      </c>
      <c r="E766">
        <f>INDEX(FactorTable!$B$2:$Y$301, MATCH(ROUND(MIN(300,MAX(1,D766)),0), FactorTable!$A$2:$A$301,0), Skills!M19+1)</f>
        <v/>
      </c>
      <c r="F766">
        <f>IF(Skills!N19=TRUE,(Skills!L19/10)*(E766/1000),Skills!L19/10)+Skills!O19</f>
        <v/>
      </c>
      <c r="G766">
        <f>Skills!G19*IF(Skills!H19&gt;0,Skills!I19/Skills!H19,1)</f>
        <v/>
      </c>
      <c r="H766">
        <f>1-(1-Skills!J19/100)^Skills!K19</f>
        <v/>
      </c>
      <c r="I766" t="inlineStr">
        <is>
          <t>1</t>
        </is>
      </c>
      <c r="J766" t="inlineStr"/>
      <c r="K766" t="inlineStr"/>
      <c r="L766" t="inlineStr"/>
      <c r="M766" t="inlineStr"/>
      <c r="N766" t="inlineStr"/>
      <c r="O766">
        <f>(1-Summary!$B$55)*T766+Summary!$B$55*V766</f>
        <v/>
      </c>
      <c r="P766">
        <f>IF(B786=0,0,O766/B786)</f>
        <v/>
      </c>
      <c r="Q766">
        <f>IFERROR(1/IF(Inputs!$B$38="pvp",15,MAX(0.1,Skills!D19-IF(Skills!E19=TRUE,Inputs!$B$32,0))),0)</f>
        <v/>
      </c>
      <c r="R766">
        <f>IF(AND(Inputs!$B$38&lt;&gt;"pvp",Inputs!$B$43&gt;0),IF(Inputs!$B$43&lt;=0,0,(INT(Inputs!$B$43/IF(Inputs!$B$38="pvp",15,MAX(0.1,Skills!D19-IF(Skills!E19=TRUE,Inputs!$B$32,0))))+1)),0)</f>
        <v/>
      </c>
      <c r="S766">
        <f>IFERROR(O766/N766,0)</f>
        <v/>
      </c>
      <c r="T766" t="n">
        <v>0</v>
      </c>
      <c r="V766" t="n">
        <v>0</v>
      </c>
    </row>
    <row r="767">
      <c r="A767">
        <f>Skills!A20</f>
        <v/>
      </c>
      <c r="B767">
        <f>Skills!B20</f>
        <v/>
      </c>
      <c r="C767">
        <f>Inputs!$B$3&gt;=33</f>
        <v/>
      </c>
      <c r="D767">
        <f>IF(Skills!C20=1,60+Inputs!$B$25+Inputs!$B$29,IF(Skills!C20=2,90+(Inputs!$B$26+1)+Inputs!$B$29,IF(Skills!C20=3,120+Inputs!$B$27+Inputs!$B$29,MAX(0,(Inputs!$B$3-100)*3)+Inputs!$B$28+Inputs!$B$29)))</f>
        <v/>
      </c>
      <c r="E767">
        <f>INDEX(FactorTable!$B$2:$Y$301, MATCH(ROUND(MIN(300,MAX(1,D767)),0), FactorTable!$A$2:$A$301,0), Skills!M20+1)</f>
        <v/>
      </c>
      <c r="F767">
        <f>IF(Skills!N20=TRUE,(Skills!L20/10)*(E767/1000),Skills!L20/10)+Skills!O20</f>
        <v/>
      </c>
      <c r="G767">
        <f>Skills!G20*IF(Skills!H20&gt;0,Skills!I20/Skills!H20,1)</f>
        <v/>
      </c>
      <c r="H767">
        <f>1-(1-Skills!J20/100)^Skills!K20</f>
        <v/>
      </c>
      <c r="I767" t="inlineStr">
        <is>
          <t>1</t>
        </is>
      </c>
      <c r="J767" t="inlineStr"/>
      <c r="K767" t="inlineStr"/>
      <c r="L767" t="inlineStr"/>
      <c r="M767" t="inlineStr"/>
      <c r="N767" t="inlineStr"/>
      <c r="O767">
        <f>(1-Summary!$B$55)*T767+Summary!$B$55*V767</f>
        <v/>
      </c>
      <c r="P767">
        <f>IF(B786=0,0,O767/B786)</f>
        <v/>
      </c>
      <c r="Q767" t="n">
        <v>0</v>
      </c>
      <c r="R767" t="n">
        <v>0</v>
      </c>
      <c r="S767">
        <f>IFERROR(O767/N767,0)</f>
        <v/>
      </c>
      <c r="T767" t="n">
        <v>0</v>
      </c>
      <c r="V767" t="n">
        <v>0</v>
      </c>
    </row>
    <row r="768">
      <c r="A768">
        <f>Skills!A21</f>
        <v/>
      </c>
      <c r="B768">
        <f>Skills!B21</f>
        <v/>
      </c>
      <c r="C768">
        <f>Inputs!$B$3&gt;=38</f>
        <v/>
      </c>
      <c r="D768">
        <f>IF(Skills!C21=1,60+Inputs!$B$25+Inputs!$B$29,IF(Skills!C21=2,90+(Inputs!$B$26+1)+Inputs!$B$29,IF(Skills!C21=3,120+Inputs!$B$27+Inputs!$B$29,MAX(0,(Inputs!$B$3-100)*3)+Inputs!$B$28+Inputs!$B$29)))</f>
        <v/>
      </c>
      <c r="E768">
        <f>INDEX(FactorTable!$B$2:$Y$301, MATCH(ROUND(MIN(300,MAX(1,D768)),0), FactorTable!$A$2:$A$301,0), Skills!M21+1)</f>
        <v/>
      </c>
      <c r="F768">
        <f>IF(Skills!N21=TRUE,(Skills!L21/10)*(E768/1000),Skills!L21/10)+Skills!O21</f>
        <v/>
      </c>
      <c r="G768">
        <f>Skills!G21*IF(Skills!H21&gt;0,Skills!I21/Skills!H21,1)</f>
        <v/>
      </c>
      <c r="H768">
        <f>1-(1-Skills!J21/100)^Skills!K21</f>
        <v/>
      </c>
      <c r="I768" t="inlineStr">
        <is>
          <t>1</t>
        </is>
      </c>
      <c r="J768" t="inlineStr"/>
      <c r="K768" t="inlineStr"/>
      <c r="L768" t="inlineStr"/>
      <c r="M768" t="inlineStr"/>
      <c r="N768" t="inlineStr"/>
      <c r="O768">
        <f>(1-Summary!$B$55)*T768+Summary!$B$55*V768</f>
        <v/>
      </c>
      <c r="P768">
        <f>IF(B786=0,0,O768/B786)</f>
        <v/>
      </c>
      <c r="Q768" t="n">
        <v>0</v>
      </c>
      <c r="R768" t="n">
        <v>0</v>
      </c>
      <c r="S768">
        <f>IFERROR(O768/N768,0)</f>
        <v/>
      </c>
      <c r="T768" t="n">
        <v>0</v>
      </c>
      <c r="V768" t="n">
        <v>0</v>
      </c>
    </row>
    <row r="769">
      <c r="A769">
        <f>Skills!A22</f>
        <v/>
      </c>
      <c r="B769">
        <f>Skills!B22</f>
        <v/>
      </c>
      <c r="C769">
        <f>Inputs!$B$3&gt;=43</f>
        <v/>
      </c>
      <c r="D769">
        <f>IF(Skills!C22=1,60+Inputs!$B$25+Inputs!$B$29,IF(Skills!C22=2,90+(Inputs!$B$26+1)+Inputs!$B$29,IF(Skills!C22=3,120+Inputs!$B$27+Inputs!$B$29,MAX(0,(Inputs!$B$3-100)*3)+Inputs!$B$28+Inputs!$B$29)))</f>
        <v/>
      </c>
      <c r="E769">
        <f>INDEX(FactorTable!$B$2:$Y$301, MATCH(ROUND(MIN(300,MAX(1,D769)),0), FactorTable!$A$2:$A$301,0), Skills!M22+1)</f>
        <v/>
      </c>
      <c r="F769">
        <f>IF(Skills!N22=TRUE,(Skills!L22/10)*(E769/1000),Skills!L22/10)+Skills!O22</f>
        <v/>
      </c>
      <c r="G769">
        <f>Skills!G22*IF(Skills!H22&gt;0,Skills!I22/Skills!H22,1)</f>
        <v/>
      </c>
      <c r="H769">
        <f>1-(1-Skills!J22/100)^Skills!K22</f>
        <v/>
      </c>
      <c r="I769" t="inlineStr">
        <is>
          <t>1</t>
        </is>
      </c>
      <c r="J769" t="inlineStr"/>
      <c r="K769" t="inlineStr"/>
      <c r="L769" t="inlineStr"/>
      <c r="M769" t="inlineStr"/>
      <c r="N769" t="inlineStr"/>
      <c r="O769">
        <f>(1-Summary!$B$55)*T769+Summary!$B$55*V769</f>
        <v/>
      </c>
      <c r="P769">
        <f>IF(B786=0,0,O769/B786)</f>
        <v/>
      </c>
      <c r="Q769" t="n">
        <v>0</v>
      </c>
      <c r="R769" t="n">
        <v>0</v>
      </c>
      <c r="S769">
        <f>IFERROR(O769/N769,0)</f>
        <v/>
      </c>
      <c r="T769" t="n">
        <v>0</v>
      </c>
      <c r="V769" t="n">
        <v>0</v>
      </c>
    </row>
    <row r="770">
      <c r="A770">
        <f>Skills!A23</f>
        <v/>
      </c>
      <c r="B770">
        <f>Skills!B23</f>
        <v/>
      </c>
      <c r="C770">
        <f>Inputs!$B$3&gt;=120</f>
        <v/>
      </c>
      <c r="D770">
        <f>IF(Skills!C23=1,60+Inputs!$B$25+Inputs!$B$29,IF(Skills!C23=2,90+(Inputs!$B$26+1)+Inputs!$B$29,IF(Skills!C23=3,120+Inputs!$B$27+Inputs!$B$29,MAX(0,(Inputs!$B$3-100)*3)+Inputs!$B$28+Inputs!$B$29)))</f>
        <v/>
      </c>
      <c r="E770">
        <f>INDEX(FactorTable!$B$2:$Y$301, MATCH(ROUND(MIN(300,MAX(1,D770)),0), FactorTable!$A$2:$A$301,0), Skills!M23+1)</f>
        <v/>
      </c>
      <c r="F770">
        <f>IF(Skills!N23=TRUE,(Skills!L23/10)*(E770/1000),Skills!L23/10)+Skills!O23</f>
        <v/>
      </c>
      <c r="G770">
        <f>Skills!G23*IF(Skills!H23&gt;0,Skills!I23/Skills!H23,1)</f>
        <v/>
      </c>
      <c r="H770">
        <f>1-(1-Skills!J23/100)^Skills!K23</f>
        <v/>
      </c>
      <c r="I770" t="inlineStr">
        <is>
          <t>1</t>
        </is>
      </c>
      <c r="J770" t="inlineStr"/>
      <c r="K770" t="inlineStr"/>
      <c r="L770" t="inlineStr"/>
      <c r="M770" t="inlineStr"/>
      <c r="N770" t="inlineStr"/>
      <c r="O770">
        <f>(1-Summary!$B$55)*T770+Summary!$B$55*V770</f>
        <v/>
      </c>
      <c r="P770">
        <f>IF(B786=0,0,O770/B786)</f>
        <v/>
      </c>
      <c r="Q770" t="n">
        <v>0</v>
      </c>
      <c r="R770" t="n">
        <v>0</v>
      </c>
      <c r="S770">
        <f>IFERROR(O770/N770,0)</f>
        <v/>
      </c>
      <c r="T770" t="n">
        <v>0</v>
      </c>
      <c r="V770" t="n">
        <v>0</v>
      </c>
    </row>
    <row r="771">
      <c r="A771">
        <f>Skills!A24</f>
        <v/>
      </c>
      <c r="B771">
        <f>Skills!B24</f>
        <v/>
      </c>
      <c r="C771">
        <f>Inputs!$B$3&gt;=120</f>
        <v/>
      </c>
      <c r="D771">
        <f>IF(Skills!C24=1,60+Inputs!$B$25+Inputs!$B$29,IF(Skills!C24=2,90+(Inputs!$B$26+1)+Inputs!$B$29,IF(Skills!C24=3,120+Inputs!$B$27+Inputs!$B$29,MAX(0,(Inputs!$B$3-100)*3)+Inputs!$B$28+Inputs!$B$29)))</f>
        <v/>
      </c>
      <c r="E771">
        <f>INDEX(FactorTable!$B$2:$Y$301, MATCH(ROUND(MIN(300,MAX(1,D771)),0), FactorTable!$A$2:$A$301,0), Skills!M24+1)</f>
        <v/>
      </c>
      <c r="F771">
        <f>IF(Skills!N24=TRUE,(Skills!L24/10)*(E771/1000),Skills!L24/10)+Skills!O24</f>
        <v/>
      </c>
      <c r="G771">
        <f>Skills!G24*IF(Skills!H24&gt;0,Skills!I24/Skills!H24,1)</f>
        <v/>
      </c>
      <c r="H771">
        <f>1-(1-Skills!J24/100)^Skills!K24</f>
        <v/>
      </c>
      <c r="I771" t="inlineStr">
        <is>
          <t>1</t>
        </is>
      </c>
      <c r="J771" t="inlineStr"/>
      <c r="K771" t="inlineStr"/>
      <c r="L771" t="inlineStr"/>
      <c r="M771" t="inlineStr"/>
      <c r="N771" t="inlineStr"/>
      <c r="O771">
        <f>(1-Summary!$B$55)*T771+Summary!$B$55*V771</f>
        <v/>
      </c>
      <c r="P771">
        <f>IF(B786=0,0,O771/B786)</f>
        <v/>
      </c>
      <c r="Q771" t="n">
        <v>0</v>
      </c>
      <c r="R771" t="n">
        <v>0</v>
      </c>
      <c r="S771">
        <f>IFERROR(O771/N771,0)</f>
        <v/>
      </c>
      <c r="T771" t="n">
        <v>0</v>
      </c>
      <c r="V771" t="n">
        <v>0</v>
      </c>
    </row>
    <row r="772">
      <c r="A772">
        <f>Skills!A25</f>
        <v/>
      </c>
      <c r="B772">
        <f>Skills!B25</f>
        <v/>
      </c>
      <c r="C772">
        <f>Inputs!$B$3&gt;=125</f>
        <v/>
      </c>
      <c r="D772">
        <f>IF(Skills!C25=1,60+Inputs!$B$25+Inputs!$B$29,IF(Skills!C25=2,90+(Inputs!$B$26+1)+Inputs!$B$29,IF(Skills!C25=3,120+Inputs!$B$27+Inputs!$B$29,MAX(0,(Inputs!$B$3-100)*3)+Inputs!$B$28+Inputs!$B$29)))</f>
        <v/>
      </c>
      <c r="E772">
        <f>INDEX(FactorTable!$B$2:$Y$301, MATCH(ROUND(MIN(300,MAX(1,D772)),0), FactorTable!$A$2:$A$301,0), Skills!M25+1)</f>
        <v/>
      </c>
      <c r="F772">
        <f>IF(Skills!N25=TRUE,(Skills!L25/10)*(E772/1000),Skills!L25/10)+Skills!O25</f>
        <v/>
      </c>
      <c r="G772">
        <f>Skills!G25*IF(Skills!H25&gt;0,Skills!I25/Skills!H25,1)</f>
        <v/>
      </c>
      <c r="H772">
        <f>1-(1-Skills!J25/100)^Skills!K25</f>
        <v/>
      </c>
      <c r="I772" t="inlineStr">
        <is>
          <t>1</t>
        </is>
      </c>
      <c r="J772" t="inlineStr"/>
      <c r="K772" t="inlineStr"/>
      <c r="L772" t="inlineStr"/>
      <c r="M772" t="inlineStr"/>
      <c r="N772" t="inlineStr"/>
      <c r="O772">
        <f>(1-Summary!$B$55)*T772+Summary!$B$55*V772</f>
        <v/>
      </c>
      <c r="P772">
        <f>IF(B786=0,0,O772/B786)</f>
        <v/>
      </c>
      <c r="Q772" t="n">
        <v>0</v>
      </c>
      <c r="R772" t="n">
        <v>0</v>
      </c>
      <c r="S772">
        <f>IFERROR(O772/N772,0)</f>
        <v/>
      </c>
      <c r="T772" t="n">
        <v>0</v>
      </c>
      <c r="V772" t="n">
        <v>0</v>
      </c>
    </row>
    <row r="773">
      <c r="A773">
        <f>Skills!A26</f>
        <v/>
      </c>
      <c r="B773">
        <f>Skills!B26</f>
        <v/>
      </c>
      <c r="C773">
        <f>Inputs!$B$3&gt;=72</f>
        <v/>
      </c>
      <c r="D773">
        <f>IF(Skills!C26=1,60+Inputs!$B$25+Inputs!$B$29,IF(Skills!C26=2,90+(Inputs!$B$26+1)+Inputs!$B$29,IF(Skills!C26=3,120+Inputs!$B$27+Inputs!$B$29,MAX(0,(Inputs!$B$3-100)*3)+Inputs!$B$28+Inputs!$B$29)))</f>
        <v/>
      </c>
      <c r="E773">
        <f>INDEX(FactorTable!$B$2:$Y$301, MATCH(ROUND(MIN(300,MAX(1,D773)),0), FactorTable!$A$2:$A$301,0), Skills!M26+1)</f>
        <v/>
      </c>
      <c r="F773">
        <f>IF(Skills!N26=TRUE,(Skills!L26/10)*(E773/1000),Skills!L26/10)+Skills!O26</f>
        <v/>
      </c>
      <c r="G773">
        <f>Skills!G26*IF(Skills!H26&gt;0,Skills!I26/Skills!H26,1)</f>
        <v/>
      </c>
      <c r="H773">
        <f>1-(1-Skills!J26/100)^Skills!K26</f>
        <v/>
      </c>
      <c r="I773" t="inlineStr">
        <is>
          <t>1</t>
        </is>
      </c>
      <c r="J773" t="inlineStr"/>
      <c r="K773" t="inlineStr"/>
      <c r="L773" t="inlineStr"/>
      <c r="M773" t="inlineStr"/>
      <c r="N773" t="inlineStr"/>
      <c r="O773">
        <f>(1-Summary!$B$55)*T773+Summary!$B$55*V773</f>
        <v/>
      </c>
      <c r="P773">
        <f>IF(B786=0,0,O773/B786)</f>
        <v/>
      </c>
      <c r="Q773" t="n">
        <v>0</v>
      </c>
      <c r="R773" t="n">
        <v>0</v>
      </c>
      <c r="S773">
        <f>IFERROR(O773/N773,0)</f>
        <v/>
      </c>
      <c r="T773" t="n">
        <v>0</v>
      </c>
      <c r="V773" t="n">
        <v>0</v>
      </c>
    </row>
    <row r="775">
      <c r="A775" t="inlineStr">
        <is>
          <t>Attack% Bucket Multiplier</t>
        </is>
      </c>
      <c r="B775">
        <f>(1+(((C760=TRUE)*F760*IF(Inputs!$B$3&gt;=110,7,5))+((C762=TRUE)*F762*IF(AND(Inputs!$B$38&lt;&gt;"pvp",Inputs!$B$43&gt;0),(((R762-1)*(Skills!T15*(1+Inputs!$B$34/100))+MIN((Skills!T15*(1+Inputs!$B$34/100)),MAX(0,Inputs!$B$43-((R762-1)*Skills!D15))))/Inputs!$B$43),IF(Inputs!$B$38="pvp",MIN((Skills!T15*(1+Inputs!$B$34/100)),15)/15,(Skills!T15*(1+Inputs!$B$34/100))/Skills!D15)))+0)/100)</f>
        <v/>
      </c>
    </row>
    <row r="776">
      <c r="A776" t="inlineStr">
        <is>
          <t>Global Crit Rate Bonus %</t>
        </is>
      </c>
      <c r="B776" t="n">
        <v>0</v>
      </c>
    </row>
    <row r="777">
      <c r="A777" t="inlineStr">
        <is>
          <t>Attack Speed Buff Bonus %</t>
        </is>
      </c>
      <c r="B777">
        <f>((C766=TRUE)*F766*IF(AND(Inputs!$B$38&lt;&gt;"pvp",Inputs!$B$43&gt;0),(((R766-1)*(Skills!T19*(1+Inputs!$B$34/100))+MIN((Skills!T19*(1+Inputs!$B$34/100)),MAX(0,Inputs!$B$43-((R766-1)*Skills!D19))))/Inputs!$B$43),IF(Inputs!$B$38="pvp",MIN((Skills!T19*(1+Inputs!$B$34/100)),15)/15,(Skills!T19*(1+Inputs!$B$34/100))/Skills!D19)))</f>
        <v/>
      </c>
    </row>
    <row r="778">
      <c r="A778" t="inlineStr">
        <is>
          <t>Actions Per Second</t>
        </is>
      </c>
      <c r="B778">
        <f>1+MIN(150,150*(1-(1-(Inputs!$B$11+((C767=TRUE)*(F767-Calc!F20)))/150)*(1-B777/150)))/100</f>
        <v/>
      </c>
    </row>
    <row r="779">
      <c r="A779" t="inlineStr">
        <is>
          <t>Skill + Buff Cast Rate</t>
        </is>
      </c>
      <c r="B779">
        <f>IF(AND(Inputs!$B$38&lt;&gt;"pvp",Inputs!$B$43&gt;0),SUMPRODUCT((Skills!E2:E26=TRUE)*(C749:C773=TRUE)*R749:R773*Skills!F2:F26)/Inputs!$B$43,SUMPRODUCT((Skills!E2:E26=TRUE)*(C749:C773=TRUE)*Q749:Q773*Skills!F2:F26))</f>
        <v/>
      </c>
    </row>
    <row r="780">
      <c r="A780" t="inlineStr">
        <is>
          <t>Raging Blow Casts Per Second</t>
        </is>
      </c>
      <c r="B780">
        <f>MAX(0,B778-B779)</f>
        <v/>
      </c>
    </row>
    <row r="781">
      <c r="A781" t="inlineStr">
        <is>
          <t>Global Critical Damage Bonus % (Enrage)</t>
        </is>
      </c>
      <c r="B781">
        <f>((C765=TRUE)*F765*IF(AND(Inputs!$B$38&lt;&gt;"pvp",Inputs!$B$43&gt;0),(((R765-1)*(Skills!T18*(1+Inputs!$B$34/100))+MIN((Skills!T18*(1+Inputs!$B$34/100)),MAX(0,Inputs!$B$43-((R765-1)*Skills!D18))))/Inputs!$B$43),IF(Inputs!$B$38="pvp",MIN((Skills!T18*(1+Inputs!$B$34/100)),15)/15,(Skills!T18*(1+Inputs!$B$34/100))/Skills!D18)))</f>
        <v/>
      </c>
    </row>
    <row r="782">
      <c r="A782" t="inlineStr">
        <is>
          <t>Global Final Damage Bonus % (Enrage + Combo Synergy)</t>
        </is>
      </c>
      <c r="B782">
        <f>((C764=TRUE)*F764*IF(AND(Inputs!$B$38&lt;&gt;"pvp",Inputs!$B$43&gt;0),(((R764-1)*(Skills!T17*(1+Inputs!$B$34/100))+MIN((Skills!T17*(1+Inputs!$B$34/100)),MAX(0,Inputs!$B$43-((R764-1)*Skills!D17))))/Inputs!$B$43),IF(Inputs!$B$38="pvp",MIN((Skills!T17*(1+Inputs!$B$34/100)),15)/15,(Skills!T17*(1+Inputs!$B$34/100))/Skills!D17)))+((C761=TRUE)*F761*IF(Inputs!$B$3&gt;=110,7,5))</f>
        <v/>
      </c>
    </row>
    <row r="783">
      <c r="A783" t="inlineStr">
        <is>
          <t>Buff-Casting Startup Delay (s, fixed-duration only)</t>
        </is>
      </c>
      <c r="B783">
        <f>IF(AND(Inputs!$B$38&lt;&gt;"pvp",Inputs!$B$43&gt;0),SUMPRODUCT((Skills!T2:T26&gt;0)*(Skills!E2:E26=TRUE)*(C749:C773=TRUE))/B778,0)</f>
        <v/>
      </c>
    </row>
    <row r="784">
      <c r="A784" t="inlineStr">
        <is>
          <t>Boss-Only Total DPS (this block's swept value)</t>
        </is>
      </c>
      <c r="B784">
        <f>SUM(T749:T773)</f>
        <v/>
      </c>
    </row>
    <row r="785">
      <c r="A785" t="inlineStr">
        <is>
          <t>Normal-Only Total DPS (this block's swept value)</t>
        </is>
      </c>
      <c r="B785">
        <f>SUM(V749:V773)</f>
        <v/>
      </c>
    </row>
    <row r="786">
      <c r="A786" s="5" t="inlineStr">
        <is>
          <t>TOTAL DPS</t>
        </is>
      </c>
      <c r="B786" s="5">
        <f>SUM(O749:O773)</f>
        <v/>
      </c>
    </row>
    <row r="789">
      <c r="A789" s="5" t="inlineStr">
        <is>
          <t>Stat: Skill Level Bonus — 3rd Job</t>
        </is>
      </c>
    </row>
    <row r="790">
      <c r="A790" s="9" t="inlineStr">
        <is>
          <t>Key</t>
        </is>
      </c>
      <c r="B790" s="9" t="inlineStr">
        <is>
          <t>Name</t>
        </is>
      </c>
      <c r="C790" s="9" t="inlineStr">
        <is>
          <t>Unlocked</t>
        </is>
      </c>
      <c r="D790" s="9" t="inlineStr">
        <is>
          <t>InputLevel</t>
        </is>
      </c>
      <c r="E790" s="9" t="inlineStr">
        <is>
          <t>Factor</t>
        </is>
      </c>
      <c r="F790" s="9" t="inlineStr">
        <is>
          <t>CoefficientPercent</t>
        </is>
      </c>
      <c r="G790" s="9" t="inlineStr">
        <is>
          <t>EffectiveHits</t>
        </is>
      </c>
      <c r="H790" s="9" t="inlineStr">
        <is>
          <t>ProcProbability</t>
        </is>
      </c>
      <c r="I790" s="9" t="inlineStr">
        <is>
          <t>MapleHeroMultiplier</t>
        </is>
      </c>
      <c r="J790" s="9" t="inlineStr">
        <is>
          <t>BaseDamage</t>
        </is>
      </c>
      <c r="K790" s="9" t="inlineStr">
        <is>
          <t>BaseHitDamage</t>
        </is>
      </c>
      <c r="L790" s="9" t="inlineStr">
        <is>
          <t>NonCritAvg</t>
        </is>
      </c>
      <c r="M790" s="9" t="inlineStr">
        <is>
          <t>CritAvg</t>
        </is>
      </c>
      <c r="N790" s="9" t="inlineStr">
        <is>
          <t>ExpectedDamage(perHit)</t>
        </is>
      </c>
      <c r="O790" s="9" t="inlineStr">
        <is>
          <t>DPS</t>
        </is>
      </c>
      <c r="P790" s="9" t="inlineStr">
        <is>
          <t>% of Total</t>
        </is>
      </c>
      <c r="Q790" s="9" t="inlineStr">
        <is>
          <t>InvCooldown</t>
        </is>
      </c>
      <c r="R790" s="9" t="inlineStr">
        <is>
          <t>CastsInFight</t>
        </is>
      </c>
      <c r="S790" s="9" t="inlineStr">
        <is>
          <t>HitRate(perSec)</t>
        </is>
      </c>
      <c r="U790" t="inlineStr">
        <is>
          <t>helpers</t>
        </is>
      </c>
    </row>
    <row r="791">
      <c r="A791">
        <f>Skills!A2</f>
        <v/>
      </c>
      <c r="B791">
        <f>Skills!B2</f>
        <v/>
      </c>
      <c r="C791">
        <f>Inputs!$B$3&gt;=100</f>
        <v/>
      </c>
      <c r="D791" t="inlineStr"/>
      <c r="E791" t="inlineStr"/>
      <c r="F791">
        <f>U793+Skills!O2</f>
        <v/>
      </c>
      <c r="G791">
        <f>Skills!G2*IF(Skills!H2&gt;0,Skills!I2/Skills!H2,1)</f>
        <v/>
      </c>
      <c r="H791">
        <f>1-(1-Skills!J2/100)^Skills!K2</f>
        <v/>
      </c>
      <c r="I791" t="inlineStr">
        <is>
          <t>1</t>
        </is>
      </c>
      <c r="J791">
        <f>((Inputs!$B$6*(1+Inputs!$B$7/100))+(((Inputs!$B$12*(1+Inputs!$B$13/100))-(Inputs!$B$12*(1+Inputs!$B$13/100)))+0.25*(Inputs!$B$14-Inputs!$B$14))*(1+Inputs!$B$7/100))*(F791/100)</f>
        <v/>
      </c>
      <c r="K791">
        <f>J791*(1+((Inputs!$B$12*(1+Inputs!$B$13/100))*0.01+Inputs!$B$14*0.0025)/100)*(1+Inputs!$B$15/100)*(1+Inputs!$B$16/100)*(5000/(6000+Inputs!$B$42*(1-(Inputs!$B$19+0)/100)))*(1+(Inputs!$B$24+((C814=TRUE)*(F814-Calc!F25))+B824)/100)*(1+IF(Skills!A2="ENHANCED_RAGING_BLOW",IF(Inputs!$B$3&gt;=134,MAX(0,IF(Inputs!$B$3&gt;=110,7,5)-5)*50,0),0)/100)*(1+(IF(Skills!A2="RAGING_BLOW",Inputs!$B$17+((C810=TRUE)*(F810-Calc!F21)),Inputs!$B$18+((C812=TRUE)*(F812-Calc!F23))))/100)*((1+(((C802=TRUE)*F802*IF(Inputs!$B$3&gt;=110,7,5))+((C804=TRUE)*F804*IF(AND(Inputs!$B$38&lt;&gt;"pvp",Inputs!$B$43&gt;0),(((R804-1)*(Skills!T15*(1+Inputs!$B$34/100))+MIN((Skills!T15*(1+Inputs!$B$34/100)),MAX(0,Inputs!$B$43-((R804-1)*Skills!D15))))/Inputs!$B$43),IF(Inputs!$B$38="pvp",MIN((Skills!T15*(1+Inputs!$B$34/100)),15)/15,(Skills!T15*(1+Inputs!$B$34/100))/Skills!D15)))+0)/100)*I791)</f>
        <v/>
      </c>
      <c r="L791">
        <f>K791*(MIN(Inputs!$B$22+((C811=TRUE)*(F811-Calc!F22)),Inputs!$B$23+((C813=TRUE)*(F813-Calc!F24)))/100+(Inputs!$B$23+((C813=TRUE)*(F813-Calc!F24)))/100)/2</f>
        <v/>
      </c>
      <c r="M791">
        <f>L791*(1+(Inputs!$B$10+0+B823)/100)</f>
        <v/>
      </c>
      <c r="N791">
        <f>L791*(1-MIN((Inputs!$B$9+((C815=TRUE)*(F815-Calc!F26))+B818),100)/100)+M791*(MIN((Inputs!$B$9+((C815=TRUE)*(F815-Calc!F26))+B818),100)/100)</f>
        <v/>
      </c>
      <c r="O791">
        <f>(1-Summary!$B$55)*T791+Summary!$B$55*V791</f>
        <v/>
      </c>
      <c r="P791">
        <f>IF(B828=0,0,O791/B828)</f>
        <v/>
      </c>
      <c r="Q791" t="n">
        <v>0</v>
      </c>
      <c r="R791" t="n">
        <v>0</v>
      </c>
      <c r="S791">
        <f>IFERROR(O791/N791,0)</f>
        <v/>
      </c>
      <c r="T791">
        <f>IF(C791,(Skills!G2*N791*B822)*IF(Inputs!$B$38="pvp",1,1+(Inputs!$B$20+0+Skills!P2+Summary!$B$59)/100),0)</f>
        <v/>
      </c>
      <c r="U791">
        <f>MAX(0,(Inputs!$B$3-100)*3)+Inputs!$B$28+Inputs!$B$29</f>
        <v/>
      </c>
      <c r="V791">
        <f>IF(C791,(Skills!G2*N791*B822)*IF(Inputs!$B$38="pvp",1,(1+(Inputs!$B$21+Skills!Q2+Summary!$B$59)/100)*(MIN((6+Inputs!$B$33),Inputs!$B$37))),0)</f>
        <v/>
      </c>
    </row>
    <row r="792">
      <c r="A792">
        <f>Skills!A3</f>
        <v/>
      </c>
      <c r="B792">
        <f>Skills!B3</f>
        <v/>
      </c>
      <c r="C792">
        <f>Inputs!$B$3&gt;=50</f>
        <v/>
      </c>
      <c r="D792">
        <f>IF(Skills!C3=1,60+Inputs!$B$25+Inputs!$B$29,IF(Skills!C3=2,90+Inputs!$B$26+Inputs!$B$29,IF(Skills!C3=3,120+(Inputs!$B$27+1)+Inputs!$B$29,MAX(0,(Inputs!$B$3-100)*3)+Inputs!$B$28+Inputs!$B$29)))</f>
        <v/>
      </c>
      <c r="E792">
        <f>INDEX(FactorTable!$B$2:$Y$301, MATCH(ROUND(MIN(300,MAX(1,D792)),0), FactorTable!$A$2:$A$301,0), Skills!M3+1)</f>
        <v/>
      </c>
      <c r="F792">
        <f>IF(Skills!N3=TRUE,(Skills!L3/10)*(E792/1000),Skills!L3/10)+Skills!O3</f>
        <v/>
      </c>
      <c r="G792" t="inlineStr"/>
      <c r="H792" t="inlineStr"/>
      <c r="I792" t="inlineStr">
        <is>
          <t>1</t>
        </is>
      </c>
      <c r="J792" t="inlineStr"/>
      <c r="K792" t="inlineStr"/>
      <c r="L792" t="inlineStr"/>
      <c r="M792" t="inlineStr"/>
      <c r="N792" t="inlineStr"/>
      <c r="O792" t="inlineStr"/>
      <c r="P792" t="inlineStr"/>
      <c r="Q792" t="inlineStr"/>
      <c r="R792" t="inlineStr"/>
      <c r="S792" t="inlineStr"/>
      <c r="U792">
        <f>INDEX(FactorTable!$B$2:$Y$301, MATCH(ROUND(MIN(300,MAX(1,U791)),0), FactorTable!$A$2:$A$301,0), 22)</f>
        <v/>
      </c>
    </row>
    <row r="793">
      <c r="A793">
        <f>Skills!A4</f>
        <v/>
      </c>
      <c r="B793">
        <f>Skills!B4</f>
        <v/>
      </c>
      <c r="C793">
        <f>Inputs!$B$3&gt;=105</f>
        <v/>
      </c>
      <c r="D793">
        <f>IF(Skills!C4=1,60+Inputs!$B$25+Inputs!$B$29,IF(Skills!C4=2,90+Inputs!$B$26+Inputs!$B$29,IF(Skills!C4=3,120+(Inputs!$B$27+1)+Inputs!$B$29,MAX(0,(Inputs!$B$3-100)*3)+Inputs!$B$28+Inputs!$B$29)))</f>
        <v/>
      </c>
      <c r="E793">
        <f>INDEX(FactorTable!$B$2:$Y$301, MATCH(ROUND(MIN(300,MAX(1,D793)),0), FactorTable!$A$2:$A$301,0), Skills!M4+1)</f>
        <v/>
      </c>
      <c r="F793">
        <f>IF(Skills!N4=TRUE,(Skills!L4/10)*(E793/1000),Skills!L4/10)+Skills!O4</f>
        <v/>
      </c>
      <c r="G793" t="inlineStr"/>
      <c r="H793" t="inlineStr"/>
      <c r="I793" t="inlineStr">
        <is>
          <t>1</t>
        </is>
      </c>
      <c r="J793" t="inlineStr"/>
      <c r="K793" t="inlineStr"/>
      <c r="L793" t="inlineStr"/>
      <c r="M793" t="inlineStr"/>
      <c r="N793" t="inlineStr"/>
      <c r="O793" t="inlineStr"/>
      <c r="P793" t="inlineStr"/>
      <c r="Q793" t="inlineStr"/>
      <c r="R793" t="inlineStr"/>
      <c r="S793" t="inlineStr"/>
      <c r="U793">
        <f>290*U792/1000</f>
        <v/>
      </c>
    </row>
    <row r="794">
      <c r="A794">
        <f>Skills!A5</f>
        <v/>
      </c>
      <c r="B794">
        <f>Skills!B5</f>
        <v/>
      </c>
      <c r="C794">
        <f>Inputs!$B$3&gt;=103</f>
        <v/>
      </c>
      <c r="D794">
        <f>IF(Skills!C5=1,60+Inputs!$B$25+Inputs!$B$29,IF(Skills!C5=2,90+Inputs!$B$26+Inputs!$B$29,IF(Skills!C5=3,120+(Inputs!$B$27+1)+Inputs!$B$29,MAX(0,(Inputs!$B$3-100)*3)+Inputs!$B$28+Inputs!$B$29)))</f>
        <v/>
      </c>
      <c r="E794">
        <f>INDEX(FactorTable!$B$2:$Y$301, MATCH(ROUND(MIN(300,MAX(1,D794)),0), FactorTable!$A$2:$A$301,0), Skills!M5+1)</f>
        <v/>
      </c>
      <c r="F794">
        <f>IF(Skills!N5=TRUE,(Skills!L5/10)*(E794/1000),Skills!L5/10)+Skills!O5</f>
        <v/>
      </c>
      <c r="G794">
        <f>Skills!G5*IF(Skills!H5&gt;0,Skills!I5/Skills!H5,1)</f>
        <v/>
      </c>
      <c r="H794">
        <f>1-(1-Skills!J5/100)^Skills!K5</f>
        <v/>
      </c>
      <c r="I794" t="inlineStr">
        <is>
          <t>1</t>
        </is>
      </c>
      <c r="J794">
        <f>((Inputs!$B$6*(1+Inputs!$B$7/100))+(((Inputs!$B$12*(1+Inputs!$B$13/100))-(Inputs!$B$12*(1+Inputs!$B$13/100)))+0.25*(Inputs!$B$14-Inputs!$B$14))*(1+Inputs!$B$7/100))*(F794/100)</f>
        <v/>
      </c>
      <c r="K794">
        <f>J794*(1+((Inputs!$B$12*(1+Inputs!$B$13/100))*0.01+Inputs!$B$14*0.0025)/100)*(1+Inputs!$B$15/100)*(1+Inputs!$B$16/100)*(5000/(6000+Inputs!$B$42*(1-(Inputs!$B$19+0)/100)))*(1+(Inputs!$B$24+((C814=TRUE)*(F814-Calc!F25))+B824)/100)*(1+IF(Skills!A5="ENHANCED_RAGING_BLOW",IF(Inputs!$B$3&gt;=134,MAX(0,IF(Inputs!$B$3&gt;=110,7,5)-5)*50,0),0)/100)*(1+(IF(Skills!A5="RAGING_BLOW",Inputs!$B$17+((C810=TRUE)*(F810-Calc!F21)),Inputs!$B$18+((C812=TRUE)*(F812-Calc!F23))))/100)*((1+(((C802=TRUE)*F802*IF(Inputs!$B$3&gt;=110,7,5))+((C804=TRUE)*F804*IF(AND(Inputs!$B$38&lt;&gt;"pvp",Inputs!$B$43&gt;0),(((R804-1)*(Skills!T15*(1+Inputs!$B$34/100))+MIN((Skills!T15*(1+Inputs!$B$34/100)),MAX(0,Inputs!$B$43-((R804-1)*Skills!D15))))/Inputs!$B$43),IF(Inputs!$B$38="pvp",MIN((Skills!T15*(1+Inputs!$B$34/100)),15)/15,(Skills!T15*(1+Inputs!$B$34/100))/Skills!D15)))+0)/100)*I794)</f>
        <v/>
      </c>
      <c r="L794">
        <f>K794*(MIN(Inputs!$B$22+((C811=TRUE)*(F811-Calc!F22)),Inputs!$B$23+((C813=TRUE)*(F813-Calc!F24)))/100+(Inputs!$B$23+((C813=TRUE)*(F813-Calc!F24)))/100)/2</f>
        <v/>
      </c>
      <c r="M794">
        <f>L794*(1+(Inputs!$B$10+0+B823)/100)</f>
        <v/>
      </c>
      <c r="N794">
        <f>L794*(1-MIN((Inputs!$B$9+((C815=TRUE)*(F815-Calc!F26))+B818),100)/100)+M794*(MIN((Inputs!$B$9+((C815=TRUE)*(F815-Calc!F26))+B818),100)/100)</f>
        <v/>
      </c>
      <c r="O794">
        <f>(1-Summary!$B$55)*T794+Summary!$B$55*V794</f>
        <v/>
      </c>
      <c r="P794">
        <f>IF(B828=0,0,O794/B828)</f>
        <v/>
      </c>
      <c r="Q794">
        <f>IFERROR(1/IF(Inputs!$B$38="pvp",15,MAX(0.1,Skills!D5-IF(Skills!E5=TRUE,Inputs!$B$32,0))),0)</f>
        <v/>
      </c>
      <c r="R794">
        <f>IF(AND(Inputs!$B$38&lt;&gt;"pvp",Inputs!$B$43&gt;0),IF(MAX(0,Inputs!$B$43-B825)&lt;=0,0,(INT(MAX(0,Inputs!$B$43-B825)/IF(Inputs!$B$38="pvp",15,MAX(0.1,Skills!D5-IF(Skills!E5=TRUE,Inputs!$B$32,0))))+1)),0)</f>
        <v/>
      </c>
      <c r="S794">
        <f>IFERROR(O794/N794,0)</f>
        <v/>
      </c>
      <c r="T794">
        <f>IF(C794,(H794*N794*IF(AND(Inputs!$B$38&lt;&gt;"pvp",Inputs!$B$43&gt;0),((Skills!G5*((R794-1)*IF(Skills!H5&gt;0,Skills!I5/Skills!H5,1)+IF(Skills!H5&gt;0,MIN(Skills!I5,MAX(0,MAX(0,Inputs!$B$43-B825)-((R794-1)*IF(Inputs!$B$38="pvp",15,MAX(0.1,Skills!D5-IF(Skills!E5=TRUE,Inputs!$B$32,0))))))/Skills!H5,1)))/Inputs!$B$43),G794*Q794))*IF(Inputs!$B$38="pvp",1,1+(Inputs!$B$20+0+Skills!P5+Summary!$B$59)/100),0)</f>
        <v/>
      </c>
      <c r="V794">
        <f>IF(C794,(H794*N794*IF(AND(Inputs!$B$38&lt;&gt;"pvp",Inputs!$B$43&gt;0),((Skills!G5*((R794-1)*IF(Skills!H5&gt;0,Skills!I5/Skills!H5,1)+IF(Skills!H5&gt;0,MIN(Skills!I5,MAX(0,MAX(0,Inputs!$B$43-B825)-((R794-1)*IF(Inputs!$B$38="pvp",15,MAX(0.1,Skills!D5-IF(Skills!E5=TRUE,Inputs!$B$32,0))))))/Skills!H5,1)))/Inputs!$B$43),G794*Q794))*IF(Inputs!$B$38="pvp",1,(1+(Inputs!$B$21+Skills!Q5+Summary!$B$59)/100)*(MIN(Skills!R5,Inputs!$B$37))),0)</f>
        <v/>
      </c>
    </row>
    <row r="795">
      <c r="A795">
        <f>Skills!A6</f>
        <v/>
      </c>
      <c r="B795">
        <f>Skills!B6</f>
        <v/>
      </c>
      <c r="C795">
        <f>Inputs!$B$3&gt;=103</f>
        <v/>
      </c>
      <c r="D795">
        <f>IF(Skills!C6=1,60+Inputs!$B$25+Inputs!$B$29,IF(Skills!C6=2,90+Inputs!$B$26+Inputs!$B$29,IF(Skills!C6=3,120+(Inputs!$B$27+1)+Inputs!$B$29,MAX(0,(Inputs!$B$3-100)*3)+Inputs!$B$28+Inputs!$B$29)))</f>
        <v/>
      </c>
      <c r="E795">
        <f>INDEX(FactorTable!$B$2:$Y$301, MATCH(ROUND(MIN(300,MAX(1,D795)),0), FactorTable!$A$2:$A$301,0), Skills!M6+1)</f>
        <v/>
      </c>
      <c r="F795">
        <f>IF(Skills!N6=TRUE,(Skills!L6/10)*(E795/1000),Skills!L6/10)+Skills!O6</f>
        <v/>
      </c>
      <c r="G795">
        <f>Skills!G6*IF(Skills!H6&gt;0,Skills!I6/Skills!H6,1)</f>
        <v/>
      </c>
      <c r="H795">
        <f>1-(1-Skills!J6/100)^Skills!K6</f>
        <v/>
      </c>
      <c r="I795" t="inlineStr">
        <is>
          <t>1</t>
        </is>
      </c>
      <c r="J795">
        <f>((Inputs!$B$6*(1+Inputs!$B$7/100))+(((Inputs!$B$12*(1+Inputs!$B$13/100))-(Inputs!$B$12*(1+Inputs!$B$13/100)))+0.25*(Inputs!$B$14-Inputs!$B$14))*(1+Inputs!$B$7/100))*(F795/100)</f>
        <v/>
      </c>
      <c r="K795">
        <f>J795*(1+((Inputs!$B$12*(1+Inputs!$B$13/100))*0.01+Inputs!$B$14*0.0025)/100)*(1+Inputs!$B$15/100)*(1+Inputs!$B$16/100)*(5000/(6000+Inputs!$B$42*(1-(Inputs!$B$19+0)/100)))*(1+(Inputs!$B$24+((C814=TRUE)*(F814-Calc!F25))+B824)/100)*(1+IF(Skills!A6="ENHANCED_RAGING_BLOW",IF(Inputs!$B$3&gt;=134,MAX(0,IF(Inputs!$B$3&gt;=110,7,5)-5)*50,0),0)/100)*(1+(IF(Skills!A6="RAGING_BLOW",Inputs!$B$17+((C810=TRUE)*(F810-Calc!F21)),Inputs!$B$18+((C812=TRUE)*(F812-Calc!F23))))/100)*((1+(((C802=TRUE)*F802*IF(Inputs!$B$3&gt;=110,7,5))+((C804=TRUE)*F804*IF(AND(Inputs!$B$38&lt;&gt;"pvp",Inputs!$B$43&gt;0),(((R804-1)*(Skills!T15*(1+Inputs!$B$34/100))+MIN((Skills!T15*(1+Inputs!$B$34/100)),MAX(0,Inputs!$B$43-((R804-1)*Skills!D15))))/Inputs!$B$43),IF(Inputs!$B$38="pvp",MIN((Skills!T15*(1+Inputs!$B$34/100)),15)/15,(Skills!T15*(1+Inputs!$B$34/100))/Skills!D15)))+0)/100)*I795)</f>
        <v/>
      </c>
      <c r="L795">
        <f>K795*(MIN(Inputs!$B$22+((C811=TRUE)*(F811-Calc!F22)),Inputs!$B$23+((C813=TRUE)*(F813-Calc!F24)))/100+(Inputs!$B$23+((C813=TRUE)*(F813-Calc!F24)))/100)/2</f>
        <v/>
      </c>
      <c r="M795">
        <f>L795*(1+(Inputs!$B$10+0+B823)/100)</f>
        <v/>
      </c>
      <c r="N795">
        <f>L795*(1-MIN((Inputs!$B$9+((C815=TRUE)*(F815-Calc!F26))+B818),100)/100)+M795*(MIN((Inputs!$B$9+((C815=TRUE)*(F815-Calc!F26))+B818),100)/100)</f>
        <v/>
      </c>
      <c r="O795">
        <f>(1-Summary!$B$55)*T795+Summary!$B$55*V795</f>
        <v/>
      </c>
      <c r="P795">
        <f>IF(B828=0,0,O795/B828)</f>
        <v/>
      </c>
      <c r="Q795">
        <f>IFERROR(1/IF(Inputs!$B$38="pvp",15,MAX(0.1,Skills!D6-IF(Skills!E6=TRUE,Inputs!$B$32,0))),0)</f>
        <v/>
      </c>
      <c r="R795">
        <f>IF(AND(Inputs!$B$38&lt;&gt;"pvp",Inputs!$B$43&gt;0),IF(MAX(0,Inputs!$B$43-B825)&lt;=0,0,(INT(MAX(0,Inputs!$B$43-B825)/IF(Inputs!$B$38="pvp",15,MAX(0.1,Skills!D6-IF(Skills!E6=TRUE,Inputs!$B$32,0))))+1)),0)</f>
        <v/>
      </c>
      <c r="S795">
        <f>IFERROR(O795/N795,0)</f>
        <v/>
      </c>
      <c r="T795">
        <f>IF(C795,(H795*N795*IF(AND(Inputs!$B$38&lt;&gt;"pvp",Inputs!$B$43&gt;0),((Skills!G6*((R795-1)*IF(Skills!H6&gt;0,Skills!I6/Skills!H6,1)+IF(Skills!H6&gt;0,MIN(Skills!I6,MAX(0,MAX(0,Inputs!$B$43-B825)-((R795-1)*IF(Inputs!$B$38="pvp",15,MAX(0.1,Skills!D6-IF(Skills!E6=TRUE,Inputs!$B$32,0))))))/Skills!H6,1)))/Inputs!$B$43),G795*Q795))*IF(Inputs!$B$38="pvp",1,1+(Inputs!$B$20+0+Skills!P6+Summary!$B$59)/100),0)</f>
        <v/>
      </c>
      <c r="V795">
        <f>IF(C795,(H795*N795*IF(AND(Inputs!$B$38&lt;&gt;"pvp",Inputs!$B$43&gt;0),((Skills!G6*((R795-1)*IF(Skills!H6&gt;0,Skills!I6/Skills!H6,1)+IF(Skills!H6&gt;0,MIN(Skills!I6,MAX(0,MAX(0,Inputs!$B$43-B825)-((R795-1)*IF(Inputs!$B$38="pvp",15,MAX(0.1,Skills!D6-IF(Skills!E6=TRUE,Inputs!$B$32,0))))))/Skills!H6,1)))/Inputs!$B$43),G795*Q795))*IF(Inputs!$B$38="pvp",1,(1+(Inputs!$B$21+Skills!Q6+Summary!$B$59)/100)*(MIN(Skills!R6,Inputs!$B$37))),0)</f>
        <v/>
      </c>
    </row>
    <row r="796">
      <c r="A796">
        <f>Skills!A7</f>
        <v/>
      </c>
      <c r="B796">
        <f>Skills!B7</f>
        <v/>
      </c>
      <c r="C796">
        <f>Inputs!$B$3&gt;=107</f>
        <v/>
      </c>
      <c r="D796">
        <f>IF(Skills!C7=1,60+Inputs!$B$25+Inputs!$B$29,IF(Skills!C7=2,90+Inputs!$B$26+Inputs!$B$29,IF(Skills!C7=3,120+(Inputs!$B$27+1)+Inputs!$B$29,MAX(0,(Inputs!$B$3-100)*3)+Inputs!$B$28+Inputs!$B$29)))</f>
        <v/>
      </c>
      <c r="E796">
        <f>INDEX(FactorTable!$B$2:$Y$301, MATCH(ROUND(MIN(300,MAX(1,D796)),0), FactorTable!$A$2:$A$301,0), Skills!M7+1)</f>
        <v/>
      </c>
      <c r="F796">
        <f>IF(Skills!N7=TRUE,(Skills!L7/10)*(E796/1000),Skills!L7/10)+Skills!O7</f>
        <v/>
      </c>
      <c r="G796">
        <f>Skills!G7*IF(Skills!H7&gt;0,Skills!I7/Skills!H7,1)</f>
        <v/>
      </c>
      <c r="H796">
        <f>1-(1-Skills!J7/100)^Skills!K7</f>
        <v/>
      </c>
      <c r="I796" t="inlineStr">
        <is>
          <t>1</t>
        </is>
      </c>
      <c r="J796">
        <f>((Inputs!$B$6*(1+Inputs!$B$7/100))+(((Inputs!$B$12*(1+Inputs!$B$13/100))-(Inputs!$B$12*(1+Inputs!$B$13/100)))+0.25*(Inputs!$B$14-Inputs!$B$14))*(1+Inputs!$B$7/100))*(F796/100)</f>
        <v/>
      </c>
      <c r="K796">
        <f>J796*(1+((Inputs!$B$12*(1+Inputs!$B$13/100))*0.01+Inputs!$B$14*0.0025)/100)*(1+Inputs!$B$15/100)*(1+Inputs!$B$16/100)*(5000/(6000+Inputs!$B$42*(1-(Inputs!$B$19+0)/100)))*(1+(Inputs!$B$24+((C814=TRUE)*(F814-Calc!F25))+B824)/100)*(1+IF(Skills!A7="ENHANCED_RAGING_BLOW",IF(Inputs!$B$3&gt;=134,MAX(0,IF(Inputs!$B$3&gt;=110,7,5)-5)*50,0),0)/100)*(1+(IF(Skills!A7="RAGING_BLOW",Inputs!$B$17+((C810=TRUE)*(F810-Calc!F21)),Inputs!$B$18+((C812=TRUE)*(F812-Calc!F23))))/100)*((1+(((C802=TRUE)*F802*IF(Inputs!$B$3&gt;=110,7,5))+((C804=TRUE)*F804*IF(AND(Inputs!$B$38&lt;&gt;"pvp",Inputs!$B$43&gt;0),(((R804-1)*(Skills!T15*(1+Inputs!$B$34/100))+MIN((Skills!T15*(1+Inputs!$B$34/100)),MAX(0,Inputs!$B$43-((R804-1)*Skills!D15))))/Inputs!$B$43),IF(Inputs!$B$38="pvp",MIN((Skills!T15*(1+Inputs!$B$34/100)),15)/15,(Skills!T15*(1+Inputs!$B$34/100))/Skills!D15)))+0)/100)*I796)</f>
        <v/>
      </c>
      <c r="L796">
        <f>K796*(MIN(Inputs!$B$22+((C811=TRUE)*(F811-Calc!F22)),Inputs!$B$23+((C813=TRUE)*(F813-Calc!F24)))/100+(Inputs!$B$23+((C813=TRUE)*(F813-Calc!F24)))/100)/2</f>
        <v/>
      </c>
      <c r="M796">
        <f>L796*(1+(Inputs!$B$10+0+B823)/100)</f>
        <v/>
      </c>
      <c r="N796">
        <f>L796*(1-MIN((Inputs!$B$9+((C815=TRUE)*(F815-Calc!F26))+B818),100)/100)+M796*(MIN((Inputs!$B$9+((C815=TRUE)*(F815-Calc!F26))+B818),100)/100)</f>
        <v/>
      </c>
      <c r="O796">
        <f>(1-Summary!$B$55)*T796+Summary!$B$55*V796</f>
        <v/>
      </c>
      <c r="P796">
        <f>IF(B828=0,0,O796/B828)</f>
        <v/>
      </c>
      <c r="Q796">
        <f>IFERROR(1/IF(Inputs!$B$38="pvp",15,MAX(0.1,Skills!D7-IF(Skills!E7=TRUE,Inputs!$B$32,0))),0)</f>
        <v/>
      </c>
      <c r="R796">
        <f>IF(AND(Inputs!$B$38&lt;&gt;"pvp",Inputs!$B$43&gt;0),IF(MAX(0,Inputs!$B$43-B825)&lt;=0,0,(INT(MAX(0,Inputs!$B$43-B825)/IF(Inputs!$B$38="pvp",15,MAX(0.1,Skills!D7-IF(Skills!E7=TRUE,Inputs!$B$32,0))))+1)),0)</f>
        <v/>
      </c>
      <c r="S796">
        <f>IFERROR(O796/N796,0)</f>
        <v/>
      </c>
      <c r="T796">
        <f>IF(C796,(H796*N796*IF(AND(Inputs!$B$38&lt;&gt;"pvp",Inputs!$B$43&gt;0),((Skills!G7*((R796-1)*IF(Skills!H7&gt;0,Skills!I7/Skills!H7,1)+IF(Skills!H7&gt;0,MIN(Skills!I7,MAX(0,MAX(0,Inputs!$B$43-B825)-((R796-1)*IF(Inputs!$B$38="pvp",15,MAX(0.1,Skills!D7-IF(Skills!E7=TRUE,Inputs!$B$32,0))))))/Skills!H7,1)))/Inputs!$B$43),G796*Q796))*IF(Inputs!$B$38="pvp",1,1+(Inputs!$B$20+0+Skills!P7+Summary!$B$59)/100),0)</f>
        <v/>
      </c>
      <c r="V796">
        <f>IF(C796,(H796*N796*IF(AND(Inputs!$B$38&lt;&gt;"pvp",Inputs!$B$43&gt;0),((Skills!G7*((R796-1)*IF(Skills!H7&gt;0,Skills!I7/Skills!H7,1)+IF(Skills!H7&gt;0,MIN(Skills!I7,MAX(0,MAX(0,Inputs!$B$43-B825)-((R796-1)*IF(Inputs!$B$38="pvp",15,MAX(0.1,Skills!D7-IF(Skills!E7=TRUE,Inputs!$B$32,0))))))/Skills!H7,1)))/Inputs!$B$43),G796*Q796))*IF(Inputs!$B$38="pvp",1,(1+(Inputs!$B$21+Skills!Q7+Summary!$B$59)/100)*(MIN(Skills!R7,Inputs!$B$37))),0)</f>
        <v/>
      </c>
    </row>
    <row r="797">
      <c r="A797">
        <f>Skills!A8</f>
        <v/>
      </c>
      <c r="B797">
        <f>Skills!B8</f>
        <v/>
      </c>
      <c r="C797">
        <f>Inputs!$B$3&gt;=117</f>
        <v/>
      </c>
      <c r="D797">
        <f>IF(Skills!C8=1,60+Inputs!$B$25+Inputs!$B$29,IF(Skills!C8=2,90+Inputs!$B$26+Inputs!$B$29,IF(Skills!C8=3,120+(Inputs!$B$27+1)+Inputs!$B$29,MAX(0,(Inputs!$B$3-100)*3)+Inputs!$B$28+Inputs!$B$29)))</f>
        <v/>
      </c>
      <c r="E797">
        <f>INDEX(FactorTable!$B$2:$Y$301, MATCH(ROUND(MIN(300,MAX(1,D797)),0), FactorTable!$A$2:$A$301,0), Skills!M8+1)</f>
        <v/>
      </c>
      <c r="F797">
        <f>IF(Skills!N8=TRUE,(Skills!L8/10)*(E797/1000),Skills!L8/10)+Skills!O8</f>
        <v/>
      </c>
      <c r="G797">
        <f>Skills!G8*IF(Skills!H8&gt;0,Skills!I8/Skills!H8,1)</f>
        <v/>
      </c>
      <c r="H797">
        <f>1-(1-Skills!J8/100)^Skills!K8</f>
        <v/>
      </c>
      <c r="I797" t="inlineStr">
        <is>
          <t>1</t>
        </is>
      </c>
      <c r="J797">
        <f>((Inputs!$B$6*(1+Inputs!$B$7/100))+(((Inputs!$B$12*(1+Inputs!$B$13/100))-(Inputs!$B$12*(1+Inputs!$B$13/100)))+0.25*(Inputs!$B$14-Inputs!$B$14))*(1+Inputs!$B$7/100))*(F797/100)</f>
        <v/>
      </c>
      <c r="K797">
        <f>J797*(1+((Inputs!$B$12*(1+Inputs!$B$13/100))*0.01+Inputs!$B$14*0.0025)/100)*(1+Inputs!$B$15/100)*(1+Inputs!$B$16/100)*(5000/(6000+Inputs!$B$42*(1-(Inputs!$B$19+0)/100)))*(1+(Inputs!$B$24+((C814=TRUE)*(F814-Calc!F25))+B824)/100)*(1+IF(Skills!A8="ENHANCED_RAGING_BLOW",IF(Inputs!$B$3&gt;=134,MAX(0,IF(Inputs!$B$3&gt;=110,7,5)-5)*50,0),0)/100)*(1+(IF(Skills!A8="RAGING_BLOW",Inputs!$B$17+((C810=TRUE)*(F810-Calc!F21)),Inputs!$B$18+((C812=TRUE)*(F812-Calc!F23))))/100)*((1+(((C802=TRUE)*F802*IF(Inputs!$B$3&gt;=110,7,5))+((C804=TRUE)*F804*IF(AND(Inputs!$B$38&lt;&gt;"pvp",Inputs!$B$43&gt;0),(((R804-1)*(Skills!T15*(1+Inputs!$B$34/100))+MIN((Skills!T15*(1+Inputs!$B$34/100)),MAX(0,Inputs!$B$43-((R804-1)*Skills!D15))))/Inputs!$B$43),IF(Inputs!$B$38="pvp",MIN((Skills!T15*(1+Inputs!$B$34/100)),15)/15,(Skills!T15*(1+Inputs!$B$34/100))/Skills!D15)))+0)/100)*I797)</f>
        <v/>
      </c>
      <c r="L797">
        <f>K797*(MIN(Inputs!$B$22+((C811=TRUE)*(F811-Calc!F22)),Inputs!$B$23+((C813=TRUE)*(F813-Calc!F24)))/100+(Inputs!$B$23+((C813=TRUE)*(F813-Calc!F24)))/100)/2</f>
        <v/>
      </c>
      <c r="M797">
        <f>L797*(1+(Inputs!$B$10+0+B823)/100)</f>
        <v/>
      </c>
      <c r="N797">
        <f>L797*(1-MIN((Inputs!$B$9+((C815=TRUE)*(F815-Calc!F26))+B818),100)/100)+M797*(MIN((Inputs!$B$9+((C815=TRUE)*(F815-Calc!F26))+B818),100)/100)</f>
        <v/>
      </c>
      <c r="O797">
        <f>(1-Summary!$B$55)*T797+Summary!$B$55*V797</f>
        <v/>
      </c>
      <c r="P797">
        <f>IF(B828=0,0,O797/B828)</f>
        <v/>
      </c>
      <c r="Q797">
        <f>IFERROR(1/IF(Inputs!$B$38="pvp",15,MAX(0.1,Skills!D8-IF(Skills!E8=TRUE,Inputs!$B$32,0))),0)</f>
        <v/>
      </c>
      <c r="R797">
        <f>IF(AND(Inputs!$B$38&lt;&gt;"pvp",Inputs!$B$43&gt;0),IF(MAX(0,Inputs!$B$43-B825)&lt;=0,0,(INT(MAX(0,Inputs!$B$43-B825)/IF(Inputs!$B$38="pvp",15,MAX(0.1,Skills!D8-IF(Skills!E8=TRUE,Inputs!$B$32,0))))+1)),0)</f>
        <v/>
      </c>
      <c r="S797">
        <f>IFERROR(O797/N797,0)</f>
        <v/>
      </c>
      <c r="T797">
        <f>IF(C797,(H797*N797*IF(AND(Inputs!$B$38&lt;&gt;"pvp",Inputs!$B$43&gt;0),((Skills!G8*((R797-1)*IF(Skills!H8&gt;0,Skills!I8/Skills!H8,1)+IF(Skills!H8&gt;0,MIN(Skills!I8,MAX(0,MAX(0,Inputs!$B$43-B825)-((R797-1)*IF(Inputs!$B$38="pvp",15,MAX(0.1,Skills!D8-IF(Skills!E8=TRUE,Inputs!$B$32,0))))))/Skills!H8,1)))/Inputs!$B$43),G797*Q797))*IF(Inputs!$B$38="pvp",1,1+(Inputs!$B$20+0+Skills!P8+Summary!$B$59)/100),0)</f>
        <v/>
      </c>
      <c r="V797">
        <f>IF(C797,(H797*N797*IF(AND(Inputs!$B$38&lt;&gt;"pvp",Inputs!$B$43&gt;0),((Skills!G8*((R797-1)*IF(Skills!H8&gt;0,Skills!I8/Skills!H8,1)+IF(Skills!H8&gt;0,MIN(Skills!I8,MAX(0,MAX(0,Inputs!$B$43-B825)-((R797-1)*IF(Inputs!$B$38="pvp",15,MAX(0.1,Skills!D8-IF(Skills!E8=TRUE,Inputs!$B$32,0))))))/Skills!H8,1)))/Inputs!$B$43),G797*Q797))*IF(Inputs!$B$38="pvp",1,(1+(Inputs!$B$21+Skills!Q8+Summary!$B$59)/100)*(MIN(Skills!R8,Inputs!$B$37))),0)</f>
        <v/>
      </c>
    </row>
    <row r="798">
      <c r="A798">
        <f>Skills!A9</f>
        <v/>
      </c>
      <c r="B798">
        <f>Skills!B9</f>
        <v/>
      </c>
      <c r="C798">
        <f>Inputs!$B$3&gt;=69</f>
        <v/>
      </c>
      <c r="D798">
        <f>IF(Skills!C9=1,60+Inputs!$B$25+Inputs!$B$29,IF(Skills!C9=2,90+Inputs!$B$26+Inputs!$B$29,IF(Skills!C9=3,120+(Inputs!$B$27+1)+Inputs!$B$29,MAX(0,(Inputs!$B$3-100)*3)+Inputs!$B$28+Inputs!$B$29)))</f>
        <v/>
      </c>
      <c r="E798">
        <f>INDEX(FactorTable!$B$2:$Y$301, MATCH(ROUND(MIN(300,MAX(1,D798)),0), FactorTable!$A$2:$A$301,0), Skills!M9+1)</f>
        <v/>
      </c>
      <c r="F798">
        <f>IF(Skills!N9=TRUE,(Skills!L9/10)*(E798/1000),Skills!L9/10)+Skills!O9</f>
        <v/>
      </c>
      <c r="G798">
        <f>Skills!G9*IF(Skills!H9&gt;0,Skills!I9/Skills!H9,1)</f>
        <v/>
      </c>
      <c r="H798">
        <f>1-(1-Skills!J9/100)^Skills!K9</f>
        <v/>
      </c>
      <c r="I798" t="inlineStr">
        <is>
          <t>1</t>
        </is>
      </c>
      <c r="J798">
        <f>((Inputs!$B$6*(1+Inputs!$B$7/100))+(((Inputs!$B$12*(1+Inputs!$B$13/100))-(Inputs!$B$12*(1+Inputs!$B$13/100)))+0.25*(Inputs!$B$14-Inputs!$B$14))*(1+Inputs!$B$7/100))*(F798/100)</f>
        <v/>
      </c>
      <c r="K798">
        <f>J798*(1+((Inputs!$B$12*(1+Inputs!$B$13/100))*0.01+Inputs!$B$14*0.0025)/100)*(1+Inputs!$B$15/100)*(1+Inputs!$B$16/100)*(5000/(6000+Inputs!$B$42*(1-(Inputs!$B$19+0)/100)))*(1+(Inputs!$B$24+((C814=TRUE)*(F814-Calc!F25))+B824)/100)*(1+1.0*IF(C801=TRUE,F801,0)/100)*(1+IF(Skills!A9="ENHANCED_RAGING_BLOW",IF(Inputs!$B$3&gt;=134,MAX(0,IF(Inputs!$B$3&gt;=110,7,5)-5)*50,0),0)/100)*(1+(IF(Skills!A9="RAGING_BLOW",Inputs!$B$17+((C810=TRUE)*(F810-Calc!F21)),Inputs!$B$18+((C812=TRUE)*(F812-Calc!F23))))/100)*((1+(((C802=TRUE)*F802*IF(Inputs!$B$3&gt;=110,7,5))+((C804=TRUE)*F804*IF(AND(Inputs!$B$38&lt;&gt;"pvp",Inputs!$B$43&gt;0),(((R804-1)*(Skills!T15*(1+Inputs!$B$34/100))+MIN((Skills!T15*(1+Inputs!$B$34/100)),MAX(0,Inputs!$B$43-((R804-1)*Skills!D15))))/Inputs!$B$43),IF(Inputs!$B$38="pvp",MIN((Skills!T15*(1+Inputs!$B$34/100)),15)/15,(Skills!T15*(1+Inputs!$B$34/100))/Skills!D15)))+0)/100)*I798)</f>
        <v/>
      </c>
      <c r="L798">
        <f>K798*(MIN(Inputs!$B$22+((C811=TRUE)*(F811-Calc!F22)),Inputs!$B$23+((C813=TRUE)*(F813-Calc!F24)))/100+(Inputs!$B$23+((C813=TRUE)*(F813-Calc!F24)))/100)/2</f>
        <v/>
      </c>
      <c r="M798">
        <f>L798*(1+(Inputs!$B$10+0+B823)/100)</f>
        <v/>
      </c>
      <c r="N798">
        <f>L798*(1-MIN((Inputs!$B$9+((C815=TRUE)*(F815-Calc!F26))+B818),100)/100)+M798*(MIN((Inputs!$B$9+((C815=TRUE)*(F815-Calc!F26))+B818),100)/100)</f>
        <v/>
      </c>
      <c r="O798">
        <f>(1-Summary!$B$55)*T798+Summary!$B$55*V798</f>
        <v/>
      </c>
      <c r="P798">
        <f>IF(B828=0,0,O798/B828)</f>
        <v/>
      </c>
      <c r="Q798">
        <f>IFERROR(1/IF(Inputs!$B$38="pvp",15,MAX(0.1,Skills!D9-IF(Skills!E9=TRUE,Inputs!$B$32,0))),0)</f>
        <v/>
      </c>
      <c r="R798">
        <f>IF(AND(Inputs!$B$38&lt;&gt;"pvp",Inputs!$B$43&gt;0),IF(MAX(0,Inputs!$B$43-B825)&lt;=0,0,(INT(MAX(0,Inputs!$B$43-B825)/IF(Inputs!$B$38="pvp",15,MAX(0.1,Skills!D9-IF(Skills!E9=TRUE,Inputs!$B$32,0))))+1)),0)</f>
        <v/>
      </c>
      <c r="S798">
        <f>IFERROR(O798/N798,0)</f>
        <v/>
      </c>
      <c r="T798">
        <f>IF(C798,(H798*N798*IF(AND(Inputs!$B$38&lt;&gt;"pvp",Inputs!$B$43&gt;0),((Skills!G9*((R798-1)*IF(Skills!H9&gt;0,Skills!I9/Skills!H9,1)+IF(Skills!H9&gt;0,MIN(Skills!I9,MAX(0,MAX(0,Inputs!$B$43-B825)-((R798-1)*IF(Inputs!$B$38="pvp",15,MAX(0.1,Skills!D9-IF(Skills!E9=TRUE,Inputs!$B$32,0))))))/Skills!H9,1)))/Inputs!$B$43),G798*Q798))*IF(Inputs!$B$38="pvp",1,1+(Inputs!$B$20+0+Skills!P9+Summary!$B$59)/100),0)</f>
        <v/>
      </c>
      <c r="V798">
        <f>IF(C798,(H798*N798*IF(AND(Inputs!$B$38&lt;&gt;"pvp",Inputs!$B$43&gt;0),((Skills!G9*((R798-1)*IF(Skills!H9&gt;0,Skills!I9/Skills!H9,1)+IF(Skills!H9&gt;0,MIN(Skills!I9,MAX(0,MAX(0,Inputs!$B$43-B825)-((R798-1)*IF(Inputs!$B$38="pvp",15,MAX(0.1,Skills!D9-IF(Skills!E9=TRUE,Inputs!$B$32,0))))))/Skills!H9,1)))/Inputs!$B$43),G798*Q798))*IF(Inputs!$B$38="pvp",1,(1+(Inputs!$B$21+Skills!Q9+Summary!$B$59)/100)*(MIN(Skills!R9,Inputs!$B$37))),0)</f>
        <v/>
      </c>
    </row>
    <row r="799">
      <c r="A799">
        <f>Skills!A10</f>
        <v/>
      </c>
      <c r="B799">
        <f>Skills!B10</f>
        <v/>
      </c>
      <c r="C799">
        <f>Inputs!$B$3&gt;=63</f>
        <v/>
      </c>
      <c r="D799">
        <f>IF(Skills!C10=1,60+Inputs!$B$25+Inputs!$B$29,IF(Skills!C10=2,90+Inputs!$B$26+Inputs!$B$29,IF(Skills!C10=3,120+(Inputs!$B$27+1)+Inputs!$B$29,MAX(0,(Inputs!$B$3-100)*3)+Inputs!$B$28+Inputs!$B$29)))</f>
        <v/>
      </c>
      <c r="E799">
        <f>INDEX(FactorTable!$B$2:$Y$301, MATCH(ROUND(MIN(300,MAX(1,D799)),0), FactorTable!$A$2:$A$301,0), Skills!M10+1)</f>
        <v/>
      </c>
      <c r="F799">
        <f>IF(Skills!N10=TRUE,(Skills!L10/10)*(E799/1000),Skills!L10/10)+Skills!O10</f>
        <v/>
      </c>
      <c r="G799">
        <f>Skills!G10*IF(Skills!H10&gt;0,Skills!I10/Skills!H10,1)</f>
        <v/>
      </c>
      <c r="H799">
        <f>1-(1-Skills!J10/100)^Skills!K10</f>
        <v/>
      </c>
      <c r="I799" t="inlineStr">
        <is>
          <t>1</t>
        </is>
      </c>
      <c r="J799">
        <f>((Inputs!$B$6*(1+Inputs!$B$7/100))+(((Inputs!$B$12*(1+Inputs!$B$13/100))-(Inputs!$B$12*(1+Inputs!$B$13/100)))+0.25*(Inputs!$B$14-Inputs!$B$14))*(1+Inputs!$B$7/100))*(F799/100)</f>
        <v/>
      </c>
      <c r="K799">
        <f>J799*(1+((Inputs!$B$12*(1+Inputs!$B$13/100))*0.01+Inputs!$B$14*0.0025)/100)*(1+Inputs!$B$15/100)*(1+Inputs!$B$16/100)*(5000/(6000+Inputs!$B$42*(1-(Inputs!$B$19+0)/100)))*(1+(Inputs!$B$24+((C814=TRUE)*(F814-Calc!F25))+B824)/100)*(1+1.5*IF(C801=TRUE,F801,0)/100)*(1+IF(Skills!A10="ENHANCED_RAGING_BLOW",IF(Inputs!$B$3&gt;=134,MAX(0,IF(Inputs!$B$3&gt;=110,7,5)-5)*50,0),0)/100)*(1+(IF(Skills!A10="RAGING_BLOW",Inputs!$B$17+((C810=TRUE)*(F810-Calc!F21)),Inputs!$B$18+((C812=TRUE)*(F812-Calc!F23))))/100)*((1+(((C802=TRUE)*F802*IF(Inputs!$B$3&gt;=110,7,5))+((C804=TRUE)*F804*IF(AND(Inputs!$B$38&lt;&gt;"pvp",Inputs!$B$43&gt;0),(((R804-1)*(Skills!T15*(1+Inputs!$B$34/100))+MIN((Skills!T15*(1+Inputs!$B$34/100)),MAX(0,Inputs!$B$43-((R804-1)*Skills!D15))))/Inputs!$B$43),IF(Inputs!$B$38="pvp",MIN((Skills!T15*(1+Inputs!$B$34/100)),15)/15,(Skills!T15*(1+Inputs!$B$34/100))/Skills!D15)))+0)/100)*I799)</f>
        <v/>
      </c>
      <c r="L799">
        <f>K799*(MIN(Inputs!$B$22+((C811=TRUE)*(F811-Calc!F22)),Inputs!$B$23+((C813=TRUE)*(F813-Calc!F24)))/100+(Inputs!$B$23+((C813=TRUE)*(F813-Calc!F24)))/100)/2</f>
        <v/>
      </c>
      <c r="M799">
        <f>L799*(1+(Inputs!$B$10+0+B823)/100)</f>
        <v/>
      </c>
      <c r="N799">
        <f>L799*(1-MIN((Inputs!$B$9+((C815=TRUE)*(F815-Calc!F26))+B818),100)/100)+M799*(MIN((Inputs!$B$9+((C815=TRUE)*(F815-Calc!F26))+B818),100)/100)</f>
        <v/>
      </c>
      <c r="O799">
        <f>(1-Summary!$B$55)*T799+Summary!$B$55*V799</f>
        <v/>
      </c>
      <c r="P799">
        <f>IF(B828=0,0,O799/B828)</f>
        <v/>
      </c>
      <c r="Q799">
        <f>IFERROR(1/IF(Inputs!$B$38="pvp",15,MAX(0.1,Skills!D10-IF(Skills!E10=TRUE,Inputs!$B$32,0))),0)</f>
        <v/>
      </c>
      <c r="R799">
        <f>IF(AND(Inputs!$B$38&lt;&gt;"pvp",Inputs!$B$43&gt;0),IF(MAX(0,Inputs!$B$43-B825)&lt;=0,0,(INT(MAX(0,Inputs!$B$43-B825)/IF(Inputs!$B$38="pvp",15,MAX(0.1,Skills!D10-IF(Skills!E10=TRUE,Inputs!$B$32,0))))+1)),0)</f>
        <v/>
      </c>
      <c r="S799">
        <f>IFERROR(O799/N799,0)</f>
        <v/>
      </c>
      <c r="T799">
        <f>IF(C799,(H799*N799*IF(AND(Inputs!$B$38&lt;&gt;"pvp",Inputs!$B$43&gt;0),((Skills!G10*((R799-1)*IF(Skills!H10&gt;0,Skills!I10/Skills!H10,1)+IF(Skills!H10&gt;0,MIN(Skills!I10,MAX(0,MAX(0,Inputs!$B$43-B825)-((R799-1)*IF(Inputs!$B$38="pvp",15,MAX(0.1,Skills!D10-IF(Skills!E10=TRUE,Inputs!$B$32,0))))))/Skills!H10,1)))/Inputs!$B$43),G799*Q799))*IF(Inputs!$B$38="pvp",1,1+(Inputs!$B$20+0+Skills!P10+Summary!$B$59)/100),0)</f>
        <v/>
      </c>
      <c r="V799">
        <f>IF(C799,(H799*N799*IF(AND(Inputs!$B$38&lt;&gt;"pvp",Inputs!$B$43&gt;0),((Skills!G10*((R799-1)*IF(Skills!H10&gt;0,Skills!I10/Skills!H10,1)+IF(Skills!H10&gt;0,MIN(Skills!I10,MAX(0,MAX(0,Inputs!$B$43-B825)-((R799-1)*IF(Inputs!$B$38="pvp",15,MAX(0.1,Skills!D10-IF(Skills!E10=TRUE,Inputs!$B$32,0))))))/Skills!H10,1)))/Inputs!$B$43),G799*Q799))*IF(Inputs!$B$38="pvp",1,(1+(Inputs!$B$21+Skills!Q10+Summary!$B$59)/100)*(MIN(Skills!R10,Inputs!$B$37))),0)</f>
        <v/>
      </c>
    </row>
    <row r="800">
      <c r="A800">
        <f>Skills!A11</f>
        <v/>
      </c>
      <c r="B800">
        <f>Skills!B11</f>
        <v/>
      </c>
      <c r="C800">
        <f>Inputs!$B$3&gt;=35</f>
        <v/>
      </c>
      <c r="D800">
        <f>IF(Skills!C11=1,60+Inputs!$B$25+Inputs!$B$29,IF(Skills!C11=2,90+Inputs!$B$26+Inputs!$B$29,IF(Skills!C11=3,120+(Inputs!$B$27+1)+Inputs!$B$29,MAX(0,(Inputs!$B$3-100)*3)+Inputs!$B$28+Inputs!$B$29)))</f>
        <v/>
      </c>
      <c r="E800">
        <f>INDEX(FactorTable!$B$2:$Y$301, MATCH(ROUND(MIN(300,MAX(1,D800)),0), FactorTable!$A$2:$A$301,0), Skills!M11+1)</f>
        <v/>
      </c>
      <c r="F800">
        <f>IF(Skills!N11=TRUE,(Skills!L11/10)*(E800/1000),Skills!L11/10)+Skills!O11</f>
        <v/>
      </c>
      <c r="G800">
        <f>Skills!G11*IF(Skills!H11&gt;0,Skills!I11/Skills!H11,1)</f>
        <v/>
      </c>
      <c r="H800">
        <f>1-(1-Skills!J11/100)^Skills!K11</f>
        <v/>
      </c>
      <c r="I800" t="inlineStr">
        <is>
          <t>1</t>
        </is>
      </c>
      <c r="J800">
        <f>((Inputs!$B$6*(1+Inputs!$B$7/100))+(((Inputs!$B$12*(1+Inputs!$B$13/100))-(Inputs!$B$12*(1+Inputs!$B$13/100)))+0.25*(Inputs!$B$14-Inputs!$B$14))*(1+Inputs!$B$7/100))*(F800/100)</f>
        <v/>
      </c>
      <c r="K800">
        <f>J800*(1+((Inputs!$B$12*(1+Inputs!$B$13/100))*0.01+Inputs!$B$14*0.0025)/100)*(1+Inputs!$B$15/100)*(1+Inputs!$B$16/100)*(5000/(6000+Inputs!$B$42*(1-(Inputs!$B$19+0)/100)))*(1+(Inputs!$B$24+((C814=TRUE)*(F814-Calc!F25))+B824)/100)*(1+4.0*IF(C801=TRUE,F801,0)/100)*(1+IF(Skills!A11="ENHANCED_RAGING_BLOW",IF(Inputs!$B$3&gt;=134,MAX(0,IF(Inputs!$B$3&gt;=110,7,5)-5)*50,0),0)/100)*(1+(IF(Skills!A11="RAGING_BLOW",Inputs!$B$17+((C810=TRUE)*(F810-Calc!F21)),Inputs!$B$18+((C812=TRUE)*(F812-Calc!F23))))/100)*((1+(((C802=TRUE)*F802*IF(Inputs!$B$3&gt;=110,7,5))+((C804=TRUE)*F804*IF(AND(Inputs!$B$38&lt;&gt;"pvp",Inputs!$B$43&gt;0),(((R804-1)*(Skills!T15*(1+Inputs!$B$34/100))+MIN((Skills!T15*(1+Inputs!$B$34/100)),MAX(0,Inputs!$B$43-((R804-1)*Skills!D15))))/Inputs!$B$43),IF(Inputs!$B$38="pvp",MIN((Skills!T15*(1+Inputs!$B$34/100)),15)/15,(Skills!T15*(1+Inputs!$B$34/100))/Skills!D15)))+0)/100)*I800)</f>
        <v/>
      </c>
      <c r="L800">
        <f>K800*(MIN(Inputs!$B$22+((C811=TRUE)*(F811-Calc!F22)),Inputs!$B$23+((C813=TRUE)*(F813-Calc!F24)))/100+(Inputs!$B$23+((C813=TRUE)*(F813-Calc!F24)))/100)/2</f>
        <v/>
      </c>
      <c r="M800">
        <f>L800*(1+(Inputs!$B$10+0+B823)/100)</f>
        <v/>
      </c>
      <c r="N800">
        <f>L800*(1-MIN((Inputs!$B$9+((C815=TRUE)*(F815-Calc!F26))+B818),100)/100)+M800*(MIN((Inputs!$B$9+((C815=TRUE)*(F815-Calc!F26))+B818),100)/100)</f>
        <v/>
      </c>
      <c r="O800">
        <f>(1-Summary!$B$55)*T800+Summary!$B$55*V800</f>
        <v/>
      </c>
      <c r="P800">
        <f>IF(B828=0,0,O800/B828)</f>
        <v/>
      </c>
      <c r="Q800">
        <f>IFERROR(1/IF(Inputs!$B$38="pvp",15,MAX(0.1,Skills!D11-IF(Skills!E11=TRUE,Inputs!$B$32,0))),0)</f>
        <v/>
      </c>
      <c r="R800">
        <f>IF(AND(Inputs!$B$38&lt;&gt;"pvp",Inputs!$B$43&gt;0),IF(MAX(0,Inputs!$B$43-B825)&lt;=0,0,(INT(MAX(0,Inputs!$B$43-B825)/IF(Inputs!$B$38="pvp",15,MAX(0.1,Skills!D11-IF(Skills!E11=TRUE,Inputs!$B$32,0))))+1)),0)</f>
        <v/>
      </c>
      <c r="S800">
        <f>IFERROR(O800/N800,0)</f>
        <v/>
      </c>
      <c r="T800">
        <f>IF(C800,(H800*N800*IF(AND(Inputs!$B$38&lt;&gt;"pvp",Inputs!$B$43&gt;0),((Skills!G11*((R800-1)*IF(Skills!H11&gt;0,Skills!I11/Skills!H11,1)+IF(Skills!H11&gt;0,MIN(Skills!I11,MAX(0,MAX(0,Inputs!$B$43-B825)-((R800-1)*IF(Inputs!$B$38="pvp",15,MAX(0.1,Skills!D11-IF(Skills!E11=TRUE,Inputs!$B$32,0))))))/Skills!H11,1)))/Inputs!$B$43),G800*Q800))*IF(Inputs!$B$38="pvp",1,1+(Inputs!$B$20+0+Skills!P11+Summary!$B$59)/100),0)</f>
        <v/>
      </c>
      <c r="V800">
        <f>IF(C800,(H800*N800*IF(AND(Inputs!$B$38&lt;&gt;"pvp",Inputs!$B$43&gt;0),((Skills!G11*((R800-1)*IF(Skills!H11&gt;0,Skills!I11/Skills!H11,1)+IF(Skills!H11&gt;0,MIN(Skills!I11,MAX(0,MAX(0,Inputs!$B$43-B825)-((R800-1)*IF(Inputs!$B$38="pvp",15,MAX(0.1,Skills!D11-IF(Skills!E11=TRUE,Inputs!$B$32,0))))))/Skills!H11,1)))/Inputs!$B$43),G800*Q800))*IF(Inputs!$B$38="pvp",1,(1+(Inputs!$B$21+Skills!Q11+Summary!$B$59)/100)*(MIN(Skills!R11,Inputs!$B$37))),0)</f>
        <v/>
      </c>
    </row>
    <row r="801">
      <c r="A801">
        <f>Skills!A12</f>
        <v/>
      </c>
      <c r="B801">
        <f>Skills!B12</f>
        <v/>
      </c>
      <c r="C801">
        <f>Inputs!$B$3&gt;=100</f>
        <v/>
      </c>
      <c r="D801">
        <f>IF(Skills!C12=1,60+Inputs!$B$25+Inputs!$B$29,IF(Skills!C12=2,90+Inputs!$B$26+Inputs!$B$29,IF(Skills!C12=3,120+(Inputs!$B$27+1)+Inputs!$B$29,MAX(0,(Inputs!$B$3-100)*3)+Inputs!$B$28+Inputs!$B$29)))</f>
        <v/>
      </c>
      <c r="E801">
        <f>INDEX(FactorTable!$B$2:$Y$301, MATCH(ROUND(MIN(300,MAX(1,D801)),0), FactorTable!$A$2:$A$301,0), Skills!M12+1)</f>
        <v/>
      </c>
      <c r="F801">
        <f>IF(Skills!N12=TRUE,(Skills!L12/10)*(E801/1000),Skills!L12/10)+Skills!O12</f>
        <v/>
      </c>
      <c r="G801" t="inlineStr"/>
      <c r="H801" t="inlineStr"/>
      <c r="I801" t="inlineStr">
        <is>
          <t>1</t>
        </is>
      </c>
      <c r="J801" t="inlineStr"/>
      <c r="K801" t="inlineStr"/>
      <c r="L801" t="inlineStr"/>
      <c r="M801" t="inlineStr"/>
      <c r="N801" t="inlineStr"/>
      <c r="O801" t="inlineStr"/>
      <c r="P801" t="inlineStr"/>
      <c r="Q801" t="inlineStr"/>
      <c r="R801" t="inlineStr"/>
      <c r="S801" t="inlineStr"/>
    </row>
    <row r="802">
      <c r="A802">
        <f>Skills!A13</f>
        <v/>
      </c>
      <c r="B802">
        <f>Skills!B13</f>
        <v/>
      </c>
      <c r="C802">
        <f>Inputs!$B$3&gt;=45</f>
        <v/>
      </c>
      <c r="D802">
        <f>IF(Skills!C13=1,60+Inputs!$B$25+Inputs!$B$29,IF(Skills!C13=2,90+Inputs!$B$26+Inputs!$B$29,IF(Skills!C13=3,120+(Inputs!$B$27+1)+Inputs!$B$29,MAX(0,(Inputs!$B$3-100)*3)+Inputs!$B$28+Inputs!$B$29)))</f>
        <v/>
      </c>
      <c r="E802">
        <f>INDEX(FactorTable!$B$2:$Y$301, MATCH(ROUND(MIN(300,MAX(1,D802)),0), FactorTable!$A$2:$A$301,0), Skills!M13+1)</f>
        <v/>
      </c>
      <c r="F802">
        <f>IF(Skills!N13=TRUE,(Skills!L13/10)*(E802/1000),Skills!L13/10)+Skills!O13</f>
        <v/>
      </c>
      <c r="G802">
        <f>Skills!G13*IF(Skills!H13&gt;0,Skills!I13/Skills!H13,1)</f>
        <v/>
      </c>
      <c r="H802">
        <f>1-(1-Skills!J13/100)^Skills!K13</f>
        <v/>
      </c>
      <c r="I802" t="inlineStr">
        <is>
          <t>1</t>
        </is>
      </c>
      <c r="J802" t="inlineStr"/>
      <c r="K802" t="inlineStr"/>
      <c r="L802" t="inlineStr"/>
      <c r="M802" t="inlineStr"/>
      <c r="N802" t="inlineStr"/>
      <c r="O802">
        <f>(1-Summary!$B$55)*T802+Summary!$B$55*V802</f>
        <v/>
      </c>
      <c r="P802">
        <f>IF(B828=0,0,O802/B828)</f>
        <v/>
      </c>
      <c r="Q802" t="n">
        <v>0</v>
      </c>
      <c r="R802" t="n">
        <v>0</v>
      </c>
      <c r="S802">
        <f>IFERROR(O802/N802,0)</f>
        <v/>
      </c>
      <c r="T802" t="n">
        <v>0</v>
      </c>
      <c r="V802" t="n">
        <v>0</v>
      </c>
    </row>
    <row r="803">
      <c r="A803">
        <f>Skills!A14</f>
        <v/>
      </c>
      <c r="B803">
        <f>Skills!B14</f>
        <v/>
      </c>
      <c r="C803">
        <f>Inputs!$B$3&gt;=75</f>
        <v/>
      </c>
      <c r="D803">
        <f>IF(Skills!C14=1,60+Inputs!$B$25+Inputs!$B$29,IF(Skills!C14=2,90+Inputs!$B$26+Inputs!$B$29,IF(Skills!C14=3,120+(Inputs!$B$27+1)+Inputs!$B$29,MAX(0,(Inputs!$B$3-100)*3)+Inputs!$B$28+Inputs!$B$29)))</f>
        <v/>
      </c>
      <c r="E803">
        <f>INDEX(FactorTable!$B$2:$Y$301, MATCH(ROUND(MIN(300,MAX(1,D803)),0), FactorTable!$A$2:$A$301,0), Skills!M14+1)</f>
        <v/>
      </c>
      <c r="F803">
        <f>IF(Skills!N14=TRUE,(Skills!L14/10)*(E803/1000),Skills!L14/10)+Skills!O14</f>
        <v/>
      </c>
      <c r="G803">
        <f>Skills!G14*IF(Skills!H14&gt;0,Skills!I14/Skills!H14,1)</f>
        <v/>
      </c>
      <c r="H803">
        <f>1-(1-Skills!J14/100)^Skills!K14</f>
        <v/>
      </c>
      <c r="I803" t="inlineStr">
        <is>
          <t>1</t>
        </is>
      </c>
      <c r="J803" t="inlineStr"/>
      <c r="K803" t="inlineStr"/>
      <c r="L803" t="inlineStr"/>
      <c r="M803" t="inlineStr"/>
      <c r="N803" t="inlineStr"/>
      <c r="O803">
        <f>(1-Summary!$B$55)*T803+Summary!$B$55*V803</f>
        <v/>
      </c>
      <c r="P803">
        <f>IF(B828=0,0,O803/B828)</f>
        <v/>
      </c>
      <c r="Q803" t="n">
        <v>0</v>
      </c>
      <c r="R803" t="n">
        <v>0</v>
      </c>
      <c r="S803">
        <f>IFERROR(O803/N803,0)</f>
        <v/>
      </c>
      <c r="T803" t="n">
        <v>0</v>
      </c>
      <c r="V803" t="n">
        <v>0</v>
      </c>
    </row>
    <row r="804">
      <c r="A804">
        <f>Skills!A15</f>
        <v/>
      </c>
      <c r="B804">
        <f>Skills!B15</f>
        <v/>
      </c>
      <c r="C804">
        <f>Inputs!$B$3&gt;=40</f>
        <v/>
      </c>
      <c r="D804">
        <f>IF(Skills!C15=1,60+Inputs!$B$25+Inputs!$B$29,IF(Skills!C15=2,90+Inputs!$B$26+Inputs!$B$29,IF(Skills!C15=3,120+(Inputs!$B$27+1)+Inputs!$B$29,MAX(0,(Inputs!$B$3-100)*3)+Inputs!$B$28+Inputs!$B$29)))</f>
        <v/>
      </c>
      <c r="E804">
        <f>INDEX(FactorTable!$B$2:$Y$301, MATCH(ROUND(MIN(300,MAX(1,D804)),0), FactorTable!$A$2:$A$301,0), Skills!M15+1)</f>
        <v/>
      </c>
      <c r="F804">
        <f>IF(Skills!N15=TRUE,(Skills!L15/10)*(E804/1000),Skills!L15/10)+Skills!O15</f>
        <v/>
      </c>
      <c r="G804">
        <f>Skills!G15*IF(Skills!H15&gt;0,Skills!I15/Skills!H15,1)</f>
        <v/>
      </c>
      <c r="H804">
        <f>1-(1-Skills!J15/100)^Skills!K15</f>
        <v/>
      </c>
      <c r="I804" t="inlineStr">
        <is>
          <t>1</t>
        </is>
      </c>
      <c r="J804" t="inlineStr"/>
      <c r="K804" t="inlineStr"/>
      <c r="L804" t="inlineStr"/>
      <c r="M804" t="inlineStr"/>
      <c r="N804" t="inlineStr"/>
      <c r="O804">
        <f>(1-Summary!$B$55)*T804+Summary!$B$55*V804</f>
        <v/>
      </c>
      <c r="P804">
        <f>IF(B828=0,0,O804/B828)</f>
        <v/>
      </c>
      <c r="Q804">
        <f>IFERROR(1/IF(Inputs!$B$38="pvp",15,MAX(0.1,Skills!D15-IF(Skills!E15=TRUE,Inputs!$B$32,0))),0)</f>
        <v/>
      </c>
      <c r="R804">
        <f>IF(AND(Inputs!$B$38&lt;&gt;"pvp",Inputs!$B$43&gt;0),IF(Inputs!$B$43&lt;=0,0,(INT(Inputs!$B$43/IF(Inputs!$B$38="pvp",15,MAX(0.1,Skills!D15-IF(Skills!E15=TRUE,Inputs!$B$32,0))))+1)),0)</f>
        <v/>
      </c>
      <c r="S804">
        <f>IFERROR(O804/N804,0)</f>
        <v/>
      </c>
      <c r="T804" t="n">
        <v>0</v>
      </c>
      <c r="V804" t="n">
        <v>0</v>
      </c>
    </row>
    <row r="805">
      <c r="A805">
        <f>Skills!A16</f>
        <v/>
      </c>
      <c r="B805">
        <f>Skills!B16</f>
        <v/>
      </c>
      <c r="C805">
        <f>Inputs!$B$3&gt;=66</f>
        <v/>
      </c>
      <c r="D805">
        <f>IF(Skills!C16=1,60+Inputs!$B$25+Inputs!$B$29,IF(Skills!C16=2,90+Inputs!$B$26+Inputs!$B$29,IF(Skills!C16=3,120+(Inputs!$B$27+1)+Inputs!$B$29,MAX(0,(Inputs!$B$3-100)*3)+Inputs!$B$28+Inputs!$B$29)))</f>
        <v/>
      </c>
      <c r="E805">
        <f>INDEX(FactorTable!$B$2:$Y$301, MATCH(ROUND(MIN(300,MAX(1,D805)),0), FactorTable!$A$2:$A$301,0), Skills!M16+1)</f>
        <v/>
      </c>
      <c r="F805">
        <f>IF(Skills!N16=TRUE,(Skills!L16/10)*(E805/1000),Skills!L16/10)+Skills!O16</f>
        <v/>
      </c>
      <c r="G805">
        <f>Skills!G16*IF(Skills!H16&gt;0,Skills!I16/Skills!H16,1)</f>
        <v/>
      </c>
      <c r="H805">
        <f>1-(1-Skills!J16/100)^Skills!K16</f>
        <v/>
      </c>
      <c r="I805" t="inlineStr">
        <is>
          <t>1</t>
        </is>
      </c>
      <c r="J805" t="inlineStr"/>
      <c r="K805" t="inlineStr"/>
      <c r="L805" t="inlineStr"/>
      <c r="M805" t="inlineStr"/>
      <c r="N805" t="inlineStr"/>
      <c r="O805">
        <f>(1-Summary!$B$55)*T805+Summary!$B$55*V805</f>
        <v/>
      </c>
      <c r="P805">
        <f>IF(B828=0,0,O805/B828)</f>
        <v/>
      </c>
      <c r="Q805">
        <f>IFERROR(1/IF(Inputs!$B$38="pvp",15,MAX(0.1,Skills!D16-IF(Skills!E16=TRUE,Inputs!$B$32,0))),0)</f>
        <v/>
      </c>
      <c r="R805">
        <f>IF(AND(Inputs!$B$38&lt;&gt;"pvp",Inputs!$B$43&gt;0),IF(Inputs!$B$43&lt;=0,0,(INT(Inputs!$B$43/IF(Inputs!$B$38="pvp",15,MAX(0.1,Skills!D16-IF(Skills!E16=TRUE,Inputs!$B$32,0))))+1)),0)</f>
        <v/>
      </c>
      <c r="S805">
        <f>IFERROR(O805/N805,0)</f>
        <v/>
      </c>
      <c r="T805" t="n">
        <v>0</v>
      </c>
      <c r="V805" t="n">
        <v>0</v>
      </c>
    </row>
    <row r="806">
      <c r="A806">
        <f>Skills!A17</f>
        <v/>
      </c>
      <c r="B806">
        <f>Skills!B17</f>
        <v/>
      </c>
      <c r="C806">
        <f>Inputs!$B$3&gt;=115</f>
        <v/>
      </c>
      <c r="D806">
        <f>IF(Skills!C17=1,60+Inputs!$B$25+Inputs!$B$29,IF(Skills!C17=2,90+Inputs!$B$26+Inputs!$B$29,IF(Skills!C17=3,120+(Inputs!$B$27+1)+Inputs!$B$29,MAX(0,(Inputs!$B$3-100)*3)+Inputs!$B$28+Inputs!$B$29)))</f>
        <v/>
      </c>
      <c r="E806">
        <f>INDEX(FactorTable!$B$2:$Y$301, MATCH(ROUND(MIN(300,MAX(1,D806)),0), FactorTable!$A$2:$A$301,0), Skills!M17+1)</f>
        <v/>
      </c>
      <c r="F806">
        <f>IF(Skills!N17=TRUE,(Skills!L17/10)*(E806/1000),Skills!L17/10)+Skills!O17</f>
        <v/>
      </c>
      <c r="G806">
        <f>Skills!G17*IF(Skills!H17&gt;0,Skills!I17/Skills!H17,1)</f>
        <v/>
      </c>
      <c r="H806">
        <f>1-(1-Skills!J17/100)^Skills!K17</f>
        <v/>
      </c>
      <c r="I806" t="inlineStr">
        <is>
          <t>1</t>
        </is>
      </c>
      <c r="J806" t="inlineStr"/>
      <c r="K806" t="inlineStr"/>
      <c r="L806" t="inlineStr"/>
      <c r="M806" t="inlineStr"/>
      <c r="N806" t="inlineStr"/>
      <c r="O806">
        <f>(1-Summary!$B$55)*T806+Summary!$B$55*V806</f>
        <v/>
      </c>
      <c r="P806">
        <f>IF(B828=0,0,O806/B828)</f>
        <v/>
      </c>
      <c r="Q806">
        <f>IFERROR(1/IF(Inputs!$B$38="pvp",15,MAX(0.1,Skills!D17-IF(Skills!E17=TRUE,Inputs!$B$32,0))),0)</f>
        <v/>
      </c>
      <c r="R806">
        <f>IF(AND(Inputs!$B$38&lt;&gt;"pvp",Inputs!$B$43&gt;0),IF(Inputs!$B$43&lt;=0,0,(INT(Inputs!$B$43/IF(Inputs!$B$38="pvp",15,MAX(0.1,Skills!D17-IF(Skills!E17=TRUE,Inputs!$B$32,0))))+1)),0)</f>
        <v/>
      </c>
      <c r="S806">
        <f>IFERROR(O806/N806,0)</f>
        <v/>
      </c>
      <c r="T806" t="n">
        <v>0</v>
      </c>
      <c r="V806" t="n">
        <v>0</v>
      </c>
    </row>
    <row r="807">
      <c r="A807">
        <f>Skills!A18</f>
        <v/>
      </c>
      <c r="B807">
        <f>Skills!B18</f>
        <v/>
      </c>
      <c r="C807">
        <f>Inputs!$B$3&gt;=115</f>
        <v/>
      </c>
      <c r="D807">
        <f>IF(Skills!C18=1,60+Inputs!$B$25+Inputs!$B$29,IF(Skills!C18=2,90+Inputs!$B$26+Inputs!$B$29,IF(Skills!C18=3,120+(Inputs!$B$27+1)+Inputs!$B$29,MAX(0,(Inputs!$B$3-100)*3)+Inputs!$B$28+Inputs!$B$29)))</f>
        <v/>
      </c>
      <c r="E807">
        <f>INDEX(FactorTable!$B$2:$Y$301, MATCH(ROUND(MIN(300,MAX(1,D807)),0), FactorTable!$A$2:$A$301,0), Skills!M18+1)</f>
        <v/>
      </c>
      <c r="F807">
        <f>IF(Skills!N18=TRUE,(Skills!L18/10)*(E807/1000),Skills!L18/10)+Skills!O18</f>
        <v/>
      </c>
      <c r="G807">
        <f>Skills!G18*IF(Skills!H18&gt;0,Skills!I18/Skills!H18,1)</f>
        <v/>
      </c>
      <c r="H807">
        <f>1-(1-Skills!J18/100)^Skills!K18</f>
        <v/>
      </c>
      <c r="I807" t="inlineStr">
        <is>
          <t>1</t>
        </is>
      </c>
      <c r="J807" t="inlineStr"/>
      <c r="K807" t="inlineStr"/>
      <c r="L807" t="inlineStr"/>
      <c r="M807" t="inlineStr"/>
      <c r="N807" t="inlineStr"/>
      <c r="O807">
        <f>(1-Summary!$B$55)*T807+Summary!$B$55*V807</f>
        <v/>
      </c>
      <c r="P807">
        <f>IF(B828=0,0,O807/B828)</f>
        <v/>
      </c>
      <c r="Q807">
        <f>IFERROR(1/IF(Inputs!$B$38="pvp",15,MAX(0.1,Skills!D18-IF(Skills!E18=TRUE,Inputs!$B$32,0))),0)</f>
        <v/>
      </c>
      <c r="R807">
        <f>IF(AND(Inputs!$B$38&lt;&gt;"pvp",Inputs!$B$43&gt;0),IF(Inputs!$B$43&lt;=0,0,(INT(Inputs!$B$43/IF(Inputs!$B$38="pvp",15,MAX(0.1,Skills!D18-IF(Skills!E18=TRUE,Inputs!$B$32,0))))+1)),0)</f>
        <v/>
      </c>
      <c r="S807">
        <f>IFERROR(O807/N807,0)</f>
        <v/>
      </c>
      <c r="T807" t="n">
        <v>0</v>
      </c>
      <c r="V807" t="n">
        <v>0</v>
      </c>
    </row>
    <row r="808">
      <c r="A808">
        <f>Skills!A19</f>
        <v/>
      </c>
      <c r="B808">
        <f>Skills!B19</f>
        <v/>
      </c>
      <c r="C808">
        <f>TRUE</f>
        <v/>
      </c>
      <c r="D808">
        <f>IF(Skills!C19=1,60+Inputs!$B$25+Inputs!$B$29,IF(Skills!C19=2,90+Inputs!$B$26+Inputs!$B$29,IF(Skills!C19=3,120+(Inputs!$B$27+1)+Inputs!$B$29,MAX(0,(Inputs!$B$3-100)*3)+Inputs!$B$28+Inputs!$B$29)))</f>
        <v/>
      </c>
      <c r="E808">
        <f>INDEX(FactorTable!$B$2:$Y$301, MATCH(ROUND(MIN(300,MAX(1,D808)),0), FactorTable!$A$2:$A$301,0), Skills!M19+1)</f>
        <v/>
      </c>
      <c r="F808">
        <f>IF(Skills!N19=TRUE,(Skills!L19/10)*(E808/1000),Skills!L19/10)+Skills!O19</f>
        <v/>
      </c>
      <c r="G808">
        <f>Skills!G19*IF(Skills!H19&gt;0,Skills!I19/Skills!H19,1)</f>
        <v/>
      </c>
      <c r="H808">
        <f>1-(1-Skills!J19/100)^Skills!K19</f>
        <v/>
      </c>
      <c r="I808" t="inlineStr">
        <is>
          <t>1</t>
        </is>
      </c>
      <c r="J808" t="inlineStr"/>
      <c r="K808" t="inlineStr"/>
      <c r="L808" t="inlineStr"/>
      <c r="M808" t="inlineStr"/>
      <c r="N808" t="inlineStr"/>
      <c r="O808">
        <f>(1-Summary!$B$55)*T808+Summary!$B$55*V808</f>
        <v/>
      </c>
      <c r="P808">
        <f>IF(B828=0,0,O808/B828)</f>
        <v/>
      </c>
      <c r="Q808">
        <f>IFERROR(1/IF(Inputs!$B$38="pvp",15,MAX(0.1,Skills!D19-IF(Skills!E19=TRUE,Inputs!$B$32,0))),0)</f>
        <v/>
      </c>
      <c r="R808">
        <f>IF(AND(Inputs!$B$38&lt;&gt;"pvp",Inputs!$B$43&gt;0),IF(Inputs!$B$43&lt;=0,0,(INT(Inputs!$B$43/IF(Inputs!$B$38="pvp",15,MAX(0.1,Skills!D19-IF(Skills!E19=TRUE,Inputs!$B$32,0))))+1)),0)</f>
        <v/>
      </c>
      <c r="S808">
        <f>IFERROR(O808/N808,0)</f>
        <v/>
      </c>
      <c r="T808" t="n">
        <v>0</v>
      </c>
      <c r="V808" t="n">
        <v>0</v>
      </c>
    </row>
    <row r="809">
      <c r="A809">
        <f>Skills!A20</f>
        <v/>
      </c>
      <c r="B809">
        <f>Skills!B20</f>
        <v/>
      </c>
      <c r="C809">
        <f>Inputs!$B$3&gt;=33</f>
        <v/>
      </c>
      <c r="D809">
        <f>IF(Skills!C20=1,60+Inputs!$B$25+Inputs!$B$29,IF(Skills!C20=2,90+Inputs!$B$26+Inputs!$B$29,IF(Skills!C20=3,120+(Inputs!$B$27+1)+Inputs!$B$29,MAX(0,(Inputs!$B$3-100)*3)+Inputs!$B$28+Inputs!$B$29)))</f>
        <v/>
      </c>
      <c r="E809">
        <f>INDEX(FactorTable!$B$2:$Y$301, MATCH(ROUND(MIN(300,MAX(1,D809)),0), FactorTable!$A$2:$A$301,0), Skills!M20+1)</f>
        <v/>
      </c>
      <c r="F809">
        <f>IF(Skills!N20=TRUE,(Skills!L20/10)*(E809/1000),Skills!L20/10)+Skills!O20</f>
        <v/>
      </c>
      <c r="G809">
        <f>Skills!G20*IF(Skills!H20&gt;0,Skills!I20/Skills!H20,1)</f>
        <v/>
      </c>
      <c r="H809">
        <f>1-(1-Skills!J20/100)^Skills!K20</f>
        <v/>
      </c>
      <c r="I809" t="inlineStr">
        <is>
          <t>1</t>
        </is>
      </c>
      <c r="J809" t="inlineStr"/>
      <c r="K809" t="inlineStr"/>
      <c r="L809" t="inlineStr"/>
      <c r="M809" t="inlineStr"/>
      <c r="N809" t="inlineStr"/>
      <c r="O809">
        <f>(1-Summary!$B$55)*T809+Summary!$B$55*V809</f>
        <v/>
      </c>
      <c r="P809">
        <f>IF(B828=0,0,O809/B828)</f>
        <v/>
      </c>
      <c r="Q809" t="n">
        <v>0</v>
      </c>
      <c r="R809" t="n">
        <v>0</v>
      </c>
      <c r="S809">
        <f>IFERROR(O809/N809,0)</f>
        <v/>
      </c>
      <c r="T809" t="n">
        <v>0</v>
      </c>
      <c r="V809" t="n">
        <v>0</v>
      </c>
    </row>
    <row r="810">
      <c r="A810">
        <f>Skills!A21</f>
        <v/>
      </c>
      <c r="B810">
        <f>Skills!B21</f>
        <v/>
      </c>
      <c r="C810">
        <f>Inputs!$B$3&gt;=38</f>
        <v/>
      </c>
      <c r="D810">
        <f>IF(Skills!C21=1,60+Inputs!$B$25+Inputs!$B$29,IF(Skills!C21=2,90+Inputs!$B$26+Inputs!$B$29,IF(Skills!C21=3,120+(Inputs!$B$27+1)+Inputs!$B$29,MAX(0,(Inputs!$B$3-100)*3)+Inputs!$B$28+Inputs!$B$29)))</f>
        <v/>
      </c>
      <c r="E810">
        <f>INDEX(FactorTable!$B$2:$Y$301, MATCH(ROUND(MIN(300,MAX(1,D810)),0), FactorTable!$A$2:$A$301,0), Skills!M21+1)</f>
        <v/>
      </c>
      <c r="F810">
        <f>IF(Skills!N21=TRUE,(Skills!L21/10)*(E810/1000),Skills!L21/10)+Skills!O21</f>
        <v/>
      </c>
      <c r="G810">
        <f>Skills!G21*IF(Skills!H21&gt;0,Skills!I21/Skills!H21,1)</f>
        <v/>
      </c>
      <c r="H810">
        <f>1-(1-Skills!J21/100)^Skills!K21</f>
        <v/>
      </c>
      <c r="I810" t="inlineStr">
        <is>
          <t>1</t>
        </is>
      </c>
      <c r="J810" t="inlineStr"/>
      <c r="K810" t="inlineStr"/>
      <c r="L810" t="inlineStr"/>
      <c r="M810" t="inlineStr"/>
      <c r="N810" t="inlineStr"/>
      <c r="O810">
        <f>(1-Summary!$B$55)*T810+Summary!$B$55*V810</f>
        <v/>
      </c>
      <c r="P810">
        <f>IF(B828=0,0,O810/B828)</f>
        <v/>
      </c>
      <c r="Q810" t="n">
        <v>0</v>
      </c>
      <c r="R810" t="n">
        <v>0</v>
      </c>
      <c r="S810">
        <f>IFERROR(O810/N810,0)</f>
        <v/>
      </c>
      <c r="T810" t="n">
        <v>0</v>
      </c>
      <c r="V810" t="n">
        <v>0</v>
      </c>
    </row>
    <row r="811">
      <c r="A811">
        <f>Skills!A22</f>
        <v/>
      </c>
      <c r="B811">
        <f>Skills!B22</f>
        <v/>
      </c>
      <c r="C811">
        <f>Inputs!$B$3&gt;=43</f>
        <v/>
      </c>
      <c r="D811">
        <f>IF(Skills!C22=1,60+Inputs!$B$25+Inputs!$B$29,IF(Skills!C22=2,90+Inputs!$B$26+Inputs!$B$29,IF(Skills!C22=3,120+(Inputs!$B$27+1)+Inputs!$B$29,MAX(0,(Inputs!$B$3-100)*3)+Inputs!$B$28+Inputs!$B$29)))</f>
        <v/>
      </c>
      <c r="E811">
        <f>INDEX(FactorTable!$B$2:$Y$301, MATCH(ROUND(MIN(300,MAX(1,D811)),0), FactorTable!$A$2:$A$301,0), Skills!M22+1)</f>
        <v/>
      </c>
      <c r="F811">
        <f>IF(Skills!N22=TRUE,(Skills!L22/10)*(E811/1000),Skills!L22/10)+Skills!O22</f>
        <v/>
      </c>
      <c r="G811">
        <f>Skills!G22*IF(Skills!H22&gt;0,Skills!I22/Skills!H22,1)</f>
        <v/>
      </c>
      <c r="H811">
        <f>1-(1-Skills!J22/100)^Skills!K22</f>
        <v/>
      </c>
      <c r="I811" t="inlineStr">
        <is>
          <t>1</t>
        </is>
      </c>
      <c r="J811" t="inlineStr"/>
      <c r="K811" t="inlineStr"/>
      <c r="L811" t="inlineStr"/>
      <c r="M811" t="inlineStr"/>
      <c r="N811" t="inlineStr"/>
      <c r="O811">
        <f>(1-Summary!$B$55)*T811+Summary!$B$55*V811</f>
        <v/>
      </c>
      <c r="P811">
        <f>IF(B828=0,0,O811/B828)</f>
        <v/>
      </c>
      <c r="Q811" t="n">
        <v>0</v>
      </c>
      <c r="R811" t="n">
        <v>0</v>
      </c>
      <c r="S811">
        <f>IFERROR(O811/N811,0)</f>
        <v/>
      </c>
      <c r="T811" t="n">
        <v>0</v>
      </c>
      <c r="V811" t="n">
        <v>0</v>
      </c>
    </row>
    <row r="812">
      <c r="A812">
        <f>Skills!A23</f>
        <v/>
      </c>
      <c r="B812">
        <f>Skills!B23</f>
        <v/>
      </c>
      <c r="C812">
        <f>Inputs!$B$3&gt;=120</f>
        <v/>
      </c>
      <c r="D812">
        <f>IF(Skills!C23=1,60+Inputs!$B$25+Inputs!$B$29,IF(Skills!C23=2,90+Inputs!$B$26+Inputs!$B$29,IF(Skills!C23=3,120+(Inputs!$B$27+1)+Inputs!$B$29,MAX(0,(Inputs!$B$3-100)*3)+Inputs!$B$28+Inputs!$B$29)))</f>
        <v/>
      </c>
      <c r="E812">
        <f>INDEX(FactorTable!$B$2:$Y$301, MATCH(ROUND(MIN(300,MAX(1,D812)),0), FactorTable!$A$2:$A$301,0), Skills!M23+1)</f>
        <v/>
      </c>
      <c r="F812">
        <f>IF(Skills!N23=TRUE,(Skills!L23/10)*(E812/1000),Skills!L23/10)+Skills!O23</f>
        <v/>
      </c>
      <c r="G812">
        <f>Skills!G23*IF(Skills!H23&gt;0,Skills!I23/Skills!H23,1)</f>
        <v/>
      </c>
      <c r="H812">
        <f>1-(1-Skills!J23/100)^Skills!K23</f>
        <v/>
      </c>
      <c r="I812" t="inlineStr">
        <is>
          <t>1</t>
        </is>
      </c>
      <c r="J812" t="inlineStr"/>
      <c r="K812" t="inlineStr"/>
      <c r="L812" t="inlineStr"/>
      <c r="M812" t="inlineStr"/>
      <c r="N812" t="inlineStr"/>
      <c r="O812">
        <f>(1-Summary!$B$55)*T812+Summary!$B$55*V812</f>
        <v/>
      </c>
      <c r="P812">
        <f>IF(B828=0,0,O812/B828)</f>
        <v/>
      </c>
      <c r="Q812" t="n">
        <v>0</v>
      </c>
      <c r="R812" t="n">
        <v>0</v>
      </c>
      <c r="S812">
        <f>IFERROR(O812/N812,0)</f>
        <v/>
      </c>
      <c r="T812" t="n">
        <v>0</v>
      </c>
      <c r="V812" t="n">
        <v>0</v>
      </c>
    </row>
    <row r="813">
      <c r="A813">
        <f>Skills!A24</f>
        <v/>
      </c>
      <c r="B813">
        <f>Skills!B24</f>
        <v/>
      </c>
      <c r="C813">
        <f>Inputs!$B$3&gt;=120</f>
        <v/>
      </c>
      <c r="D813">
        <f>IF(Skills!C24=1,60+Inputs!$B$25+Inputs!$B$29,IF(Skills!C24=2,90+Inputs!$B$26+Inputs!$B$29,IF(Skills!C24=3,120+(Inputs!$B$27+1)+Inputs!$B$29,MAX(0,(Inputs!$B$3-100)*3)+Inputs!$B$28+Inputs!$B$29)))</f>
        <v/>
      </c>
      <c r="E813">
        <f>INDEX(FactorTable!$B$2:$Y$301, MATCH(ROUND(MIN(300,MAX(1,D813)),0), FactorTable!$A$2:$A$301,0), Skills!M24+1)</f>
        <v/>
      </c>
      <c r="F813">
        <f>IF(Skills!N24=TRUE,(Skills!L24/10)*(E813/1000),Skills!L24/10)+Skills!O24</f>
        <v/>
      </c>
      <c r="G813">
        <f>Skills!G24*IF(Skills!H24&gt;0,Skills!I24/Skills!H24,1)</f>
        <v/>
      </c>
      <c r="H813">
        <f>1-(1-Skills!J24/100)^Skills!K24</f>
        <v/>
      </c>
      <c r="I813" t="inlineStr">
        <is>
          <t>1</t>
        </is>
      </c>
      <c r="J813" t="inlineStr"/>
      <c r="K813" t="inlineStr"/>
      <c r="L813" t="inlineStr"/>
      <c r="M813" t="inlineStr"/>
      <c r="N813" t="inlineStr"/>
      <c r="O813">
        <f>(1-Summary!$B$55)*T813+Summary!$B$55*V813</f>
        <v/>
      </c>
      <c r="P813">
        <f>IF(B828=0,0,O813/B828)</f>
        <v/>
      </c>
      <c r="Q813" t="n">
        <v>0</v>
      </c>
      <c r="R813" t="n">
        <v>0</v>
      </c>
      <c r="S813">
        <f>IFERROR(O813/N813,0)</f>
        <v/>
      </c>
      <c r="T813" t="n">
        <v>0</v>
      </c>
      <c r="V813" t="n">
        <v>0</v>
      </c>
    </row>
    <row r="814">
      <c r="A814">
        <f>Skills!A25</f>
        <v/>
      </c>
      <c r="B814">
        <f>Skills!B25</f>
        <v/>
      </c>
      <c r="C814">
        <f>Inputs!$B$3&gt;=125</f>
        <v/>
      </c>
      <c r="D814">
        <f>IF(Skills!C25=1,60+Inputs!$B$25+Inputs!$B$29,IF(Skills!C25=2,90+Inputs!$B$26+Inputs!$B$29,IF(Skills!C25=3,120+(Inputs!$B$27+1)+Inputs!$B$29,MAX(0,(Inputs!$B$3-100)*3)+Inputs!$B$28+Inputs!$B$29)))</f>
        <v/>
      </c>
      <c r="E814">
        <f>INDEX(FactorTable!$B$2:$Y$301, MATCH(ROUND(MIN(300,MAX(1,D814)),0), FactorTable!$A$2:$A$301,0), Skills!M25+1)</f>
        <v/>
      </c>
      <c r="F814">
        <f>IF(Skills!N25=TRUE,(Skills!L25/10)*(E814/1000),Skills!L25/10)+Skills!O25</f>
        <v/>
      </c>
      <c r="G814">
        <f>Skills!G25*IF(Skills!H25&gt;0,Skills!I25/Skills!H25,1)</f>
        <v/>
      </c>
      <c r="H814">
        <f>1-(1-Skills!J25/100)^Skills!K25</f>
        <v/>
      </c>
      <c r="I814" t="inlineStr">
        <is>
          <t>1</t>
        </is>
      </c>
      <c r="J814" t="inlineStr"/>
      <c r="K814" t="inlineStr"/>
      <c r="L814" t="inlineStr"/>
      <c r="M814" t="inlineStr"/>
      <c r="N814" t="inlineStr"/>
      <c r="O814">
        <f>(1-Summary!$B$55)*T814+Summary!$B$55*V814</f>
        <v/>
      </c>
      <c r="P814">
        <f>IF(B828=0,0,O814/B828)</f>
        <v/>
      </c>
      <c r="Q814" t="n">
        <v>0</v>
      </c>
      <c r="R814" t="n">
        <v>0</v>
      </c>
      <c r="S814">
        <f>IFERROR(O814/N814,0)</f>
        <v/>
      </c>
      <c r="T814" t="n">
        <v>0</v>
      </c>
      <c r="V814" t="n">
        <v>0</v>
      </c>
    </row>
    <row r="815">
      <c r="A815">
        <f>Skills!A26</f>
        <v/>
      </c>
      <c r="B815">
        <f>Skills!B26</f>
        <v/>
      </c>
      <c r="C815">
        <f>Inputs!$B$3&gt;=72</f>
        <v/>
      </c>
      <c r="D815">
        <f>IF(Skills!C26=1,60+Inputs!$B$25+Inputs!$B$29,IF(Skills!C26=2,90+Inputs!$B$26+Inputs!$B$29,IF(Skills!C26=3,120+(Inputs!$B$27+1)+Inputs!$B$29,MAX(0,(Inputs!$B$3-100)*3)+Inputs!$B$28+Inputs!$B$29)))</f>
        <v/>
      </c>
      <c r="E815">
        <f>INDEX(FactorTable!$B$2:$Y$301, MATCH(ROUND(MIN(300,MAX(1,D815)),0), FactorTable!$A$2:$A$301,0), Skills!M26+1)</f>
        <v/>
      </c>
      <c r="F815">
        <f>IF(Skills!N26=TRUE,(Skills!L26/10)*(E815/1000),Skills!L26/10)+Skills!O26</f>
        <v/>
      </c>
      <c r="G815">
        <f>Skills!G26*IF(Skills!H26&gt;0,Skills!I26/Skills!H26,1)</f>
        <v/>
      </c>
      <c r="H815">
        <f>1-(1-Skills!J26/100)^Skills!K26</f>
        <v/>
      </c>
      <c r="I815" t="inlineStr">
        <is>
          <t>1</t>
        </is>
      </c>
      <c r="J815" t="inlineStr"/>
      <c r="K815" t="inlineStr"/>
      <c r="L815" t="inlineStr"/>
      <c r="M815" t="inlineStr"/>
      <c r="N815" t="inlineStr"/>
      <c r="O815">
        <f>(1-Summary!$B$55)*T815+Summary!$B$55*V815</f>
        <v/>
      </c>
      <c r="P815">
        <f>IF(B828=0,0,O815/B828)</f>
        <v/>
      </c>
      <c r="Q815" t="n">
        <v>0</v>
      </c>
      <c r="R815" t="n">
        <v>0</v>
      </c>
      <c r="S815">
        <f>IFERROR(O815/N815,0)</f>
        <v/>
      </c>
      <c r="T815" t="n">
        <v>0</v>
      </c>
      <c r="V815" t="n">
        <v>0</v>
      </c>
    </row>
    <row r="817">
      <c r="A817" t="inlineStr">
        <is>
          <t>Attack% Bucket Multiplier</t>
        </is>
      </c>
      <c r="B817">
        <f>(1+(((C802=TRUE)*F802*IF(Inputs!$B$3&gt;=110,7,5))+((C804=TRUE)*F804*IF(AND(Inputs!$B$38&lt;&gt;"pvp",Inputs!$B$43&gt;0),(((R804-1)*(Skills!T15*(1+Inputs!$B$34/100))+MIN((Skills!T15*(1+Inputs!$B$34/100)),MAX(0,Inputs!$B$43-((R804-1)*Skills!D15))))/Inputs!$B$43),IF(Inputs!$B$38="pvp",MIN((Skills!T15*(1+Inputs!$B$34/100)),15)/15,(Skills!T15*(1+Inputs!$B$34/100))/Skills!D15)))+0)/100)</f>
        <v/>
      </c>
    </row>
    <row r="818">
      <c r="A818" t="inlineStr">
        <is>
          <t>Global Crit Rate Bonus %</t>
        </is>
      </c>
      <c r="B818" t="n">
        <v>0</v>
      </c>
    </row>
    <row r="819">
      <c r="A819" t="inlineStr">
        <is>
          <t>Attack Speed Buff Bonus %</t>
        </is>
      </c>
      <c r="B819">
        <f>((C808=TRUE)*F808*IF(AND(Inputs!$B$38&lt;&gt;"pvp",Inputs!$B$43&gt;0),(((R808-1)*(Skills!T19*(1+Inputs!$B$34/100))+MIN((Skills!T19*(1+Inputs!$B$34/100)),MAX(0,Inputs!$B$43-((R808-1)*Skills!D19))))/Inputs!$B$43),IF(Inputs!$B$38="pvp",MIN((Skills!T19*(1+Inputs!$B$34/100)),15)/15,(Skills!T19*(1+Inputs!$B$34/100))/Skills!D19)))</f>
        <v/>
      </c>
    </row>
    <row r="820">
      <c r="A820" t="inlineStr">
        <is>
          <t>Actions Per Second</t>
        </is>
      </c>
      <c r="B820">
        <f>1+MIN(150,150*(1-(1-(Inputs!$B$11+((C809=TRUE)*(F809-Calc!F20)))/150)*(1-B819/150)))/100</f>
        <v/>
      </c>
    </row>
    <row r="821">
      <c r="A821" t="inlineStr">
        <is>
          <t>Skill + Buff Cast Rate</t>
        </is>
      </c>
      <c r="B821">
        <f>IF(AND(Inputs!$B$38&lt;&gt;"pvp",Inputs!$B$43&gt;0),SUMPRODUCT((Skills!E2:E26=TRUE)*(C791:C815=TRUE)*R791:R815*Skills!F2:F26)/Inputs!$B$43,SUMPRODUCT((Skills!E2:E26=TRUE)*(C791:C815=TRUE)*Q791:Q815*Skills!F2:F26))</f>
        <v/>
      </c>
    </row>
    <row r="822">
      <c r="A822" t="inlineStr">
        <is>
          <t>Raging Blow Casts Per Second</t>
        </is>
      </c>
      <c r="B822">
        <f>MAX(0,B820-B821)</f>
        <v/>
      </c>
    </row>
    <row r="823">
      <c r="A823" t="inlineStr">
        <is>
          <t>Global Critical Damage Bonus % (Enrage)</t>
        </is>
      </c>
      <c r="B823">
        <f>((C807=TRUE)*F807*IF(AND(Inputs!$B$38&lt;&gt;"pvp",Inputs!$B$43&gt;0),(((R807-1)*(Skills!T18*(1+Inputs!$B$34/100))+MIN((Skills!T18*(1+Inputs!$B$34/100)),MAX(0,Inputs!$B$43-((R807-1)*Skills!D18))))/Inputs!$B$43),IF(Inputs!$B$38="pvp",MIN((Skills!T18*(1+Inputs!$B$34/100)),15)/15,(Skills!T18*(1+Inputs!$B$34/100))/Skills!D18)))</f>
        <v/>
      </c>
    </row>
    <row r="824">
      <c r="A824" t="inlineStr">
        <is>
          <t>Global Final Damage Bonus % (Enrage + Combo Synergy)</t>
        </is>
      </c>
      <c r="B824">
        <f>((C806=TRUE)*F806*IF(AND(Inputs!$B$38&lt;&gt;"pvp",Inputs!$B$43&gt;0),(((R806-1)*(Skills!T17*(1+Inputs!$B$34/100))+MIN((Skills!T17*(1+Inputs!$B$34/100)),MAX(0,Inputs!$B$43-((R806-1)*Skills!D17))))/Inputs!$B$43),IF(Inputs!$B$38="pvp",MIN((Skills!T17*(1+Inputs!$B$34/100)),15)/15,(Skills!T17*(1+Inputs!$B$34/100))/Skills!D17)))+((C803=TRUE)*F803*IF(Inputs!$B$3&gt;=110,7,5))</f>
        <v/>
      </c>
    </row>
    <row r="825">
      <c r="A825" t="inlineStr">
        <is>
          <t>Buff-Casting Startup Delay (s, fixed-duration only)</t>
        </is>
      </c>
      <c r="B825">
        <f>IF(AND(Inputs!$B$38&lt;&gt;"pvp",Inputs!$B$43&gt;0),SUMPRODUCT((Skills!T2:T26&gt;0)*(Skills!E2:E26=TRUE)*(C791:C815=TRUE))/B820,0)</f>
        <v/>
      </c>
    </row>
    <row r="826">
      <c r="A826" t="inlineStr">
        <is>
          <t>Boss-Only Total DPS (this block's swept value)</t>
        </is>
      </c>
      <c r="B826">
        <f>SUM(T791:T815)</f>
        <v/>
      </c>
    </row>
    <row r="827">
      <c r="A827" t="inlineStr">
        <is>
          <t>Normal-Only Total DPS (this block's swept value)</t>
        </is>
      </c>
      <c r="B827">
        <f>SUM(V791:V815)</f>
        <v/>
      </c>
    </row>
    <row r="828">
      <c r="A828" s="5" t="inlineStr">
        <is>
          <t>TOTAL DPS</t>
        </is>
      </c>
      <c r="B828" s="5">
        <f>SUM(O791:O815)</f>
        <v/>
      </c>
    </row>
    <row r="831">
      <c r="A831" s="5" t="inlineStr">
        <is>
          <t>Stat: Skill Level Bonus — 4th Job</t>
        </is>
      </c>
    </row>
    <row r="832">
      <c r="A832" s="9" t="inlineStr">
        <is>
          <t>Key</t>
        </is>
      </c>
      <c r="B832" s="9" t="inlineStr">
        <is>
          <t>Name</t>
        </is>
      </c>
      <c r="C832" s="9" t="inlineStr">
        <is>
          <t>Unlocked</t>
        </is>
      </c>
      <c r="D832" s="9" t="inlineStr">
        <is>
          <t>InputLevel</t>
        </is>
      </c>
      <c r="E832" s="9" t="inlineStr">
        <is>
          <t>Factor</t>
        </is>
      </c>
      <c r="F832" s="9" t="inlineStr">
        <is>
          <t>CoefficientPercent</t>
        </is>
      </c>
      <c r="G832" s="9" t="inlineStr">
        <is>
          <t>EffectiveHits</t>
        </is>
      </c>
      <c r="H832" s="9" t="inlineStr">
        <is>
          <t>ProcProbability</t>
        </is>
      </c>
      <c r="I832" s="9" t="inlineStr">
        <is>
          <t>MapleHeroMultiplier</t>
        </is>
      </c>
      <c r="J832" s="9" t="inlineStr">
        <is>
          <t>BaseDamage</t>
        </is>
      </c>
      <c r="K832" s="9" t="inlineStr">
        <is>
          <t>BaseHitDamage</t>
        </is>
      </c>
      <c r="L832" s="9" t="inlineStr">
        <is>
          <t>NonCritAvg</t>
        </is>
      </c>
      <c r="M832" s="9" t="inlineStr">
        <is>
          <t>CritAvg</t>
        </is>
      </c>
      <c r="N832" s="9" t="inlineStr">
        <is>
          <t>ExpectedDamage(perHit)</t>
        </is>
      </c>
      <c r="O832" s="9" t="inlineStr">
        <is>
          <t>DPS</t>
        </is>
      </c>
      <c r="P832" s="9" t="inlineStr">
        <is>
          <t>% of Total</t>
        </is>
      </c>
      <c r="Q832" s="9" t="inlineStr">
        <is>
          <t>InvCooldown</t>
        </is>
      </c>
      <c r="R832" s="9" t="inlineStr">
        <is>
          <t>CastsInFight</t>
        </is>
      </c>
      <c r="S832" s="9" t="inlineStr">
        <is>
          <t>HitRate(perSec)</t>
        </is>
      </c>
      <c r="U832" t="inlineStr">
        <is>
          <t>helpers</t>
        </is>
      </c>
    </row>
    <row r="833">
      <c r="A833">
        <f>Skills!A2</f>
        <v/>
      </c>
      <c r="B833">
        <f>Skills!B2</f>
        <v/>
      </c>
      <c r="C833">
        <f>Inputs!$B$3&gt;=100</f>
        <v/>
      </c>
      <c r="D833" t="inlineStr"/>
      <c r="E833" t="inlineStr"/>
      <c r="F833">
        <f>U835+Skills!O2</f>
        <v/>
      </c>
      <c r="G833">
        <f>Skills!G2*IF(Skills!H2&gt;0,Skills!I2/Skills!H2,1)</f>
        <v/>
      </c>
      <c r="H833">
        <f>1-(1-Skills!J2/100)^Skills!K2</f>
        <v/>
      </c>
      <c r="I833" t="inlineStr">
        <is>
          <t>1</t>
        </is>
      </c>
      <c r="J833">
        <f>((Inputs!$B$6*(1+Inputs!$B$7/100))+(((Inputs!$B$12*(1+Inputs!$B$13/100))-(Inputs!$B$12*(1+Inputs!$B$13/100)))+0.25*(Inputs!$B$14-Inputs!$B$14))*(1+Inputs!$B$7/100))*(F833/100)</f>
        <v/>
      </c>
      <c r="K833">
        <f>J833*(1+((Inputs!$B$12*(1+Inputs!$B$13/100))*0.01+Inputs!$B$14*0.0025)/100)*(1+Inputs!$B$15/100)*(1+Inputs!$B$16/100)*(5000/(6000+Inputs!$B$42*(1-(Inputs!$B$19+0)/100)))*(1+(Inputs!$B$24+((C856=TRUE)*(F856-Calc!F25))+B866)/100)*(1+IF(Skills!A2="ENHANCED_RAGING_BLOW",IF(Inputs!$B$3&gt;=134,MAX(0,IF(Inputs!$B$3&gt;=110,7,5)-5)*50,0),0)/100)*(1+(IF(Skills!A2="RAGING_BLOW",Inputs!$B$17+((C852=TRUE)*(F852-Calc!F21)),Inputs!$B$18+((C854=TRUE)*(F854-Calc!F23))))/100)*((1+(((C844=TRUE)*F844*IF(Inputs!$B$3&gt;=110,7,5))+((C846=TRUE)*F846*IF(AND(Inputs!$B$38&lt;&gt;"pvp",Inputs!$B$43&gt;0),(((R846-1)*(Skills!T15*(1+Inputs!$B$34/100))+MIN((Skills!T15*(1+Inputs!$B$34/100)),MAX(0,Inputs!$B$43-((R846-1)*Skills!D15))))/Inputs!$B$43),IF(Inputs!$B$38="pvp",MIN((Skills!T15*(1+Inputs!$B$34/100)),15)/15,(Skills!T15*(1+Inputs!$B$34/100))/Skills!D15)))+0)/100)*I833)</f>
        <v/>
      </c>
      <c r="L833">
        <f>K833*(MIN(Inputs!$B$22+((C853=TRUE)*(F853-Calc!F22)),Inputs!$B$23+((C855=TRUE)*(F855-Calc!F24)))/100+(Inputs!$B$23+((C855=TRUE)*(F855-Calc!F24)))/100)/2</f>
        <v/>
      </c>
      <c r="M833">
        <f>L833*(1+(Inputs!$B$10+0+B865)/100)</f>
        <v/>
      </c>
      <c r="N833">
        <f>L833*(1-MIN((Inputs!$B$9+((C857=TRUE)*(F857-Calc!F26))+B860),100)/100)+M833*(MIN((Inputs!$B$9+((C857=TRUE)*(F857-Calc!F26))+B860),100)/100)</f>
        <v/>
      </c>
      <c r="O833">
        <f>(1-Summary!$B$55)*T833+Summary!$B$55*V833</f>
        <v/>
      </c>
      <c r="P833">
        <f>IF(B870=0,0,O833/B870)</f>
        <v/>
      </c>
      <c r="Q833" t="n">
        <v>0</v>
      </c>
      <c r="R833" t="n">
        <v>0</v>
      </c>
      <c r="S833">
        <f>IFERROR(O833/N833,0)</f>
        <v/>
      </c>
      <c r="T833">
        <f>IF(C833,(Skills!G2*N833*B864)*IF(Inputs!$B$38="pvp",1,1+(Inputs!$B$20+0+Skills!P2+Summary!$B$59)/100),0)</f>
        <v/>
      </c>
      <c r="U833">
        <f>MAX(0,(Inputs!$B$3-100)*3)+(Inputs!$B$28+1)+Inputs!$B$29</f>
        <v/>
      </c>
      <c r="V833">
        <f>IF(C833,(Skills!G2*N833*B864)*IF(Inputs!$B$38="pvp",1,(1+(Inputs!$B$21+Skills!Q2+Summary!$B$59)/100)*(MIN((6+Inputs!$B$33),Inputs!$B$37))),0)</f>
        <v/>
      </c>
    </row>
    <row r="834">
      <c r="A834">
        <f>Skills!A3</f>
        <v/>
      </c>
      <c r="B834">
        <f>Skills!B3</f>
        <v/>
      </c>
      <c r="C834">
        <f>Inputs!$B$3&gt;=50</f>
        <v/>
      </c>
      <c r="D834">
        <f>IF(Skills!C3=1,60+Inputs!$B$25+Inputs!$B$29,IF(Skills!C3=2,90+Inputs!$B$26+Inputs!$B$29,IF(Skills!C3=3,120+Inputs!$B$27+Inputs!$B$29,MAX(0,(Inputs!$B$3-100)*3)+(Inputs!$B$28+1)+Inputs!$B$29)))</f>
        <v/>
      </c>
      <c r="E834">
        <f>INDEX(FactorTable!$B$2:$Y$301, MATCH(ROUND(MIN(300,MAX(1,D834)),0), FactorTable!$A$2:$A$301,0), Skills!M3+1)</f>
        <v/>
      </c>
      <c r="F834">
        <f>IF(Skills!N3=TRUE,(Skills!L3/10)*(E834/1000),Skills!L3/10)+Skills!O3</f>
        <v/>
      </c>
      <c r="G834" t="inlineStr"/>
      <c r="H834" t="inlineStr"/>
      <c r="I834" t="inlineStr">
        <is>
          <t>1</t>
        </is>
      </c>
      <c r="J834" t="inlineStr"/>
      <c r="K834" t="inlineStr"/>
      <c r="L834" t="inlineStr"/>
      <c r="M834" t="inlineStr"/>
      <c r="N834" t="inlineStr"/>
      <c r="O834" t="inlineStr"/>
      <c r="P834" t="inlineStr"/>
      <c r="Q834" t="inlineStr"/>
      <c r="R834" t="inlineStr"/>
      <c r="S834" t="inlineStr"/>
      <c r="U834">
        <f>INDEX(FactorTable!$B$2:$Y$301, MATCH(ROUND(MIN(300,MAX(1,U833)),0), FactorTable!$A$2:$A$301,0), 22)</f>
        <v/>
      </c>
    </row>
    <row r="835">
      <c r="A835">
        <f>Skills!A4</f>
        <v/>
      </c>
      <c r="B835">
        <f>Skills!B4</f>
        <v/>
      </c>
      <c r="C835">
        <f>Inputs!$B$3&gt;=105</f>
        <v/>
      </c>
      <c r="D835">
        <f>IF(Skills!C4=1,60+Inputs!$B$25+Inputs!$B$29,IF(Skills!C4=2,90+Inputs!$B$26+Inputs!$B$29,IF(Skills!C4=3,120+Inputs!$B$27+Inputs!$B$29,MAX(0,(Inputs!$B$3-100)*3)+(Inputs!$B$28+1)+Inputs!$B$29)))</f>
        <v/>
      </c>
      <c r="E835">
        <f>INDEX(FactorTable!$B$2:$Y$301, MATCH(ROUND(MIN(300,MAX(1,D835)),0), FactorTable!$A$2:$A$301,0), Skills!M4+1)</f>
        <v/>
      </c>
      <c r="F835">
        <f>IF(Skills!N4=TRUE,(Skills!L4/10)*(E835/1000),Skills!L4/10)+Skills!O4</f>
        <v/>
      </c>
      <c r="G835" t="inlineStr"/>
      <c r="H835" t="inlineStr"/>
      <c r="I835" t="inlineStr">
        <is>
          <t>1</t>
        </is>
      </c>
      <c r="J835" t="inlineStr"/>
      <c r="K835" t="inlineStr"/>
      <c r="L835" t="inlineStr"/>
      <c r="M835" t="inlineStr"/>
      <c r="N835" t="inlineStr"/>
      <c r="O835" t="inlineStr"/>
      <c r="P835" t="inlineStr"/>
      <c r="Q835" t="inlineStr"/>
      <c r="R835" t="inlineStr"/>
      <c r="S835" t="inlineStr"/>
      <c r="U835">
        <f>290*U834/1000</f>
        <v/>
      </c>
    </row>
    <row r="836">
      <c r="A836">
        <f>Skills!A5</f>
        <v/>
      </c>
      <c r="B836">
        <f>Skills!B5</f>
        <v/>
      </c>
      <c r="C836">
        <f>Inputs!$B$3&gt;=103</f>
        <v/>
      </c>
      <c r="D836">
        <f>IF(Skills!C5=1,60+Inputs!$B$25+Inputs!$B$29,IF(Skills!C5=2,90+Inputs!$B$26+Inputs!$B$29,IF(Skills!C5=3,120+Inputs!$B$27+Inputs!$B$29,MAX(0,(Inputs!$B$3-100)*3)+(Inputs!$B$28+1)+Inputs!$B$29)))</f>
        <v/>
      </c>
      <c r="E836">
        <f>INDEX(FactorTable!$B$2:$Y$301, MATCH(ROUND(MIN(300,MAX(1,D836)),0), FactorTable!$A$2:$A$301,0), Skills!M5+1)</f>
        <v/>
      </c>
      <c r="F836">
        <f>IF(Skills!N5=TRUE,(Skills!L5/10)*(E836/1000),Skills!L5/10)+Skills!O5</f>
        <v/>
      </c>
      <c r="G836">
        <f>Skills!G5*IF(Skills!H5&gt;0,Skills!I5/Skills!H5,1)</f>
        <v/>
      </c>
      <c r="H836">
        <f>1-(1-Skills!J5/100)^Skills!K5</f>
        <v/>
      </c>
      <c r="I836" t="inlineStr">
        <is>
          <t>1</t>
        </is>
      </c>
      <c r="J836">
        <f>((Inputs!$B$6*(1+Inputs!$B$7/100))+(((Inputs!$B$12*(1+Inputs!$B$13/100))-(Inputs!$B$12*(1+Inputs!$B$13/100)))+0.25*(Inputs!$B$14-Inputs!$B$14))*(1+Inputs!$B$7/100))*(F836/100)</f>
        <v/>
      </c>
      <c r="K836">
        <f>J836*(1+((Inputs!$B$12*(1+Inputs!$B$13/100))*0.01+Inputs!$B$14*0.0025)/100)*(1+Inputs!$B$15/100)*(1+Inputs!$B$16/100)*(5000/(6000+Inputs!$B$42*(1-(Inputs!$B$19+0)/100)))*(1+(Inputs!$B$24+((C856=TRUE)*(F856-Calc!F25))+B866)/100)*(1+IF(Skills!A5="ENHANCED_RAGING_BLOW",IF(Inputs!$B$3&gt;=134,MAX(0,IF(Inputs!$B$3&gt;=110,7,5)-5)*50,0),0)/100)*(1+(IF(Skills!A5="RAGING_BLOW",Inputs!$B$17+((C852=TRUE)*(F852-Calc!F21)),Inputs!$B$18+((C854=TRUE)*(F854-Calc!F23))))/100)*((1+(((C844=TRUE)*F844*IF(Inputs!$B$3&gt;=110,7,5))+((C846=TRUE)*F846*IF(AND(Inputs!$B$38&lt;&gt;"pvp",Inputs!$B$43&gt;0),(((R846-1)*(Skills!T15*(1+Inputs!$B$34/100))+MIN((Skills!T15*(1+Inputs!$B$34/100)),MAX(0,Inputs!$B$43-((R846-1)*Skills!D15))))/Inputs!$B$43),IF(Inputs!$B$38="pvp",MIN((Skills!T15*(1+Inputs!$B$34/100)),15)/15,(Skills!T15*(1+Inputs!$B$34/100))/Skills!D15)))+0)/100)*I836)</f>
        <v/>
      </c>
      <c r="L836">
        <f>K836*(MIN(Inputs!$B$22+((C853=TRUE)*(F853-Calc!F22)),Inputs!$B$23+((C855=TRUE)*(F855-Calc!F24)))/100+(Inputs!$B$23+((C855=TRUE)*(F855-Calc!F24)))/100)/2</f>
        <v/>
      </c>
      <c r="M836">
        <f>L836*(1+(Inputs!$B$10+0+B865)/100)</f>
        <v/>
      </c>
      <c r="N836">
        <f>L836*(1-MIN((Inputs!$B$9+((C857=TRUE)*(F857-Calc!F26))+B860),100)/100)+M836*(MIN((Inputs!$B$9+((C857=TRUE)*(F857-Calc!F26))+B860),100)/100)</f>
        <v/>
      </c>
      <c r="O836">
        <f>(1-Summary!$B$55)*T836+Summary!$B$55*V836</f>
        <v/>
      </c>
      <c r="P836">
        <f>IF(B870=0,0,O836/B870)</f>
        <v/>
      </c>
      <c r="Q836">
        <f>IFERROR(1/IF(Inputs!$B$38="pvp",15,MAX(0.1,Skills!D5-IF(Skills!E5=TRUE,Inputs!$B$32,0))),0)</f>
        <v/>
      </c>
      <c r="R836">
        <f>IF(AND(Inputs!$B$38&lt;&gt;"pvp",Inputs!$B$43&gt;0),IF(MAX(0,Inputs!$B$43-B867)&lt;=0,0,(INT(MAX(0,Inputs!$B$43-B867)/IF(Inputs!$B$38="pvp",15,MAX(0.1,Skills!D5-IF(Skills!E5=TRUE,Inputs!$B$32,0))))+1)),0)</f>
        <v/>
      </c>
      <c r="S836">
        <f>IFERROR(O836/N836,0)</f>
        <v/>
      </c>
      <c r="T836">
        <f>IF(C836,(H836*N836*IF(AND(Inputs!$B$38&lt;&gt;"pvp",Inputs!$B$43&gt;0),((Skills!G5*((R836-1)*IF(Skills!H5&gt;0,Skills!I5/Skills!H5,1)+IF(Skills!H5&gt;0,MIN(Skills!I5,MAX(0,MAX(0,Inputs!$B$43-B867)-((R836-1)*IF(Inputs!$B$38="pvp",15,MAX(0.1,Skills!D5-IF(Skills!E5=TRUE,Inputs!$B$32,0))))))/Skills!H5,1)))/Inputs!$B$43),G836*Q836))*IF(Inputs!$B$38="pvp",1,1+(Inputs!$B$20+0+Skills!P5+Summary!$B$59)/100),0)</f>
        <v/>
      </c>
      <c r="V836">
        <f>IF(C836,(H836*N836*IF(AND(Inputs!$B$38&lt;&gt;"pvp",Inputs!$B$43&gt;0),((Skills!G5*((R836-1)*IF(Skills!H5&gt;0,Skills!I5/Skills!H5,1)+IF(Skills!H5&gt;0,MIN(Skills!I5,MAX(0,MAX(0,Inputs!$B$43-B867)-((R836-1)*IF(Inputs!$B$38="pvp",15,MAX(0.1,Skills!D5-IF(Skills!E5=TRUE,Inputs!$B$32,0))))))/Skills!H5,1)))/Inputs!$B$43),G836*Q836))*IF(Inputs!$B$38="pvp",1,(1+(Inputs!$B$21+Skills!Q5+Summary!$B$59)/100)*(MIN(Skills!R5,Inputs!$B$37))),0)</f>
        <v/>
      </c>
    </row>
    <row r="837">
      <c r="A837">
        <f>Skills!A6</f>
        <v/>
      </c>
      <c r="B837">
        <f>Skills!B6</f>
        <v/>
      </c>
      <c r="C837">
        <f>Inputs!$B$3&gt;=103</f>
        <v/>
      </c>
      <c r="D837">
        <f>IF(Skills!C6=1,60+Inputs!$B$25+Inputs!$B$29,IF(Skills!C6=2,90+Inputs!$B$26+Inputs!$B$29,IF(Skills!C6=3,120+Inputs!$B$27+Inputs!$B$29,MAX(0,(Inputs!$B$3-100)*3)+(Inputs!$B$28+1)+Inputs!$B$29)))</f>
        <v/>
      </c>
      <c r="E837">
        <f>INDEX(FactorTable!$B$2:$Y$301, MATCH(ROUND(MIN(300,MAX(1,D837)),0), FactorTable!$A$2:$A$301,0), Skills!M6+1)</f>
        <v/>
      </c>
      <c r="F837">
        <f>IF(Skills!N6=TRUE,(Skills!L6/10)*(E837/1000),Skills!L6/10)+Skills!O6</f>
        <v/>
      </c>
      <c r="G837">
        <f>Skills!G6*IF(Skills!H6&gt;0,Skills!I6/Skills!H6,1)</f>
        <v/>
      </c>
      <c r="H837">
        <f>1-(1-Skills!J6/100)^Skills!K6</f>
        <v/>
      </c>
      <c r="I837" t="inlineStr">
        <is>
          <t>1</t>
        </is>
      </c>
      <c r="J837">
        <f>((Inputs!$B$6*(1+Inputs!$B$7/100))+(((Inputs!$B$12*(1+Inputs!$B$13/100))-(Inputs!$B$12*(1+Inputs!$B$13/100)))+0.25*(Inputs!$B$14-Inputs!$B$14))*(1+Inputs!$B$7/100))*(F837/100)</f>
        <v/>
      </c>
      <c r="K837">
        <f>J837*(1+((Inputs!$B$12*(1+Inputs!$B$13/100))*0.01+Inputs!$B$14*0.0025)/100)*(1+Inputs!$B$15/100)*(1+Inputs!$B$16/100)*(5000/(6000+Inputs!$B$42*(1-(Inputs!$B$19+0)/100)))*(1+(Inputs!$B$24+((C856=TRUE)*(F856-Calc!F25))+B866)/100)*(1+IF(Skills!A6="ENHANCED_RAGING_BLOW",IF(Inputs!$B$3&gt;=134,MAX(0,IF(Inputs!$B$3&gt;=110,7,5)-5)*50,0),0)/100)*(1+(IF(Skills!A6="RAGING_BLOW",Inputs!$B$17+((C852=TRUE)*(F852-Calc!F21)),Inputs!$B$18+((C854=TRUE)*(F854-Calc!F23))))/100)*((1+(((C844=TRUE)*F844*IF(Inputs!$B$3&gt;=110,7,5))+((C846=TRUE)*F846*IF(AND(Inputs!$B$38&lt;&gt;"pvp",Inputs!$B$43&gt;0),(((R846-1)*(Skills!T15*(1+Inputs!$B$34/100))+MIN((Skills!T15*(1+Inputs!$B$34/100)),MAX(0,Inputs!$B$43-((R846-1)*Skills!D15))))/Inputs!$B$43),IF(Inputs!$B$38="pvp",MIN((Skills!T15*(1+Inputs!$B$34/100)),15)/15,(Skills!T15*(1+Inputs!$B$34/100))/Skills!D15)))+0)/100)*I837)</f>
        <v/>
      </c>
      <c r="L837">
        <f>K837*(MIN(Inputs!$B$22+((C853=TRUE)*(F853-Calc!F22)),Inputs!$B$23+((C855=TRUE)*(F855-Calc!F24)))/100+(Inputs!$B$23+((C855=TRUE)*(F855-Calc!F24)))/100)/2</f>
        <v/>
      </c>
      <c r="M837">
        <f>L837*(1+(Inputs!$B$10+0+B865)/100)</f>
        <v/>
      </c>
      <c r="N837">
        <f>L837*(1-MIN((Inputs!$B$9+((C857=TRUE)*(F857-Calc!F26))+B860),100)/100)+M837*(MIN((Inputs!$B$9+((C857=TRUE)*(F857-Calc!F26))+B860),100)/100)</f>
        <v/>
      </c>
      <c r="O837">
        <f>(1-Summary!$B$55)*T837+Summary!$B$55*V837</f>
        <v/>
      </c>
      <c r="P837">
        <f>IF(B870=0,0,O837/B870)</f>
        <v/>
      </c>
      <c r="Q837">
        <f>IFERROR(1/IF(Inputs!$B$38="pvp",15,MAX(0.1,Skills!D6-IF(Skills!E6=TRUE,Inputs!$B$32,0))),0)</f>
        <v/>
      </c>
      <c r="R837">
        <f>IF(AND(Inputs!$B$38&lt;&gt;"pvp",Inputs!$B$43&gt;0),IF(MAX(0,Inputs!$B$43-B867)&lt;=0,0,(INT(MAX(0,Inputs!$B$43-B867)/IF(Inputs!$B$38="pvp",15,MAX(0.1,Skills!D6-IF(Skills!E6=TRUE,Inputs!$B$32,0))))+1)),0)</f>
        <v/>
      </c>
      <c r="S837">
        <f>IFERROR(O837/N837,0)</f>
        <v/>
      </c>
      <c r="T837">
        <f>IF(C837,(H837*N837*IF(AND(Inputs!$B$38&lt;&gt;"pvp",Inputs!$B$43&gt;0),((Skills!G6*((R837-1)*IF(Skills!H6&gt;0,Skills!I6/Skills!H6,1)+IF(Skills!H6&gt;0,MIN(Skills!I6,MAX(0,MAX(0,Inputs!$B$43-B867)-((R837-1)*IF(Inputs!$B$38="pvp",15,MAX(0.1,Skills!D6-IF(Skills!E6=TRUE,Inputs!$B$32,0))))))/Skills!H6,1)))/Inputs!$B$43),G837*Q837))*IF(Inputs!$B$38="pvp",1,1+(Inputs!$B$20+0+Skills!P6+Summary!$B$59)/100),0)</f>
        <v/>
      </c>
      <c r="V837">
        <f>IF(C837,(H837*N837*IF(AND(Inputs!$B$38&lt;&gt;"pvp",Inputs!$B$43&gt;0),((Skills!G6*((R837-1)*IF(Skills!H6&gt;0,Skills!I6/Skills!H6,1)+IF(Skills!H6&gt;0,MIN(Skills!I6,MAX(0,MAX(0,Inputs!$B$43-B867)-((R837-1)*IF(Inputs!$B$38="pvp",15,MAX(0.1,Skills!D6-IF(Skills!E6=TRUE,Inputs!$B$32,0))))))/Skills!H6,1)))/Inputs!$B$43),G837*Q837))*IF(Inputs!$B$38="pvp",1,(1+(Inputs!$B$21+Skills!Q6+Summary!$B$59)/100)*(MIN(Skills!R6,Inputs!$B$37))),0)</f>
        <v/>
      </c>
    </row>
    <row r="838">
      <c r="A838">
        <f>Skills!A7</f>
        <v/>
      </c>
      <c r="B838">
        <f>Skills!B7</f>
        <v/>
      </c>
      <c r="C838">
        <f>Inputs!$B$3&gt;=107</f>
        <v/>
      </c>
      <c r="D838">
        <f>IF(Skills!C7=1,60+Inputs!$B$25+Inputs!$B$29,IF(Skills!C7=2,90+Inputs!$B$26+Inputs!$B$29,IF(Skills!C7=3,120+Inputs!$B$27+Inputs!$B$29,MAX(0,(Inputs!$B$3-100)*3)+(Inputs!$B$28+1)+Inputs!$B$29)))</f>
        <v/>
      </c>
      <c r="E838">
        <f>INDEX(FactorTable!$B$2:$Y$301, MATCH(ROUND(MIN(300,MAX(1,D838)),0), FactorTable!$A$2:$A$301,0), Skills!M7+1)</f>
        <v/>
      </c>
      <c r="F838">
        <f>IF(Skills!N7=TRUE,(Skills!L7/10)*(E838/1000),Skills!L7/10)+Skills!O7</f>
        <v/>
      </c>
      <c r="G838">
        <f>Skills!G7*IF(Skills!H7&gt;0,Skills!I7/Skills!H7,1)</f>
        <v/>
      </c>
      <c r="H838">
        <f>1-(1-Skills!J7/100)^Skills!K7</f>
        <v/>
      </c>
      <c r="I838" t="inlineStr">
        <is>
          <t>1</t>
        </is>
      </c>
      <c r="J838">
        <f>((Inputs!$B$6*(1+Inputs!$B$7/100))+(((Inputs!$B$12*(1+Inputs!$B$13/100))-(Inputs!$B$12*(1+Inputs!$B$13/100)))+0.25*(Inputs!$B$14-Inputs!$B$14))*(1+Inputs!$B$7/100))*(F838/100)</f>
        <v/>
      </c>
      <c r="K838">
        <f>J838*(1+((Inputs!$B$12*(1+Inputs!$B$13/100))*0.01+Inputs!$B$14*0.0025)/100)*(1+Inputs!$B$15/100)*(1+Inputs!$B$16/100)*(5000/(6000+Inputs!$B$42*(1-(Inputs!$B$19+0)/100)))*(1+(Inputs!$B$24+((C856=TRUE)*(F856-Calc!F25))+B866)/100)*(1+IF(Skills!A7="ENHANCED_RAGING_BLOW",IF(Inputs!$B$3&gt;=134,MAX(0,IF(Inputs!$B$3&gt;=110,7,5)-5)*50,0),0)/100)*(1+(IF(Skills!A7="RAGING_BLOW",Inputs!$B$17+((C852=TRUE)*(F852-Calc!F21)),Inputs!$B$18+((C854=TRUE)*(F854-Calc!F23))))/100)*((1+(((C844=TRUE)*F844*IF(Inputs!$B$3&gt;=110,7,5))+((C846=TRUE)*F846*IF(AND(Inputs!$B$38&lt;&gt;"pvp",Inputs!$B$43&gt;0),(((R846-1)*(Skills!T15*(1+Inputs!$B$34/100))+MIN((Skills!T15*(1+Inputs!$B$34/100)),MAX(0,Inputs!$B$43-((R846-1)*Skills!D15))))/Inputs!$B$43),IF(Inputs!$B$38="pvp",MIN((Skills!T15*(1+Inputs!$B$34/100)),15)/15,(Skills!T15*(1+Inputs!$B$34/100))/Skills!D15)))+0)/100)*I838)</f>
        <v/>
      </c>
      <c r="L838">
        <f>K838*(MIN(Inputs!$B$22+((C853=TRUE)*(F853-Calc!F22)),Inputs!$B$23+((C855=TRUE)*(F855-Calc!F24)))/100+(Inputs!$B$23+((C855=TRUE)*(F855-Calc!F24)))/100)/2</f>
        <v/>
      </c>
      <c r="M838">
        <f>L838*(1+(Inputs!$B$10+0+B865)/100)</f>
        <v/>
      </c>
      <c r="N838">
        <f>L838*(1-MIN((Inputs!$B$9+((C857=TRUE)*(F857-Calc!F26))+B860),100)/100)+M838*(MIN((Inputs!$B$9+((C857=TRUE)*(F857-Calc!F26))+B860),100)/100)</f>
        <v/>
      </c>
      <c r="O838">
        <f>(1-Summary!$B$55)*T838+Summary!$B$55*V838</f>
        <v/>
      </c>
      <c r="P838">
        <f>IF(B870=0,0,O838/B870)</f>
        <v/>
      </c>
      <c r="Q838">
        <f>IFERROR(1/IF(Inputs!$B$38="pvp",15,MAX(0.1,Skills!D7-IF(Skills!E7=TRUE,Inputs!$B$32,0))),0)</f>
        <v/>
      </c>
      <c r="R838">
        <f>IF(AND(Inputs!$B$38&lt;&gt;"pvp",Inputs!$B$43&gt;0),IF(MAX(0,Inputs!$B$43-B867)&lt;=0,0,(INT(MAX(0,Inputs!$B$43-B867)/IF(Inputs!$B$38="pvp",15,MAX(0.1,Skills!D7-IF(Skills!E7=TRUE,Inputs!$B$32,0))))+1)),0)</f>
        <v/>
      </c>
      <c r="S838">
        <f>IFERROR(O838/N838,0)</f>
        <v/>
      </c>
      <c r="T838">
        <f>IF(C838,(H838*N838*IF(AND(Inputs!$B$38&lt;&gt;"pvp",Inputs!$B$43&gt;0),((Skills!G7*((R838-1)*IF(Skills!H7&gt;0,Skills!I7/Skills!H7,1)+IF(Skills!H7&gt;0,MIN(Skills!I7,MAX(0,MAX(0,Inputs!$B$43-B867)-((R838-1)*IF(Inputs!$B$38="pvp",15,MAX(0.1,Skills!D7-IF(Skills!E7=TRUE,Inputs!$B$32,0))))))/Skills!H7,1)))/Inputs!$B$43),G838*Q838))*IF(Inputs!$B$38="pvp",1,1+(Inputs!$B$20+0+Skills!P7+Summary!$B$59)/100),0)</f>
        <v/>
      </c>
      <c r="V838">
        <f>IF(C838,(H838*N838*IF(AND(Inputs!$B$38&lt;&gt;"pvp",Inputs!$B$43&gt;0),((Skills!G7*((R838-1)*IF(Skills!H7&gt;0,Skills!I7/Skills!H7,1)+IF(Skills!H7&gt;0,MIN(Skills!I7,MAX(0,MAX(0,Inputs!$B$43-B867)-((R838-1)*IF(Inputs!$B$38="pvp",15,MAX(0.1,Skills!D7-IF(Skills!E7=TRUE,Inputs!$B$32,0))))))/Skills!H7,1)))/Inputs!$B$43),G838*Q838))*IF(Inputs!$B$38="pvp",1,(1+(Inputs!$B$21+Skills!Q7+Summary!$B$59)/100)*(MIN(Skills!R7,Inputs!$B$37))),0)</f>
        <v/>
      </c>
    </row>
    <row r="839">
      <c r="A839">
        <f>Skills!A8</f>
        <v/>
      </c>
      <c r="B839">
        <f>Skills!B8</f>
        <v/>
      </c>
      <c r="C839">
        <f>Inputs!$B$3&gt;=117</f>
        <v/>
      </c>
      <c r="D839">
        <f>IF(Skills!C8=1,60+Inputs!$B$25+Inputs!$B$29,IF(Skills!C8=2,90+Inputs!$B$26+Inputs!$B$29,IF(Skills!C8=3,120+Inputs!$B$27+Inputs!$B$29,MAX(0,(Inputs!$B$3-100)*3)+(Inputs!$B$28+1)+Inputs!$B$29)))</f>
        <v/>
      </c>
      <c r="E839">
        <f>INDEX(FactorTable!$B$2:$Y$301, MATCH(ROUND(MIN(300,MAX(1,D839)),0), FactorTable!$A$2:$A$301,0), Skills!M8+1)</f>
        <v/>
      </c>
      <c r="F839">
        <f>IF(Skills!N8=TRUE,(Skills!L8/10)*(E839/1000),Skills!L8/10)+Skills!O8</f>
        <v/>
      </c>
      <c r="G839">
        <f>Skills!G8*IF(Skills!H8&gt;0,Skills!I8/Skills!H8,1)</f>
        <v/>
      </c>
      <c r="H839">
        <f>1-(1-Skills!J8/100)^Skills!K8</f>
        <v/>
      </c>
      <c r="I839" t="inlineStr">
        <is>
          <t>1</t>
        </is>
      </c>
      <c r="J839">
        <f>((Inputs!$B$6*(1+Inputs!$B$7/100))+(((Inputs!$B$12*(1+Inputs!$B$13/100))-(Inputs!$B$12*(1+Inputs!$B$13/100)))+0.25*(Inputs!$B$14-Inputs!$B$14))*(1+Inputs!$B$7/100))*(F839/100)</f>
        <v/>
      </c>
      <c r="K839">
        <f>J839*(1+((Inputs!$B$12*(1+Inputs!$B$13/100))*0.01+Inputs!$B$14*0.0025)/100)*(1+Inputs!$B$15/100)*(1+Inputs!$B$16/100)*(5000/(6000+Inputs!$B$42*(1-(Inputs!$B$19+0)/100)))*(1+(Inputs!$B$24+((C856=TRUE)*(F856-Calc!F25))+B866)/100)*(1+IF(Skills!A8="ENHANCED_RAGING_BLOW",IF(Inputs!$B$3&gt;=134,MAX(0,IF(Inputs!$B$3&gt;=110,7,5)-5)*50,0),0)/100)*(1+(IF(Skills!A8="RAGING_BLOW",Inputs!$B$17+((C852=TRUE)*(F852-Calc!F21)),Inputs!$B$18+((C854=TRUE)*(F854-Calc!F23))))/100)*((1+(((C844=TRUE)*F844*IF(Inputs!$B$3&gt;=110,7,5))+((C846=TRUE)*F846*IF(AND(Inputs!$B$38&lt;&gt;"pvp",Inputs!$B$43&gt;0),(((R846-1)*(Skills!T15*(1+Inputs!$B$34/100))+MIN((Skills!T15*(1+Inputs!$B$34/100)),MAX(0,Inputs!$B$43-((R846-1)*Skills!D15))))/Inputs!$B$43),IF(Inputs!$B$38="pvp",MIN((Skills!T15*(1+Inputs!$B$34/100)),15)/15,(Skills!T15*(1+Inputs!$B$34/100))/Skills!D15)))+0)/100)*I839)</f>
        <v/>
      </c>
      <c r="L839">
        <f>K839*(MIN(Inputs!$B$22+((C853=TRUE)*(F853-Calc!F22)),Inputs!$B$23+((C855=TRUE)*(F855-Calc!F24)))/100+(Inputs!$B$23+((C855=TRUE)*(F855-Calc!F24)))/100)/2</f>
        <v/>
      </c>
      <c r="M839">
        <f>L839*(1+(Inputs!$B$10+0+B865)/100)</f>
        <v/>
      </c>
      <c r="N839">
        <f>L839*(1-MIN((Inputs!$B$9+((C857=TRUE)*(F857-Calc!F26))+B860),100)/100)+M839*(MIN((Inputs!$B$9+((C857=TRUE)*(F857-Calc!F26))+B860),100)/100)</f>
        <v/>
      </c>
      <c r="O839">
        <f>(1-Summary!$B$55)*T839+Summary!$B$55*V839</f>
        <v/>
      </c>
      <c r="P839">
        <f>IF(B870=0,0,O839/B870)</f>
        <v/>
      </c>
      <c r="Q839">
        <f>IFERROR(1/IF(Inputs!$B$38="pvp",15,MAX(0.1,Skills!D8-IF(Skills!E8=TRUE,Inputs!$B$32,0))),0)</f>
        <v/>
      </c>
      <c r="R839">
        <f>IF(AND(Inputs!$B$38&lt;&gt;"pvp",Inputs!$B$43&gt;0),IF(MAX(0,Inputs!$B$43-B867)&lt;=0,0,(INT(MAX(0,Inputs!$B$43-B867)/IF(Inputs!$B$38="pvp",15,MAX(0.1,Skills!D8-IF(Skills!E8=TRUE,Inputs!$B$32,0))))+1)),0)</f>
        <v/>
      </c>
      <c r="S839">
        <f>IFERROR(O839/N839,0)</f>
        <v/>
      </c>
      <c r="T839">
        <f>IF(C839,(H839*N839*IF(AND(Inputs!$B$38&lt;&gt;"pvp",Inputs!$B$43&gt;0),((Skills!G8*((R839-1)*IF(Skills!H8&gt;0,Skills!I8/Skills!H8,1)+IF(Skills!H8&gt;0,MIN(Skills!I8,MAX(0,MAX(0,Inputs!$B$43-B867)-((R839-1)*IF(Inputs!$B$38="pvp",15,MAX(0.1,Skills!D8-IF(Skills!E8=TRUE,Inputs!$B$32,0))))))/Skills!H8,1)))/Inputs!$B$43),G839*Q839))*IF(Inputs!$B$38="pvp",1,1+(Inputs!$B$20+0+Skills!P8+Summary!$B$59)/100),0)</f>
        <v/>
      </c>
      <c r="V839">
        <f>IF(C839,(H839*N839*IF(AND(Inputs!$B$38&lt;&gt;"pvp",Inputs!$B$43&gt;0),((Skills!G8*((R839-1)*IF(Skills!H8&gt;0,Skills!I8/Skills!H8,1)+IF(Skills!H8&gt;0,MIN(Skills!I8,MAX(0,MAX(0,Inputs!$B$43-B867)-((R839-1)*IF(Inputs!$B$38="pvp",15,MAX(0.1,Skills!D8-IF(Skills!E8=TRUE,Inputs!$B$32,0))))))/Skills!H8,1)))/Inputs!$B$43),G839*Q839))*IF(Inputs!$B$38="pvp",1,(1+(Inputs!$B$21+Skills!Q8+Summary!$B$59)/100)*(MIN(Skills!R8,Inputs!$B$37))),0)</f>
        <v/>
      </c>
    </row>
    <row r="840">
      <c r="A840">
        <f>Skills!A9</f>
        <v/>
      </c>
      <c r="B840">
        <f>Skills!B9</f>
        <v/>
      </c>
      <c r="C840">
        <f>Inputs!$B$3&gt;=69</f>
        <v/>
      </c>
      <c r="D840">
        <f>IF(Skills!C9=1,60+Inputs!$B$25+Inputs!$B$29,IF(Skills!C9=2,90+Inputs!$B$26+Inputs!$B$29,IF(Skills!C9=3,120+Inputs!$B$27+Inputs!$B$29,MAX(0,(Inputs!$B$3-100)*3)+(Inputs!$B$28+1)+Inputs!$B$29)))</f>
        <v/>
      </c>
      <c r="E840">
        <f>INDEX(FactorTable!$B$2:$Y$301, MATCH(ROUND(MIN(300,MAX(1,D840)),0), FactorTable!$A$2:$A$301,0), Skills!M9+1)</f>
        <v/>
      </c>
      <c r="F840">
        <f>IF(Skills!N9=TRUE,(Skills!L9/10)*(E840/1000),Skills!L9/10)+Skills!O9</f>
        <v/>
      </c>
      <c r="G840">
        <f>Skills!G9*IF(Skills!H9&gt;0,Skills!I9/Skills!H9,1)</f>
        <v/>
      </c>
      <c r="H840">
        <f>1-(1-Skills!J9/100)^Skills!K9</f>
        <v/>
      </c>
      <c r="I840" t="inlineStr">
        <is>
          <t>1</t>
        </is>
      </c>
      <c r="J840">
        <f>((Inputs!$B$6*(1+Inputs!$B$7/100))+(((Inputs!$B$12*(1+Inputs!$B$13/100))-(Inputs!$B$12*(1+Inputs!$B$13/100)))+0.25*(Inputs!$B$14-Inputs!$B$14))*(1+Inputs!$B$7/100))*(F840/100)</f>
        <v/>
      </c>
      <c r="K840">
        <f>J840*(1+((Inputs!$B$12*(1+Inputs!$B$13/100))*0.01+Inputs!$B$14*0.0025)/100)*(1+Inputs!$B$15/100)*(1+Inputs!$B$16/100)*(5000/(6000+Inputs!$B$42*(1-(Inputs!$B$19+0)/100)))*(1+(Inputs!$B$24+((C856=TRUE)*(F856-Calc!F25))+B866)/100)*(1+1.0*IF(C843=TRUE,F843,0)/100)*(1+IF(Skills!A9="ENHANCED_RAGING_BLOW",IF(Inputs!$B$3&gt;=134,MAX(0,IF(Inputs!$B$3&gt;=110,7,5)-5)*50,0),0)/100)*(1+(IF(Skills!A9="RAGING_BLOW",Inputs!$B$17+((C852=TRUE)*(F852-Calc!F21)),Inputs!$B$18+((C854=TRUE)*(F854-Calc!F23))))/100)*((1+(((C844=TRUE)*F844*IF(Inputs!$B$3&gt;=110,7,5))+((C846=TRUE)*F846*IF(AND(Inputs!$B$38&lt;&gt;"pvp",Inputs!$B$43&gt;0),(((R846-1)*(Skills!T15*(1+Inputs!$B$34/100))+MIN((Skills!T15*(1+Inputs!$B$34/100)),MAX(0,Inputs!$B$43-((R846-1)*Skills!D15))))/Inputs!$B$43),IF(Inputs!$B$38="pvp",MIN((Skills!T15*(1+Inputs!$B$34/100)),15)/15,(Skills!T15*(1+Inputs!$B$34/100))/Skills!D15)))+0)/100)*I840)</f>
        <v/>
      </c>
      <c r="L840">
        <f>K840*(MIN(Inputs!$B$22+((C853=TRUE)*(F853-Calc!F22)),Inputs!$B$23+((C855=TRUE)*(F855-Calc!F24)))/100+(Inputs!$B$23+((C855=TRUE)*(F855-Calc!F24)))/100)/2</f>
        <v/>
      </c>
      <c r="M840">
        <f>L840*(1+(Inputs!$B$10+0+B865)/100)</f>
        <v/>
      </c>
      <c r="N840">
        <f>L840*(1-MIN((Inputs!$B$9+((C857=TRUE)*(F857-Calc!F26))+B860),100)/100)+M840*(MIN((Inputs!$B$9+((C857=TRUE)*(F857-Calc!F26))+B860),100)/100)</f>
        <v/>
      </c>
      <c r="O840">
        <f>(1-Summary!$B$55)*T840+Summary!$B$55*V840</f>
        <v/>
      </c>
      <c r="P840">
        <f>IF(B870=0,0,O840/B870)</f>
        <v/>
      </c>
      <c r="Q840">
        <f>IFERROR(1/IF(Inputs!$B$38="pvp",15,MAX(0.1,Skills!D9-IF(Skills!E9=TRUE,Inputs!$B$32,0))),0)</f>
        <v/>
      </c>
      <c r="R840">
        <f>IF(AND(Inputs!$B$38&lt;&gt;"pvp",Inputs!$B$43&gt;0),IF(MAX(0,Inputs!$B$43-B867)&lt;=0,0,(INT(MAX(0,Inputs!$B$43-B867)/IF(Inputs!$B$38="pvp",15,MAX(0.1,Skills!D9-IF(Skills!E9=TRUE,Inputs!$B$32,0))))+1)),0)</f>
        <v/>
      </c>
      <c r="S840">
        <f>IFERROR(O840/N840,0)</f>
        <v/>
      </c>
      <c r="T840">
        <f>IF(C840,(H840*N840*IF(AND(Inputs!$B$38&lt;&gt;"pvp",Inputs!$B$43&gt;0),((Skills!G9*((R840-1)*IF(Skills!H9&gt;0,Skills!I9/Skills!H9,1)+IF(Skills!H9&gt;0,MIN(Skills!I9,MAX(0,MAX(0,Inputs!$B$43-B867)-((R840-1)*IF(Inputs!$B$38="pvp",15,MAX(0.1,Skills!D9-IF(Skills!E9=TRUE,Inputs!$B$32,0))))))/Skills!H9,1)))/Inputs!$B$43),G840*Q840))*IF(Inputs!$B$38="pvp",1,1+(Inputs!$B$20+0+Skills!P9+Summary!$B$59)/100),0)</f>
        <v/>
      </c>
      <c r="V840">
        <f>IF(C840,(H840*N840*IF(AND(Inputs!$B$38&lt;&gt;"pvp",Inputs!$B$43&gt;0),((Skills!G9*((R840-1)*IF(Skills!H9&gt;0,Skills!I9/Skills!H9,1)+IF(Skills!H9&gt;0,MIN(Skills!I9,MAX(0,MAX(0,Inputs!$B$43-B867)-((R840-1)*IF(Inputs!$B$38="pvp",15,MAX(0.1,Skills!D9-IF(Skills!E9=TRUE,Inputs!$B$32,0))))))/Skills!H9,1)))/Inputs!$B$43),G840*Q840))*IF(Inputs!$B$38="pvp",1,(1+(Inputs!$B$21+Skills!Q9+Summary!$B$59)/100)*(MIN(Skills!R9,Inputs!$B$37))),0)</f>
        <v/>
      </c>
    </row>
    <row r="841">
      <c r="A841">
        <f>Skills!A10</f>
        <v/>
      </c>
      <c r="B841">
        <f>Skills!B10</f>
        <v/>
      </c>
      <c r="C841">
        <f>Inputs!$B$3&gt;=63</f>
        <v/>
      </c>
      <c r="D841">
        <f>IF(Skills!C10=1,60+Inputs!$B$25+Inputs!$B$29,IF(Skills!C10=2,90+Inputs!$B$26+Inputs!$B$29,IF(Skills!C10=3,120+Inputs!$B$27+Inputs!$B$29,MAX(0,(Inputs!$B$3-100)*3)+(Inputs!$B$28+1)+Inputs!$B$29)))</f>
        <v/>
      </c>
      <c r="E841">
        <f>INDEX(FactorTable!$B$2:$Y$301, MATCH(ROUND(MIN(300,MAX(1,D841)),0), FactorTable!$A$2:$A$301,0), Skills!M10+1)</f>
        <v/>
      </c>
      <c r="F841">
        <f>IF(Skills!N10=TRUE,(Skills!L10/10)*(E841/1000),Skills!L10/10)+Skills!O10</f>
        <v/>
      </c>
      <c r="G841">
        <f>Skills!G10*IF(Skills!H10&gt;0,Skills!I10/Skills!H10,1)</f>
        <v/>
      </c>
      <c r="H841">
        <f>1-(1-Skills!J10/100)^Skills!K10</f>
        <v/>
      </c>
      <c r="I841" t="inlineStr">
        <is>
          <t>1</t>
        </is>
      </c>
      <c r="J841">
        <f>((Inputs!$B$6*(1+Inputs!$B$7/100))+(((Inputs!$B$12*(1+Inputs!$B$13/100))-(Inputs!$B$12*(1+Inputs!$B$13/100)))+0.25*(Inputs!$B$14-Inputs!$B$14))*(1+Inputs!$B$7/100))*(F841/100)</f>
        <v/>
      </c>
      <c r="K841">
        <f>J841*(1+((Inputs!$B$12*(1+Inputs!$B$13/100))*0.01+Inputs!$B$14*0.0025)/100)*(1+Inputs!$B$15/100)*(1+Inputs!$B$16/100)*(5000/(6000+Inputs!$B$42*(1-(Inputs!$B$19+0)/100)))*(1+(Inputs!$B$24+((C856=TRUE)*(F856-Calc!F25))+B866)/100)*(1+1.5*IF(C843=TRUE,F843,0)/100)*(1+IF(Skills!A10="ENHANCED_RAGING_BLOW",IF(Inputs!$B$3&gt;=134,MAX(0,IF(Inputs!$B$3&gt;=110,7,5)-5)*50,0),0)/100)*(1+(IF(Skills!A10="RAGING_BLOW",Inputs!$B$17+((C852=TRUE)*(F852-Calc!F21)),Inputs!$B$18+((C854=TRUE)*(F854-Calc!F23))))/100)*((1+(((C844=TRUE)*F844*IF(Inputs!$B$3&gt;=110,7,5))+((C846=TRUE)*F846*IF(AND(Inputs!$B$38&lt;&gt;"pvp",Inputs!$B$43&gt;0),(((R846-1)*(Skills!T15*(1+Inputs!$B$34/100))+MIN((Skills!T15*(1+Inputs!$B$34/100)),MAX(0,Inputs!$B$43-((R846-1)*Skills!D15))))/Inputs!$B$43),IF(Inputs!$B$38="pvp",MIN((Skills!T15*(1+Inputs!$B$34/100)),15)/15,(Skills!T15*(1+Inputs!$B$34/100))/Skills!D15)))+0)/100)*I841)</f>
        <v/>
      </c>
      <c r="L841">
        <f>K841*(MIN(Inputs!$B$22+((C853=TRUE)*(F853-Calc!F22)),Inputs!$B$23+((C855=TRUE)*(F855-Calc!F24)))/100+(Inputs!$B$23+((C855=TRUE)*(F855-Calc!F24)))/100)/2</f>
        <v/>
      </c>
      <c r="M841">
        <f>L841*(1+(Inputs!$B$10+0+B865)/100)</f>
        <v/>
      </c>
      <c r="N841">
        <f>L841*(1-MIN((Inputs!$B$9+((C857=TRUE)*(F857-Calc!F26))+B860),100)/100)+M841*(MIN((Inputs!$B$9+((C857=TRUE)*(F857-Calc!F26))+B860),100)/100)</f>
        <v/>
      </c>
      <c r="O841">
        <f>(1-Summary!$B$55)*T841+Summary!$B$55*V841</f>
        <v/>
      </c>
      <c r="P841">
        <f>IF(B870=0,0,O841/B870)</f>
        <v/>
      </c>
      <c r="Q841">
        <f>IFERROR(1/IF(Inputs!$B$38="pvp",15,MAX(0.1,Skills!D10-IF(Skills!E10=TRUE,Inputs!$B$32,0))),0)</f>
        <v/>
      </c>
      <c r="R841">
        <f>IF(AND(Inputs!$B$38&lt;&gt;"pvp",Inputs!$B$43&gt;0),IF(MAX(0,Inputs!$B$43-B867)&lt;=0,0,(INT(MAX(0,Inputs!$B$43-B867)/IF(Inputs!$B$38="pvp",15,MAX(0.1,Skills!D10-IF(Skills!E10=TRUE,Inputs!$B$32,0))))+1)),0)</f>
        <v/>
      </c>
      <c r="S841">
        <f>IFERROR(O841/N841,0)</f>
        <v/>
      </c>
      <c r="T841">
        <f>IF(C841,(H841*N841*IF(AND(Inputs!$B$38&lt;&gt;"pvp",Inputs!$B$43&gt;0),((Skills!G10*((R841-1)*IF(Skills!H10&gt;0,Skills!I10/Skills!H10,1)+IF(Skills!H10&gt;0,MIN(Skills!I10,MAX(0,MAX(0,Inputs!$B$43-B867)-((R841-1)*IF(Inputs!$B$38="pvp",15,MAX(0.1,Skills!D10-IF(Skills!E10=TRUE,Inputs!$B$32,0))))))/Skills!H10,1)))/Inputs!$B$43),G841*Q841))*IF(Inputs!$B$38="pvp",1,1+(Inputs!$B$20+0+Skills!P10+Summary!$B$59)/100),0)</f>
        <v/>
      </c>
      <c r="V841">
        <f>IF(C841,(H841*N841*IF(AND(Inputs!$B$38&lt;&gt;"pvp",Inputs!$B$43&gt;0),((Skills!G10*((R841-1)*IF(Skills!H10&gt;0,Skills!I10/Skills!H10,1)+IF(Skills!H10&gt;0,MIN(Skills!I10,MAX(0,MAX(0,Inputs!$B$43-B867)-((R841-1)*IF(Inputs!$B$38="pvp",15,MAX(0.1,Skills!D10-IF(Skills!E10=TRUE,Inputs!$B$32,0))))))/Skills!H10,1)))/Inputs!$B$43),G841*Q841))*IF(Inputs!$B$38="pvp",1,(1+(Inputs!$B$21+Skills!Q10+Summary!$B$59)/100)*(MIN(Skills!R10,Inputs!$B$37))),0)</f>
        <v/>
      </c>
    </row>
    <row r="842">
      <c r="A842">
        <f>Skills!A11</f>
        <v/>
      </c>
      <c r="B842">
        <f>Skills!B11</f>
        <v/>
      </c>
      <c r="C842">
        <f>Inputs!$B$3&gt;=35</f>
        <v/>
      </c>
      <c r="D842">
        <f>IF(Skills!C11=1,60+Inputs!$B$25+Inputs!$B$29,IF(Skills!C11=2,90+Inputs!$B$26+Inputs!$B$29,IF(Skills!C11=3,120+Inputs!$B$27+Inputs!$B$29,MAX(0,(Inputs!$B$3-100)*3)+(Inputs!$B$28+1)+Inputs!$B$29)))</f>
        <v/>
      </c>
      <c r="E842">
        <f>INDEX(FactorTable!$B$2:$Y$301, MATCH(ROUND(MIN(300,MAX(1,D842)),0), FactorTable!$A$2:$A$301,0), Skills!M11+1)</f>
        <v/>
      </c>
      <c r="F842">
        <f>IF(Skills!N11=TRUE,(Skills!L11/10)*(E842/1000),Skills!L11/10)+Skills!O11</f>
        <v/>
      </c>
      <c r="G842">
        <f>Skills!G11*IF(Skills!H11&gt;0,Skills!I11/Skills!H11,1)</f>
        <v/>
      </c>
      <c r="H842">
        <f>1-(1-Skills!J11/100)^Skills!K11</f>
        <v/>
      </c>
      <c r="I842" t="inlineStr">
        <is>
          <t>1</t>
        </is>
      </c>
      <c r="J842">
        <f>((Inputs!$B$6*(1+Inputs!$B$7/100))+(((Inputs!$B$12*(1+Inputs!$B$13/100))-(Inputs!$B$12*(1+Inputs!$B$13/100)))+0.25*(Inputs!$B$14-Inputs!$B$14))*(1+Inputs!$B$7/100))*(F842/100)</f>
        <v/>
      </c>
      <c r="K842">
        <f>J842*(1+((Inputs!$B$12*(1+Inputs!$B$13/100))*0.01+Inputs!$B$14*0.0025)/100)*(1+Inputs!$B$15/100)*(1+Inputs!$B$16/100)*(5000/(6000+Inputs!$B$42*(1-(Inputs!$B$19+0)/100)))*(1+(Inputs!$B$24+((C856=TRUE)*(F856-Calc!F25))+B866)/100)*(1+4.0*IF(C843=TRUE,F843,0)/100)*(1+IF(Skills!A11="ENHANCED_RAGING_BLOW",IF(Inputs!$B$3&gt;=134,MAX(0,IF(Inputs!$B$3&gt;=110,7,5)-5)*50,0),0)/100)*(1+(IF(Skills!A11="RAGING_BLOW",Inputs!$B$17+((C852=TRUE)*(F852-Calc!F21)),Inputs!$B$18+((C854=TRUE)*(F854-Calc!F23))))/100)*((1+(((C844=TRUE)*F844*IF(Inputs!$B$3&gt;=110,7,5))+((C846=TRUE)*F846*IF(AND(Inputs!$B$38&lt;&gt;"pvp",Inputs!$B$43&gt;0),(((R846-1)*(Skills!T15*(1+Inputs!$B$34/100))+MIN((Skills!T15*(1+Inputs!$B$34/100)),MAX(0,Inputs!$B$43-((R846-1)*Skills!D15))))/Inputs!$B$43),IF(Inputs!$B$38="pvp",MIN((Skills!T15*(1+Inputs!$B$34/100)),15)/15,(Skills!T15*(1+Inputs!$B$34/100))/Skills!D15)))+0)/100)*I842)</f>
        <v/>
      </c>
      <c r="L842">
        <f>K842*(MIN(Inputs!$B$22+((C853=TRUE)*(F853-Calc!F22)),Inputs!$B$23+((C855=TRUE)*(F855-Calc!F24)))/100+(Inputs!$B$23+((C855=TRUE)*(F855-Calc!F24)))/100)/2</f>
        <v/>
      </c>
      <c r="M842">
        <f>L842*(1+(Inputs!$B$10+0+B865)/100)</f>
        <v/>
      </c>
      <c r="N842">
        <f>L842*(1-MIN((Inputs!$B$9+((C857=TRUE)*(F857-Calc!F26))+B860),100)/100)+M842*(MIN((Inputs!$B$9+((C857=TRUE)*(F857-Calc!F26))+B860),100)/100)</f>
        <v/>
      </c>
      <c r="O842">
        <f>(1-Summary!$B$55)*T842+Summary!$B$55*V842</f>
        <v/>
      </c>
      <c r="P842">
        <f>IF(B870=0,0,O842/B870)</f>
        <v/>
      </c>
      <c r="Q842">
        <f>IFERROR(1/IF(Inputs!$B$38="pvp",15,MAX(0.1,Skills!D11-IF(Skills!E11=TRUE,Inputs!$B$32,0))),0)</f>
        <v/>
      </c>
      <c r="R842">
        <f>IF(AND(Inputs!$B$38&lt;&gt;"pvp",Inputs!$B$43&gt;0),IF(MAX(0,Inputs!$B$43-B867)&lt;=0,0,(INT(MAX(0,Inputs!$B$43-B867)/IF(Inputs!$B$38="pvp",15,MAX(0.1,Skills!D11-IF(Skills!E11=TRUE,Inputs!$B$32,0))))+1)),0)</f>
        <v/>
      </c>
      <c r="S842">
        <f>IFERROR(O842/N842,0)</f>
        <v/>
      </c>
      <c r="T842">
        <f>IF(C842,(H842*N842*IF(AND(Inputs!$B$38&lt;&gt;"pvp",Inputs!$B$43&gt;0),((Skills!G11*((R842-1)*IF(Skills!H11&gt;0,Skills!I11/Skills!H11,1)+IF(Skills!H11&gt;0,MIN(Skills!I11,MAX(0,MAX(0,Inputs!$B$43-B867)-((R842-1)*IF(Inputs!$B$38="pvp",15,MAX(0.1,Skills!D11-IF(Skills!E11=TRUE,Inputs!$B$32,0))))))/Skills!H11,1)))/Inputs!$B$43),G842*Q842))*IF(Inputs!$B$38="pvp",1,1+(Inputs!$B$20+0+Skills!P11+Summary!$B$59)/100),0)</f>
        <v/>
      </c>
      <c r="V842">
        <f>IF(C842,(H842*N842*IF(AND(Inputs!$B$38&lt;&gt;"pvp",Inputs!$B$43&gt;0),((Skills!G11*((R842-1)*IF(Skills!H11&gt;0,Skills!I11/Skills!H11,1)+IF(Skills!H11&gt;0,MIN(Skills!I11,MAX(0,MAX(0,Inputs!$B$43-B867)-((R842-1)*IF(Inputs!$B$38="pvp",15,MAX(0.1,Skills!D11-IF(Skills!E11=TRUE,Inputs!$B$32,0))))))/Skills!H11,1)))/Inputs!$B$43),G842*Q842))*IF(Inputs!$B$38="pvp",1,(1+(Inputs!$B$21+Skills!Q11+Summary!$B$59)/100)*(MIN(Skills!R11,Inputs!$B$37))),0)</f>
        <v/>
      </c>
    </row>
    <row r="843">
      <c r="A843">
        <f>Skills!A12</f>
        <v/>
      </c>
      <c r="B843">
        <f>Skills!B12</f>
        <v/>
      </c>
      <c r="C843">
        <f>Inputs!$B$3&gt;=100</f>
        <v/>
      </c>
      <c r="D843">
        <f>IF(Skills!C12=1,60+Inputs!$B$25+Inputs!$B$29,IF(Skills!C12=2,90+Inputs!$B$26+Inputs!$B$29,IF(Skills!C12=3,120+Inputs!$B$27+Inputs!$B$29,MAX(0,(Inputs!$B$3-100)*3)+(Inputs!$B$28+1)+Inputs!$B$29)))</f>
        <v/>
      </c>
      <c r="E843">
        <f>INDEX(FactorTable!$B$2:$Y$301, MATCH(ROUND(MIN(300,MAX(1,D843)),0), FactorTable!$A$2:$A$301,0), Skills!M12+1)</f>
        <v/>
      </c>
      <c r="F843">
        <f>IF(Skills!N12=TRUE,(Skills!L12/10)*(E843/1000),Skills!L12/10)+Skills!O12</f>
        <v/>
      </c>
      <c r="G843" t="inlineStr"/>
      <c r="H843" t="inlineStr"/>
      <c r="I843" t="inlineStr">
        <is>
          <t>1</t>
        </is>
      </c>
      <c r="J843" t="inlineStr"/>
      <c r="K843" t="inlineStr"/>
      <c r="L843" t="inlineStr"/>
      <c r="M843" t="inlineStr"/>
      <c r="N843" t="inlineStr"/>
      <c r="O843" t="inlineStr"/>
      <c r="P843" t="inlineStr"/>
      <c r="Q843" t="inlineStr"/>
      <c r="R843" t="inlineStr"/>
      <c r="S843" t="inlineStr"/>
    </row>
    <row r="844">
      <c r="A844">
        <f>Skills!A13</f>
        <v/>
      </c>
      <c r="B844">
        <f>Skills!B13</f>
        <v/>
      </c>
      <c r="C844">
        <f>Inputs!$B$3&gt;=45</f>
        <v/>
      </c>
      <c r="D844">
        <f>IF(Skills!C13=1,60+Inputs!$B$25+Inputs!$B$29,IF(Skills!C13=2,90+Inputs!$B$26+Inputs!$B$29,IF(Skills!C13=3,120+Inputs!$B$27+Inputs!$B$29,MAX(0,(Inputs!$B$3-100)*3)+(Inputs!$B$28+1)+Inputs!$B$29)))</f>
        <v/>
      </c>
      <c r="E844">
        <f>INDEX(FactorTable!$B$2:$Y$301, MATCH(ROUND(MIN(300,MAX(1,D844)),0), FactorTable!$A$2:$A$301,0), Skills!M13+1)</f>
        <v/>
      </c>
      <c r="F844">
        <f>IF(Skills!N13=TRUE,(Skills!L13/10)*(E844/1000),Skills!L13/10)+Skills!O13</f>
        <v/>
      </c>
      <c r="G844">
        <f>Skills!G13*IF(Skills!H13&gt;0,Skills!I13/Skills!H13,1)</f>
        <v/>
      </c>
      <c r="H844">
        <f>1-(1-Skills!J13/100)^Skills!K13</f>
        <v/>
      </c>
      <c r="I844" t="inlineStr">
        <is>
          <t>1</t>
        </is>
      </c>
      <c r="J844" t="inlineStr"/>
      <c r="K844" t="inlineStr"/>
      <c r="L844" t="inlineStr"/>
      <c r="M844" t="inlineStr"/>
      <c r="N844" t="inlineStr"/>
      <c r="O844">
        <f>(1-Summary!$B$55)*T844+Summary!$B$55*V844</f>
        <v/>
      </c>
      <c r="P844">
        <f>IF(B870=0,0,O844/B870)</f>
        <v/>
      </c>
      <c r="Q844" t="n">
        <v>0</v>
      </c>
      <c r="R844" t="n">
        <v>0</v>
      </c>
      <c r="S844">
        <f>IFERROR(O844/N844,0)</f>
        <v/>
      </c>
      <c r="T844" t="n">
        <v>0</v>
      </c>
      <c r="V844" t="n">
        <v>0</v>
      </c>
    </row>
    <row r="845">
      <c r="A845">
        <f>Skills!A14</f>
        <v/>
      </c>
      <c r="B845">
        <f>Skills!B14</f>
        <v/>
      </c>
      <c r="C845">
        <f>Inputs!$B$3&gt;=75</f>
        <v/>
      </c>
      <c r="D845">
        <f>IF(Skills!C14=1,60+Inputs!$B$25+Inputs!$B$29,IF(Skills!C14=2,90+Inputs!$B$26+Inputs!$B$29,IF(Skills!C14=3,120+Inputs!$B$27+Inputs!$B$29,MAX(0,(Inputs!$B$3-100)*3)+(Inputs!$B$28+1)+Inputs!$B$29)))</f>
        <v/>
      </c>
      <c r="E845">
        <f>INDEX(FactorTable!$B$2:$Y$301, MATCH(ROUND(MIN(300,MAX(1,D845)),0), FactorTable!$A$2:$A$301,0), Skills!M14+1)</f>
        <v/>
      </c>
      <c r="F845">
        <f>IF(Skills!N14=TRUE,(Skills!L14/10)*(E845/1000),Skills!L14/10)+Skills!O14</f>
        <v/>
      </c>
      <c r="G845">
        <f>Skills!G14*IF(Skills!H14&gt;0,Skills!I14/Skills!H14,1)</f>
        <v/>
      </c>
      <c r="H845">
        <f>1-(1-Skills!J14/100)^Skills!K14</f>
        <v/>
      </c>
      <c r="I845" t="inlineStr">
        <is>
          <t>1</t>
        </is>
      </c>
      <c r="J845" t="inlineStr"/>
      <c r="K845" t="inlineStr"/>
      <c r="L845" t="inlineStr"/>
      <c r="M845" t="inlineStr"/>
      <c r="N845" t="inlineStr"/>
      <c r="O845">
        <f>(1-Summary!$B$55)*T845+Summary!$B$55*V845</f>
        <v/>
      </c>
      <c r="P845">
        <f>IF(B870=0,0,O845/B870)</f>
        <v/>
      </c>
      <c r="Q845" t="n">
        <v>0</v>
      </c>
      <c r="R845" t="n">
        <v>0</v>
      </c>
      <c r="S845">
        <f>IFERROR(O845/N845,0)</f>
        <v/>
      </c>
      <c r="T845" t="n">
        <v>0</v>
      </c>
      <c r="V845" t="n">
        <v>0</v>
      </c>
    </row>
    <row r="846">
      <c r="A846">
        <f>Skills!A15</f>
        <v/>
      </c>
      <c r="B846">
        <f>Skills!B15</f>
        <v/>
      </c>
      <c r="C846">
        <f>Inputs!$B$3&gt;=40</f>
        <v/>
      </c>
      <c r="D846">
        <f>IF(Skills!C15=1,60+Inputs!$B$25+Inputs!$B$29,IF(Skills!C15=2,90+Inputs!$B$26+Inputs!$B$29,IF(Skills!C15=3,120+Inputs!$B$27+Inputs!$B$29,MAX(0,(Inputs!$B$3-100)*3)+(Inputs!$B$28+1)+Inputs!$B$29)))</f>
        <v/>
      </c>
      <c r="E846">
        <f>INDEX(FactorTable!$B$2:$Y$301, MATCH(ROUND(MIN(300,MAX(1,D846)),0), FactorTable!$A$2:$A$301,0), Skills!M15+1)</f>
        <v/>
      </c>
      <c r="F846">
        <f>IF(Skills!N15=TRUE,(Skills!L15/10)*(E846/1000),Skills!L15/10)+Skills!O15</f>
        <v/>
      </c>
      <c r="G846">
        <f>Skills!G15*IF(Skills!H15&gt;0,Skills!I15/Skills!H15,1)</f>
        <v/>
      </c>
      <c r="H846">
        <f>1-(1-Skills!J15/100)^Skills!K15</f>
        <v/>
      </c>
      <c r="I846" t="inlineStr">
        <is>
          <t>1</t>
        </is>
      </c>
      <c r="J846" t="inlineStr"/>
      <c r="K846" t="inlineStr"/>
      <c r="L846" t="inlineStr"/>
      <c r="M846" t="inlineStr"/>
      <c r="N846" t="inlineStr"/>
      <c r="O846">
        <f>(1-Summary!$B$55)*T846+Summary!$B$55*V846</f>
        <v/>
      </c>
      <c r="P846">
        <f>IF(B870=0,0,O846/B870)</f>
        <v/>
      </c>
      <c r="Q846">
        <f>IFERROR(1/IF(Inputs!$B$38="pvp",15,MAX(0.1,Skills!D15-IF(Skills!E15=TRUE,Inputs!$B$32,0))),0)</f>
        <v/>
      </c>
      <c r="R846">
        <f>IF(AND(Inputs!$B$38&lt;&gt;"pvp",Inputs!$B$43&gt;0),IF(Inputs!$B$43&lt;=0,0,(INT(Inputs!$B$43/IF(Inputs!$B$38="pvp",15,MAX(0.1,Skills!D15-IF(Skills!E15=TRUE,Inputs!$B$32,0))))+1)),0)</f>
        <v/>
      </c>
      <c r="S846">
        <f>IFERROR(O846/N846,0)</f>
        <v/>
      </c>
      <c r="T846" t="n">
        <v>0</v>
      </c>
      <c r="V846" t="n">
        <v>0</v>
      </c>
    </row>
    <row r="847">
      <c r="A847">
        <f>Skills!A16</f>
        <v/>
      </c>
      <c r="B847">
        <f>Skills!B16</f>
        <v/>
      </c>
      <c r="C847">
        <f>Inputs!$B$3&gt;=66</f>
        <v/>
      </c>
      <c r="D847">
        <f>IF(Skills!C16=1,60+Inputs!$B$25+Inputs!$B$29,IF(Skills!C16=2,90+Inputs!$B$26+Inputs!$B$29,IF(Skills!C16=3,120+Inputs!$B$27+Inputs!$B$29,MAX(0,(Inputs!$B$3-100)*3)+(Inputs!$B$28+1)+Inputs!$B$29)))</f>
        <v/>
      </c>
      <c r="E847">
        <f>INDEX(FactorTable!$B$2:$Y$301, MATCH(ROUND(MIN(300,MAX(1,D847)),0), FactorTable!$A$2:$A$301,0), Skills!M16+1)</f>
        <v/>
      </c>
      <c r="F847">
        <f>IF(Skills!N16=TRUE,(Skills!L16/10)*(E847/1000),Skills!L16/10)+Skills!O16</f>
        <v/>
      </c>
      <c r="G847">
        <f>Skills!G16*IF(Skills!H16&gt;0,Skills!I16/Skills!H16,1)</f>
        <v/>
      </c>
      <c r="H847">
        <f>1-(1-Skills!J16/100)^Skills!K16</f>
        <v/>
      </c>
      <c r="I847" t="inlineStr">
        <is>
          <t>1</t>
        </is>
      </c>
      <c r="J847" t="inlineStr"/>
      <c r="K847" t="inlineStr"/>
      <c r="L847" t="inlineStr"/>
      <c r="M847" t="inlineStr"/>
      <c r="N847" t="inlineStr"/>
      <c r="O847">
        <f>(1-Summary!$B$55)*T847+Summary!$B$55*V847</f>
        <v/>
      </c>
      <c r="P847">
        <f>IF(B870=0,0,O847/B870)</f>
        <v/>
      </c>
      <c r="Q847">
        <f>IFERROR(1/IF(Inputs!$B$38="pvp",15,MAX(0.1,Skills!D16-IF(Skills!E16=TRUE,Inputs!$B$32,0))),0)</f>
        <v/>
      </c>
      <c r="R847">
        <f>IF(AND(Inputs!$B$38&lt;&gt;"pvp",Inputs!$B$43&gt;0),IF(Inputs!$B$43&lt;=0,0,(INT(Inputs!$B$43/IF(Inputs!$B$38="pvp",15,MAX(0.1,Skills!D16-IF(Skills!E16=TRUE,Inputs!$B$32,0))))+1)),0)</f>
        <v/>
      </c>
      <c r="S847">
        <f>IFERROR(O847/N847,0)</f>
        <v/>
      </c>
      <c r="T847" t="n">
        <v>0</v>
      </c>
      <c r="V847" t="n">
        <v>0</v>
      </c>
    </row>
    <row r="848">
      <c r="A848">
        <f>Skills!A17</f>
        <v/>
      </c>
      <c r="B848">
        <f>Skills!B17</f>
        <v/>
      </c>
      <c r="C848">
        <f>Inputs!$B$3&gt;=115</f>
        <v/>
      </c>
      <c r="D848">
        <f>IF(Skills!C17=1,60+Inputs!$B$25+Inputs!$B$29,IF(Skills!C17=2,90+Inputs!$B$26+Inputs!$B$29,IF(Skills!C17=3,120+Inputs!$B$27+Inputs!$B$29,MAX(0,(Inputs!$B$3-100)*3)+(Inputs!$B$28+1)+Inputs!$B$29)))</f>
        <v/>
      </c>
      <c r="E848">
        <f>INDEX(FactorTable!$B$2:$Y$301, MATCH(ROUND(MIN(300,MAX(1,D848)),0), FactorTable!$A$2:$A$301,0), Skills!M17+1)</f>
        <v/>
      </c>
      <c r="F848">
        <f>IF(Skills!N17=TRUE,(Skills!L17/10)*(E848/1000),Skills!L17/10)+Skills!O17</f>
        <v/>
      </c>
      <c r="G848">
        <f>Skills!G17*IF(Skills!H17&gt;0,Skills!I17/Skills!H17,1)</f>
        <v/>
      </c>
      <c r="H848">
        <f>1-(1-Skills!J17/100)^Skills!K17</f>
        <v/>
      </c>
      <c r="I848" t="inlineStr">
        <is>
          <t>1</t>
        </is>
      </c>
      <c r="J848" t="inlineStr"/>
      <c r="K848" t="inlineStr"/>
      <c r="L848" t="inlineStr"/>
      <c r="M848" t="inlineStr"/>
      <c r="N848" t="inlineStr"/>
      <c r="O848">
        <f>(1-Summary!$B$55)*T848+Summary!$B$55*V848</f>
        <v/>
      </c>
      <c r="P848">
        <f>IF(B870=0,0,O848/B870)</f>
        <v/>
      </c>
      <c r="Q848">
        <f>IFERROR(1/IF(Inputs!$B$38="pvp",15,MAX(0.1,Skills!D17-IF(Skills!E17=TRUE,Inputs!$B$32,0))),0)</f>
        <v/>
      </c>
      <c r="R848">
        <f>IF(AND(Inputs!$B$38&lt;&gt;"pvp",Inputs!$B$43&gt;0),IF(Inputs!$B$43&lt;=0,0,(INT(Inputs!$B$43/IF(Inputs!$B$38="pvp",15,MAX(0.1,Skills!D17-IF(Skills!E17=TRUE,Inputs!$B$32,0))))+1)),0)</f>
        <v/>
      </c>
      <c r="S848">
        <f>IFERROR(O848/N848,0)</f>
        <v/>
      </c>
      <c r="T848" t="n">
        <v>0</v>
      </c>
      <c r="V848" t="n">
        <v>0</v>
      </c>
    </row>
    <row r="849">
      <c r="A849">
        <f>Skills!A18</f>
        <v/>
      </c>
      <c r="B849">
        <f>Skills!B18</f>
        <v/>
      </c>
      <c r="C849">
        <f>Inputs!$B$3&gt;=115</f>
        <v/>
      </c>
      <c r="D849">
        <f>IF(Skills!C18=1,60+Inputs!$B$25+Inputs!$B$29,IF(Skills!C18=2,90+Inputs!$B$26+Inputs!$B$29,IF(Skills!C18=3,120+Inputs!$B$27+Inputs!$B$29,MAX(0,(Inputs!$B$3-100)*3)+(Inputs!$B$28+1)+Inputs!$B$29)))</f>
        <v/>
      </c>
      <c r="E849">
        <f>INDEX(FactorTable!$B$2:$Y$301, MATCH(ROUND(MIN(300,MAX(1,D849)),0), FactorTable!$A$2:$A$301,0), Skills!M18+1)</f>
        <v/>
      </c>
      <c r="F849">
        <f>IF(Skills!N18=TRUE,(Skills!L18/10)*(E849/1000),Skills!L18/10)+Skills!O18</f>
        <v/>
      </c>
      <c r="G849">
        <f>Skills!G18*IF(Skills!H18&gt;0,Skills!I18/Skills!H18,1)</f>
        <v/>
      </c>
      <c r="H849">
        <f>1-(1-Skills!J18/100)^Skills!K18</f>
        <v/>
      </c>
      <c r="I849" t="inlineStr">
        <is>
          <t>1</t>
        </is>
      </c>
      <c r="J849" t="inlineStr"/>
      <c r="K849" t="inlineStr"/>
      <c r="L849" t="inlineStr"/>
      <c r="M849" t="inlineStr"/>
      <c r="N849" t="inlineStr"/>
      <c r="O849">
        <f>(1-Summary!$B$55)*T849+Summary!$B$55*V849</f>
        <v/>
      </c>
      <c r="P849">
        <f>IF(B870=0,0,O849/B870)</f>
        <v/>
      </c>
      <c r="Q849">
        <f>IFERROR(1/IF(Inputs!$B$38="pvp",15,MAX(0.1,Skills!D18-IF(Skills!E18=TRUE,Inputs!$B$32,0))),0)</f>
        <v/>
      </c>
      <c r="R849">
        <f>IF(AND(Inputs!$B$38&lt;&gt;"pvp",Inputs!$B$43&gt;0),IF(Inputs!$B$43&lt;=0,0,(INT(Inputs!$B$43/IF(Inputs!$B$38="pvp",15,MAX(0.1,Skills!D18-IF(Skills!E18=TRUE,Inputs!$B$32,0))))+1)),0)</f>
        <v/>
      </c>
      <c r="S849">
        <f>IFERROR(O849/N849,0)</f>
        <v/>
      </c>
      <c r="T849" t="n">
        <v>0</v>
      </c>
      <c r="V849" t="n">
        <v>0</v>
      </c>
    </row>
    <row r="850">
      <c r="A850">
        <f>Skills!A19</f>
        <v/>
      </c>
      <c r="B850">
        <f>Skills!B19</f>
        <v/>
      </c>
      <c r="C850">
        <f>TRUE</f>
        <v/>
      </c>
      <c r="D850">
        <f>IF(Skills!C19=1,60+Inputs!$B$25+Inputs!$B$29,IF(Skills!C19=2,90+Inputs!$B$26+Inputs!$B$29,IF(Skills!C19=3,120+Inputs!$B$27+Inputs!$B$29,MAX(0,(Inputs!$B$3-100)*3)+(Inputs!$B$28+1)+Inputs!$B$29)))</f>
        <v/>
      </c>
      <c r="E850">
        <f>INDEX(FactorTable!$B$2:$Y$301, MATCH(ROUND(MIN(300,MAX(1,D850)),0), FactorTable!$A$2:$A$301,0), Skills!M19+1)</f>
        <v/>
      </c>
      <c r="F850">
        <f>IF(Skills!N19=TRUE,(Skills!L19/10)*(E850/1000),Skills!L19/10)+Skills!O19</f>
        <v/>
      </c>
      <c r="G850">
        <f>Skills!G19*IF(Skills!H19&gt;0,Skills!I19/Skills!H19,1)</f>
        <v/>
      </c>
      <c r="H850">
        <f>1-(1-Skills!J19/100)^Skills!K19</f>
        <v/>
      </c>
      <c r="I850" t="inlineStr">
        <is>
          <t>1</t>
        </is>
      </c>
      <c r="J850" t="inlineStr"/>
      <c r="K850" t="inlineStr"/>
      <c r="L850" t="inlineStr"/>
      <c r="M850" t="inlineStr"/>
      <c r="N850" t="inlineStr"/>
      <c r="O850">
        <f>(1-Summary!$B$55)*T850+Summary!$B$55*V850</f>
        <v/>
      </c>
      <c r="P850">
        <f>IF(B870=0,0,O850/B870)</f>
        <v/>
      </c>
      <c r="Q850">
        <f>IFERROR(1/IF(Inputs!$B$38="pvp",15,MAX(0.1,Skills!D19-IF(Skills!E19=TRUE,Inputs!$B$32,0))),0)</f>
        <v/>
      </c>
      <c r="R850">
        <f>IF(AND(Inputs!$B$38&lt;&gt;"pvp",Inputs!$B$43&gt;0),IF(Inputs!$B$43&lt;=0,0,(INT(Inputs!$B$43/IF(Inputs!$B$38="pvp",15,MAX(0.1,Skills!D19-IF(Skills!E19=TRUE,Inputs!$B$32,0))))+1)),0)</f>
        <v/>
      </c>
      <c r="S850">
        <f>IFERROR(O850/N850,0)</f>
        <v/>
      </c>
      <c r="T850" t="n">
        <v>0</v>
      </c>
      <c r="V850" t="n">
        <v>0</v>
      </c>
    </row>
    <row r="851">
      <c r="A851">
        <f>Skills!A20</f>
        <v/>
      </c>
      <c r="B851">
        <f>Skills!B20</f>
        <v/>
      </c>
      <c r="C851">
        <f>Inputs!$B$3&gt;=33</f>
        <v/>
      </c>
      <c r="D851">
        <f>IF(Skills!C20=1,60+Inputs!$B$25+Inputs!$B$29,IF(Skills!C20=2,90+Inputs!$B$26+Inputs!$B$29,IF(Skills!C20=3,120+Inputs!$B$27+Inputs!$B$29,MAX(0,(Inputs!$B$3-100)*3)+(Inputs!$B$28+1)+Inputs!$B$29)))</f>
        <v/>
      </c>
      <c r="E851">
        <f>INDEX(FactorTable!$B$2:$Y$301, MATCH(ROUND(MIN(300,MAX(1,D851)),0), FactorTable!$A$2:$A$301,0), Skills!M20+1)</f>
        <v/>
      </c>
      <c r="F851">
        <f>IF(Skills!N20=TRUE,(Skills!L20/10)*(E851/1000),Skills!L20/10)+Skills!O20</f>
        <v/>
      </c>
      <c r="G851">
        <f>Skills!G20*IF(Skills!H20&gt;0,Skills!I20/Skills!H20,1)</f>
        <v/>
      </c>
      <c r="H851">
        <f>1-(1-Skills!J20/100)^Skills!K20</f>
        <v/>
      </c>
      <c r="I851" t="inlineStr">
        <is>
          <t>1</t>
        </is>
      </c>
      <c r="J851" t="inlineStr"/>
      <c r="K851" t="inlineStr"/>
      <c r="L851" t="inlineStr"/>
      <c r="M851" t="inlineStr"/>
      <c r="N851" t="inlineStr"/>
      <c r="O851">
        <f>(1-Summary!$B$55)*T851+Summary!$B$55*V851</f>
        <v/>
      </c>
      <c r="P851">
        <f>IF(B870=0,0,O851/B870)</f>
        <v/>
      </c>
      <c r="Q851" t="n">
        <v>0</v>
      </c>
      <c r="R851" t="n">
        <v>0</v>
      </c>
      <c r="S851">
        <f>IFERROR(O851/N851,0)</f>
        <v/>
      </c>
      <c r="T851" t="n">
        <v>0</v>
      </c>
      <c r="V851" t="n">
        <v>0</v>
      </c>
    </row>
    <row r="852">
      <c r="A852">
        <f>Skills!A21</f>
        <v/>
      </c>
      <c r="B852">
        <f>Skills!B21</f>
        <v/>
      </c>
      <c r="C852">
        <f>Inputs!$B$3&gt;=38</f>
        <v/>
      </c>
      <c r="D852">
        <f>IF(Skills!C21=1,60+Inputs!$B$25+Inputs!$B$29,IF(Skills!C21=2,90+Inputs!$B$26+Inputs!$B$29,IF(Skills!C21=3,120+Inputs!$B$27+Inputs!$B$29,MAX(0,(Inputs!$B$3-100)*3)+(Inputs!$B$28+1)+Inputs!$B$29)))</f>
        <v/>
      </c>
      <c r="E852">
        <f>INDEX(FactorTable!$B$2:$Y$301, MATCH(ROUND(MIN(300,MAX(1,D852)),0), FactorTable!$A$2:$A$301,0), Skills!M21+1)</f>
        <v/>
      </c>
      <c r="F852">
        <f>IF(Skills!N21=TRUE,(Skills!L21/10)*(E852/1000),Skills!L21/10)+Skills!O21</f>
        <v/>
      </c>
      <c r="G852">
        <f>Skills!G21*IF(Skills!H21&gt;0,Skills!I21/Skills!H21,1)</f>
        <v/>
      </c>
      <c r="H852">
        <f>1-(1-Skills!J21/100)^Skills!K21</f>
        <v/>
      </c>
      <c r="I852" t="inlineStr">
        <is>
          <t>1</t>
        </is>
      </c>
      <c r="J852" t="inlineStr"/>
      <c r="K852" t="inlineStr"/>
      <c r="L852" t="inlineStr"/>
      <c r="M852" t="inlineStr"/>
      <c r="N852" t="inlineStr"/>
      <c r="O852">
        <f>(1-Summary!$B$55)*T852+Summary!$B$55*V852</f>
        <v/>
      </c>
      <c r="P852">
        <f>IF(B870=0,0,O852/B870)</f>
        <v/>
      </c>
      <c r="Q852" t="n">
        <v>0</v>
      </c>
      <c r="R852" t="n">
        <v>0</v>
      </c>
      <c r="S852">
        <f>IFERROR(O852/N852,0)</f>
        <v/>
      </c>
      <c r="T852" t="n">
        <v>0</v>
      </c>
      <c r="V852" t="n">
        <v>0</v>
      </c>
    </row>
    <row r="853">
      <c r="A853">
        <f>Skills!A22</f>
        <v/>
      </c>
      <c r="B853">
        <f>Skills!B22</f>
        <v/>
      </c>
      <c r="C853">
        <f>Inputs!$B$3&gt;=43</f>
        <v/>
      </c>
      <c r="D853">
        <f>IF(Skills!C22=1,60+Inputs!$B$25+Inputs!$B$29,IF(Skills!C22=2,90+Inputs!$B$26+Inputs!$B$29,IF(Skills!C22=3,120+Inputs!$B$27+Inputs!$B$29,MAX(0,(Inputs!$B$3-100)*3)+(Inputs!$B$28+1)+Inputs!$B$29)))</f>
        <v/>
      </c>
      <c r="E853">
        <f>INDEX(FactorTable!$B$2:$Y$301, MATCH(ROUND(MIN(300,MAX(1,D853)),0), FactorTable!$A$2:$A$301,0), Skills!M22+1)</f>
        <v/>
      </c>
      <c r="F853">
        <f>IF(Skills!N22=TRUE,(Skills!L22/10)*(E853/1000),Skills!L22/10)+Skills!O22</f>
        <v/>
      </c>
      <c r="G853">
        <f>Skills!G22*IF(Skills!H22&gt;0,Skills!I22/Skills!H22,1)</f>
        <v/>
      </c>
      <c r="H853">
        <f>1-(1-Skills!J22/100)^Skills!K22</f>
        <v/>
      </c>
      <c r="I853" t="inlineStr">
        <is>
          <t>1</t>
        </is>
      </c>
      <c r="J853" t="inlineStr"/>
      <c r="K853" t="inlineStr"/>
      <c r="L853" t="inlineStr"/>
      <c r="M853" t="inlineStr"/>
      <c r="N853" t="inlineStr"/>
      <c r="O853">
        <f>(1-Summary!$B$55)*T853+Summary!$B$55*V853</f>
        <v/>
      </c>
      <c r="P853">
        <f>IF(B870=0,0,O853/B870)</f>
        <v/>
      </c>
      <c r="Q853" t="n">
        <v>0</v>
      </c>
      <c r="R853" t="n">
        <v>0</v>
      </c>
      <c r="S853">
        <f>IFERROR(O853/N853,0)</f>
        <v/>
      </c>
      <c r="T853" t="n">
        <v>0</v>
      </c>
      <c r="V853" t="n">
        <v>0</v>
      </c>
    </row>
    <row r="854">
      <c r="A854">
        <f>Skills!A23</f>
        <v/>
      </c>
      <c r="B854">
        <f>Skills!B23</f>
        <v/>
      </c>
      <c r="C854">
        <f>Inputs!$B$3&gt;=120</f>
        <v/>
      </c>
      <c r="D854">
        <f>IF(Skills!C23=1,60+Inputs!$B$25+Inputs!$B$29,IF(Skills!C23=2,90+Inputs!$B$26+Inputs!$B$29,IF(Skills!C23=3,120+Inputs!$B$27+Inputs!$B$29,MAX(0,(Inputs!$B$3-100)*3)+(Inputs!$B$28+1)+Inputs!$B$29)))</f>
        <v/>
      </c>
      <c r="E854">
        <f>INDEX(FactorTable!$B$2:$Y$301, MATCH(ROUND(MIN(300,MAX(1,D854)),0), FactorTable!$A$2:$A$301,0), Skills!M23+1)</f>
        <v/>
      </c>
      <c r="F854">
        <f>IF(Skills!N23=TRUE,(Skills!L23/10)*(E854/1000),Skills!L23/10)+Skills!O23</f>
        <v/>
      </c>
      <c r="G854">
        <f>Skills!G23*IF(Skills!H23&gt;0,Skills!I23/Skills!H23,1)</f>
        <v/>
      </c>
      <c r="H854">
        <f>1-(1-Skills!J23/100)^Skills!K23</f>
        <v/>
      </c>
      <c r="I854" t="inlineStr">
        <is>
          <t>1</t>
        </is>
      </c>
      <c r="J854" t="inlineStr"/>
      <c r="K854" t="inlineStr"/>
      <c r="L854" t="inlineStr"/>
      <c r="M854" t="inlineStr"/>
      <c r="N854" t="inlineStr"/>
      <c r="O854">
        <f>(1-Summary!$B$55)*T854+Summary!$B$55*V854</f>
        <v/>
      </c>
      <c r="P854">
        <f>IF(B870=0,0,O854/B870)</f>
        <v/>
      </c>
      <c r="Q854" t="n">
        <v>0</v>
      </c>
      <c r="R854" t="n">
        <v>0</v>
      </c>
      <c r="S854">
        <f>IFERROR(O854/N854,0)</f>
        <v/>
      </c>
      <c r="T854" t="n">
        <v>0</v>
      </c>
      <c r="V854" t="n">
        <v>0</v>
      </c>
    </row>
    <row r="855">
      <c r="A855">
        <f>Skills!A24</f>
        <v/>
      </c>
      <c r="B855">
        <f>Skills!B24</f>
        <v/>
      </c>
      <c r="C855">
        <f>Inputs!$B$3&gt;=120</f>
        <v/>
      </c>
      <c r="D855">
        <f>IF(Skills!C24=1,60+Inputs!$B$25+Inputs!$B$29,IF(Skills!C24=2,90+Inputs!$B$26+Inputs!$B$29,IF(Skills!C24=3,120+Inputs!$B$27+Inputs!$B$29,MAX(0,(Inputs!$B$3-100)*3)+(Inputs!$B$28+1)+Inputs!$B$29)))</f>
        <v/>
      </c>
      <c r="E855">
        <f>INDEX(FactorTable!$B$2:$Y$301, MATCH(ROUND(MIN(300,MAX(1,D855)),0), FactorTable!$A$2:$A$301,0), Skills!M24+1)</f>
        <v/>
      </c>
      <c r="F855">
        <f>IF(Skills!N24=TRUE,(Skills!L24/10)*(E855/1000),Skills!L24/10)+Skills!O24</f>
        <v/>
      </c>
      <c r="G855">
        <f>Skills!G24*IF(Skills!H24&gt;0,Skills!I24/Skills!H24,1)</f>
        <v/>
      </c>
      <c r="H855">
        <f>1-(1-Skills!J24/100)^Skills!K24</f>
        <v/>
      </c>
      <c r="I855" t="inlineStr">
        <is>
          <t>1</t>
        </is>
      </c>
      <c r="J855" t="inlineStr"/>
      <c r="K855" t="inlineStr"/>
      <c r="L855" t="inlineStr"/>
      <c r="M855" t="inlineStr"/>
      <c r="N855" t="inlineStr"/>
      <c r="O855">
        <f>(1-Summary!$B$55)*T855+Summary!$B$55*V855</f>
        <v/>
      </c>
      <c r="P855">
        <f>IF(B870=0,0,O855/B870)</f>
        <v/>
      </c>
      <c r="Q855" t="n">
        <v>0</v>
      </c>
      <c r="R855" t="n">
        <v>0</v>
      </c>
      <c r="S855">
        <f>IFERROR(O855/N855,0)</f>
        <v/>
      </c>
      <c r="T855" t="n">
        <v>0</v>
      </c>
      <c r="V855" t="n">
        <v>0</v>
      </c>
    </row>
    <row r="856">
      <c r="A856">
        <f>Skills!A25</f>
        <v/>
      </c>
      <c r="B856">
        <f>Skills!B25</f>
        <v/>
      </c>
      <c r="C856">
        <f>Inputs!$B$3&gt;=125</f>
        <v/>
      </c>
      <c r="D856">
        <f>IF(Skills!C25=1,60+Inputs!$B$25+Inputs!$B$29,IF(Skills!C25=2,90+Inputs!$B$26+Inputs!$B$29,IF(Skills!C25=3,120+Inputs!$B$27+Inputs!$B$29,MAX(0,(Inputs!$B$3-100)*3)+(Inputs!$B$28+1)+Inputs!$B$29)))</f>
        <v/>
      </c>
      <c r="E856">
        <f>INDEX(FactorTable!$B$2:$Y$301, MATCH(ROUND(MIN(300,MAX(1,D856)),0), FactorTable!$A$2:$A$301,0), Skills!M25+1)</f>
        <v/>
      </c>
      <c r="F856">
        <f>IF(Skills!N25=TRUE,(Skills!L25/10)*(E856/1000),Skills!L25/10)+Skills!O25</f>
        <v/>
      </c>
      <c r="G856">
        <f>Skills!G25*IF(Skills!H25&gt;0,Skills!I25/Skills!H25,1)</f>
        <v/>
      </c>
      <c r="H856">
        <f>1-(1-Skills!J25/100)^Skills!K25</f>
        <v/>
      </c>
      <c r="I856" t="inlineStr">
        <is>
          <t>1</t>
        </is>
      </c>
      <c r="J856" t="inlineStr"/>
      <c r="K856" t="inlineStr"/>
      <c r="L856" t="inlineStr"/>
      <c r="M856" t="inlineStr"/>
      <c r="N856" t="inlineStr"/>
      <c r="O856">
        <f>(1-Summary!$B$55)*T856+Summary!$B$55*V856</f>
        <v/>
      </c>
      <c r="P856">
        <f>IF(B870=0,0,O856/B870)</f>
        <v/>
      </c>
      <c r="Q856" t="n">
        <v>0</v>
      </c>
      <c r="R856" t="n">
        <v>0</v>
      </c>
      <c r="S856">
        <f>IFERROR(O856/N856,0)</f>
        <v/>
      </c>
      <c r="T856" t="n">
        <v>0</v>
      </c>
      <c r="V856" t="n">
        <v>0</v>
      </c>
    </row>
    <row r="857">
      <c r="A857">
        <f>Skills!A26</f>
        <v/>
      </c>
      <c r="B857">
        <f>Skills!B26</f>
        <v/>
      </c>
      <c r="C857">
        <f>Inputs!$B$3&gt;=72</f>
        <v/>
      </c>
      <c r="D857">
        <f>IF(Skills!C26=1,60+Inputs!$B$25+Inputs!$B$29,IF(Skills!C26=2,90+Inputs!$B$26+Inputs!$B$29,IF(Skills!C26=3,120+Inputs!$B$27+Inputs!$B$29,MAX(0,(Inputs!$B$3-100)*3)+(Inputs!$B$28+1)+Inputs!$B$29)))</f>
        <v/>
      </c>
      <c r="E857">
        <f>INDEX(FactorTable!$B$2:$Y$301, MATCH(ROUND(MIN(300,MAX(1,D857)),0), FactorTable!$A$2:$A$301,0), Skills!M26+1)</f>
        <v/>
      </c>
      <c r="F857">
        <f>IF(Skills!N26=TRUE,(Skills!L26/10)*(E857/1000),Skills!L26/10)+Skills!O26</f>
        <v/>
      </c>
      <c r="G857">
        <f>Skills!G26*IF(Skills!H26&gt;0,Skills!I26/Skills!H26,1)</f>
        <v/>
      </c>
      <c r="H857">
        <f>1-(1-Skills!J26/100)^Skills!K26</f>
        <v/>
      </c>
      <c r="I857" t="inlineStr">
        <is>
          <t>1</t>
        </is>
      </c>
      <c r="J857" t="inlineStr"/>
      <c r="K857" t="inlineStr"/>
      <c r="L857" t="inlineStr"/>
      <c r="M857" t="inlineStr"/>
      <c r="N857" t="inlineStr"/>
      <c r="O857">
        <f>(1-Summary!$B$55)*T857+Summary!$B$55*V857</f>
        <v/>
      </c>
      <c r="P857">
        <f>IF(B870=0,0,O857/B870)</f>
        <v/>
      </c>
      <c r="Q857" t="n">
        <v>0</v>
      </c>
      <c r="R857" t="n">
        <v>0</v>
      </c>
      <c r="S857">
        <f>IFERROR(O857/N857,0)</f>
        <v/>
      </c>
      <c r="T857" t="n">
        <v>0</v>
      </c>
      <c r="V857" t="n">
        <v>0</v>
      </c>
    </row>
    <row r="859">
      <c r="A859" t="inlineStr">
        <is>
          <t>Attack% Bucket Multiplier</t>
        </is>
      </c>
      <c r="B859">
        <f>(1+(((C844=TRUE)*F844*IF(Inputs!$B$3&gt;=110,7,5))+((C846=TRUE)*F846*IF(AND(Inputs!$B$38&lt;&gt;"pvp",Inputs!$B$43&gt;0),(((R846-1)*(Skills!T15*(1+Inputs!$B$34/100))+MIN((Skills!T15*(1+Inputs!$B$34/100)),MAX(0,Inputs!$B$43-((R846-1)*Skills!D15))))/Inputs!$B$43),IF(Inputs!$B$38="pvp",MIN((Skills!T15*(1+Inputs!$B$34/100)),15)/15,(Skills!T15*(1+Inputs!$B$34/100))/Skills!D15)))+0)/100)</f>
        <v/>
      </c>
    </row>
    <row r="860">
      <c r="A860" t="inlineStr">
        <is>
          <t>Global Crit Rate Bonus %</t>
        </is>
      </c>
      <c r="B860" t="n">
        <v>0</v>
      </c>
    </row>
    <row r="861">
      <c r="A861" t="inlineStr">
        <is>
          <t>Attack Speed Buff Bonus %</t>
        </is>
      </c>
      <c r="B861">
        <f>((C850=TRUE)*F850*IF(AND(Inputs!$B$38&lt;&gt;"pvp",Inputs!$B$43&gt;0),(((R850-1)*(Skills!T19*(1+Inputs!$B$34/100))+MIN((Skills!T19*(1+Inputs!$B$34/100)),MAX(0,Inputs!$B$43-((R850-1)*Skills!D19))))/Inputs!$B$43),IF(Inputs!$B$38="pvp",MIN((Skills!T19*(1+Inputs!$B$34/100)),15)/15,(Skills!T19*(1+Inputs!$B$34/100))/Skills!D19)))</f>
        <v/>
      </c>
    </row>
    <row r="862">
      <c r="A862" t="inlineStr">
        <is>
          <t>Actions Per Second</t>
        </is>
      </c>
      <c r="B862">
        <f>1+MIN(150,150*(1-(1-(Inputs!$B$11+((C851=TRUE)*(F851-Calc!F20)))/150)*(1-B861/150)))/100</f>
        <v/>
      </c>
    </row>
    <row r="863">
      <c r="A863" t="inlineStr">
        <is>
          <t>Skill + Buff Cast Rate</t>
        </is>
      </c>
      <c r="B863">
        <f>IF(AND(Inputs!$B$38&lt;&gt;"pvp",Inputs!$B$43&gt;0),SUMPRODUCT((Skills!E2:E26=TRUE)*(C833:C857=TRUE)*R833:R857*Skills!F2:F26)/Inputs!$B$43,SUMPRODUCT((Skills!E2:E26=TRUE)*(C833:C857=TRUE)*Q833:Q857*Skills!F2:F26))</f>
        <v/>
      </c>
    </row>
    <row r="864">
      <c r="A864" t="inlineStr">
        <is>
          <t>Raging Blow Casts Per Second</t>
        </is>
      </c>
      <c r="B864">
        <f>MAX(0,B862-B863)</f>
        <v/>
      </c>
    </row>
    <row r="865">
      <c r="A865" t="inlineStr">
        <is>
          <t>Global Critical Damage Bonus % (Enrage)</t>
        </is>
      </c>
      <c r="B865">
        <f>((C849=TRUE)*F849*IF(AND(Inputs!$B$38&lt;&gt;"pvp",Inputs!$B$43&gt;0),(((R849-1)*(Skills!T18*(1+Inputs!$B$34/100))+MIN((Skills!T18*(1+Inputs!$B$34/100)),MAX(0,Inputs!$B$43-((R849-1)*Skills!D18))))/Inputs!$B$43),IF(Inputs!$B$38="pvp",MIN((Skills!T18*(1+Inputs!$B$34/100)),15)/15,(Skills!T18*(1+Inputs!$B$34/100))/Skills!D18)))</f>
        <v/>
      </c>
    </row>
    <row r="866">
      <c r="A866" t="inlineStr">
        <is>
          <t>Global Final Damage Bonus % (Enrage + Combo Synergy)</t>
        </is>
      </c>
      <c r="B866">
        <f>((C848=TRUE)*F848*IF(AND(Inputs!$B$38&lt;&gt;"pvp",Inputs!$B$43&gt;0),(((R848-1)*(Skills!T17*(1+Inputs!$B$34/100))+MIN((Skills!T17*(1+Inputs!$B$34/100)),MAX(0,Inputs!$B$43-((R848-1)*Skills!D17))))/Inputs!$B$43),IF(Inputs!$B$38="pvp",MIN((Skills!T17*(1+Inputs!$B$34/100)),15)/15,(Skills!T17*(1+Inputs!$B$34/100))/Skills!D17)))+((C845=TRUE)*F845*IF(Inputs!$B$3&gt;=110,7,5))</f>
        <v/>
      </c>
    </row>
    <row r="867">
      <c r="A867" t="inlineStr">
        <is>
          <t>Buff-Casting Startup Delay (s, fixed-duration only)</t>
        </is>
      </c>
      <c r="B867">
        <f>IF(AND(Inputs!$B$38&lt;&gt;"pvp",Inputs!$B$43&gt;0),SUMPRODUCT((Skills!T2:T26&gt;0)*(Skills!E2:E26=TRUE)*(C833:C857=TRUE))/B862,0)</f>
        <v/>
      </c>
    </row>
    <row r="868">
      <c r="A868" t="inlineStr">
        <is>
          <t>Boss-Only Total DPS (this block's swept value)</t>
        </is>
      </c>
      <c r="B868">
        <f>SUM(T833:T857)</f>
        <v/>
      </c>
    </row>
    <row r="869">
      <c r="A869" t="inlineStr">
        <is>
          <t>Normal-Only Total DPS (this block's swept value)</t>
        </is>
      </c>
      <c r="B869">
        <f>SUM(V833:V857)</f>
        <v/>
      </c>
    </row>
    <row r="870">
      <c r="A870" s="5" t="inlineStr">
        <is>
          <t>TOTAL DPS</t>
        </is>
      </c>
      <c r="B870" s="5">
        <f>SUM(O833:O857)</f>
        <v/>
      </c>
    </row>
    <row r="873">
      <c r="A873" s="5" t="inlineStr">
        <is>
          <t>Stat: Skill Level Bonus — All Skills</t>
        </is>
      </c>
    </row>
    <row r="874">
      <c r="A874" s="9" t="inlineStr">
        <is>
          <t>Key</t>
        </is>
      </c>
      <c r="B874" s="9" t="inlineStr">
        <is>
          <t>Name</t>
        </is>
      </c>
      <c r="C874" s="9" t="inlineStr">
        <is>
          <t>Unlocked</t>
        </is>
      </c>
      <c r="D874" s="9" t="inlineStr">
        <is>
          <t>InputLevel</t>
        </is>
      </c>
      <c r="E874" s="9" t="inlineStr">
        <is>
          <t>Factor</t>
        </is>
      </c>
      <c r="F874" s="9" t="inlineStr">
        <is>
          <t>CoefficientPercent</t>
        </is>
      </c>
      <c r="G874" s="9" t="inlineStr">
        <is>
          <t>EffectiveHits</t>
        </is>
      </c>
      <c r="H874" s="9" t="inlineStr">
        <is>
          <t>ProcProbability</t>
        </is>
      </c>
      <c r="I874" s="9" t="inlineStr">
        <is>
          <t>MapleHeroMultiplier</t>
        </is>
      </c>
      <c r="J874" s="9" t="inlineStr">
        <is>
          <t>BaseDamage</t>
        </is>
      </c>
      <c r="K874" s="9" t="inlineStr">
        <is>
          <t>BaseHitDamage</t>
        </is>
      </c>
      <c r="L874" s="9" t="inlineStr">
        <is>
          <t>NonCritAvg</t>
        </is>
      </c>
      <c r="M874" s="9" t="inlineStr">
        <is>
          <t>CritAvg</t>
        </is>
      </c>
      <c r="N874" s="9" t="inlineStr">
        <is>
          <t>ExpectedDamage(perHit)</t>
        </is>
      </c>
      <c r="O874" s="9" t="inlineStr">
        <is>
          <t>DPS</t>
        </is>
      </c>
      <c r="P874" s="9" t="inlineStr">
        <is>
          <t>% of Total</t>
        </is>
      </c>
      <c r="Q874" s="9" t="inlineStr">
        <is>
          <t>InvCooldown</t>
        </is>
      </c>
      <c r="R874" s="9" t="inlineStr">
        <is>
          <t>CastsInFight</t>
        </is>
      </c>
      <c r="S874" s="9" t="inlineStr">
        <is>
          <t>HitRate(perSec)</t>
        </is>
      </c>
      <c r="U874" t="inlineStr">
        <is>
          <t>helpers</t>
        </is>
      </c>
    </row>
    <row r="875">
      <c r="A875">
        <f>Skills!A2</f>
        <v/>
      </c>
      <c r="B875">
        <f>Skills!B2</f>
        <v/>
      </c>
      <c r="C875">
        <f>Inputs!$B$3&gt;=100</f>
        <v/>
      </c>
      <c r="D875" t="inlineStr"/>
      <c r="E875" t="inlineStr"/>
      <c r="F875">
        <f>U877+Skills!O2</f>
        <v/>
      </c>
      <c r="G875">
        <f>Skills!G2*IF(Skills!H2&gt;0,Skills!I2/Skills!H2,1)</f>
        <v/>
      </c>
      <c r="H875">
        <f>1-(1-Skills!J2/100)^Skills!K2</f>
        <v/>
      </c>
      <c r="I875" t="inlineStr">
        <is>
          <t>1</t>
        </is>
      </c>
      <c r="J875">
        <f>((Inputs!$B$6*(1+Inputs!$B$7/100))+(((Inputs!$B$12*(1+Inputs!$B$13/100))-(Inputs!$B$12*(1+Inputs!$B$13/100)))+0.25*(Inputs!$B$14-Inputs!$B$14))*(1+Inputs!$B$7/100))*(F875/100)</f>
        <v/>
      </c>
      <c r="K875">
        <f>J875*(1+((Inputs!$B$12*(1+Inputs!$B$13/100))*0.01+Inputs!$B$14*0.0025)/100)*(1+Inputs!$B$15/100)*(1+Inputs!$B$16/100)*(5000/(6000+Inputs!$B$42*(1-(Inputs!$B$19+0)/100)))*(1+(Inputs!$B$24+((C898=TRUE)*(F898-Calc!F25))+B908)/100)*(1+IF(Skills!A2="ENHANCED_RAGING_BLOW",IF(Inputs!$B$3&gt;=134,MAX(0,IF(Inputs!$B$3&gt;=110,7,5)-5)*50,0),0)/100)*(1+(IF(Skills!A2="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875)</f>
        <v/>
      </c>
      <c r="L875">
        <f>K875*(MIN(Inputs!$B$22+((C895=TRUE)*(F895-Calc!F22)),Inputs!$B$23+((C897=TRUE)*(F897-Calc!F24)))/100+(Inputs!$B$23+((C897=TRUE)*(F897-Calc!F24)))/100)/2</f>
        <v/>
      </c>
      <c r="M875">
        <f>L875*(1+(Inputs!$B$10+0+B907)/100)</f>
        <v/>
      </c>
      <c r="N875">
        <f>L875*(1-MIN((Inputs!$B$9+((C899=TRUE)*(F899-Calc!F26))+B902),100)/100)+M875*(MIN((Inputs!$B$9+((C899=TRUE)*(F899-Calc!F26))+B902),100)/100)</f>
        <v/>
      </c>
      <c r="O875">
        <f>(1-Summary!$B$55)*T875+Summary!$B$55*V875</f>
        <v/>
      </c>
      <c r="P875">
        <f>IF(B912=0,0,O875/B912)</f>
        <v/>
      </c>
      <c r="Q875" t="n">
        <v>0</v>
      </c>
      <c r="R875" t="n">
        <v>0</v>
      </c>
      <c r="S875">
        <f>IFERROR(O875/N875,0)</f>
        <v/>
      </c>
      <c r="T875">
        <f>IF(C875,(Skills!G2*N875*B906)*IF(Inputs!$B$38="pvp",1,1+(Inputs!$B$20+0+Skills!P2+Summary!$B$59)/100),0)</f>
        <v/>
      </c>
      <c r="U875">
        <f>MAX(0,(Inputs!$B$3-100)*3)+Inputs!$B$28+(Inputs!$B$29+1)</f>
        <v/>
      </c>
      <c r="V875">
        <f>IF(C875,(Skills!G2*N875*B906)*IF(Inputs!$B$38="pvp",1,(1+(Inputs!$B$21+Skills!Q2+Summary!$B$59)/100)*(MIN((6+Inputs!$B$33),Inputs!$B$37))),0)</f>
        <v/>
      </c>
    </row>
    <row r="876">
      <c r="A876">
        <f>Skills!A3</f>
        <v/>
      </c>
      <c r="B876">
        <f>Skills!B3</f>
        <v/>
      </c>
      <c r="C876">
        <f>Inputs!$B$3&gt;=50</f>
        <v/>
      </c>
      <c r="D876">
        <f>IF(Skills!C3=1,60+Inputs!$B$25+(Inputs!$B$29+1),IF(Skills!C3=2,90+Inputs!$B$26+(Inputs!$B$29+1),IF(Skills!C3=3,120+Inputs!$B$27+(Inputs!$B$29+1),MAX(0,(Inputs!$B$3-100)*3)+Inputs!$B$28+(Inputs!$B$29+1))))</f>
        <v/>
      </c>
      <c r="E876">
        <f>INDEX(FactorTable!$B$2:$Y$301, MATCH(ROUND(MIN(300,MAX(1,D876)),0), FactorTable!$A$2:$A$301,0), Skills!M3+1)</f>
        <v/>
      </c>
      <c r="F876">
        <f>IF(Skills!N3=TRUE,(Skills!L3/10)*(E876/1000),Skills!L3/10)+Skills!O3</f>
        <v/>
      </c>
      <c r="G876" t="inlineStr"/>
      <c r="H876" t="inlineStr"/>
      <c r="I876" t="inlineStr">
        <is>
          <t>1</t>
        </is>
      </c>
      <c r="J876" t="inlineStr"/>
      <c r="K876" t="inlineStr"/>
      <c r="L876" t="inlineStr"/>
      <c r="M876" t="inlineStr"/>
      <c r="N876" t="inlineStr"/>
      <c r="O876" t="inlineStr"/>
      <c r="P876" t="inlineStr"/>
      <c r="Q876" t="inlineStr"/>
      <c r="R876" t="inlineStr"/>
      <c r="S876" t="inlineStr"/>
      <c r="U876">
        <f>INDEX(FactorTable!$B$2:$Y$301, MATCH(ROUND(MIN(300,MAX(1,U875)),0), FactorTable!$A$2:$A$301,0), 22)</f>
        <v/>
      </c>
    </row>
    <row r="877">
      <c r="A877">
        <f>Skills!A4</f>
        <v/>
      </c>
      <c r="B877">
        <f>Skills!B4</f>
        <v/>
      </c>
      <c r="C877">
        <f>Inputs!$B$3&gt;=105</f>
        <v/>
      </c>
      <c r="D877">
        <f>IF(Skills!C4=1,60+Inputs!$B$25+(Inputs!$B$29+1),IF(Skills!C4=2,90+Inputs!$B$26+(Inputs!$B$29+1),IF(Skills!C4=3,120+Inputs!$B$27+(Inputs!$B$29+1),MAX(0,(Inputs!$B$3-100)*3)+Inputs!$B$28+(Inputs!$B$29+1))))</f>
        <v/>
      </c>
      <c r="E877">
        <f>INDEX(FactorTable!$B$2:$Y$301, MATCH(ROUND(MIN(300,MAX(1,D877)),0), FactorTable!$A$2:$A$301,0), Skills!M4+1)</f>
        <v/>
      </c>
      <c r="F877">
        <f>IF(Skills!N4=TRUE,(Skills!L4/10)*(E877/1000),Skills!L4/10)+Skills!O4</f>
        <v/>
      </c>
      <c r="G877" t="inlineStr"/>
      <c r="H877" t="inlineStr"/>
      <c r="I877" t="inlineStr">
        <is>
          <t>1</t>
        </is>
      </c>
      <c r="J877" t="inlineStr"/>
      <c r="K877" t="inlineStr"/>
      <c r="L877" t="inlineStr"/>
      <c r="M877" t="inlineStr"/>
      <c r="N877" t="inlineStr"/>
      <c r="O877" t="inlineStr"/>
      <c r="P877" t="inlineStr"/>
      <c r="Q877" t="inlineStr"/>
      <c r="R877" t="inlineStr"/>
      <c r="S877" t="inlineStr"/>
      <c r="U877">
        <f>290*U876/1000</f>
        <v/>
      </c>
    </row>
    <row r="878">
      <c r="A878">
        <f>Skills!A5</f>
        <v/>
      </c>
      <c r="B878">
        <f>Skills!B5</f>
        <v/>
      </c>
      <c r="C878">
        <f>Inputs!$B$3&gt;=103</f>
        <v/>
      </c>
      <c r="D878">
        <f>IF(Skills!C5=1,60+Inputs!$B$25+(Inputs!$B$29+1),IF(Skills!C5=2,90+Inputs!$B$26+(Inputs!$B$29+1),IF(Skills!C5=3,120+Inputs!$B$27+(Inputs!$B$29+1),MAX(0,(Inputs!$B$3-100)*3)+Inputs!$B$28+(Inputs!$B$29+1))))</f>
        <v/>
      </c>
      <c r="E878">
        <f>INDEX(FactorTable!$B$2:$Y$301, MATCH(ROUND(MIN(300,MAX(1,D878)),0), FactorTable!$A$2:$A$301,0), Skills!M5+1)</f>
        <v/>
      </c>
      <c r="F878">
        <f>IF(Skills!N5=TRUE,(Skills!L5/10)*(E878/1000),Skills!L5/10)+Skills!O5</f>
        <v/>
      </c>
      <c r="G878">
        <f>Skills!G5*IF(Skills!H5&gt;0,Skills!I5/Skills!H5,1)</f>
        <v/>
      </c>
      <c r="H878">
        <f>1-(1-Skills!J5/100)^Skills!K5</f>
        <v/>
      </c>
      <c r="I878" t="inlineStr">
        <is>
          <t>1</t>
        </is>
      </c>
      <c r="J878">
        <f>((Inputs!$B$6*(1+Inputs!$B$7/100))+(((Inputs!$B$12*(1+Inputs!$B$13/100))-(Inputs!$B$12*(1+Inputs!$B$13/100)))+0.25*(Inputs!$B$14-Inputs!$B$14))*(1+Inputs!$B$7/100))*(F878/100)</f>
        <v/>
      </c>
      <c r="K878">
        <f>J878*(1+((Inputs!$B$12*(1+Inputs!$B$13/100))*0.01+Inputs!$B$14*0.0025)/100)*(1+Inputs!$B$15/100)*(1+Inputs!$B$16/100)*(5000/(6000+Inputs!$B$42*(1-(Inputs!$B$19+0)/100)))*(1+(Inputs!$B$24+((C898=TRUE)*(F898-Calc!F25))+B908)/100)*(1+IF(Skills!A5="ENHANCED_RAGING_BLOW",IF(Inputs!$B$3&gt;=134,MAX(0,IF(Inputs!$B$3&gt;=110,7,5)-5)*50,0),0)/100)*(1+(IF(Skills!A5="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878)</f>
        <v/>
      </c>
      <c r="L878">
        <f>K878*(MIN(Inputs!$B$22+((C895=TRUE)*(F895-Calc!F22)),Inputs!$B$23+((C897=TRUE)*(F897-Calc!F24)))/100+(Inputs!$B$23+((C897=TRUE)*(F897-Calc!F24)))/100)/2</f>
        <v/>
      </c>
      <c r="M878">
        <f>L878*(1+(Inputs!$B$10+0+B907)/100)</f>
        <v/>
      </c>
      <c r="N878">
        <f>L878*(1-MIN((Inputs!$B$9+((C899=TRUE)*(F899-Calc!F26))+B902),100)/100)+M878*(MIN((Inputs!$B$9+((C899=TRUE)*(F899-Calc!F26))+B902),100)/100)</f>
        <v/>
      </c>
      <c r="O878">
        <f>(1-Summary!$B$55)*T878+Summary!$B$55*V878</f>
        <v/>
      </c>
      <c r="P878">
        <f>IF(B912=0,0,O878/B912)</f>
        <v/>
      </c>
      <c r="Q878">
        <f>IFERROR(1/IF(Inputs!$B$38="pvp",15,MAX(0.1,Skills!D5-IF(Skills!E5=TRUE,Inputs!$B$32,0))),0)</f>
        <v/>
      </c>
      <c r="R878">
        <f>IF(AND(Inputs!$B$38&lt;&gt;"pvp",Inputs!$B$43&gt;0),IF(MAX(0,Inputs!$B$43-B909)&lt;=0,0,(INT(MAX(0,Inputs!$B$43-B909)/IF(Inputs!$B$38="pvp",15,MAX(0.1,Skills!D5-IF(Skills!E5=TRUE,Inputs!$B$32,0))))+1)),0)</f>
        <v/>
      </c>
      <c r="S878">
        <f>IFERROR(O878/N878,0)</f>
        <v/>
      </c>
      <c r="T878">
        <f>IF(C878,(H878*N878*IF(AND(Inputs!$B$38&lt;&gt;"pvp",Inputs!$B$43&gt;0),((Skills!G5*((R878-1)*IF(Skills!H5&gt;0,Skills!I5/Skills!H5,1)+IF(Skills!H5&gt;0,MIN(Skills!I5,MAX(0,MAX(0,Inputs!$B$43-B909)-((R878-1)*IF(Inputs!$B$38="pvp",15,MAX(0.1,Skills!D5-IF(Skills!E5=TRUE,Inputs!$B$32,0))))))/Skills!H5,1)))/Inputs!$B$43),G878*Q878))*IF(Inputs!$B$38="pvp",1,1+(Inputs!$B$20+0+Skills!P5+Summary!$B$59)/100),0)</f>
        <v/>
      </c>
      <c r="V878">
        <f>IF(C878,(H878*N878*IF(AND(Inputs!$B$38&lt;&gt;"pvp",Inputs!$B$43&gt;0),((Skills!G5*((R878-1)*IF(Skills!H5&gt;0,Skills!I5/Skills!H5,1)+IF(Skills!H5&gt;0,MIN(Skills!I5,MAX(0,MAX(0,Inputs!$B$43-B909)-((R878-1)*IF(Inputs!$B$38="pvp",15,MAX(0.1,Skills!D5-IF(Skills!E5=TRUE,Inputs!$B$32,0))))))/Skills!H5,1)))/Inputs!$B$43),G878*Q878))*IF(Inputs!$B$38="pvp",1,(1+(Inputs!$B$21+Skills!Q5+Summary!$B$59)/100)*(MIN(Skills!R5,Inputs!$B$37))),0)</f>
        <v/>
      </c>
    </row>
    <row r="879">
      <c r="A879">
        <f>Skills!A6</f>
        <v/>
      </c>
      <c r="B879">
        <f>Skills!B6</f>
        <v/>
      </c>
      <c r="C879">
        <f>Inputs!$B$3&gt;=103</f>
        <v/>
      </c>
      <c r="D879">
        <f>IF(Skills!C6=1,60+Inputs!$B$25+(Inputs!$B$29+1),IF(Skills!C6=2,90+Inputs!$B$26+(Inputs!$B$29+1),IF(Skills!C6=3,120+Inputs!$B$27+(Inputs!$B$29+1),MAX(0,(Inputs!$B$3-100)*3)+Inputs!$B$28+(Inputs!$B$29+1))))</f>
        <v/>
      </c>
      <c r="E879">
        <f>INDEX(FactorTable!$B$2:$Y$301, MATCH(ROUND(MIN(300,MAX(1,D879)),0), FactorTable!$A$2:$A$301,0), Skills!M6+1)</f>
        <v/>
      </c>
      <c r="F879">
        <f>IF(Skills!N6=TRUE,(Skills!L6/10)*(E879/1000),Skills!L6/10)+Skills!O6</f>
        <v/>
      </c>
      <c r="G879">
        <f>Skills!G6*IF(Skills!H6&gt;0,Skills!I6/Skills!H6,1)</f>
        <v/>
      </c>
      <c r="H879">
        <f>1-(1-Skills!J6/100)^Skills!K6</f>
        <v/>
      </c>
      <c r="I879" t="inlineStr">
        <is>
          <t>1</t>
        </is>
      </c>
      <c r="J879">
        <f>((Inputs!$B$6*(1+Inputs!$B$7/100))+(((Inputs!$B$12*(1+Inputs!$B$13/100))-(Inputs!$B$12*(1+Inputs!$B$13/100)))+0.25*(Inputs!$B$14-Inputs!$B$14))*(1+Inputs!$B$7/100))*(F879/100)</f>
        <v/>
      </c>
      <c r="K879">
        <f>J879*(1+((Inputs!$B$12*(1+Inputs!$B$13/100))*0.01+Inputs!$B$14*0.0025)/100)*(1+Inputs!$B$15/100)*(1+Inputs!$B$16/100)*(5000/(6000+Inputs!$B$42*(1-(Inputs!$B$19+0)/100)))*(1+(Inputs!$B$24+((C898=TRUE)*(F898-Calc!F25))+B908)/100)*(1+IF(Skills!A6="ENHANCED_RAGING_BLOW",IF(Inputs!$B$3&gt;=134,MAX(0,IF(Inputs!$B$3&gt;=110,7,5)-5)*50,0),0)/100)*(1+(IF(Skills!A6="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879)</f>
        <v/>
      </c>
      <c r="L879">
        <f>K879*(MIN(Inputs!$B$22+((C895=TRUE)*(F895-Calc!F22)),Inputs!$B$23+((C897=TRUE)*(F897-Calc!F24)))/100+(Inputs!$B$23+((C897=TRUE)*(F897-Calc!F24)))/100)/2</f>
        <v/>
      </c>
      <c r="M879">
        <f>L879*(1+(Inputs!$B$10+0+B907)/100)</f>
        <v/>
      </c>
      <c r="N879">
        <f>L879*(1-MIN((Inputs!$B$9+((C899=TRUE)*(F899-Calc!F26))+B902),100)/100)+M879*(MIN((Inputs!$B$9+((C899=TRUE)*(F899-Calc!F26))+B902),100)/100)</f>
        <v/>
      </c>
      <c r="O879">
        <f>(1-Summary!$B$55)*T879+Summary!$B$55*V879</f>
        <v/>
      </c>
      <c r="P879">
        <f>IF(B912=0,0,O879/B912)</f>
        <v/>
      </c>
      <c r="Q879">
        <f>IFERROR(1/IF(Inputs!$B$38="pvp",15,MAX(0.1,Skills!D6-IF(Skills!E6=TRUE,Inputs!$B$32,0))),0)</f>
        <v/>
      </c>
      <c r="R879">
        <f>IF(AND(Inputs!$B$38&lt;&gt;"pvp",Inputs!$B$43&gt;0),IF(MAX(0,Inputs!$B$43-B909)&lt;=0,0,(INT(MAX(0,Inputs!$B$43-B909)/IF(Inputs!$B$38="pvp",15,MAX(0.1,Skills!D6-IF(Skills!E6=TRUE,Inputs!$B$32,0))))+1)),0)</f>
        <v/>
      </c>
      <c r="S879">
        <f>IFERROR(O879/N879,0)</f>
        <v/>
      </c>
      <c r="T879">
        <f>IF(C879,(H879*N879*IF(AND(Inputs!$B$38&lt;&gt;"pvp",Inputs!$B$43&gt;0),((Skills!G6*((R879-1)*IF(Skills!H6&gt;0,Skills!I6/Skills!H6,1)+IF(Skills!H6&gt;0,MIN(Skills!I6,MAX(0,MAX(0,Inputs!$B$43-B909)-((R879-1)*IF(Inputs!$B$38="pvp",15,MAX(0.1,Skills!D6-IF(Skills!E6=TRUE,Inputs!$B$32,0))))))/Skills!H6,1)))/Inputs!$B$43),G879*Q879))*IF(Inputs!$B$38="pvp",1,1+(Inputs!$B$20+0+Skills!P6+Summary!$B$59)/100),0)</f>
        <v/>
      </c>
      <c r="V879">
        <f>IF(C879,(H879*N879*IF(AND(Inputs!$B$38&lt;&gt;"pvp",Inputs!$B$43&gt;0),((Skills!G6*((R879-1)*IF(Skills!H6&gt;0,Skills!I6/Skills!H6,1)+IF(Skills!H6&gt;0,MIN(Skills!I6,MAX(0,MAX(0,Inputs!$B$43-B909)-((R879-1)*IF(Inputs!$B$38="pvp",15,MAX(0.1,Skills!D6-IF(Skills!E6=TRUE,Inputs!$B$32,0))))))/Skills!H6,1)))/Inputs!$B$43),G879*Q879))*IF(Inputs!$B$38="pvp",1,(1+(Inputs!$B$21+Skills!Q6+Summary!$B$59)/100)*(MIN(Skills!R6,Inputs!$B$37))),0)</f>
        <v/>
      </c>
    </row>
    <row r="880">
      <c r="A880">
        <f>Skills!A7</f>
        <v/>
      </c>
      <c r="B880">
        <f>Skills!B7</f>
        <v/>
      </c>
      <c r="C880">
        <f>Inputs!$B$3&gt;=107</f>
        <v/>
      </c>
      <c r="D880">
        <f>IF(Skills!C7=1,60+Inputs!$B$25+(Inputs!$B$29+1),IF(Skills!C7=2,90+Inputs!$B$26+(Inputs!$B$29+1),IF(Skills!C7=3,120+Inputs!$B$27+(Inputs!$B$29+1),MAX(0,(Inputs!$B$3-100)*3)+Inputs!$B$28+(Inputs!$B$29+1))))</f>
        <v/>
      </c>
      <c r="E880">
        <f>INDEX(FactorTable!$B$2:$Y$301, MATCH(ROUND(MIN(300,MAX(1,D880)),0), FactorTable!$A$2:$A$301,0), Skills!M7+1)</f>
        <v/>
      </c>
      <c r="F880">
        <f>IF(Skills!N7=TRUE,(Skills!L7/10)*(E880/1000),Skills!L7/10)+Skills!O7</f>
        <v/>
      </c>
      <c r="G880">
        <f>Skills!G7*IF(Skills!H7&gt;0,Skills!I7/Skills!H7,1)</f>
        <v/>
      </c>
      <c r="H880">
        <f>1-(1-Skills!J7/100)^Skills!K7</f>
        <v/>
      </c>
      <c r="I880" t="inlineStr">
        <is>
          <t>1</t>
        </is>
      </c>
      <c r="J880">
        <f>((Inputs!$B$6*(1+Inputs!$B$7/100))+(((Inputs!$B$12*(1+Inputs!$B$13/100))-(Inputs!$B$12*(1+Inputs!$B$13/100)))+0.25*(Inputs!$B$14-Inputs!$B$14))*(1+Inputs!$B$7/100))*(F880/100)</f>
        <v/>
      </c>
      <c r="K880">
        <f>J880*(1+((Inputs!$B$12*(1+Inputs!$B$13/100))*0.01+Inputs!$B$14*0.0025)/100)*(1+Inputs!$B$15/100)*(1+Inputs!$B$16/100)*(5000/(6000+Inputs!$B$42*(1-(Inputs!$B$19+0)/100)))*(1+(Inputs!$B$24+((C898=TRUE)*(F898-Calc!F25))+B908)/100)*(1+IF(Skills!A7="ENHANCED_RAGING_BLOW",IF(Inputs!$B$3&gt;=134,MAX(0,IF(Inputs!$B$3&gt;=110,7,5)-5)*50,0),0)/100)*(1+(IF(Skills!A7="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880)</f>
        <v/>
      </c>
      <c r="L880">
        <f>K880*(MIN(Inputs!$B$22+((C895=TRUE)*(F895-Calc!F22)),Inputs!$B$23+((C897=TRUE)*(F897-Calc!F24)))/100+(Inputs!$B$23+((C897=TRUE)*(F897-Calc!F24)))/100)/2</f>
        <v/>
      </c>
      <c r="M880">
        <f>L880*(1+(Inputs!$B$10+0+B907)/100)</f>
        <v/>
      </c>
      <c r="N880">
        <f>L880*(1-MIN((Inputs!$B$9+((C899=TRUE)*(F899-Calc!F26))+B902),100)/100)+M880*(MIN((Inputs!$B$9+((C899=TRUE)*(F899-Calc!F26))+B902),100)/100)</f>
        <v/>
      </c>
      <c r="O880">
        <f>(1-Summary!$B$55)*T880+Summary!$B$55*V880</f>
        <v/>
      </c>
      <c r="P880">
        <f>IF(B912=0,0,O880/B912)</f>
        <v/>
      </c>
      <c r="Q880">
        <f>IFERROR(1/IF(Inputs!$B$38="pvp",15,MAX(0.1,Skills!D7-IF(Skills!E7=TRUE,Inputs!$B$32,0))),0)</f>
        <v/>
      </c>
      <c r="R880">
        <f>IF(AND(Inputs!$B$38&lt;&gt;"pvp",Inputs!$B$43&gt;0),IF(MAX(0,Inputs!$B$43-B909)&lt;=0,0,(INT(MAX(0,Inputs!$B$43-B909)/IF(Inputs!$B$38="pvp",15,MAX(0.1,Skills!D7-IF(Skills!E7=TRUE,Inputs!$B$32,0))))+1)),0)</f>
        <v/>
      </c>
      <c r="S880">
        <f>IFERROR(O880/N880,0)</f>
        <v/>
      </c>
      <c r="T880">
        <f>IF(C880,(H880*N880*IF(AND(Inputs!$B$38&lt;&gt;"pvp",Inputs!$B$43&gt;0),((Skills!G7*((R880-1)*IF(Skills!H7&gt;0,Skills!I7/Skills!H7,1)+IF(Skills!H7&gt;0,MIN(Skills!I7,MAX(0,MAX(0,Inputs!$B$43-B909)-((R880-1)*IF(Inputs!$B$38="pvp",15,MAX(0.1,Skills!D7-IF(Skills!E7=TRUE,Inputs!$B$32,0))))))/Skills!H7,1)))/Inputs!$B$43),G880*Q880))*IF(Inputs!$B$38="pvp",1,1+(Inputs!$B$20+0+Skills!P7+Summary!$B$59)/100),0)</f>
        <v/>
      </c>
      <c r="V880">
        <f>IF(C880,(H880*N880*IF(AND(Inputs!$B$38&lt;&gt;"pvp",Inputs!$B$43&gt;0),((Skills!G7*((R880-1)*IF(Skills!H7&gt;0,Skills!I7/Skills!H7,1)+IF(Skills!H7&gt;0,MIN(Skills!I7,MAX(0,MAX(0,Inputs!$B$43-B909)-((R880-1)*IF(Inputs!$B$38="pvp",15,MAX(0.1,Skills!D7-IF(Skills!E7=TRUE,Inputs!$B$32,0))))))/Skills!H7,1)))/Inputs!$B$43),G880*Q880))*IF(Inputs!$B$38="pvp",1,(1+(Inputs!$B$21+Skills!Q7+Summary!$B$59)/100)*(MIN(Skills!R7,Inputs!$B$37))),0)</f>
        <v/>
      </c>
    </row>
    <row r="881">
      <c r="A881">
        <f>Skills!A8</f>
        <v/>
      </c>
      <c r="B881">
        <f>Skills!B8</f>
        <v/>
      </c>
      <c r="C881">
        <f>Inputs!$B$3&gt;=117</f>
        <v/>
      </c>
      <c r="D881">
        <f>IF(Skills!C8=1,60+Inputs!$B$25+(Inputs!$B$29+1),IF(Skills!C8=2,90+Inputs!$B$26+(Inputs!$B$29+1),IF(Skills!C8=3,120+Inputs!$B$27+(Inputs!$B$29+1),MAX(0,(Inputs!$B$3-100)*3)+Inputs!$B$28+(Inputs!$B$29+1))))</f>
        <v/>
      </c>
      <c r="E881">
        <f>INDEX(FactorTable!$B$2:$Y$301, MATCH(ROUND(MIN(300,MAX(1,D881)),0), FactorTable!$A$2:$A$301,0), Skills!M8+1)</f>
        <v/>
      </c>
      <c r="F881">
        <f>IF(Skills!N8=TRUE,(Skills!L8/10)*(E881/1000),Skills!L8/10)+Skills!O8</f>
        <v/>
      </c>
      <c r="G881">
        <f>Skills!G8*IF(Skills!H8&gt;0,Skills!I8/Skills!H8,1)</f>
        <v/>
      </c>
      <c r="H881">
        <f>1-(1-Skills!J8/100)^Skills!K8</f>
        <v/>
      </c>
      <c r="I881" t="inlineStr">
        <is>
          <t>1</t>
        </is>
      </c>
      <c r="J881">
        <f>((Inputs!$B$6*(1+Inputs!$B$7/100))+(((Inputs!$B$12*(1+Inputs!$B$13/100))-(Inputs!$B$12*(1+Inputs!$B$13/100)))+0.25*(Inputs!$B$14-Inputs!$B$14))*(1+Inputs!$B$7/100))*(F881/100)</f>
        <v/>
      </c>
      <c r="K881">
        <f>J881*(1+((Inputs!$B$12*(1+Inputs!$B$13/100))*0.01+Inputs!$B$14*0.0025)/100)*(1+Inputs!$B$15/100)*(1+Inputs!$B$16/100)*(5000/(6000+Inputs!$B$42*(1-(Inputs!$B$19+0)/100)))*(1+(Inputs!$B$24+((C898=TRUE)*(F898-Calc!F25))+B908)/100)*(1+IF(Skills!A8="ENHANCED_RAGING_BLOW",IF(Inputs!$B$3&gt;=134,MAX(0,IF(Inputs!$B$3&gt;=110,7,5)-5)*50,0),0)/100)*(1+(IF(Skills!A8="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881)</f>
        <v/>
      </c>
      <c r="L881">
        <f>K881*(MIN(Inputs!$B$22+((C895=TRUE)*(F895-Calc!F22)),Inputs!$B$23+((C897=TRUE)*(F897-Calc!F24)))/100+(Inputs!$B$23+((C897=TRUE)*(F897-Calc!F24)))/100)/2</f>
        <v/>
      </c>
      <c r="M881">
        <f>L881*(1+(Inputs!$B$10+0+B907)/100)</f>
        <v/>
      </c>
      <c r="N881">
        <f>L881*(1-MIN((Inputs!$B$9+((C899=TRUE)*(F899-Calc!F26))+B902),100)/100)+M881*(MIN((Inputs!$B$9+((C899=TRUE)*(F899-Calc!F26))+B902),100)/100)</f>
        <v/>
      </c>
      <c r="O881">
        <f>(1-Summary!$B$55)*T881+Summary!$B$55*V881</f>
        <v/>
      </c>
      <c r="P881">
        <f>IF(B912=0,0,O881/B912)</f>
        <v/>
      </c>
      <c r="Q881">
        <f>IFERROR(1/IF(Inputs!$B$38="pvp",15,MAX(0.1,Skills!D8-IF(Skills!E8=TRUE,Inputs!$B$32,0))),0)</f>
        <v/>
      </c>
      <c r="R881">
        <f>IF(AND(Inputs!$B$38&lt;&gt;"pvp",Inputs!$B$43&gt;0),IF(MAX(0,Inputs!$B$43-B909)&lt;=0,0,(INT(MAX(0,Inputs!$B$43-B909)/IF(Inputs!$B$38="pvp",15,MAX(0.1,Skills!D8-IF(Skills!E8=TRUE,Inputs!$B$32,0))))+1)),0)</f>
        <v/>
      </c>
      <c r="S881">
        <f>IFERROR(O881/N881,0)</f>
        <v/>
      </c>
      <c r="T881">
        <f>IF(C881,(H881*N881*IF(AND(Inputs!$B$38&lt;&gt;"pvp",Inputs!$B$43&gt;0),((Skills!G8*((R881-1)*IF(Skills!H8&gt;0,Skills!I8/Skills!H8,1)+IF(Skills!H8&gt;0,MIN(Skills!I8,MAX(0,MAX(0,Inputs!$B$43-B909)-((R881-1)*IF(Inputs!$B$38="pvp",15,MAX(0.1,Skills!D8-IF(Skills!E8=TRUE,Inputs!$B$32,0))))))/Skills!H8,1)))/Inputs!$B$43),G881*Q881))*IF(Inputs!$B$38="pvp",1,1+(Inputs!$B$20+0+Skills!P8+Summary!$B$59)/100),0)</f>
        <v/>
      </c>
      <c r="V881">
        <f>IF(C881,(H881*N881*IF(AND(Inputs!$B$38&lt;&gt;"pvp",Inputs!$B$43&gt;0),((Skills!G8*((R881-1)*IF(Skills!H8&gt;0,Skills!I8/Skills!H8,1)+IF(Skills!H8&gt;0,MIN(Skills!I8,MAX(0,MAX(0,Inputs!$B$43-B909)-((R881-1)*IF(Inputs!$B$38="pvp",15,MAX(0.1,Skills!D8-IF(Skills!E8=TRUE,Inputs!$B$32,0))))))/Skills!H8,1)))/Inputs!$B$43),G881*Q881))*IF(Inputs!$B$38="pvp",1,(1+(Inputs!$B$21+Skills!Q8+Summary!$B$59)/100)*(MIN(Skills!R8,Inputs!$B$37))),0)</f>
        <v/>
      </c>
    </row>
    <row r="882">
      <c r="A882">
        <f>Skills!A9</f>
        <v/>
      </c>
      <c r="B882">
        <f>Skills!B9</f>
        <v/>
      </c>
      <c r="C882">
        <f>Inputs!$B$3&gt;=69</f>
        <v/>
      </c>
      <c r="D882">
        <f>IF(Skills!C9=1,60+Inputs!$B$25+(Inputs!$B$29+1),IF(Skills!C9=2,90+Inputs!$B$26+(Inputs!$B$29+1),IF(Skills!C9=3,120+Inputs!$B$27+(Inputs!$B$29+1),MAX(0,(Inputs!$B$3-100)*3)+Inputs!$B$28+(Inputs!$B$29+1))))</f>
        <v/>
      </c>
      <c r="E882">
        <f>INDEX(FactorTable!$B$2:$Y$301, MATCH(ROUND(MIN(300,MAX(1,D882)),0), FactorTable!$A$2:$A$301,0), Skills!M9+1)</f>
        <v/>
      </c>
      <c r="F882">
        <f>IF(Skills!N9=TRUE,(Skills!L9/10)*(E882/1000),Skills!L9/10)+Skills!O9</f>
        <v/>
      </c>
      <c r="G882">
        <f>Skills!G9*IF(Skills!H9&gt;0,Skills!I9/Skills!H9,1)</f>
        <v/>
      </c>
      <c r="H882">
        <f>1-(1-Skills!J9/100)^Skills!K9</f>
        <v/>
      </c>
      <c r="I882" t="inlineStr">
        <is>
          <t>1</t>
        </is>
      </c>
      <c r="J882">
        <f>((Inputs!$B$6*(1+Inputs!$B$7/100))+(((Inputs!$B$12*(1+Inputs!$B$13/100))-(Inputs!$B$12*(1+Inputs!$B$13/100)))+0.25*(Inputs!$B$14-Inputs!$B$14))*(1+Inputs!$B$7/100))*(F882/100)</f>
        <v/>
      </c>
      <c r="K882">
        <f>J882*(1+((Inputs!$B$12*(1+Inputs!$B$13/100))*0.01+Inputs!$B$14*0.0025)/100)*(1+Inputs!$B$15/100)*(1+Inputs!$B$16/100)*(5000/(6000+Inputs!$B$42*(1-(Inputs!$B$19+0)/100)))*(1+(Inputs!$B$24+((C898=TRUE)*(F898-Calc!F25))+B908)/100)*(1+1.0*IF(C885=TRUE,F885,0)/100)*(1+IF(Skills!A9="ENHANCED_RAGING_BLOW",IF(Inputs!$B$3&gt;=134,MAX(0,IF(Inputs!$B$3&gt;=110,7,5)-5)*50,0),0)/100)*(1+(IF(Skills!A9="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882)</f>
        <v/>
      </c>
      <c r="L882">
        <f>K882*(MIN(Inputs!$B$22+((C895=TRUE)*(F895-Calc!F22)),Inputs!$B$23+((C897=TRUE)*(F897-Calc!F24)))/100+(Inputs!$B$23+((C897=TRUE)*(F897-Calc!F24)))/100)/2</f>
        <v/>
      </c>
      <c r="M882">
        <f>L882*(1+(Inputs!$B$10+0+B907)/100)</f>
        <v/>
      </c>
      <c r="N882">
        <f>L882*(1-MIN((Inputs!$B$9+((C899=TRUE)*(F899-Calc!F26))+B902),100)/100)+M882*(MIN((Inputs!$B$9+((C899=TRUE)*(F899-Calc!F26))+B902),100)/100)</f>
        <v/>
      </c>
      <c r="O882">
        <f>(1-Summary!$B$55)*T882+Summary!$B$55*V882</f>
        <v/>
      </c>
      <c r="P882">
        <f>IF(B912=0,0,O882/B912)</f>
        <v/>
      </c>
      <c r="Q882">
        <f>IFERROR(1/IF(Inputs!$B$38="pvp",15,MAX(0.1,Skills!D9-IF(Skills!E9=TRUE,Inputs!$B$32,0))),0)</f>
        <v/>
      </c>
      <c r="R882">
        <f>IF(AND(Inputs!$B$38&lt;&gt;"pvp",Inputs!$B$43&gt;0),IF(MAX(0,Inputs!$B$43-B909)&lt;=0,0,(INT(MAX(0,Inputs!$B$43-B909)/IF(Inputs!$B$38="pvp",15,MAX(0.1,Skills!D9-IF(Skills!E9=TRUE,Inputs!$B$32,0))))+1)),0)</f>
        <v/>
      </c>
      <c r="S882">
        <f>IFERROR(O882/N882,0)</f>
        <v/>
      </c>
      <c r="T882">
        <f>IF(C882,(H882*N882*IF(AND(Inputs!$B$38&lt;&gt;"pvp",Inputs!$B$43&gt;0),((Skills!G9*((R882-1)*IF(Skills!H9&gt;0,Skills!I9/Skills!H9,1)+IF(Skills!H9&gt;0,MIN(Skills!I9,MAX(0,MAX(0,Inputs!$B$43-B909)-((R882-1)*IF(Inputs!$B$38="pvp",15,MAX(0.1,Skills!D9-IF(Skills!E9=TRUE,Inputs!$B$32,0))))))/Skills!H9,1)))/Inputs!$B$43),G882*Q882))*IF(Inputs!$B$38="pvp",1,1+(Inputs!$B$20+0+Skills!P9+Summary!$B$59)/100),0)</f>
        <v/>
      </c>
      <c r="V882">
        <f>IF(C882,(H882*N882*IF(AND(Inputs!$B$38&lt;&gt;"pvp",Inputs!$B$43&gt;0),((Skills!G9*((R882-1)*IF(Skills!H9&gt;0,Skills!I9/Skills!H9,1)+IF(Skills!H9&gt;0,MIN(Skills!I9,MAX(0,MAX(0,Inputs!$B$43-B909)-((R882-1)*IF(Inputs!$B$38="pvp",15,MAX(0.1,Skills!D9-IF(Skills!E9=TRUE,Inputs!$B$32,0))))))/Skills!H9,1)))/Inputs!$B$43),G882*Q882))*IF(Inputs!$B$38="pvp",1,(1+(Inputs!$B$21+Skills!Q9+Summary!$B$59)/100)*(MIN(Skills!R9,Inputs!$B$37))),0)</f>
        <v/>
      </c>
    </row>
    <row r="883">
      <c r="A883">
        <f>Skills!A10</f>
        <v/>
      </c>
      <c r="B883">
        <f>Skills!B10</f>
        <v/>
      </c>
      <c r="C883">
        <f>Inputs!$B$3&gt;=63</f>
        <v/>
      </c>
      <c r="D883">
        <f>IF(Skills!C10=1,60+Inputs!$B$25+(Inputs!$B$29+1),IF(Skills!C10=2,90+Inputs!$B$26+(Inputs!$B$29+1),IF(Skills!C10=3,120+Inputs!$B$27+(Inputs!$B$29+1),MAX(0,(Inputs!$B$3-100)*3)+Inputs!$B$28+(Inputs!$B$29+1))))</f>
        <v/>
      </c>
      <c r="E883">
        <f>INDEX(FactorTable!$B$2:$Y$301, MATCH(ROUND(MIN(300,MAX(1,D883)),0), FactorTable!$A$2:$A$301,0), Skills!M10+1)</f>
        <v/>
      </c>
      <c r="F883">
        <f>IF(Skills!N10=TRUE,(Skills!L10/10)*(E883/1000),Skills!L10/10)+Skills!O10</f>
        <v/>
      </c>
      <c r="G883">
        <f>Skills!G10*IF(Skills!H10&gt;0,Skills!I10/Skills!H10,1)</f>
        <v/>
      </c>
      <c r="H883">
        <f>1-(1-Skills!J10/100)^Skills!K10</f>
        <v/>
      </c>
      <c r="I883" t="inlineStr">
        <is>
          <t>1</t>
        </is>
      </c>
      <c r="J883">
        <f>((Inputs!$B$6*(1+Inputs!$B$7/100))+(((Inputs!$B$12*(1+Inputs!$B$13/100))-(Inputs!$B$12*(1+Inputs!$B$13/100)))+0.25*(Inputs!$B$14-Inputs!$B$14))*(1+Inputs!$B$7/100))*(F883/100)</f>
        <v/>
      </c>
      <c r="K883">
        <f>J883*(1+((Inputs!$B$12*(1+Inputs!$B$13/100))*0.01+Inputs!$B$14*0.0025)/100)*(1+Inputs!$B$15/100)*(1+Inputs!$B$16/100)*(5000/(6000+Inputs!$B$42*(1-(Inputs!$B$19+0)/100)))*(1+(Inputs!$B$24+((C898=TRUE)*(F898-Calc!F25))+B908)/100)*(1+1.5*IF(C885=TRUE,F885,0)/100)*(1+IF(Skills!A10="ENHANCED_RAGING_BLOW",IF(Inputs!$B$3&gt;=134,MAX(0,IF(Inputs!$B$3&gt;=110,7,5)-5)*50,0),0)/100)*(1+(IF(Skills!A10="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883)</f>
        <v/>
      </c>
      <c r="L883">
        <f>K883*(MIN(Inputs!$B$22+((C895=TRUE)*(F895-Calc!F22)),Inputs!$B$23+((C897=TRUE)*(F897-Calc!F24)))/100+(Inputs!$B$23+((C897=TRUE)*(F897-Calc!F24)))/100)/2</f>
        <v/>
      </c>
      <c r="M883">
        <f>L883*(1+(Inputs!$B$10+0+B907)/100)</f>
        <v/>
      </c>
      <c r="N883">
        <f>L883*(1-MIN((Inputs!$B$9+((C899=TRUE)*(F899-Calc!F26))+B902),100)/100)+M883*(MIN((Inputs!$B$9+((C899=TRUE)*(F899-Calc!F26))+B902),100)/100)</f>
        <v/>
      </c>
      <c r="O883">
        <f>(1-Summary!$B$55)*T883+Summary!$B$55*V883</f>
        <v/>
      </c>
      <c r="P883">
        <f>IF(B912=0,0,O883/B912)</f>
        <v/>
      </c>
      <c r="Q883">
        <f>IFERROR(1/IF(Inputs!$B$38="pvp",15,MAX(0.1,Skills!D10-IF(Skills!E10=TRUE,Inputs!$B$32,0))),0)</f>
        <v/>
      </c>
      <c r="R883">
        <f>IF(AND(Inputs!$B$38&lt;&gt;"pvp",Inputs!$B$43&gt;0),IF(MAX(0,Inputs!$B$43-B909)&lt;=0,0,(INT(MAX(0,Inputs!$B$43-B909)/IF(Inputs!$B$38="pvp",15,MAX(0.1,Skills!D10-IF(Skills!E10=TRUE,Inputs!$B$32,0))))+1)),0)</f>
        <v/>
      </c>
      <c r="S883">
        <f>IFERROR(O883/N883,0)</f>
        <v/>
      </c>
      <c r="T883">
        <f>IF(C883,(H883*N883*IF(AND(Inputs!$B$38&lt;&gt;"pvp",Inputs!$B$43&gt;0),((Skills!G10*((R883-1)*IF(Skills!H10&gt;0,Skills!I10/Skills!H10,1)+IF(Skills!H10&gt;0,MIN(Skills!I10,MAX(0,MAX(0,Inputs!$B$43-B909)-((R883-1)*IF(Inputs!$B$38="pvp",15,MAX(0.1,Skills!D10-IF(Skills!E10=TRUE,Inputs!$B$32,0))))))/Skills!H10,1)))/Inputs!$B$43),G883*Q883))*IF(Inputs!$B$38="pvp",1,1+(Inputs!$B$20+0+Skills!P10+Summary!$B$59)/100),0)</f>
        <v/>
      </c>
      <c r="V883">
        <f>IF(C883,(H883*N883*IF(AND(Inputs!$B$38&lt;&gt;"pvp",Inputs!$B$43&gt;0),((Skills!G10*((R883-1)*IF(Skills!H10&gt;0,Skills!I10/Skills!H10,1)+IF(Skills!H10&gt;0,MIN(Skills!I10,MAX(0,MAX(0,Inputs!$B$43-B909)-((R883-1)*IF(Inputs!$B$38="pvp",15,MAX(0.1,Skills!D10-IF(Skills!E10=TRUE,Inputs!$B$32,0))))))/Skills!H10,1)))/Inputs!$B$43),G883*Q883))*IF(Inputs!$B$38="pvp",1,(1+(Inputs!$B$21+Skills!Q10+Summary!$B$59)/100)*(MIN(Skills!R10,Inputs!$B$37))),0)</f>
        <v/>
      </c>
    </row>
    <row r="884">
      <c r="A884">
        <f>Skills!A11</f>
        <v/>
      </c>
      <c r="B884">
        <f>Skills!B11</f>
        <v/>
      </c>
      <c r="C884">
        <f>Inputs!$B$3&gt;=35</f>
        <v/>
      </c>
      <c r="D884">
        <f>IF(Skills!C11=1,60+Inputs!$B$25+(Inputs!$B$29+1),IF(Skills!C11=2,90+Inputs!$B$26+(Inputs!$B$29+1),IF(Skills!C11=3,120+Inputs!$B$27+(Inputs!$B$29+1),MAX(0,(Inputs!$B$3-100)*3)+Inputs!$B$28+(Inputs!$B$29+1))))</f>
        <v/>
      </c>
      <c r="E884">
        <f>INDEX(FactorTable!$B$2:$Y$301, MATCH(ROUND(MIN(300,MAX(1,D884)),0), FactorTable!$A$2:$A$301,0), Skills!M11+1)</f>
        <v/>
      </c>
      <c r="F884">
        <f>IF(Skills!N11=TRUE,(Skills!L11/10)*(E884/1000),Skills!L11/10)+Skills!O11</f>
        <v/>
      </c>
      <c r="G884">
        <f>Skills!G11*IF(Skills!H11&gt;0,Skills!I11/Skills!H11,1)</f>
        <v/>
      </c>
      <c r="H884">
        <f>1-(1-Skills!J11/100)^Skills!K11</f>
        <v/>
      </c>
      <c r="I884" t="inlineStr">
        <is>
          <t>1</t>
        </is>
      </c>
      <c r="J884">
        <f>((Inputs!$B$6*(1+Inputs!$B$7/100))+(((Inputs!$B$12*(1+Inputs!$B$13/100))-(Inputs!$B$12*(1+Inputs!$B$13/100)))+0.25*(Inputs!$B$14-Inputs!$B$14))*(1+Inputs!$B$7/100))*(F884/100)</f>
        <v/>
      </c>
      <c r="K884">
        <f>J884*(1+((Inputs!$B$12*(1+Inputs!$B$13/100))*0.01+Inputs!$B$14*0.0025)/100)*(1+Inputs!$B$15/100)*(1+Inputs!$B$16/100)*(5000/(6000+Inputs!$B$42*(1-(Inputs!$B$19+0)/100)))*(1+(Inputs!$B$24+((C898=TRUE)*(F898-Calc!F25))+B908)/100)*(1+4.0*IF(C885=TRUE,F885,0)/100)*(1+IF(Skills!A11="ENHANCED_RAGING_BLOW",IF(Inputs!$B$3&gt;=134,MAX(0,IF(Inputs!$B$3&gt;=110,7,5)-5)*50,0),0)/100)*(1+(IF(Skills!A11="RAGING_BLOW",Inputs!$B$17+((C894=TRUE)*(F894-Calc!F21)),Inputs!$B$18+((C896=TRUE)*(F896-Calc!F23))))/100)*((1+(((C886=TRUE)*F886*IF(Inputs!$B$3&gt;=110,7,5))+((C888=TRUE)*F888*IF(AND(Inputs!$B$38&lt;&gt;"pvp",Inputs!$B$43&gt;0),(((R888-1)*(Skills!T15*(1+Inputs!$B$34/100))+MIN((Skills!T15*(1+Inputs!$B$34/100)),MAX(0,Inputs!$B$43-((R888-1)*Skills!D15))))/Inputs!$B$43),IF(Inputs!$B$38="pvp",MIN((Skills!T15*(1+Inputs!$B$34/100)),15)/15,(Skills!T15*(1+Inputs!$B$34/100))/Skills!D15)))+0)/100)*I884)</f>
        <v/>
      </c>
      <c r="L884">
        <f>K884*(MIN(Inputs!$B$22+((C895=TRUE)*(F895-Calc!F22)),Inputs!$B$23+((C897=TRUE)*(F897-Calc!F24)))/100+(Inputs!$B$23+((C897=TRUE)*(F897-Calc!F24)))/100)/2</f>
        <v/>
      </c>
      <c r="M884">
        <f>L884*(1+(Inputs!$B$10+0+B907)/100)</f>
        <v/>
      </c>
      <c r="N884">
        <f>L884*(1-MIN((Inputs!$B$9+((C899=TRUE)*(F899-Calc!F26))+B902),100)/100)+M884*(MIN((Inputs!$B$9+((C899=TRUE)*(F899-Calc!F26))+B902),100)/100)</f>
        <v/>
      </c>
      <c r="O884">
        <f>(1-Summary!$B$55)*T884+Summary!$B$55*V884</f>
        <v/>
      </c>
      <c r="P884">
        <f>IF(B912=0,0,O884/B912)</f>
        <v/>
      </c>
      <c r="Q884">
        <f>IFERROR(1/IF(Inputs!$B$38="pvp",15,MAX(0.1,Skills!D11-IF(Skills!E11=TRUE,Inputs!$B$32,0))),0)</f>
        <v/>
      </c>
      <c r="R884">
        <f>IF(AND(Inputs!$B$38&lt;&gt;"pvp",Inputs!$B$43&gt;0),IF(MAX(0,Inputs!$B$43-B909)&lt;=0,0,(INT(MAX(0,Inputs!$B$43-B909)/IF(Inputs!$B$38="pvp",15,MAX(0.1,Skills!D11-IF(Skills!E11=TRUE,Inputs!$B$32,0))))+1)),0)</f>
        <v/>
      </c>
      <c r="S884">
        <f>IFERROR(O884/N884,0)</f>
        <v/>
      </c>
      <c r="T884">
        <f>IF(C884,(H884*N884*IF(AND(Inputs!$B$38&lt;&gt;"pvp",Inputs!$B$43&gt;0),((Skills!G11*((R884-1)*IF(Skills!H11&gt;0,Skills!I11/Skills!H11,1)+IF(Skills!H11&gt;0,MIN(Skills!I11,MAX(0,MAX(0,Inputs!$B$43-B909)-((R884-1)*IF(Inputs!$B$38="pvp",15,MAX(0.1,Skills!D11-IF(Skills!E11=TRUE,Inputs!$B$32,0))))))/Skills!H11,1)))/Inputs!$B$43),G884*Q884))*IF(Inputs!$B$38="pvp",1,1+(Inputs!$B$20+0+Skills!P11+Summary!$B$59)/100),0)</f>
        <v/>
      </c>
      <c r="V884">
        <f>IF(C884,(H884*N884*IF(AND(Inputs!$B$38&lt;&gt;"pvp",Inputs!$B$43&gt;0),((Skills!G11*((R884-1)*IF(Skills!H11&gt;0,Skills!I11/Skills!H11,1)+IF(Skills!H11&gt;0,MIN(Skills!I11,MAX(0,MAX(0,Inputs!$B$43-B909)-((R884-1)*IF(Inputs!$B$38="pvp",15,MAX(0.1,Skills!D11-IF(Skills!E11=TRUE,Inputs!$B$32,0))))))/Skills!H11,1)))/Inputs!$B$43),G884*Q884))*IF(Inputs!$B$38="pvp",1,(1+(Inputs!$B$21+Skills!Q11+Summary!$B$59)/100)*(MIN(Skills!R11,Inputs!$B$37))),0)</f>
        <v/>
      </c>
    </row>
    <row r="885">
      <c r="A885">
        <f>Skills!A12</f>
        <v/>
      </c>
      <c r="B885">
        <f>Skills!B12</f>
        <v/>
      </c>
      <c r="C885">
        <f>Inputs!$B$3&gt;=100</f>
        <v/>
      </c>
      <c r="D885">
        <f>IF(Skills!C12=1,60+Inputs!$B$25+(Inputs!$B$29+1),IF(Skills!C12=2,90+Inputs!$B$26+(Inputs!$B$29+1),IF(Skills!C12=3,120+Inputs!$B$27+(Inputs!$B$29+1),MAX(0,(Inputs!$B$3-100)*3)+Inputs!$B$28+(Inputs!$B$29+1))))</f>
        <v/>
      </c>
      <c r="E885">
        <f>INDEX(FactorTable!$B$2:$Y$301, MATCH(ROUND(MIN(300,MAX(1,D885)),0), FactorTable!$A$2:$A$301,0), Skills!M12+1)</f>
        <v/>
      </c>
      <c r="F885">
        <f>IF(Skills!N12=TRUE,(Skills!L12/10)*(E885/1000),Skills!L12/10)+Skills!O12</f>
        <v/>
      </c>
      <c r="G885" t="inlineStr"/>
      <c r="H885" t="inlineStr"/>
      <c r="I885" t="inlineStr">
        <is>
          <t>1</t>
        </is>
      </c>
      <c r="J885" t="inlineStr"/>
      <c r="K885" t="inlineStr"/>
      <c r="L885" t="inlineStr"/>
      <c r="M885" t="inlineStr"/>
      <c r="N885" t="inlineStr"/>
      <c r="O885" t="inlineStr"/>
      <c r="P885" t="inlineStr"/>
      <c r="Q885" t="inlineStr"/>
      <c r="R885" t="inlineStr"/>
      <c r="S885" t="inlineStr"/>
    </row>
    <row r="886">
      <c r="A886">
        <f>Skills!A13</f>
        <v/>
      </c>
      <c r="B886">
        <f>Skills!B13</f>
        <v/>
      </c>
      <c r="C886">
        <f>Inputs!$B$3&gt;=45</f>
        <v/>
      </c>
      <c r="D886">
        <f>IF(Skills!C13=1,60+Inputs!$B$25+(Inputs!$B$29+1),IF(Skills!C13=2,90+Inputs!$B$26+(Inputs!$B$29+1),IF(Skills!C13=3,120+Inputs!$B$27+(Inputs!$B$29+1),MAX(0,(Inputs!$B$3-100)*3)+Inputs!$B$28+(Inputs!$B$29+1))))</f>
        <v/>
      </c>
      <c r="E886">
        <f>INDEX(FactorTable!$B$2:$Y$301, MATCH(ROUND(MIN(300,MAX(1,D886)),0), FactorTable!$A$2:$A$301,0), Skills!M13+1)</f>
        <v/>
      </c>
      <c r="F886">
        <f>IF(Skills!N13=TRUE,(Skills!L13/10)*(E886/1000),Skills!L13/10)+Skills!O13</f>
        <v/>
      </c>
      <c r="G886">
        <f>Skills!G13*IF(Skills!H13&gt;0,Skills!I13/Skills!H13,1)</f>
        <v/>
      </c>
      <c r="H886">
        <f>1-(1-Skills!J13/100)^Skills!K13</f>
        <v/>
      </c>
      <c r="I886" t="inlineStr">
        <is>
          <t>1</t>
        </is>
      </c>
      <c r="J886" t="inlineStr"/>
      <c r="K886" t="inlineStr"/>
      <c r="L886" t="inlineStr"/>
      <c r="M886" t="inlineStr"/>
      <c r="N886" t="inlineStr"/>
      <c r="O886">
        <f>(1-Summary!$B$55)*T886+Summary!$B$55*V886</f>
        <v/>
      </c>
      <c r="P886">
        <f>IF(B912=0,0,O886/B912)</f>
        <v/>
      </c>
      <c r="Q886" t="n">
        <v>0</v>
      </c>
      <c r="R886" t="n">
        <v>0</v>
      </c>
      <c r="S886">
        <f>IFERROR(O886/N886,0)</f>
        <v/>
      </c>
      <c r="T886" t="n">
        <v>0</v>
      </c>
      <c r="V886" t="n">
        <v>0</v>
      </c>
    </row>
    <row r="887">
      <c r="A887">
        <f>Skills!A14</f>
        <v/>
      </c>
      <c r="B887">
        <f>Skills!B14</f>
        <v/>
      </c>
      <c r="C887">
        <f>Inputs!$B$3&gt;=75</f>
        <v/>
      </c>
      <c r="D887">
        <f>IF(Skills!C14=1,60+Inputs!$B$25+(Inputs!$B$29+1),IF(Skills!C14=2,90+Inputs!$B$26+(Inputs!$B$29+1),IF(Skills!C14=3,120+Inputs!$B$27+(Inputs!$B$29+1),MAX(0,(Inputs!$B$3-100)*3)+Inputs!$B$28+(Inputs!$B$29+1))))</f>
        <v/>
      </c>
      <c r="E887">
        <f>INDEX(FactorTable!$B$2:$Y$301, MATCH(ROUND(MIN(300,MAX(1,D887)),0), FactorTable!$A$2:$A$301,0), Skills!M14+1)</f>
        <v/>
      </c>
      <c r="F887">
        <f>IF(Skills!N14=TRUE,(Skills!L14/10)*(E887/1000),Skills!L14/10)+Skills!O14</f>
        <v/>
      </c>
      <c r="G887">
        <f>Skills!G14*IF(Skills!H14&gt;0,Skills!I14/Skills!H14,1)</f>
        <v/>
      </c>
      <c r="H887">
        <f>1-(1-Skills!J14/100)^Skills!K14</f>
        <v/>
      </c>
      <c r="I887" t="inlineStr">
        <is>
          <t>1</t>
        </is>
      </c>
      <c r="J887" t="inlineStr"/>
      <c r="K887" t="inlineStr"/>
      <c r="L887" t="inlineStr"/>
      <c r="M887" t="inlineStr"/>
      <c r="N887" t="inlineStr"/>
      <c r="O887">
        <f>(1-Summary!$B$55)*T887+Summary!$B$55*V887</f>
        <v/>
      </c>
      <c r="P887">
        <f>IF(B912=0,0,O887/B912)</f>
        <v/>
      </c>
      <c r="Q887" t="n">
        <v>0</v>
      </c>
      <c r="R887" t="n">
        <v>0</v>
      </c>
      <c r="S887">
        <f>IFERROR(O887/N887,0)</f>
        <v/>
      </c>
      <c r="T887" t="n">
        <v>0</v>
      </c>
      <c r="V887" t="n">
        <v>0</v>
      </c>
    </row>
    <row r="888">
      <c r="A888">
        <f>Skills!A15</f>
        <v/>
      </c>
      <c r="B888">
        <f>Skills!B15</f>
        <v/>
      </c>
      <c r="C888">
        <f>Inputs!$B$3&gt;=40</f>
        <v/>
      </c>
      <c r="D888">
        <f>IF(Skills!C15=1,60+Inputs!$B$25+(Inputs!$B$29+1),IF(Skills!C15=2,90+Inputs!$B$26+(Inputs!$B$29+1),IF(Skills!C15=3,120+Inputs!$B$27+(Inputs!$B$29+1),MAX(0,(Inputs!$B$3-100)*3)+Inputs!$B$28+(Inputs!$B$29+1))))</f>
        <v/>
      </c>
      <c r="E888">
        <f>INDEX(FactorTable!$B$2:$Y$301, MATCH(ROUND(MIN(300,MAX(1,D888)),0), FactorTable!$A$2:$A$301,0), Skills!M15+1)</f>
        <v/>
      </c>
      <c r="F888">
        <f>IF(Skills!N15=TRUE,(Skills!L15/10)*(E888/1000),Skills!L15/10)+Skills!O15</f>
        <v/>
      </c>
      <c r="G888">
        <f>Skills!G15*IF(Skills!H15&gt;0,Skills!I15/Skills!H15,1)</f>
        <v/>
      </c>
      <c r="H888">
        <f>1-(1-Skills!J15/100)^Skills!K15</f>
        <v/>
      </c>
      <c r="I888" t="inlineStr">
        <is>
          <t>1</t>
        </is>
      </c>
      <c r="J888" t="inlineStr"/>
      <c r="K888" t="inlineStr"/>
      <c r="L888" t="inlineStr"/>
      <c r="M888" t="inlineStr"/>
      <c r="N888" t="inlineStr"/>
      <c r="O888">
        <f>(1-Summary!$B$55)*T888+Summary!$B$55*V888</f>
        <v/>
      </c>
      <c r="P888">
        <f>IF(B912=0,0,O888/B912)</f>
        <v/>
      </c>
      <c r="Q888">
        <f>IFERROR(1/IF(Inputs!$B$38="pvp",15,MAX(0.1,Skills!D15-IF(Skills!E15=TRUE,Inputs!$B$32,0))),0)</f>
        <v/>
      </c>
      <c r="R888">
        <f>IF(AND(Inputs!$B$38&lt;&gt;"pvp",Inputs!$B$43&gt;0),IF(Inputs!$B$43&lt;=0,0,(INT(Inputs!$B$43/IF(Inputs!$B$38="pvp",15,MAX(0.1,Skills!D15-IF(Skills!E15=TRUE,Inputs!$B$32,0))))+1)),0)</f>
        <v/>
      </c>
      <c r="S888">
        <f>IFERROR(O888/N888,0)</f>
        <v/>
      </c>
      <c r="T888" t="n">
        <v>0</v>
      </c>
      <c r="V888" t="n">
        <v>0</v>
      </c>
    </row>
    <row r="889">
      <c r="A889">
        <f>Skills!A16</f>
        <v/>
      </c>
      <c r="B889">
        <f>Skills!B16</f>
        <v/>
      </c>
      <c r="C889">
        <f>Inputs!$B$3&gt;=66</f>
        <v/>
      </c>
      <c r="D889">
        <f>IF(Skills!C16=1,60+Inputs!$B$25+(Inputs!$B$29+1),IF(Skills!C16=2,90+Inputs!$B$26+(Inputs!$B$29+1),IF(Skills!C16=3,120+Inputs!$B$27+(Inputs!$B$29+1),MAX(0,(Inputs!$B$3-100)*3)+Inputs!$B$28+(Inputs!$B$29+1))))</f>
        <v/>
      </c>
      <c r="E889">
        <f>INDEX(FactorTable!$B$2:$Y$301, MATCH(ROUND(MIN(300,MAX(1,D889)),0), FactorTable!$A$2:$A$301,0), Skills!M16+1)</f>
        <v/>
      </c>
      <c r="F889">
        <f>IF(Skills!N16=TRUE,(Skills!L16/10)*(E889/1000),Skills!L16/10)+Skills!O16</f>
        <v/>
      </c>
      <c r="G889">
        <f>Skills!G16*IF(Skills!H16&gt;0,Skills!I16/Skills!H16,1)</f>
        <v/>
      </c>
      <c r="H889">
        <f>1-(1-Skills!J16/100)^Skills!K16</f>
        <v/>
      </c>
      <c r="I889" t="inlineStr">
        <is>
          <t>1</t>
        </is>
      </c>
      <c r="J889" t="inlineStr"/>
      <c r="K889" t="inlineStr"/>
      <c r="L889" t="inlineStr"/>
      <c r="M889" t="inlineStr"/>
      <c r="N889" t="inlineStr"/>
      <c r="O889">
        <f>(1-Summary!$B$55)*T889+Summary!$B$55*V889</f>
        <v/>
      </c>
      <c r="P889">
        <f>IF(B912=0,0,O889/B912)</f>
        <v/>
      </c>
      <c r="Q889">
        <f>IFERROR(1/IF(Inputs!$B$38="pvp",15,MAX(0.1,Skills!D16-IF(Skills!E16=TRUE,Inputs!$B$32,0))),0)</f>
        <v/>
      </c>
      <c r="R889">
        <f>IF(AND(Inputs!$B$38&lt;&gt;"pvp",Inputs!$B$43&gt;0),IF(Inputs!$B$43&lt;=0,0,(INT(Inputs!$B$43/IF(Inputs!$B$38="pvp",15,MAX(0.1,Skills!D16-IF(Skills!E16=TRUE,Inputs!$B$32,0))))+1)),0)</f>
        <v/>
      </c>
      <c r="S889">
        <f>IFERROR(O889/N889,0)</f>
        <v/>
      </c>
      <c r="T889" t="n">
        <v>0</v>
      </c>
      <c r="V889" t="n">
        <v>0</v>
      </c>
    </row>
    <row r="890">
      <c r="A890">
        <f>Skills!A17</f>
        <v/>
      </c>
      <c r="B890">
        <f>Skills!B17</f>
        <v/>
      </c>
      <c r="C890">
        <f>Inputs!$B$3&gt;=115</f>
        <v/>
      </c>
      <c r="D890">
        <f>IF(Skills!C17=1,60+Inputs!$B$25+(Inputs!$B$29+1),IF(Skills!C17=2,90+Inputs!$B$26+(Inputs!$B$29+1),IF(Skills!C17=3,120+Inputs!$B$27+(Inputs!$B$29+1),MAX(0,(Inputs!$B$3-100)*3)+Inputs!$B$28+(Inputs!$B$29+1))))</f>
        <v/>
      </c>
      <c r="E890">
        <f>INDEX(FactorTable!$B$2:$Y$301, MATCH(ROUND(MIN(300,MAX(1,D890)),0), FactorTable!$A$2:$A$301,0), Skills!M17+1)</f>
        <v/>
      </c>
      <c r="F890">
        <f>IF(Skills!N17=TRUE,(Skills!L17/10)*(E890/1000),Skills!L17/10)+Skills!O17</f>
        <v/>
      </c>
      <c r="G890">
        <f>Skills!G17*IF(Skills!H17&gt;0,Skills!I17/Skills!H17,1)</f>
        <v/>
      </c>
      <c r="H890">
        <f>1-(1-Skills!J17/100)^Skills!K17</f>
        <v/>
      </c>
      <c r="I890" t="inlineStr">
        <is>
          <t>1</t>
        </is>
      </c>
      <c r="J890" t="inlineStr"/>
      <c r="K890" t="inlineStr"/>
      <c r="L890" t="inlineStr"/>
      <c r="M890" t="inlineStr"/>
      <c r="N890" t="inlineStr"/>
      <c r="O890">
        <f>(1-Summary!$B$55)*T890+Summary!$B$55*V890</f>
        <v/>
      </c>
      <c r="P890">
        <f>IF(B912=0,0,O890/B912)</f>
        <v/>
      </c>
      <c r="Q890">
        <f>IFERROR(1/IF(Inputs!$B$38="pvp",15,MAX(0.1,Skills!D17-IF(Skills!E17=TRUE,Inputs!$B$32,0))),0)</f>
        <v/>
      </c>
      <c r="R890">
        <f>IF(AND(Inputs!$B$38&lt;&gt;"pvp",Inputs!$B$43&gt;0),IF(Inputs!$B$43&lt;=0,0,(INT(Inputs!$B$43/IF(Inputs!$B$38="pvp",15,MAX(0.1,Skills!D17-IF(Skills!E17=TRUE,Inputs!$B$32,0))))+1)),0)</f>
        <v/>
      </c>
      <c r="S890">
        <f>IFERROR(O890/N890,0)</f>
        <v/>
      </c>
      <c r="T890" t="n">
        <v>0</v>
      </c>
      <c r="V890" t="n">
        <v>0</v>
      </c>
    </row>
    <row r="891">
      <c r="A891">
        <f>Skills!A18</f>
        <v/>
      </c>
      <c r="B891">
        <f>Skills!B18</f>
        <v/>
      </c>
      <c r="C891">
        <f>Inputs!$B$3&gt;=115</f>
        <v/>
      </c>
      <c r="D891">
        <f>IF(Skills!C18=1,60+Inputs!$B$25+(Inputs!$B$29+1),IF(Skills!C18=2,90+Inputs!$B$26+(Inputs!$B$29+1),IF(Skills!C18=3,120+Inputs!$B$27+(Inputs!$B$29+1),MAX(0,(Inputs!$B$3-100)*3)+Inputs!$B$28+(Inputs!$B$29+1))))</f>
        <v/>
      </c>
      <c r="E891">
        <f>INDEX(FactorTable!$B$2:$Y$301, MATCH(ROUND(MIN(300,MAX(1,D891)),0), FactorTable!$A$2:$A$301,0), Skills!M18+1)</f>
        <v/>
      </c>
      <c r="F891">
        <f>IF(Skills!N18=TRUE,(Skills!L18/10)*(E891/1000),Skills!L18/10)+Skills!O18</f>
        <v/>
      </c>
      <c r="G891">
        <f>Skills!G18*IF(Skills!H18&gt;0,Skills!I18/Skills!H18,1)</f>
        <v/>
      </c>
      <c r="H891">
        <f>1-(1-Skills!J18/100)^Skills!K18</f>
        <v/>
      </c>
      <c r="I891" t="inlineStr">
        <is>
          <t>1</t>
        </is>
      </c>
      <c r="J891" t="inlineStr"/>
      <c r="K891" t="inlineStr"/>
      <c r="L891" t="inlineStr"/>
      <c r="M891" t="inlineStr"/>
      <c r="N891" t="inlineStr"/>
      <c r="O891">
        <f>(1-Summary!$B$55)*T891+Summary!$B$55*V891</f>
        <v/>
      </c>
      <c r="P891">
        <f>IF(B912=0,0,O891/B912)</f>
        <v/>
      </c>
      <c r="Q891">
        <f>IFERROR(1/IF(Inputs!$B$38="pvp",15,MAX(0.1,Skills!D18-IF(Skills!E18=TRUE,Inputs!$B$32,0))),0)</f>
        <v/>
      </c>
      <c r="R891">
        <f>IF(AND(Inputs!$B$38&lt;&gt;"pvp",Inputs!$B$43&gt;0),IF(Inputs!$B$43&lt;=0,0,(INT(Inputs!$B$43/IF(Inputs!$B$38="pvp",15,MAX(0.1,Skills!D18-IF(Skills!E18=TRUE,Inputs!$B$32,0))))+1)),0)</f>
        <v/>
      </c>
      <c r="S891">
        <f>IFERROR(O891/N891,0)</f>
        <v/>
      </c>
      <c r="T891" t="n">
        <v>0</v>
      </c>
      <c r="V891" t="n">
        <v>0</v>
      </c>
    </row>
    <row r="892">
      <c r="A892">
        <f>Skills!A19</f>
        <v/>
      </c>
      <c r="B892">
        <f>Skills!B19</f>
        <v/>
      </c>
      <c r="C892">
        <f>TRUE</f>
        <v/>
      </c>
      <c r="D892">
        <f>IF(Skills!C19=1,60+Inputs!$B$25+(Inputs!$B$29+1),IF(Skills!C19=2,90+Inputs!$B$26+(Inputs!$B$29+1),IF(Skills!C19=3,120+Inputs!$B$27+(Inputs!$B$29+1),MAX(0,(Inputs!$B$3-100)*3)+Inputs!$B$28+(Inputs!$B$29+1))))</f>
        <v/>
      </c>
      <c r="E892">
        <f>INDEX(FactorTable!$B$2:$Y$301, MATCH(ROUND(MIN(300,MAX(1,D892)),0), FactorTable!$A$2:$A$301,0), Skills!M19+1)</f>
        <v/>
      </c>
      <c r="F892">
        <f>IF(Skills!N19=TRUE,(Skills!L19/10)*(E892/1000),Skills!L19/10)+Skills!O19</f>
        <v/>
      </c>
      <c r="G892">
        <f>Skills!G19*IF(Skills!H19&gt;0,Skills!I19/Skills!H19,1)</f>
        <v/>
      </c>
      <c r="H892">
        <f>1-(1-Skills!J19/100)^Skills!K19</f>
        <v/>
      </c>
      <c r="I892" t="inlineStr">
        <is>
          <t>1</t>
        </is>
      </c>
      <c r="J892" t="inlineStr"/>
      <c r="K892" t="inlineStr"/>
      <c r="L892" t="inlineStr"/>
      <c r="M892" t="inlineStr"/>
      <c r="N892" t="inlineStr"/>
      <c r="O892">
        <f>(1-Summary!$B$55)*T892+Summary!$B$55*V892</f>
        <v/>
      </c>
      <c r="P892">
        <f>IF(B912=0,0,O892/B912)</f>
        <v/>
      </c>
      <c r="Q892">
        <f>IFERROR(1/IF(Inputs!$B$38="pvp",15,MAX(0.1,Skills!D19-IF(Skills!E19=TRUE,Inputs!$B$32,0))),0)</f>
        <v/>
      </c>
      <c r="R892">
        <f>IF(AND(Inputs!$B$38&lt;&gt;"pvp",Inputs!$B$43&gt;0),IF(Inputs!$B$43&lt;=0,0,(INT(Inputs!$B$43/IF(Inputs!$B$38="pvp",15,MAX(0.1,Skills!D19-IF(Skills!E19=TRUE,Inputs!$B$32,0))))+1)),0)</f>
        <v/>
      </c>
      <c r="S892">
        <f>IFERROR(O892/N892,0)</f>
        <v/>
      </c>
      <c r="T892" t="n">
        <v>0</v>
      </c>
      <c r="V892" t="n">
        <v>0</v>
      </c>
    </row>
    <row r="893">
      <c r="A893">
        <f>Skills!A20</f>
        <v/>
      </c>
      <c r="B893">
        <f>Skills!B20</f>
        <v/>
      </c>
      <c r="C893">
        <f>Inputs!$B$3&gt;=33</f>
        <v/>
      </c>
      <c r="D893">
        <f>IF(Skills!C20=1,60+Inputs!$B$25+(Inputs!$B$29+1),IF(Skills!C20=2,90+Inputs!$B$26+(Inputs!$B$29+1),IF(Skills!C20=3,120+Inputs!$B$27+(Inputs!$B$29+1),MAX(0,(Inputs!$B$3-100)*3)+Inputs!$B$28+(Inputs!$B$29+1))))</f>
        <v/>
      </c>
      <c r="E893">
        <f>INDEX(FactorTable!$B$2:$Y$301, MATCH(ROUND(MIN(300,MAX(1,D893)),0), FactorTable!$A$2:$A$301,0), Skills!M20+1)</f>
        <v/>
      </c>
      <c r="F893">
        <f>IF(Skills!N20=TRUE,(Skills!L20/10)*(E893/1000),Skills!L20/10)+Skills!O20</f>
        <v/>
      </c>
      <c r="G893">
        <f>Skills!G20*IF(Skills!H20&gt;0,Skills!I20/Skills!H20,1)</f>
        <v/>
      </c>
      <c r="H893">
        <f>1-(1-Skills!J20/100)^Skills!K20</f>
        <v/>
      </c>
      <c r="I893" t="inlineStr">
        <is>
          <t>1</t>
        </is>
      </c>
      <c r="J893" t="inlineStr"/>
      <c r="K893" t="inlineStr"/>
      <c r="L893" t="inlineStr"/>
      <c r="M893" t="inlineStr"/>
      <c r="N893" t="inlineStr"/>
      <c r="O893">
        <f>(1-Summary!$B$55)*T893+Summary!$B$55*V893</f>
        <v/>
      </c>
      <c r="P893">
        <f>IF(B912=0,0,O893/B912)</f>
        <v/>
      </c>
      <c r="Q893" t="n">
        <v>0</v>
      </c>
      <c r="R893" t="n">
        <v>0</v>
      </c>
      <c r="S893">
        <f>IFERROR(O893/N893,0)</f>
        <v/>
      </c>
      <c r="T893" t="n">
        <v>0</v>
      </c>
      <c r="V893" t="n">
        <v>0</v>
      </c>
    </row>
    <row r="894">
      <c r="A894">
        <f>Skills!A21</f>
        <v/>
      </c>
      <c r="B894">
        <f>Skills!B21</f>
        <v/>
      </c>
      <c r="C894">
        <f>Inputs!$B$3&gt;=38</f>
        <v/>
      </c>
      <c r="D894">
        <f>IF(Skills!C21=1,60+Inputs!$B$25+(Inputs!$B$29+1),IF(Skills!C21=2,90+Inputs!$B$26+(Inputs!$B$29+1),IF(Skills!C21=3,120+Inputs!$B$27+(Inputs!$B$29+1),MAX(0,(Inputs!$B$3-100)*3)+Inputs!$B$28+(Inputs!$B$29+1))))</f>
        <v/>
      </c>
      <c r="E894">
        <f>INDEX(FactorTable!$B$2:$Y$301, MATCH(ROUND(MIN(300,MAX(1,D894)),0), FactorTable!$A$2:$A$301,0), Skills!M21+1)</f>
        <v/>
      </c>
      <c r="F894">
        <f>IF(Skills!N21=TRUE,(Skills!L21/10)*(E894/1000),Skills!L21/10)+Skills!O21</f>
        <v/>
      </c>
      <c r="G894">
        <f>Skills!G21*IF(Skills!H21&gt;0,Skills!I21/Skills!H21,1)</f>
        <v/>
      </c>
      <c r="H894">
        <f>1-(1-Skills!J21/100)^Skills!K21</f>
        <v/>
      </c>
      <c r="I894" t="inlineStr">
        <is>
          <t>1</t>
        </is>
      </c>
      <c r="J894" t="inlineStr"/>
      <c r="K894" t="inlineStr"/>
      <c r="L894" t="inlineStr"/>
      <c r="M894" t="inlineStr"/>
      <c r="N894" t="inlineStr"/>
      <c r="O894">
        <f>(1-Summary!$B$55)*T894+Summary!$B$55*V894</f>
        <v/>
      </c>
      <c r="P894">
        <f>IF(B912=0,0,O894/B912)</f>
        <v/>
      </c>
      <c r="Q894" t="n">
        <v>0</v>
      </c>
      <c r="R894" t="n">
        <v>0</v>
      </c>
      <c r="S894">
        <f>IFERROR(O894/N894,0)</f>
        <v/>
      </c>
      <c r="T894" t="n">
        <v>0</v>
      </c>
      <c r="V894" t="n">
        <v>0</v>
      </c>
    </row>
    <row r="895">
      <c r="A895">
        <f>Skills!A22</f>
        <v/>
      </c>
      <c r="B895">
        <f>Skills!B22</f>
        <v/>
      </c>
      <c r="C895">
        <f>Inputs!$B$3&gt;=43</f>
        <v/>
      </c>
      <c r="D895">
        <f>IF(Skills!C22=1,60+Inputs!$B$25+(Inputs!$B$29+1),IF(Skills!C22=2,90+Inputs!$B$26+(Inputs!$B$29+1),IF(Skills!C22=3,120+Inputs!$B$27+(Inputs!$B$29+1),MAX(0,(Inputs!$B$3-100)*3)+Inputs!$B$28+(Inputs!$B$29+1))))</f>
        <v/>
      </c>
      <c r="E895">
        <f>INDEX(FactorTable!$B$2:$Y$301, MATCH(ROUND(MIN(300,MAX(1,D895)),0), FactorTable!$A$2:$A$301,0), Skills!M22+1)</f>
        <v/>
      </c>
      <c r="F895">
        <f>IF(Skills!N22=TRUE,(Skills!L22/10)*(E895/1000),Skills!L22/10)+Skills!O22</f>
        <v/>
      </c>
      <c r="G895">
        <f>Skills!G22*IF(Skills!H22&gt;0,Skills!I22/Skills!H22,1)</f>
        <v/>
      </c>
      <c r="H895">
        <f>1-(1-Skills!J22/100)^Skills!K22</f>
        <v/>
      </c>
      <c r="I895" t="inlineStr">
        <is>
          <t>1</t>
        </is>
      </c>
      <c r="J895" t="inlineStr"/>
      <c r="K895" t="inlineStr"/>
      <c r="L895" t="inlineStr"/>
      <c r="M895" t="inlineStr"/>
      <c r="N895" t="inlineStr"/>
      <c r="O895">
        <f>(1-Summary!$B$55)*T895+Summary!$B$55*V895</f>
        <v/>
      </c>
      <c r="P895">
        <f>IF(B912=0,0,O895/B912)</f>
        <v/>
      </c>
      <c r="Q895" t="n">
        <v>0</v>
      </c>
      <c r="R895" t="n">
        <v>0</v>
      </c>
      <c r="S895">
        <f>IFERROR(O895/N895,0)</f>
        <v/>
      </c>
      <c r="T895" t="n">
        <v>0</v>
      </c>
      <c r="V895" t="n">
        <v>0</v>
      </c>
    </row>
    <row r="896">
      <c r="A896">
        <f>Skills!A23</f>
        <v/>
      </c>
      <c r="B896">
        <f>Skills!B23</f>
        <v/>
      </c>
      <c r="C896">
        <f>Inputs!$B$3&gt;=120</f>
        <v/>
      </c>
      <c r="D896">
        <f>IF(Skills!C23=1,60+Inputs!$B$25+(Inputs!$B$29+1),IF(Skills!C23=2,90+Inputs!$B$26+(Inputs!$B$29+1),IF(Skills!C23=3,120+Inputs!$B$27+(Inputs!$B$29+1),MAX(0,(Inputs!$B$3-100)*3)+Inputs!$B$28+(Inputs!$B$29+1))))</f>
        <v/>
      </c>
      <c r="E896">
        <f>INDEX(FactorTable!$B$2:$Y$301, MATCH(ROUND(MIN(300,MAX(1,D896)),0), FactorTable!$A$2:$A$301,0), Skills!M23+1)</f>
        <v/>
      </c>
      <c r="F896">
        <f>IF(Skills!N23=TRUE,(Skills!L23/10)*(E896/1000),Skills!L23/10)+Skills!O23</f>
        <v/>
      </c>
      <c r="G896">
        <f>Skills!G23*IF(Skills!H23&gt;0,Skills!I23/Skills!H23,1)</f>
        <v/>
      </c>
      <c r="H896">
        <f>1-(1-Skills!J23/100)^Skills!K23</f>
        <v/>
      </c>
      <c r="I896" t="inlineStr">
        <is>
          <t>1</t>
        </is>
      </c>
      <c r="J896" t="inlineStr"/>
      <c r="K896" t="inlineStr"/>
      <c r="L896" t="inlineStr"/>
      <c r="M896" t="inlineStr"/>
      <c r="N896" t="inlineStr"/>
      <c r="O896">
        <f>(1-Summary!$B$55)*T896+Summary!$B$55*V896</f>
        <v/>
      </c>
      <c r="P896">
        <f>IF(B912=0,0,O896/B912)</f>
        <v/>
      </c>
      <c r="Q896" t="n">
        <v>0</v>
      </c>
      <c r="R896" t="n">
        <v>0</v>
      </c>
      <c r="S896">
        <f>IFERROR(O896/N896,0)</f>
        <v/>
      </c>
      <c r="T896" t="n">
        <v>0</v>
      </c>
      <c r="V896" t="n">
        <v>0</v>
      </c>
    </row>
    <row r="897">
      <c r="A897">
        <f>Skills!A24</f>
        <v/>
      </c>
      <c r="B897">
        <f>Skills!B24</f>
        <v/>
      </c>
      <c r="C897">
        <f>Inputs!$B$3&gt;=120</f>
        <v/>
      </c>
      <c r="D897">
        <f>IF(Skills!C24=1,60+Inputs!$B$25+(Inputs!$B$29+1),IF(Skills!C24=2,90+Inputs!$B$26+(Inputs!$B$29+1),IF(Skills!C24=3,120+Inputs!$B$27+(Inputs!$B$29+1),MAX(0,(Inputs!$B$3-100)*3)+Inputs!$B$28+(Inputs!$B$29+1))))</f>
        <v/>
      </c>
      <c r="E897">
        <f>INDEX(FactorTable!$B$2:$Y$301, MATCH(ROUND(MIN(300,MAX(1,D897)),0), FactorTable!$A$2:$A$301,0), Skills!M24+1)</f>
        <v/>
      </c>
      <c r="F897">
        <f>IF(Skills!N24=TRUE,(Skills!L24/10)*(E897/1000),Skills!L24/10)+Skills!O24</f>
        <v/>
      </c>
      <c r="G897">
        <f>Skills!G24*IF(Skills!H24&gt;0,Skills!I24/Skills!H24,1)</f>
        <v/>
      </c>
      <c r="H897">
        <f>1-(1-Skills!J24/100)^Skills!K24</f>
        <v/>
      </c>
      <c r="I897" t="inlineStr">
        <is>
          <t>1</t>
        </is>
      </c>
      <c r="J897" t="inlineStr"/>
      <c r="K897" t="inlineStr"/>
      <c r="L897" t="inlineStr"/>
      <c r="M897" t="inlineStr"/>
      <c r="N897" t="inlineStr"/>
      <c r="O897">
        <f>(1-Summary!$B$55)*T897+Summary!$B$55*V897</f>
        <v/>
      </c>
      <c r="P897">
        <f>IF(B912=0,0,O897/B912)</f>
        <v/>
      </c>
      <c r="Q897" t="n">
        <v>0</v>
      </c>
      <c r="R897" t="n">
        <v>0</v>
      </c>
      <c r="S897">
        <f>IFERROR(O897/N897,0)</f>
        <v/>
      </c>
      <c r="T897" t="n">
        <v>0</v>
      </c>
      <c r="V897" t="n">
        <v>0</v>
      </c>
    </row>
    <row r="898">
      <c r="A898">
        <f>Skills!A25</f>
        <v/>
      </c>
      <c r="B898">
        <f>Skills!B25</f>
        <v/>
      </c>
      <c r="C898">
        <f>Inputs!$B$3&gt;=125</f>
        <v/>
      </c>
      <c r="D898">
        <f>IF(Skills!C25=1,60+Inputs!$B$25+(Inputs!$B$29+1),IF(Skills!C25=2,90+Inputs!$B$26+(Inputs!$B$29+1),IF(Skills!C25=3,120+Inputs!$B$27+(Inputs!$B$29+1),MAX(0,(Inputs!$B$3-100)*3)+Inputs!$B$28+(Inputs!$B$29+1))))</f>
        <v/>
      </c>
      <c r="E898">
        <f>INDEX(FactorTable!$B$2:$Y$301, MATCH(ROUND(MIN(300,MAX(1,D898)),0), FactorTable!$A$2:$A$301,0), Skills!M25+1)</f>
        <v/>
      </c>
      <c r="F898">
        <f>IF(Skills!N25=TRUE,(Skills!L25/10)*(E898/1000),Skills!L25/10)+Skills!O25</f>
        <v/>
      </c>
      <c r="G898">
        <f>Skills!G25*IF(Skills!H25&gt;0,Skills!I25/Skills!H25,1)</f>
        <v/>
      </c>
      <c r="H898">
        <f>1-(1-Skills!J25/100)^Skills!K25</f>
        <v/>
      </c>
      <c r="I898" t="inlineStr">
        <is>
          <t>1</t>
        </is>
      </c>
      <c r="J898" t="inlineStr"/>
      <c r="K898" t="inlineStr"/>
      <c r="L898" t="inlineStr"/>
      <c r="M898" t="inlineStr"/>
      <c r="N898" t="inlineStr"/>
      <c r="O898">
        <f>(1-Summary!$B$55)*T898+Summary!$B$55*V898</f>
        <v/>
      </c>
      <c r="P898">
        <f>IF(B912=0,0,O898/B912)</f>
        <v/>
      </c>
      <c r="Q898" t="n">
        <v>0</v>
      </c>
      <c r="R898" t="n">
        <v>0</v>
      </c>
      <c r="S898">
        <f>IFERROR(O898/N898,0)</f>
        <v/>
      </c>
      <c r="T898" t="n">
        <v>0</v>
      </c>
      <c r="V898" t="n">
        <v>0</v>
      </c>
    </row>
    <row r="899">
      <c r="A899">
        <f>Skills!A26</f>
        <v/>
      </c>
      <c r="B899">
        <f>Skills!B26</f>
        <v/>
      </c>
      <c r="C899">
        <f>Inputs!$B$3&gt;=72</f>
        <v/>
      </c>
      <c r="D899">
        <f>IF(Skills!C26=1,60+Inputs!$B$25+(Inputs!$B$29+1),IF(Skills!C26=2,90+Inputs!$B$26+(Inputs!$B$29+1),IF(Skills!C26=3,120+Inputs!$B$27+(Inputs!$B$29+1),MAX(0,(Inputs!$B$3-100)*3)+Inputs!$B$28+(Inputs!$B$29+1))))</f>
        <v/>
      </c>
      <c r="E899">
        <f>INDEX(FactorTable!$B$2:$Y$301, MATCH(ROUND(MIN(300,MAX(1,D899)),0), FactorTable!$A$2:$A$301,0), Skills!M26+1)</f>
        <v/>
      </c>
      <c r="F899">
        <f>IF(Skills!N26=TRUE,(Skills!L26/10)*(E899/1000),Skills!L26/10)+Skills!O26</f>
        <v/>
      </c>
      <c r="G899">
        <f>Skills!G26*IF(Skills!H26&gt;0,Skills!I26/Skills!H26,1)</f>
        <v/>
      </c>
      <c r="H899">
        <f>1-(1-Skills!J26/100)^Skills!K26</f>
        <v/>
      </c>
      <c r="I899" t="inlineStr">
        <is>
          <t>1</t>
        </is>
      </c>
      <c r="J899" t="inlineStr"/>
      <c r="K899" t="inlineStr"/>
      <c r="L899" t="inlineStr"/>
      <c r="M899" t="inlineStr"/>
      <c r="N899" t="inlineStr"/>
      <c r="O899">
        <f>(1-Summary!$B$55)*T899+Summary!$B$55*V899</f>
        <v/>
      </c>
      <c r="P899">
        <f>IF(B912=0,0,O899/B912)</f>
        <v/>
      </c>
      <c r="Q899" t="n">
        <v>0</v>
      </c>
      <c r="R899" t="n">
        <v>0</v>
      </c>
      <c r="S899">
        <f>IFERROR(O899/N899,0)</f>
        <v/>
      </c>
      <c r="T899" t="n">
        <v>0</v>
      </c>
      <c r="V899" t="n">
        <v>0</v>
      </c>
    </row>
    <row r="901">
      <c r="A901" t="inlineStr">
        <is>
          <t>Attack% Bucket Multiplier</t>
        </is>
      </c>
      <c r="B901">
        <f>(1+(((C886=TRUE)*F886*IF(Inputs!$B$3&gt;=110,7,5))+((C888=TRUE)*F888*IF(AND(Inputs!$B$38&lt;&gt;"pvp",Inputs!$B$43&gt;0),(((R888-1)*(Skills!T15*(1+Inputs!$B$34/100))+MIN((Skills!T15*(1+Inputs!$B$34/100)),MAX(0,Inputs!$B$43-((R888-1)*Skills!D15))))/Inputs!$B$43),IF(Inputs!$B$38="pvp",MIN((Skills!T15*(1+Inputs!$B$34/100)),15)/15,(Skills!T15*(1+Inputs!$B$34/100))/Skills!D15)))+0)/100)</f>
        <v/>
      </c>
    </row>
    <row r="902">
      <c r="A902" t="inlineStr">
        <is>
          <t>Global Crit Rate Bonus %</t>
        </is>
      </c>
      <c r="B902" t="n">
        <v>0</v>
      </c>
    </row>
    <row r="903">
      <c r="A903" t="inlineStr">
        <is>
          <t>Attack Speed Buff Bonus %</t>
        </is>
      </c>
      <c r="B903">
        <f>((C892=TRUE)*F892*IF(AND(Inputs!$B$38&lt;&gt;"pvp",Inputs!$B$43&gt;0),(((R892-1)*(Skills!T19*(1+Inputs!$B$34/100))+MIN((Skills!T19*(1+Inputs!$B$34/100)),MAX(0,Inputs!$B$43-((R892-1)*Skills!D19))))/Inputs!$B$43),IF(Inputs!$B$38="pvp",MIN((Skills!T19*(1+Inputs!$B$34/100)),15)/15,(Skills!T19*(1+Inputs!$B$34/100))/Skills!D19)))</f>
        <v/>
      </c>
    </row>
    <row r="904">
      <c r="A904" t="inlineStr">
        <is>
          <t>Actions Per Second</t>
        </is>
      </c>
      <c r="B904">
        <f>1+MIN(150,150*(1-(1-(Inputs!$B$11+((C893=TRUE)*(F893-Calc!F20)))/150)*(1-B903/150)))/100</f>
        <v/>
      </c>
    </row>
    <row r="905">
      <c r="A905" t="inlineStr">
        <is>
          <t>Skill + Buff Cast Rate</t>
        </is>
      </c>
      <c r="B905">
        <f>IF(AND(Inputs!$B$38&lt;&gt;"pvp",Inputs!$B$43&gt;0),SUMPRODUCT((Skills!E2:E26=TRUE)*(C875:C899=TRUE)*R875:R899*Skills!F2:F26)/Inputs!$B$43,SUMPRODUCT((Skills!E2:E26=TRUE)*(C875:C899=TRUE)*Q875:Q899*Skills!F2:F26))</f>
        <v/>
      </c>
    </row>
    <row r="906">
      <c r="A906" t="inlineStr">
        <is>
          <t>Raging Blow Casts Per Second</t>
        </is>
      </c>
      <c r="B906">
        <f>MAX(0,B904-B905)</f>
        <v/>
      </c>
    </row>
    <row r="907">
      <c r="A907" t="inlineStr">
        <is>
          <t>Global Critical Damage Bonus % (Enrage)</t>
        </is>
      </c>
      <c r="B907">
        <f>((C891=TRUE)*F891*IF(AND(Inputs!$B$38&lt;&gt;"pvp",Inputs!$B$43&gt;0),(((R891-1)*(Skills!T18*(1+Inputs!$B$34/100))+MIN((Skills!T18*(1+Inputs!$B$34/100)),MAX(0,Inputs!$B$43-((R891-1)*Skills!D18))))/Inputs!$B$43),IF(Inputs!$B$38="pvp",MIN((Skills!T18*(1+Inputs!$B$34/100)),15)/15,(Skills!T18*(1+Inputs!$B$34/100))/Skills!D18)))</f>
        <v/>
      </c>
    </row>
    <row r="908">
      <c r="A908" t="inlineStr">
        <is>
          <t>Global Final Damage Bonus % (Enrage + Combo Synergy)</t>
        </is>
      </c>
      <c r="B908">
        <f>((C890=TRUE)*F890*IF(AND(Inputs!$B$38&lt;&gt;"pvp",Inputs!$B$43&gt;0),(((R890-1)*(Skills!T17*(1+Inputs!$B$34/100))+MIN((Skills!T17*(1+Inputs!$B$34/100)),MAX(0,Inputs!$B$43-((R890-1)*Skills!D17))))/Inputs!$B$43),IF(Inputs!$B$38="pvp",MIN((Skills!T17*(1+Inputs!$B$34/100)),15)/15,(Skills!T17*(1+Inputs!$B$34/100))/Skills!D17)))+((C887=TRUE)*F887*IF(Inputs!$B$3&gt;=110,7,5))</f>
        <v/>
      </c>
    </row>
    <row r="909">
      <c r="A909" t="inlineStr">
        <is>
          <t>Buff-Casting Startup Delay (s, fixed-duration only)</t>
        </is>
      </c>
      <c r="B909">
        <f>IF(AND(Inputs!$B$38&lt;&gt;"pvp",Inputs!$B$43&gt;0),SUMPRODUCT((Skills!T2:T26&gt;0)*(Skills!E2:E26=TRUE)*(C875:C899=TRUE))/B904,0)</f>
        <v/>
      </c>
    </row>
    <row r="910">
      <c r="A910" t="inlineStr">
        <is>
          <t>Boss-Only Total DPS (this block's swept value)</t>
        </is>
      </c>
      <c r="B910">
        <f>SUM(T875:T899)</f>
        <v/>
      </c>
    </row>
    <row r="911">
      <c r="A911" t="inlineStr">
        <is>
          <t>Normal-Only Total DPS (this block's swept value)</t>
        </is>
      </c>
      <c r="B911">
        <f>SUM(V875:V899)</f>
        <v/>
      </c>
    </row>
    <row r="912">
      <c r="A912" s="5" t="inlineStr">
        <is>
          <t>TOTAL DPS</t>
        </is>
      </c>
      <c r="B912" s="5">
        <f>SUM(O875:O899)</f>
        <v/>
      </c>
    </row>
    <row r="915">
      <c r="A915" s="5" t="inlineStr">
        <is>
          <t>Stat: Flat ATTACK</t>
        </is>
      </c>
    </row>
    <row r="916">
      <c r="A916" s="9" t="inlineStr">
        <is>
          <t>Key</t>
        </is>
      </c>
      <c r="B916" s="9" t="inlineStr">
        <is>
          <t>Name</t>
        </is>
      </c>
      <c r="C916" s="9" t="inlineStr">
        <is>
          <t>Unlocked</t>
        </is>
      </c>
      <c r="D916" s="9" t="inlineStr">
        <is>
          <t>InputLevel</t>
        </is>
      </c>
      <c r="E916" s="9" t="inlineStr">
        <is>
          <t>Factor</t>
        </is>
      </c>
      <c r="F916" s="9" t="inlineStr">
        <is>
          <t>CoefficientPercent</t>
        </is>
      </c>
      <c r="G916" s="9" t="inlineStr">
        <is>
          <t>EffectiveHits</t>
        </is>
      </c>
      <c r="H916" s="9" t="inlineStr">
        <is>
          <t>ProcProbability</t>
        </is>
      </c>
      <c r="I916" s="9" t="inlineStr">
        <is>
          <t>MapleHeroMultiplier</t>
        </is>
      </c>
      <c r="J916" s="9" t="inlineStr">
        <is>
          <t>BaseDamage</t>
        </is>
      </c>
      <c r="K916" s="9" t="inlineStr">
        <is>
          <t>BaseHitDamage</t>
        </is>
      </c>
      <c r="L916" s="9" t="inlineStr">
        <is>
          <t>NonCritAvg</t>
        </is>
      </c>
      <c r="M916" s="9" t="inlineStr">
        <is>
          <t>CritAvg</t>
        </is>
      </c>
      <c r="N916" s="9" t="inlineStr">
        <is>
          <t>ExpectedDamage(perHit)</t>
        </is>
      </c>
      <c r="O916" s="9" t="inlineStr">
        <is>
          <t>DPS</t>
        </is>
      </c>
      <c r="P916" s="9" t="inlineStr">
        <is>
          <t>% of Total</t>
        </is>
      </c>
      <c r="Q916" s="9" t="inlineStr">
        <is>
          <t>InvCooldown</t>
        </is>
      </c>
      <c r="R916" s="9" t="inlineStr">
        <is>
          <t>CastsInFight</t>
        </is>
      </c>
      <c r="S916" s="9" t="inlineStr">
        <is>
          <t>HitRate(perSec)</t>
        </is>
      </c>
      <c r="U916" t="inlineStr">
        <is>
          <t>helpers</t>
        </is>
      </c>
    </row>
    <row r="917">
      <c r="A917">
        <f>Skills!A2</f>
        <v/>
      </c>
      <c r="B917">
        <f>Skills!B2</f>
        <v/>
      </c>
      <c r="C917">
        <f>Inputs!$B$3&gt;=100</f>
        <v/>
      </c>
      <c r="D917" t="inlineStr"/>
      <c r="E917" t="inlineStr"/>
      <c r="F917">
        <f>U919+Skills!O2</f>
        <v/>
      </c>
      <c r="G917">
        <f>Skills!G2*IF(Skills!H2&gt;0,Skills!I2/Skills!H2,1)</f>
        <v/>
      </c>
      <c r="H917">
        <f>1-(1-Skills!J2/100)^Skills!K2</f>
        <v/>
      </c>
      <c r="I917" t="inlineStr">
        <is>
          <t>1</t>
        </is>
      </c>
      <c r="J917">
        <f>(((Inputs!$B$6+1)*(1+Inputs!$B$7/100))+(((Inputs!$B$12*(1+Inputs!$B$13/100))-(Inputs!$B$12*(1+Inputs!$B$13/100)))+0.25*(Inputs!$B$14-Inputs!$B$14))*(1+Inputs!$B$7/100))*(F917/100)</f>
        <v/>
      </c>
      <c r="K917">
        <f>J917*(1+((Inputs!$B$12*(1+Inputs!$B$13/100))*0.01+Inputs!$B$14*0.0025)/100)*(1+Inputs!$B$15/100)*(1+Inputs!$B$16/100)*(5000/(6000+Inputs!$B$42*(1-(Inputs!$B$19+0)/100)))*(1+(Inputs!$B$24+((C940=TRUE)*(F940-Calc!F25))+B950)/100)*(1+IF(Skills!A2="ENHANCED_RAGING_BLOW",IF(Inputs!$B$3&gt;=134,MAX(0,IF(Inputs!$B$3&gt;=110,7,5)-5)*50,0),0)/100)*(1+(IF(Skills!A2="RAGING_BLOW",Inputs!$B$17+((C936=TRUE)*(F936-Calc!F21)),Inputs!$B$18+((C938=TRUE)*(F938-Calc!F23))))/100)*((1+(((C928=TRUE)*F928*IF(Inputs!$B$3&gt;=110,7,5))+((C930=TRUE)*F930*IF(AND(Inputs!$B$38&lt;&gt;"pvp",Inputs!$B$43&gt;0),(((R930-1)*(Skills!T15*(1+Inputs!$B$34/100))+MIN((Skills!T15*(1+Inputs!$B$34/100)),MAX(0,Inputs!$B$43-((R930-1)*Skills!D15))))/Inputs!$B$43),IF(Inputs!$B$38="pvp",MIN((Skills!T15*(1+Inputs!$B$34/100)),15)/15,(Skills!T15*(1+Inputs!$B$34/100))/Skills!D15)))+0)/100)*I917)</f>
        <v/>
      </c>
      <c r="L917">
        <f>K917*(MIN(Inputs!$B$22+((C937=TRUE)*(F937-Calc!F22)),Inputs!$B$23+((C939=TRUE)*(F939-Calc!F24)))/100+(Inputs!$B$23+((C939=TRUE)*(F939-Calc!F24)))/100)/2</f>
        <v/>
      </c>
      <c r="M917">
        <f>L917*(1+(Inputs!$B$10+0+B949)/100)</f>
        <v/>
      </c>
      <c r="N917">
        <f>L917*(1-MIN((Inputs!$B$9+((C941=TRUE)*(F941-Calc!F26))+B944),100)/100)+M917*(MIN((Inputs!$B$9+((C941=TRUE)*(F941-Calc!F26))+B944),100)/100)</f>
        <v/>
      </c>
      <c r="O917">
        <f>(1-Summary!$B$55)*T917+Summary!$B$55*V917</f>
        <v/>
      </c>
      <c r="P917">
        <f>IF(B954=0,0,O917/B954)</f>
        <v/>
      </c>
      <c r="Q917" t="n">
        <v>0</v>
      </c>
      <c r="R917" t="n">
        <v>0</v>
      </c>
      <c r="S917">
        <f>IFERROR(O917/N917,0)</f>
        <v/>
      </c>
      <c r="T917">
        <f>IF(C917,(Skills!G2*N917*B948)*IF(Inputs!$B$38="pvp",1,1+(Inputs!$B$20+0+Skills!P2+Summary!$B$59)/100),0)</f>
        <v/>
      </c>
      <c r="U917">
        <f>MAX(0,(Inputs!$B$3-100)*3)+Inputs!$B$28+Inputs!$B$29</f>
        <v/>
      </c>
      <c r="V917">
        <f>IF(C917,(Skills!G2*N917*B948)*IF(Inputs!$B$38="pvp",1,(1+(Inputs!$B$21+Skills!Q2+Summary!$B$59)/100)*(MIN((6+Inputs!$B$33),Inputs!$B$37))),0)</f>
        <v/>
      </c>
    </row>
    <row r="918">
      <c r="A918">
        <f>Skills!A3</f>
        <v/>
      </c>
      <c r="B918">
        <f>Skills!B3</f>
        <v/>
      </c>
      <c r="C918">
        <f>Inputs!$B$3&gt;=50</f>
        <v/>
      </c>
      <c r="D918">
        <f>IF(Skills!C3=1,60+Inputs!$B$25+Inputs!$B$29,IF(Skills!C3=2,90+Inputs!$B$26+Inputs!$B$29,IF(Skills!C3=3,120+Inputs!$B$27+Inputs!$B$29,MAX(0,(Inputs!$B$3-100)*3)+Inputs!$B$28+Inputs!$B$29)))</f>
        <v/>
      </c>
      <c r="E918">
        <f>INDEX(FactorTable!$B$2:$Y$301, MATCH(ROUND(MIN(300,MAX(1,D918)),0), FactorTable!$A$2:$A$301,0), Skills!M3+1)</f>
        <v/>
      </c>
      <c r="F918">
        <f>IF(Skills!N3=TRUE,(Skills!L3/10)*(E918/1000),Skills!L3/10)+Skills!O3</f>
        <v/>
      </c>
      <c r="G918" t="inlineStr"/>
      <c r="H918" t="inlineStr"/>
      <c r="I918" t="inlineStr">
        <is>
          <t>1</t>
        </is>
      </c>
      <c r="J918" t="inlineStr"/>
      <c r="K918" t="inlineStr"/>
      <c r="L918" t="inlineStr"/>
      <c r="M918" t="inlineStr"/>
      <c r="N918" t="inlineStr"/>
      <c r="O918" t="inlineStr"/>
      <c r="P918" t="inlineStr"/>
      <c r="Q918" t="inlineStr"/>
      <c r="R918" t="inlineStr"/>
      <c r="S918" t="inlineStr"/>
      <c r="U918">
        <f>INDEX(FactorTable!$B$2:$Y$301, MATCH(ROUND(MIN(300,MAX(1,U917)),0), FactorTable!$A$2:$A$301,0), 22)</f>
        <v/>
      </c>
    </row>
    <row r="919">
      <c r="A919">
        <f>Skills!A4</f>
        <v/>
      </c>
      <c r="B919">
        <f>Skills!B4</f>
        <v/>
      </c>
      <c r="C919">
        <f>Inputs!$B$3&gt;=105</f>
        <v/>
      </c>
      <c r="D919">
        <f>IF(Skills!C4=1,60+Inputs!$B$25+Inputs!$B$29,IF(Skills!C4=2,90+Inputs!$B$26+Inputs!$B$29,IF(Skills!C4=3,120+Inputs!$B$27+Inputs!$B$29,MAX(0,(Inputs!$B$3-100)*3)+Inputs!$B$28+Inputs!$B$29)))</f>
        <v/>
      </c>
      <c r="E919">
        <f>INDEX(FactorTable!$B$2:$Y$301, MATCH(ROUND(MIN(300,MAX(1,D919)),0), FactorTable!$A$2:$A$301,0), Skills!M4+1)</f>
        <v/>
      </c>
      <c r="F919">
        <f>IF(Skills!N4=TRUE,(Skills!L4/10)*(E919/1000),Skills!L4/10)+Skills!O4</f>
        <v/>
      </c>
      <c r="G919" t="inlineStr"/>
      <c r="H919" t="inlineStr"/>
      <c r="I919" t="inlineStr">
        <is>
          <t>1</t>
        </is>
      </c>
      <c r="J919" t="inlineStr"/>
      <c r="K919" t="inlineStr"/>
      <c r="L919" t="inlineStr"/>
      <c r="M919" t="inlineStr"/>
      <c r="N919" t="inlineStr"/>
      <c r="O919" t="inlineStr"/>
      <c r="P919" t="inlineStr"/>
      <c r="Q919" t="inlineStr"/>
      <c r="R919" t="inlineStr"/>
      <c r="S919" t="inlineStr"/>
      <c r="U919">
        <f>290*U918/1000</f>
        <v/>
      </c>
    </row>
    <row r="920">
      <c r="A920">
        <f>Skills!A5</f>
        <v/>
      </c>
      <c r="B920">
        <f>Skills!B5</f>
        <v/>
      </c>
      <c r="C920">
        <f>Inputs!$B$3&gt;=103</f>
        <v/>
      </c>
      <c r="D920">
        <f>IF(Skills!C5=1,60+Inputs!$B$25+Inputs!$B$29,IF(Skills!C5=2,90+Inputs!$B$26+Inputs!$B$29,IF(Skills!C5=3,120+Inputs!$B$27+Inputs!$B$29,MAX(0,(Inputs!$B$3-100)*3)+Inputs!$B$28+Inputs!$B$29)))</f>
        <v/>
      </c>
      <c r="E920">
        <f>INDEX(FactorTable!$B$2:$Y$301, MATCH(ROUND(MIN(300,MAX(1,D920)),0), FactorTable!$A$2:$A$301,0), Skills!M5+1)</f>
        <v/>
      </c>
      <c r="F920">
        <f>IF(Skills!N5=TRUE,(Skills!L5/10)*(E920/1000),Skills!L5/10)+Skills!O5</f>
        <v/>
      </c>
      <c r="G920">
        <f>Skills!G5*IF(Skills!H5&gt;0,Skills!I5/Skills!H5,1)</f>
        <v/>
      </c>
      <c r="H920">
        <f>1-(1-Skills!J5/100)^Skills!K5</f>
        <v/>
      </c>
      <c r="I920" t="inlineStr">
        <is>
          <t>1</t>
        </is>
      </c>
      <c r="J920">
        <f>(((Inputs!$B$6+1)*(1+Inputs!$B$7/100))+(((Inputs!$B$12*(1+Inputs!$B$13/100))-(Inputs!$B$12*(1+Inputs!$B$13/100)))+0.25*(Inputs!$B$14-Inputs!$B$14))*(1+Inputs!$B$7/100))*(F920/100)</f>
        <v/>
      </c>
      <c r="K920">
        <f>J920*(1+((Inputs!$B$12*(1+Inputs!$B$13/100))*0.01+Inputs!$B$14*0.0025)/100)*(1+Inputs!$B$15/100)*(1+Inputs!$B$16/100)*(5000/(6000+Inputs!$B$42*(1-(Inputs!$B$19+0)/100)))*(1+(Inputs!$B$24+((C940=TRUE)*(F940-Calc!F25))+B950)/100)*(1+IF(Skills!A5="ENHANCED_RAGING_BLOW",IF(Inputs!$B$3&gt;=134,MAX(0,IF(Inputs!$B$3&gt;=110,7,5)-5)*50,0),0)/100)*(1+(IF(Skills!A5="RAGING_BLOW",Inputs!$B$17+((C936=TRUE)*(F936-Calc!F21)),Inputs!$B$18+((C938=TRUE)*(F938-Calc!F23))))/100)*((1+(((C928=TRUE)*F928*IF(Inputs!$B$3&gt;=110,7,5))+((C930=TRUE)*F930*IF(AND(Inputs!$B$38&lt;&gt;"pvp",Inputs!$B$43&gt;0),(((R930-1)*(Skills!T15*(1+Inputs!$B$34/100))+MIN((Skills!T15*(1+Inputs!$B$34/100)),MAX(0,Inputs!$B$43-((R930-1)*Skills!D15))))/Inputs!$B$43),IF(Inputs!$B$38="pvp",MIN((Skills!T15*(1+Inputs!$B$34/100)),15)/15,(Skills!T15*(1+Inputs!$B$34/100))/Skills!D15)))+0)/100)*I920)</f>
        <v/>
      </c>
      <c r="L920">
        <f>K920*(MIN(Inputs!$B$22+((C937=TRUE)*(F937-Calc!F22)),Inputs!$B$23+((C939=TRUE)*(F939-Calc!F24)))/100+(Inputs!$B$23+((C939=TRUE)*(F939-Calc!F24)))/100)/2</f>
        <v/>
      </c>
      <c r="M920">
        <f>L920*(1+(Inputs!$B$10+0+B949)/100)</f>
        <v/>
      </c>
      <c r="N920">
        <f>L920*(1-MIN((Inputs!$B$9+((C941=TRUE)*(F941-Calc!F26))+B944),100)/100)+M920*(MIN((Inputs!$B$9+((C941=TRUE)*(F941-Calc!F26))+B944),100)/100)</f>
        <v/>
      </c>
      <c r="O920">
        <f>(1-Summary!$B$55)*T920+Summary!$B$55*V920</f>
        <v/>
      </c>
      <c r="P920">
        <f>IF(B954=0,0,O920/B954)</f>
        <v/>
      </c>
      <c r="Q920">
        <f>IFERROR(1/IF(Inputs!$B$38="pvp",15,MAX(0.1,Skills!D5-IF(Skills!E5=TRUE,Inputs!$B$32,0))),0)</f>
        <v/>
      </c>
      <c r="R920">
        <f>IF(AND(Inputs!$B$38&lt;&gt;"pvp",Inputs!$B$43&gt;0),IF(MAX(0,Inputs!$B$43-B951)&lt;=0,0,(INT(MAX(0,Inputs!$B$43-B951)/IF(Inputs!$B$38="pvp",15,MAX(0.1,Skills!D5-IF(Skills!E5=TRUE,Inputs!$B$32,0))))+1)),0)</f>
        <v/>
      </c>
      <c r="S920">
        <f>IFERROR(O920/N920,0)</f>
        <v/>
      </c>
      <c r="T920">
        <f>IF(C920,(H920*N920*IF(AND(Inputs!$B$38&lt;&gt;"pvp",Inputs!$B$43&gt;0),((Skills!G5*((R920-1)*IF(Skills!H5&gt;0,Skills!I5/Skills!H5,1)+IF(Skills!H5&gt;0,MIN(Skills!I5,MAX(0,MAX(0,Inputs!$B$43-B951)-((R920-1)*IF(Inputs!$B$38="pvp",15,MAX(0.1,Skills!D5-IF(Skills!E5=TRUE,Inputs!$B$32,0))))))/Skills!H5,1)))/Inputs!$B$43),G920*Q920))*IF(Inputs!$B$38="pvp",1,1+(Inputs!$B$20+0+Skills!P5+Summary!$B$59)/100),0)</f>
        <v/>
      </c>
      <c r="V920">
        <f>IF(C920,(H920*N920*IF(AND(Inputs!$B$38&lt;&gt;"pvp",Inputs!$B$43&gt;0),((Skills!G5*((R920-1)*IF(Skills!H5&gt;0,Skills!I5/Skills!H5,1)+IF(Skills!H5&gt;0,MIN(Skills!I5,MAX(0,MAX(0,Inputs!$B$43-B951)-((R920-1)*IF(Inputs!$B$38="pvp",15,MAX(0.1,Skills!D5-IF(Skills!E5=TRUE,Inputs!$B$32,0))))))/Skills!H5,1)))/Inputs!$B$43),G920*Q920))*IF(Inputs!$B$38="pvp",1,(1+(Inputs!$B$21+Skills!Q5+Summary!$B$59)/100)*(MIN(Skills!R5,Inputs!$B$37))),0)</f>
        <v/>
      </c>
    </row>
    <row r="921">
      <c r="A921">
        <f>Skills!A6</f>
        <v/>
      </c>
      <c r="B921">
        <f>Skills!B6</f>
        <v/>
      </c>
      <c r="C921">
        <f>Inputs!$B$3&gt;=103</f>
        <v/>
      </c>
      <c r="D921">
        <f>IF(Skills!C6=1,60+Inputs!$B$25+Inputs!$B$29,IF(Skills!C6=2,90+Inputs!$B$26+Inputs!$B$29,IF(Skills!C6=3,120+Inputs!$B$27+Inputs!$B$29,MAX(0,(Inputs!$B$3-100)*3)+Inputs!$B$28+Inputs!$B$29)))</f>
        <v/>
      </c>
      <c r="E921">
        <f>INDEX(FactorTable!$B$2:$Y$301, MATCH(ROUND(MIN(300,MAX(1,D921)),0), FactorTable!$A$2:$A$301,0), Skills!M6+1)</f>
        <v/>
      </c>
      <c r="F921">
        <f>IF(Skills!N6=TRUE,(Skills!L6/10)*(E921/1000),Skills!L6/10)+Skills!O6</f>
        <v/>
      </c>
      <c r="G921">
        <f>Skills!G6*IF(Skills!H6&gt;0,Skills!I6/Skills!H6,1)</f>
        <v/>
      </c>
      <c r="H921">
        <f>1-(1-Skills!J6/100)^Skills!K6</f>
        <v/>
      </c>
      <c r="I921" t="inlineStr">
        <is>
          <t>1</t>
        </is>
      </c>
      <c r="J921">
        <f>(((Inputs!$B$6+1)*(1+Inputs!$B$7/100))+(((Inputs!$B$12*(1+Inputs!$B$13/100))-(Inputs!$B$12*(1+Inputs!$B$13/100)))+0.25*(Inputs!$B$14-Inputs!$B$14))*(1+Inputs!$B$7/100))*(F921/100)</f>
        <v/>
      </c>
      <c r="K921">
        <f>J921*(1+((Inputs!$B$12*(1+Inputs!$B$13/100))*0.01+Inputs!$B$14*0.0025)/100)*(1+Inputs!$B$15/100)*(1+Inputs!$B$16/100)*(5000/(6000+Inputs!$B$42*(1-(Inputs!$B$19+0)/100)))*(1+(Inputs!$B$24+((C940=TRUE)*(F940-Calc!F25))+B950)/100)*(1+IF(Skills!A6="ENHANCED_RAGING_BLOW",IF(Inputs!$B$3&gt;=134,MAX(0,IF(Inputs!$B$3&gt;=110,7,5)-5)*50,0),0)/100)*(1+(IF(Skills!A6="RAGING_BLOW",Inputs!$B$17+((C936=TRUE)*(F936-Calc!F21)),Inputs!$B$18+((C938=TRUE)*(F938-Calc!F23))))/100)*((1+(((C928=TRUE)*F928*IF(Inputs!$B$3&gt;=110,7,5))+((C930=TRUE)*F930*IF(AND(Inputs!$B$38&lt;&gt;"pvp",Inputs!$B$43&gt;0),(((R930-1)*(Skills!T15*(1+Inputs!$B$34/100))+MIN((Skills!T15*(1+Inputs!$B$34/100)),MAX(0,Inputs!$B$43-((R930-1)*Skills!D15))))/Inputs!$B$43),IF(Inputs!$B$38="pvp",MIN((Skills!T15*(1+Inputs!$B$34/100)),15)/15,(Skills!T15*(1+Inputs!$B$34/100))/Skills!D15)))+0)/100)*I921)</f>
        <v/>
      </c>
      <c r="L921">
        <f>K921*(MIN(Inputs!$B$22+((C937=TRUE)*(F937-Calc!F22)),Inputs!$B$23+((C939=TRUE)*(F939-Calc!F24)))/100+(Inputs!$B$23+((C939=TRUE)*(F939-Calc!F24)))/100)/2</f>
        <v/>
      </c>
      <c r="M921">
        <f>L921*(1+(Inputs!$B$10+0+B949)/100)</f>
        <v/>
      </c>
      <c r="N921">
        <f>L921*(1-MIN((Inputs!$B$9+((C941=TRUE)*(F941-Calc!F26))+B944),100)/100)+M921*(MIN((Inputs!$B$9+((C941=TRUE)*(F941-Calc!F26))+B944),100)/100)</f>
        <v/>
      </c>
      <c r="O921">
        <f>(1-Summary!$B$55)*T921+Summary!$B$55*V921</f>
        <v/>
      </c>
      <c r="P921">
        <f>IF(B954=0,0,O921/B954)</f>
        <v/>
      </c>
      <c r="Q921">
        <f>IFERROR(1/IF(Inputs!$B$38="pvp",15,MAX(0.1,Skills!D6-IF(Skills!E6=TRUE,Inputs!$B$32,0))),0)</f>
        <v/>
      </c>
      <c r="R921">
        <f>IF(AND(Inputs!$B$38&lt;&gt;"pvp",Inputs!$B$43&gt;0),IF(MAX(0,Inputs!$B$43-B951)&lt;=0,0,(INT(MAX(0,Inputs!$B$43-B951)/IF(Inputs!$B$38="pvp",15,MAX(0.1,Skills!D6-IF(Skills!E6=TRUE,Inputs!$B$32,0))))+1)),0)</f>
        <v/>
      </c>
      <c r="S921">
        <f>IFERROR(O921/N921,0)</f>
        <v/>
      </c>
      <c r="T921">
        <f>IF(C921,(H921*N921*IF(AND(Inputs!$B$38&lt;&gt;"pvp",Inputs!$B$43&gt;0),((Skills!G6*((R921-1)*IF(Skills!H6&gt;0,Skills!I6/Skills!H6,1)+IF(Skills!H6&gt;0,MIN(Skills!I6,MAX(0,MAX(0,Inputs!$B$43-B951)-((R921-1)*IF(Inputs!$B$38="pvp",15,MAX(0.1,Skills!D6-IF(Skills!E6=TRUE,Inputs!$B$32,0))))))/Skills!H6,1)))/Inputs!$B$43),G921*Q921))*IF(Inputs!$B$38="pvp",1,1+(Inputs!$B$20+0+Skills!P6+Summary!$B$59)/100),0)</f>
        <v/>
      </c>
      <c r="V921">
        <f>IF(C921,(H921*N921*IF(AND(Inputs!$B$38&lt;&gt;"pvp",Inputs!$B$43&gt;0),((Skills!G6*((R921-1)*IF(Skills!H6&gt;0,Skills!I6/Skills!H6,1)+IF(Skills!H6&gt;0,MIN(Skills!I6,MAX(0,MAX(0,Inputs!$B$43-B951)-((R921-1)*IF(Inputs!$B$38="pvp",15,MAX(0.1,Skills!D6-IF(Skills!E6=TRUE,Inputs!$B$32,0))))))/Skills!H6,1)))/Inputs!$B$43),G921*Q921))*IF(Inputs!$B$38="pvp",1,(1+(Inputs!$B$21+Skills!Q6+Summary!$B$59)/100)*(MIN(Skills!R6,Inputs!$B$37))),0)</f>
        <v/>
      </c>
    </row>
    <row r="922">
      <c r="A922">
        <f>Skills!A7</f>
        <v/>
      </c>
      <c r="B922">
        <f>Skills!B7</f>
        <v/>
      </c>
      <c r="C922">
        <f>Inputs!$B$3&gt;=107</f>
        <v/>
      </c>
      <c r="D922">
        <f>IF(Skills!C7=1,60+Inputs!$B$25+Inputs!$B$29,IF(Skills!C7=2,90+Inputs!$B$26+Inputs!$B$29,IF(Skills!C7=3,120+Inputs!$B$27+Inputs!$B$29,MAX(0,(Inputs!$B$3-100)*3)+Inputs!$B$28+Inputs!$B$29)))</f>
        <v/>
      </c>
      <c r="E922">
        <f>INDEX(FactorTable!$B$2:$Y$301, MATCH(ROUND(MIN(300,MAX(1,D922)),0), FactorTable!$A$2:$A$301,0), Skills!M7+1)</f>
        <v/>
      </c>
      <c r="F922">
        <f>IF(Skills!N7=TRUE,(Skills!L7/10)*(E922/1000),Skills!L7/10)+Skills!O7</f>
        <v/>
      </c>
      <c r="G922">
        <f>Skills!G7*IF(Skills!H7&gt;0,Skills!I7/Skills!H7,1)</f>
        <v/>
      </c>
      <c r="H922">
        <f>1-(1-Skills!J7/100)^Skills!K7</f>
        <v/>
      </c>
      <c r="I922" t="inlineStr">
        <is>
          <t>1</t>
        </is>
      </c>
      <c r="J922">
        <f>(((Inputs!$B$6+1)*(1+Inputs!$B$7/100))+(((Inputs!$B$12*(1+Inputs!$B$13/100))-(Inputs!$B$12*(1+Inputs!$B$13/100)))+0.25*(Inputs!$B$14-Inputs!$B$14))*(1+Inputs!$B$7/100))*(F922/100)</f>
        <v/>
      </c>
      <c r="K922">
        <f>J922*(1+((Inputs!$B$12*(1+Inputs!$B$13/100))*0.01+Inputs!$B$14*0.0025)/100)*(1+Inputs!$B$15/100)*(1+Inputs!$B$16/100)*(5000/(6000+Inputs!$B$42*(1-(Inputs!$B$19+0)/100)))*(1+(Inputs!$B$24+((C940=TRUE)*(F940-Calc!F25))+B950)/100)*(1+IF(Skills!A7="ENHANCED_RAGING_BLOW",IF(Inputs!$B$3&gt;=134,MAX(0,IF(Inputs!$B$3&gt;=110,7,5)-5)*50,0),0)/100)*(1+(IF(Skills!A7="RAGING_BLOW",Inputs!$B$17+((C936=TRUE)*(F936-Calc!F21)),Inputs!$B$18+((C938=TRUE)*(F938-Calc!F23))))/100)*((1+(((C928=TRUE)*F928*IF(Inputs!$B$3&gt;=110,7,5))+((C930=TRUE)*F930*IF(AND(Inputs!$B$38&lt;&gt;"pvp",Inputs!$B$43&gt;0),(((R930-1)*(Skills!T15*(1+Inputs!$B$34/100))+MIN((Skills!T15*(1+Inputs!$B$34/100)),MAX(0,Inputs!$B$43-((R930-1)*Skills!D15))))/Inputs!$B$43),IF(Inputs!$B$38="pvp",MIN((Skills!T15*(1+Inputs!$B$34/100)),15)/15,(Skills!T15*(1+Inputs!$B$34/100))/Skills!D15)))+0)/100)*I922)</f>
        <v/>
      </c>
      <c r="L922">
        <f>K922*(MIN(Inputs!$B$22+((C937=TRUE)*(F937-Calc!F22)),Inputs!$B$23+((C939=TRUE)*(F939-Calc!F24)))/100+(Inputs!$B$23+((C939=TRUE)*(F939-Calc!F24)))/100)/2</f>
        <v/>
      </c>
      <c r="M922">
        <f>L922*(1+(Inputs!$B$10+0+B949)/100)</f>
        <v/>
      </c>
      <c r="N922">
        <f>L922*(1-MIN((Inputs!$B$9+((C941=TRUE)*(F941-Calc!F26))+B944),100)/100)+M922*(MIN((Inputs!$B$9+((C941=TRUE)*(F941-Calc!F26))+B944),100)/100)</f>
        <v/>
      </c>
      <c r="O922">
        <f>(1-Summary!$B$55)*T922+Summary!$B$55*V922</f>
        <v/>
      </c>
      <c r="P922">
        <f>IF(B954=0,0,O922/B954)</f>
        <v/>
      </c>
      <c r="Q922">
        <f>IFERROR(1/IF(Inputs!$B$38="pvp",15,MAX(0.1,Skills!D7-IF(Skills!E7=TRUE,Inputs!$B$32,0))),0)</f>
        <v/>
      </c>
      <c r="R922">
        <f>IF(AND(Inputs!$B$38&lt;&gt;"pvp",Inputs!$B$43&gt;0),IF(MAX(0,Inputs!$B$43-B951)&lt;=0,0,(INT(MAX(0,Inputs!$B$43-B951)/IF(Inputs!$B$38="pvp",15,MAX(0.1,Skills!D7-IF(Skills!E7=TRUE,Inputs!$B$32,0))))+1)),0)</f>
        <v/>
      </c>
      <c r="S922">
        <f>IFERROR(O922/N922,0)</f>
        <v/>
      </c>
      <c r="T922">
        <f>IF(C922,(H922*N922*IF(AND(Inputs!$B$38&lt;&gt;"pvp",Inputs!$B$43&gt;0),((Skills!G7*((R922-1)*IF(Skills!H7&gt;0,Skills!I7/Skills!H7,1)+IF(Skills!H7&gt;0,MIN(Skills!I7,MAX(0,MAX(0,Inputs!$B$43-B951)-((R922-1)*IF(Inputs!$B$38="pvp",15,MAX(0.1,Skills!D7-IF(Skills!E7=TRUE,Inputs!$B$32,0))))))/Skills!H7,1)))/Inputs!$B$43),G922*Q922))*IF(Inputs!$B$38="pvp",1,1+(Inputs!$B$20+0+Skills!P7+Summary!$B$59)/100),0)</f>
        <v/>
      </c>
      <c r="V922">
        <f>IF(C922,(H922*N922*IF(AND(Inputs!$B$38&lt;&gt;"pvp",Inputs!$B$43&gt;0),((Skills!G7*((R922-1)*IF(Skills!H7&gt;0,Skills!I7/Skills!H7,1)+IF(Skills!H7&gt;0,MIN(Skills!I7,MAX(0,MAX(0,Inputs!$B$43-B951)-((R922-1)*IF(Inputs!$B$38="pvp",15,MAX(0.1,Skills!D7-IF(Skills!E7=TRUE,Inputs!$B$32,0))))))/Skills!H7,1)))/Inputs!$B$43),G922*Q922))*IF(Inputs!$B$38="pvp",1,(1+(Inputs!$B$21+Skills!Q7+Summary!$B$59)/100)*(MIN(Skills!R7,Inputs!$B$37))),0)</f>
        <v/>
      </c>
    </row>
    <row r="923">
      <c r="A923">
        <f>Skills!A8</f>
        <v/>
      </c>
      <c r="B923">
        <f>Skills!B8</f>
        <v/>
      </c>
      <c r="C923">
        <f>Inputs!$B$3&gt;=117</f>
        <v/>
      </c>
      <c r="D923">
        <f>IF(Skills!C8=1,60+Inputs!$B$25+Inputs!$B$29,IF(Skills!C8=2,90+Inputs!$B$26+Inputs!$B$29,IF(Skills!C8=3,120+Inputs!$B$27+Inputs!$B$29,MAX(0,(Inputs!$B$3-100)*3)+Inputs!$B$28+Inputs!$B$29)))</f>
        <v/>
      </c>
      <c r="E923">
        <f>INDEX(FactorTable!$B$2:$Y$301, MATCH(ROUND(MIN(300,MAX(1,D923)),0), FactorTable!$A$2:$A$301,0), Skills!M8+1)</f>
        <v/>
      </c>
      <c r="F923">
        <f>IF(Skills!N8=TRUE,(Skills!L8/10)*(E923/1000),Skills!L8/10)+Skills!O8</f>
        <v/>
      </c>
      <c r="G923">
        <f>Skills!G8*IF(Skills!H8&gt;0,Skills!I8/Skills!H8,1)</f>
        <v/>
      </c>
      <c r="H923">
        <f>1-(1-Skills!J8/100)^Skills!K8</f>
        <v/>
      </c>
      <c r="I923" t="inlineStr">
        <is>
          <t>1</t>
        </is>
      </c>
      <c r="J923">
        <f>(((Inputs!$B$6+1)*(1+Inputs!$B$7/100))+(((Inputs!$B$12*(1+Inputs!$B$13/100))-(Inputs!$B$12*(1+Inputs!$B$13/100)))+0.25*(Inputs!$B$14-Inputs!$B$14))*(1+Inputs!$B$7/100))*(F923/100)</f>
        <v/>
      </c>
      <c r="K923">
        <f>J923*(1+((Inputs!$B$12*(1+Inputs!$B$13/100))*0.01+Inputs!$B$14*0.0025)/100)*(1+Inputs!$B$15/100)*(1+Inputs!$B$16/100)*(5000/(6000+Inputs!$B$42*(1-(Inputs!$B$19+0)/100)))*(1+(Inputs!$B$24+((C940=TRUE)*(F940-Calc!F25))+B950)/100)*(1+IF(Skills!A8="ENHANCED_RAGING_BLOW",IF(Inputs!$B$3&gt;=134,MAX(0,IF(Inputs!$B$3&gt;=110,7,5)-5)*50,0),0)/100)*(1+(IF(Skills!A8="RAGING_BLOW",Inputs!$B$17+((C936=TRUE)*(F936-Calc!F21)),Inputs!$B$18+((C938=TRUE)*(F938-Calc!F23))))/100)*((1+(((C928=TRUE)*F928*IF(Inputs!$B$3&gt;=110,7,5))+((C930=TRUE)*F930*IF(AND(Inputs!$B$38&lt;&gt;"pvp",Inputs!$B$43&gt;0),(((R930-1)*(Skills!T15*(1+Inputs!$B$34/100))+MIN((Skills!T15*(1+Inputs!$B$34/100)),MAX(0,Inputs!$B$43-((R930-1)*Skills!D15))))/Inputs!$B$43),IF(Inputs!$B$38="pvp",MIN((Skills!T15*(1+Inputs!$B$34/100)),15)/15,(Skills!T15*(1+Inputs!$B$34/100))/Skills!D15)))+0)/100)*I923)</f>
        <v/>
      </c>
      <c r="L923">
        <f>K923*(MIN(Inputs!$B$22+((C937=TRUE)*(F937-Calc!F22)),Inputs!$B$23+((C939=TRUE)*(F939-Calc!F24)))/100+(Inputs!$B$23+((C939=TRUE)*(F939-Calc!F24)))/100)/2</f>
        <v/>
      </c>
      <c r="M923">
        <f>L923*(1+(Inputs!$B$10+0+B949)/100)</f>
        <v/>
      </c>
      <c r="N923">
        <f>L923*(1-MIN((Inputs!$B$9+((C941=TRUE)*(F941-Calc!F26))+B944),100)/100)+M923*(MIN((Inputs!$B$9+((C941=TRUE)*(F941-Calc!F26))+B944),100)/100)</f>
        <v/>
      </c>
      <c r="O923">
        <f>(1-Summary!$B$55)*T923+Summary!$B$55*V923</f>
        <v/>
      </c>
      <c r="P923">
        <f>IF(B954=0,0,O923/B954)</f>
        <v/>
      </c>
      <c r="Q923">
        <f>IFERROR(1/IF(Inputs!$B$38="pvp",15,MAX(0.1,Skills!D8-IF(Skills!E8=TRUE,Inputs!$B$32,0))),0)</f>
        <v/>
      </c>
      <c r="R923">
        <f>IF(AND(Inputs!$B$38&lt;&gt;"pvp",Inputs!$B$43&gt;0),IF(MAX(0,Inputs!$B$43-B951)&lt;=0,0,(INT(MAX(0,Inputs!$B$43-B951)/IF(Inputs!$B$38="pvp",15,MAX(0.1,Skills!D8-IF(Skills!E8=TRUE,Inputs!$B$32,0))))+1)),0)</f>
        <v/>
      </c>
      <c r="S923">
        <f>IFERROR(O923/N923,0)</f>
        <v/>
      </c>
      <c r="T923">
        <f>IF(C923,(H923*N923*IF(AND(Inputs!$B$38&lt;&gt;"pvp",Inputs!$B$43&gt;0),((Skills!G8*((R923-1)*IF(Skills!H8&gt;0,Skills!I8/Skills!H8,1)+IF(Skills!H8&gt;0,MIN(Skills!I8,MAX(0,MAX(0,Inputs!$B$43-B951)-((R923-1)*IF(Inputs!$B$38="pvp",15,MAX(0.1,Skills!D8-IF(Skills!E8=TRUE,Inputs!$B$32,0))))))/Skills!H8,1)))/Inputs!$B$43),G923*Q923))*IF(Inputs!$B$38="pvp",1,1+(Inputs!$B$20+0+Skills!P8+Summary!$B$59)/100),0)</f>
        <v/>
      </c>
      <c r="V923">
        <f>IF(C923,(H923*N923*IF(AND(Inputs!$B$38&lt;&gt;"pvp",Inputs!$B$43&gt;0),((Skills!G8*((R923-1)*IF(Skills!H8&gt;0,Skills!I8/Skills!H8,1)+IF(Skills!H8&gt;0,MIN(Skills!I8,MAX(0,MAX(0,Inputs!$B$43-B951)-((R923-1)*IF(Inputs!$B$38="pvp",15,MAX(0.1,Skills!D8-IF(Skills!E8=TRUE,Inputs!$B$32,0))))))/Skills!H8,1)))/Inputs!$B$43),G923*Q923))*IF(Inputs!$B$38="pvp",1,(1+(Inputs!$B$21+Skills!Q8+Summary!$B$59)/100)*(MIN(Skills!R8,Inputs!$B$37))),0)</f>
        <v/>
      </c>
    </row>
    <row r="924">
      <c r="A924">
        <f>Skills!A9</f>
        <v/>
      </c>
      <c r="B924">
        <f>Skills!B9</f>
        <v/>
      </c>
      <c r="C924">
        <f>Inputs!$B$3&gt;=69</f>
        <v/>
      </c>
      <c r="D924">
        <f>IF(Skills!C9=1,60+Inputs!$B$25+Inputs!$B$29,IF(Skills!C9=2,90+Inputs!$B$26+Inputs!$B$29,IF(Skills!C9=3,120+Inputs!$B$27+Inputs!$B$29,MAX(0,(Inputs!$B$3-100)*3)+Inputs!$B$28+Inputs!$B$29)))</f>
        <v/>
      </c>
      <c r="E924">
        <f>INDEX(FactorTable!$B$2:$Y$301, MATCH(ROUND(MIN(300,MAX(1,D924)),0), FactorTable!$A$2:$A$301,0), Skills!M9+1)</f>
        <v/>
      </c>
      <c r="F924">
        <f>IF(Skills!N9=TRUE,(Skills!L9/10)*(E924/1000),Skills!L9/10)+Skills!O9</f>
        <v/>
      </c>
      <c r="G924">
        <f>Skills!G9*IF(Skills!H9&gt;0,Skills!I9/Skills!H9,1)</f>
        <v/>
      </c>
      <c r="H924">
        <f>1-(1-Skills!J9/100)^Skills!K9</f>
        <v/>
      </c>
      <c r="I924" t="inlineStr">
        <is>
          <t>1</t>
        </is>
      </c>
      <c r="J924">
        <f>(((Inputs!$B$6+1)*(1+Inputs!$B$7/100))+(((Inputs!$B$12*(1+Inputs!$B$13/100))-(Inputs!$B$12*(1+Inputs!$B$13/100)))+0.25*(Inputs!$B$14-Inputs!$B$14))*(1+Inputs!$B$7/100))*(F924/100)</f>
        <v/>
      </c>
      <c r="K924">
        <f>J924*(1+((Inputs!$B$12*(1+Inputs!$B$13/100))*0.01+Inputs!$B$14*0.0025)/100)*(1+Inputs!$B$15/100)*(1+Inputs!$B$16/100)*(5000/(6000+Inputs!$B$42*(1-(Inputs!$B$19+0)/100)))*(1+(Inputs!$B$24+((C940=TRUE)*(F940-Calc!F25))+B950)/100)*(1+1.0*IF(C927=TRUE,F927,0)/100)*(1+IF(Skills!A9="ENHANCED_RAGING_BLOW",IF(Inputs!$B$3&gt;=134,MAX(0,IF(Inputs!$B$3&gt;=110,7,5)-5)*50,0),0)/100)*(1+(IF(Skills!A9="RAGING_BLOW",Inputs!$B$17+((C936=TRUE)*(F936-Calc!F21)),Inputs!$B$18+((C938=TRUE)*(F938-Calc!F23))))/100)*((1+(((C928=TRUE)*F928*IF(Inputs!$B$3&gt;=110,7,5))+((C930=TRUE)*F930*IF(AND(Inputs!$B$38&lt;&gt;"pvp",Inputs!$B$43&gt;0),(((R930-1)*(Skills!T15*(1+Inputs!$B$34/100))+MIN((Skills!T15*(1+Inputs!$B$34/100)),MAX(0,Inputs!$B$43-((R930-1)*Skills!D15))))/Inputs!$B$43),IF(Inputs!$B$38="pvp",MIN((Skills!T15*(1+Inputs!$B$34/100)),15)/15,(Skills!T15*(1+Inputs!$B$34/100))/Skills!D15)))+0)/100)*I924)</f>
        <v/>
      </c>
      <c r="L924">
        <f>K924*(MIN(Inputs!$B$22+((C937=TRUE)*(F937-Calc!F22)),Inputs!$B$23+((C939=TRUE)*(F939-Calc!F24)))/100+(Inputs!$B$23+((C939=TRUE)*(F939-Calc!F24)))/100)/2</f>
        <v/>
      </c>
      <c r="M924">
        <f>L924*(1+(Inputs!$B$10+0+B949)/100)</f>
        <v/>
      </c>
      <c r="N924">
        <f>L924*(1-MIN((Inputs!$B$9+((C941=TRUE)*(F941-Calc!F26))+B944),100)/100)+M924*(MIN((Inputs!$B$9+((C941=TRUE)*(F941-Calc!F26))+B944),100)/100)</f>
        <v/>
      </c>
      <c r="O924">
        <f>(1-Summary!$B$55)*T924+Summary!$B$55*V924</f>
        <v/>
      </c>
      <c r="P924">
        <f>IF(B954=0,0,O924/B954)</f>
        <v/>
      </c>
      <c r="Q924">
        <f>IFERROR(1/IF(Inputs!$B$38="pvp",15,MAX(0.1,Skills!D9-IF(Skills!E9=TRUE,Inputs!$B$32,0))),0)</f>
        <v/>
      </c>
      <c r="R924">
        <f>IF(AND(Inputs!$B$38&lt;&gt;"pvp",Inputs!$B$43&gt;0),IF(MAX(0,Inputs!$B$43-B951)&lt;=0,0,(INT(MAX(0,Inputs!$B$43-B951)/IF(Inputs!$B$38="pvp",15,MAX(0.1,Skills!D9-IF(Skills!E9=TRUE,Inputs!$B$32,0))))+1)),0)</f>
        <v/>
      </c>
      <c r="S924">
        <f>IFERROR(O924/N924,0)</f>
        <v/>
      </c>
      <c r="T924">
        <f>IF(C924,(H924*N924*IF(AND(Inputs!$B$38&lt;&gt;"pvp",Inputs!$B$43&gt;0),((Skills!G9*((R924-1)*IF(Skills!H9&gt;0,Skills!I9/Skills!H9,1)+IF(Skills!H9&gt;0,MIN(Skills!I9,MAX(0,MAX(0,Inputs!$B$43-B951)-((R924-1)*IF(Inputs!$B$38="pvp",15,MAX(0.1,Skills!D9-IF(Skills!E9=TRUE,Inputs!$B$32,0))))))/Skills!H9,1)))/Inputs!$B$43),G924*Q924))*IF(Inputs!$B$38="pvp",1,1+(Inputs!$B$20+0+Skills!P9+Summary!$B$59)/100),0)</f>
        <v/>
      </c>
      <c r="V924">
        <f>IF(C924,(H924*N924*IF(AND(Inputs!$B$38&lt;&gt;"pvp",Inputs!$B$43&gt;0),((Skills!G9*((R924-1)*IF(Skills!H9&gt;0,Skills!I9/Skills!H9,1)+IF(Skills!H9&gt;0,MIN(Skills!I9,MAX(0,MAX(0,Inputs!$B$43-B951)-((R924-1)*IF(Inputs!$B$38="pvp",15,MAX(0.1,Skills!D9-IF(Skills!E9=TRUE,Inputs!$B$32,0))))))/Skills!H9,1)))/Inputs!$B$43),G924*Q924))*IF(Inputs!$B$38="pvp",1,(1+(Inputs!$B$21+Skills!Q9+Summary!$B$59)/100)*(MIN(Skills!R9,Inputs!$B$37))),0)</f>
        <v/>
      </c>
    </row>
    <row r="925">
      <c r="A925">
        <f>Skills!A10</f>
        <v/>
      </c>
      <c r="B925">
        <f>Skills!B10</f>
        <v/>
      </c>
      <c r="C925">
        <f>Inputs!$B$3&gt;=63</f>
        <v/>
      </c>
      <c r="D925">
        <f>IF(Skills!C10=1,60+Inputs!$B$25+Inputs!$B$29,IF(Skills!C10=2,90+Inputs!$B$26+Inputs!$B$29,IF(Skills!C10=3,120+Inputs!$B$27+Inputs!$B$29,MAX(0,(Inputs!$B$3-100)*3)+Inputs!$B$28+Inputs!$B$29)))</f>
        <v/>
      </c>
      <c r="E925">
        <f>INDEX(FactorTable!$B$2:$Y$301, MATCH(ROUND(MIN(300,MAX(1,D925)),0), FactorTable!$A$2:$A$301,0), Skills!M10+1)</f>
        <v/>
      </c>
      <c r="F925">
        <f>IF(Skills!N10=TRUE,(Skills!L10/10)*(E925/1000),Skills!L10/10)+Skills!O10</f>
        <v/>
      </c>
      <c r="G925">
        <f>Skills!G10*IF(Skills!H10&gt;0,Skills!I10/Skills!H10,1)</f>
        <v/>
      </c>
      <c r="H925">
        <f>1-(1-Skills!J10/100)^Skills!K10</f>
        <v/>
      </c>
      <c r="I925" t="inlineStr">
        <is>
          <t>1</t>
        </is>
      </c>
      <c r="J925">
        <f>(((Inputs!$B$6+1)*(1+Inputs!$B$7/100))+(((Inputs!$B$12*(1+Inputs!$B$13/100))-(Inputs!$B$12*(1+Inputs!$B$13/100)))+0.25*(Inputs!$B$14-Inputs!$B$14))*(1+Inputs!$B$7/100))*(F925/100)</f>
        <v/>
      </c>
      <c r="K925">
        <f>J925*(1+((Inputs!$B$12*(1+Inputs!$B$13/100))*0.01+Inputs!$B$14*0.0025)/100)*(1+Inputs!$B$15/100)*(1+Inputs!$B$16/100)*(5000/(6000+Inputs!$B$42*(1-(Inputs!$B$19+0)/100)))*(1+(Inputs!$B$24+((C940=TRUE)*(F940-Calc!F25))+B950)/100)*(1+1.5*IF(C927=TRUE,F927,0)/100)*(1+IF(Skills!A10="ENHANCED_RAGING_BLOW",IF(Inputs!$B$3&gt;=134,MAX(0,IF(Inputs!$B$3&gt;=110,7,5)-5)*50,0),0)/100)*(1+(IF(Skills!A10="RAGING_BLOW",Inputs!$B$17+((C936=TRUE)*(F936-Calc!F21)),Inputs!$B$18+((C938=TRUE)*(F938-Calc!F23))))/100)*((1+(((C928=TRUE)*F928*IF(Inputs!$B$3&gt;=110,7,5))+((C930=TRUE)*F930*IF(AND(Inputs!$B$38&lt;&gt;"pvp",Inputs!$B$43&gt;0),(((R930-1)*(Skills!T15*(1+Inputs!$B$34/100))+MIN((Skills!T15*(1+Inputs!$B$34/100)),MAX(0,Inputs!$B$43-((R930-1)*Skills!D15))))/Inputs!$B$43),IF(Inputs!$B$38="pvp",MIN((Skills!T15*(1+Inputs!$B$34/100)),15)/15,(Skills!T15*(1+Inputs!$B$34/100))/Skills!D15)))+0)/100)*I925)</f>
        <v/>
      </c>
      <c r="L925">
        <f>K925*(MIN(Inputs!$B$22+((C937=TRUE)*(F937-Calc!F22)),Inputs!$B$23+((C939=TRUE)*(F939-Calc!F24)))/100+(Inputs!$B$23+((C939=TRUE)*(F939-Calc!F24)))/100)/2</f>
        <v/>
      </c>
      <c r="M925">
        <f>L925*(1+(Inputs!$B$10+0+B949)/100)</f>
        <v/>
      </c>
      <c r="N925">
        <f>L925*(1-MIN((Inputs!$B$9+((C941=TRUE)*(F941-Calc!F26))+B944),100)/100)+M925*(MIN((Inputs!$B$9+((C941=TRUE)*(F941-Calc!F26))+B944),100)/100)</f>
        <v/>
      </c>
      <c r="O925">
        <f>(1-Summary!$B$55)*T925+Summary!$B$55*V925</f>
        <v/>
      </c>
      <c r="P925">
        <f>IF(B954=0,0,O925/B954)</f>
        <v/>
      </c>
      <c r="Q925">
        <f>IFERROR(1/IF(Inputs!$B$38="pvp",15,MAX(0.1,Skills!D10-IF(Skills!E10=TRUE,Inputs!$B$32,0))),0)</f>
        <v/>
      </c>
      <c r="R925">
        <f>IF(AND(Inputs!$B$38&lt;&gt;"pvp",Inputs!$B$43&gt;0),IF(MAX(0,Inputs!$B$43-B951)&lt;=0,0,(INT(MAX(0,Inputs!$B$43-B951)/IF(Inputs!$B$38="pvp",15,MAX(0.1,Skills!D10-IF(Skills!E10=TRUE,Inputs!$B$32,0))))+1)),0)</f>
        <v/>
      </c>
      <c r="S925">
        <f>IFERROR(O925/N925,0)</f>
        <v/>
      </c>
      <c r="T925">
        <f>IF(C925,(H925*N925*IF(AND(Inputs!$B$38&lt;&gt;"pvp",Inputs!$B$43&gt;0),((Skills!G10*((R925-1)*IF(Skills!H10&gt;0,Skills!I10/Skills!H10,1)+IF(Skills!H10&gt;0,MIN(Skills!I10,MAX(0,MAX(0,Inputs!$B$43-B951)-((R925-1)*IF(Inputs!$B$38="pvp",15,MAX(0.1,Skills!D10-IF(Skills!E10=TRUE,Inputs!$B$32,0))))))/Skills!H10,1)))/Inputs!$B$43),G925*Q925))*IF(Inputs!$B$38="pvp",1,1+(Inputs!$B$20+0+Skills!P10+Summary!$B$59)/100),0)</f>
        <v/>
      </c>
      <c r="V925">
        <f>IF(C925,(H925*N925*IF(AND(Inputs!$B$38&lt;&gt;"pvp",Inputs!$B$43&gt;0),((Skills!G10*((R925-1)*IF(Skills!H10&gt;0,Skills!I10/Skills!H10,1)+IF(Skills!H10&gt;0,MIN(Skills!I10,MAX(0,MAX(0,Inputs!$B$43-B951)-((R925-1)*IF(Inputs!$B$38="pvp",15,MAX(0.1,Skills!D10-IF(Skills!E10=TRUE,Inputs!$B$32,0))))))/Skills!H10,1)))/Inputs!$B$43),G925*Q925))*IF(Inputs!$B$38="pvp",1,(1+(Inputs!$B$21+Skills!Q10+Summary!$B$59)/100)*(MIN(Skills!R10,Inputs!$B$37))),0)</f>
        <v/>
      </c>
    </row>
    <row r="926">
      <c r="A926">
        <f>Skills!A11</f>
        <v/>
      </c>
      <c r="B926">
        <f>Skills!B11</f>
        <v/>
      </c>
      <c r="C926">
        <f>Inputs!$B$3&gt;=35</f>
        <v/>
      </c>
      <c r="D926">
        <f>IF(Skills!C11=1,60+Inputs!$B$25+Inputs!$B$29,IF(Skills!C11=2,90+Inputs!$B$26+Inputs!$B$29,IF(Skills!C11=3,120+Inputs!$B$27+Inputs!$B$29,MAX(0,(Inputs!$B$3-100)*3)+Inputs!$B$28+Inputs!$B$29)))</f>
        <v/>
      </c>
      <c r="E926">
        <f>INDEX(FactorTable!$B$2:$Y$301, MATCH(ROUND(MIN(300,MAX(1,D926)),0), FactorTable!$A$2:$A$301,0), Skills!M11+1)</f>
        <v/>
      </c>
      <c r="F926">
        <f>IF(Skills!N11=TRUE,(Skills!L11/10)*(E926/1000),Skills!L11/10)+Skills!O11</f>
        <v/>
      </c>
      <c r="G926">
        <f>Skills!G11*IF(Skills!H11&gt;0,Skills!I11/Skills!H11,1)</f>
        <v/>
      </c>
      <c r="H926">
        <f>1-(1-Skills!J11/100)^Skills!K11</f>
        <v/>
      </c>
      <c r="I926" t="inlineStr">
        <is>
          <t>1</t>
        </is>
      </c>
      <c r="J926">
        <f>(((Inputs!$B$6+1)*(1+Inputs!$B$7/100))+(((Inputs!$B$12*(1+Inputs!$B$13/100))-(Inputs!$B$12*(1+Inputs!$B$13/100)))+0.25*(Inputs!$B$14-Inputs!$B$14))*(1+Inputs!$B$7/100))*(F926/100)</f>
        <v/>
      </c>
      <c r="K926">
        <f>J926*(1+((Inputs!$B$12*(1+Inputs!$B$13/100))*0.01+Inputs!$B$14*0.0025)/100)*(1+Inputs!$B$15/100)*(1+Inputs!$B$16/100)*(5000/(6000+Inputs!$B$42*(1-(Inputs!$B$19+0)/100)))*(1+(Inputs!$B$24+((C940=TRUE)*(F940-Calc!F25))+B950)/100)*(1+4.0*IF(C927=TRUE,F927,0)/100)*(1+IF(Skills!A11="ENHANCED_RAGING_BLOW",IF(Inputs!$B$3&gt;=134,MAX(0,IF(Inputs!$B$3&gt;=110,7,5)-5)*50,0),0)/100)*(1+(IF(Skills!A11="RAGING_BLOW",Inputs!$B$17+((C936=TRUE)*(F936-Calc!F21)),Inputs!$B$18+((C938=TRUE)*(F938-Calc!F23))))/100)*((1+(((C928=TRUE)*F928*IF(Inputs!$B$3&gt;=110,7,5))+((C930=TRUE)*F930*IF(AND(Inputs!$B$38&lt;&gt;"pvp",Inputs!$B$43&gt;0),(((R930-1)*(Skills!T15*(1+Inputs!$B$34/100))+MIN((Skills!T15*(1+Inputs!$B$34/100)),MAX(0,Inputs!$B$43-((R930-1)*Skills!D15))))/Inputs!$B$43),IF(Inputs!$B$38="pvp",MIN((Skills!T15*(1+Inputs!$B$34/100)),15)/15,(Skills!T15*(1+Inputs!$B$34/100))/Skills!D15)))+0)/100)*I926)</f>
        <v/>
      </c>
      <c r="L926">
        <f>K926*(MIN(Inputs!$B$22+((C937=TRUE)*(F937-Calc!F22)),Inputs!$B$23+((C939=TRUE)*(F939-Calc!F24)))/100+(Inputs!$B$23+((C939=TRUE)*(F939-Calc!F24)))/100)/2</f>
        <v/>
      </c>
      <c r="M926">
        <f>L926*(1+(Inputs!$B$10+0+B949)/100)</f>
        <v/>
      </c>
      <c r="N926">
        <f>L926*(1-MIN((Inputs!$B$9+((C941=TRUE)*(F941-Calc!F26))+B944),100)/100)+M926*(MIN((Inputs!$B$9+((C941=TRUE)*(F941-Calc!F26))+B944),100)/100)</f>
        <v/>
      </c>
      <c r="O926">
        <f>(1-Summary!$B$55)*T926+Summary!$B$55*V926</f>
        <v/>
      </c>
      <c r="P926">
        <f>IF(B954=0,0,O926/B954)</f>
        <v/>
      </c>
      <c r="Q926">
        <f>IFERROR(1/IF(Inputs!$B$38="pvp",15,MAX(0.1,Skills!D11-IF(Skills!E11=TRUE,Inputs!$B$32,0))),0)</f>
        <v/>
      </c>
      <c r="R926">
        <f>IF(AND(Inputs!$B$38&lt;&gt;"pvp",Inputs!$B$43&gt;0),IF(MAX(0,Inputs!$B$43-B951)&lt;=0,0,(INT(MAX(0,Inputs!$B$43-B951)/IF(Inputs!$B$38="pvp",15,MAX(0.1,Skills!D11-IF(Skills!E11=TRUE,Inputs!$B$32,0))))+1)),0)</f>
        <v/>
      </c>
      <c r="S926">
        <f>IFERROR(O926/N926,0)</f>
        <v/>
      </c>
      <c r="T926">
        <f>IF(C926,(H926*N926*IF(AND(Inputs!$B$38&lt;&gt;"pvp",Inputs!$B$43&gt;0),((Skills!G11*((R926-1)*IF(Skills!H11&gt;0,Skills!I11/Skills!H11,1)+IF(Skills!H11&gt;0,MIN(Skills!I11,MAX(0,MAX(0,Inputs!$B$43-B951)-((R926-1)*IF(Inputs!$B$38="pvp",15,MAX(0.1,Skills!D11-IF(Skills!E11=TRUE,Inputs!$B$32,0))))))/Skills!H11,1)))/Inputs!$B$43),G926*Q926))*IF(Inputs!$B$38="pvp",1,1+(Inputs!$B$20+0+Skills!P11+Summary!$B$59)/100),0)</f>
        <v/>
      </c>
      <c r="V926">
        <f>IF(C926,(H926*N926*IF(AND(Inputs!$B$38&lt;&gt;"pvp",Inputs!$B$43&gt;0),((Skills!G11*((R926-1)*IF(Skills!H11&gt;0,Skills!I11/Skills!H11,1)+IF(Skills!H11&gt;0,MIN(Skills!I11,MAX(0,MAX(0,Inputs!$B$43-B951)-((R926-1)*IF(Inputs!$B$38="pvp",15,MAX(0.1,Skills!D11-IF(Skills!E11=TRUE,Inputs!$B$32,0))))))/Skills!H11,1)))/Inputs!$B$43),G926*Q926))*IF(Inputs!$B$38="pvp",1,(1+(Inputs!$B$21+Skills!Q11+Summary!$B$59)/100)*(MIN(Skills!R11,Inputs!$B$37))),0)</f>
        <v/>
      </c>
    </row>
    <row r="927">
      <c r="A927">
        <f>Skills!A12</f>
        <v/>
      </c>
      <c r="B927">
        <f>Skills!B12</f>
        <v/>
      </c>
      <c r="C927">
        <f>Inputs!$B$3&gt;=100</f>
        <v/>
      </c>
      <c r="D927">
        <f>IF(Skills!C12=1,60+Inputs!$B$25+Inputs!$B$29,IF(Skills!C12=2,90+Inputs!$B$26+Inputs!$B$29,IF(Skills!C12=3,120+Inputs!$B$27+Inputs!$B$29,MAX(0,(Inputs!$B$3-100)*3)+Inputs!$B$28+Inputs!$B$29)))</f>
        <v/>
      </c>
      <c r="E927">
        <f>INDEX(FactorTable!$B$2:$Y$301, MATCH(ROUND(MIN(300,MAX(1,D927)),0), FactorTable!$A$2:$A$301,0), Skills!M12+1)</f>
        <v/>
      </c>
      <c r="F927">
        <f>IF(Skills!N12=TRUE,(Skills!L12/10)*(E927/1000),Skills!L12/10)+Skills!O12</f>
        <v/>
      </c>
      <c r="G927" t="inlineStr"/>
      <c r="H927" t="inlineStr"/>
      <c r="I927" t="inlineStr">
        <is>
          <t>1</t>
        </is>
      </c>
      <c r="J927" t="inlineStr"/>
      <c r="K927" t="inlineStr"/>
      <c r="L927" t="inlineStr"/>
      <c r="M927" t="inlineStr"/>
      <c r="N927" t="inlineStr"/>
      <c r="O927" t="inlineStr"/>
      <c r="P927" t="inlineStr"/>
      <c r="Q927" t="inlineStr"/>
      <c r="R927" t="inlineStr"/>
      <c r="S927" t="inlineStr"/>
    </row>
    <row r="928">
      <c r="A928">
        <f>Skills!A13</f>
        <v/>
      </c>
      <c r="B928">
        <f>Skills!B13</f>
        <v/>
      </c>
      <c r="C928">
        <f>Inputs!$B$3&gt;=45</f>
        <v/>
      </c>
      <c r="D928">
        <f>IF(Skills!C13=1,60+Inputs!$B$25+Inputs!$B$29,IF(Skills!C13=2,90+Inputs!$B$26+Inputs!$B$29,IF(Skills!C13=3,120+Inputs!$B$27+Inputs!$B$29,MAX(0,(Inputs!$B$3-100)*3)+Inputs!$B$28+Inputs!$B$29)))</f>
        <v/>
      </c>
      <c r="E928">
        <f>INDEX(FactorTable!$B$2:$Y$301, MATCH(ROUND(MIN(300,MAX(1,D928)),0), FactorTable!$A$2:$A$301,0), Skills!M13+1)</f>
        <v/>
      </c>
      <c r="F928">
        <f>IF(Skills!N13=TRUE,(Skills!L13/10)*(E928/1000),Skills!L13/10)+Skills!O13</f>
        <v/>
      </c>
      <c r="G928">
        <f>Skills!G13*IF(Skills!H13&gt;0,Skills!I13/Skills!H13,1)</f>
        <v/>
      </c>
      <c r="H928">
        <f>1-(1-Skills!J13/100)^Skills!K13</f>
        <v/>
      </c>
      <c r="I928" t="inlineStr">
        <is>
          <t>1</t>
        </is>
      </c>
      <c r="J928" t="inlineStr"/>
      <c r="K928" t="inlineStr"/>
      <c r="L928" t="inlineStr"/>
      <c r="M928" t="inlineStr"/>
      <c r="N928" t="inlineStr"/>
      <c r="O928">
        <f>(1-Summary!$B$55)*T928+Summary!$B$55*V928</f>
        <v/>
      </c>
      <c r="P928">
        <f>IF(B954=0,0,O928/B954)</f>
        <v/>
      </c>
      <c r="Q928" t="n">
        <v>0</v>
      </c>
      <c r="R928" t="n">
        <v>0</v>
      </c>
      <c r="S928">
        <f>IFERROR(O928/N928,0)</f>
        <v/>
      </c>
      <c r="T928" t="n">
        <v>0</v>
      </c>
      <c r="V928" t="n">
        <v>0</v>
      </c>
    </row>
    <row r="929">
      <c r="A929">
        <f>Skills!A14</f>
        <v/>
      </c>
      <c r="B929">
        <f>Skills!B14</f>
        <v/>
      </c>
      <c r="C929">
        <f>Inputs!$B$3&gt;=75</f>
        <v/>
      </c>
      <c r="D929">
        <f>IF(Skills!C14=1,60+Inputs!$B$25+Inputs!$B$29,IF(Skills!C14=2,90+Inputs!$B$26+Inputs!$B$29,IF(Skills!C14=3,120+Inputs!$B$27+Inputs!$B$29,MAX(0,(Inputs!$B$3-100)*3)+Inputs!$B$28+Inputs!$B$29)))</f>
        <v/>
      </c>
      <c r="E929">
        <f>INDEX(FactorTable!$B$2:$Y$301, MATCH(ROUND(MIN(300,MAX(1,D929)),0), FactorTable!$A$2:$A$301,0), Skills!M14+1)</f>
        <v/>
      </c>
      <c r="F929">
        <f>IF(Skills!N14=TRUE,(Skills!L14/10)*(E929/1000),Skills!L14/10)+Skills!O14</f>
        <v/>
      </c>
      <c r="G929">
        <f>Skills!G14*IF(Skills!H14&gt;0,Skills!I14/Skills!H14,1)</f>
        <v/>
      </c>
      <c r="H929">
        <f>1-(1-Skills!J14/100)^Skills!K14</f>
        <v/>
      </c>
      <c r="I929" t="inlineStr">
        <is>
          <t>1</t>
        </is>
      </c>
      <c r="J929" t="inlineStr"/>
      <c r="K929" t="inlineStr"/>
      <c r="L929" t="inlineStr"/>
      <c r="M929" t="inlineStr"/>
      <c r="N929" t="inlineStr"/>
      <c r="O929">
        <f>(1-Summary!$B$55)*T929+Summary!$B$55*V929</f>
        <v/>
      </c>
      <c r="P929">
        <f>IF(B954=0,0,O929/B954)</f>
        <v/>
      </c>
      <c r="Q929" t="n">
        <v>0</v>
      </c>
      <c r="R929" t="n">
        <v>0</v>
      </c>
      <c r="S929">
        <f>IFERROR(O929/N929,0)</f>
        <v/>
      </c>
      <c r="T929" t="n">
        <v>0</v>
      </c>
      <c r="V929" t="n">
        <v>0</v>
      </c>
    </row>
    <row r="930">
      <c r="A930">
        <f>Skills!A15</f>
        <v/>
      </c>
      <c r="B930">
        <f>Skills!B15</f>
        <v/>
      </c>
      <c r="C930">
        <f>Inputs!$B$3&gt;=40</f>
        <v/>
      </c>
      <c r="D930">
        <f>IF(Skills!C15=1,60+Inputs!$B$25+Inputs!$B$29,IF(Skills!C15=2,90+Inputs!$B$26+Inputs!$B$29,IF(Skills!C15=3,120+Inputs!$B$27+Inputs!$B$29,MAX(0,(Inputs!$B$3-100)*3)+Inputs!$B$28+Inputs!$B$29)))</f>
        <v/>
      </c>
      <c r="E930">
        <f>INDEX(FactorTable!$B$2:$Y$301, MATCH(ROUND(MIN(300,MAX(1,D930)),0), FactorTable!$A$2:$A$301,0), Skills!M15+1)</f>
        <v/>
      </c>
      <c r="F930">
        <f>IF(Skills!N15=TRUE,(Skills!L15/10)*(E930/1000),Skills!L15/10)+Skills!O15</f>
        <v/>
      </c>
      <c r="G930">
        <f>Skills!G15*IF(Skills!H15&gt;0,Skills!I15/Skills!H15,1)</f>
        <v/>
      </c>
      <c r="H930">
        <f>1-(1-Skills!J15/100)^Skills!K15</f>
        <v/>
      </c>
      <c r="I930" t="inlineStr">
        <is>
          <t>1</t>
        </is>
      </c>
      <c r="J930" t="inlineStr"/>
      <c r="K930" t="inlineStr"/>
      <c r="L930" t="inlineStr"/>
      <c r="M930" t="inlineStr"/>
      <c r="N930" t="inlineStr"/>
      <c r="O930">
        <f>(1-Summary!$B$55)*T930+Summary!$B$55*V930</f>
        <v/>
      </c>
      <c r="P930">
        <f>IF(B954=0,0,O930/B954)</f>
        <v/>
      </c>
      <c r="Q930">
        <f>IFERROR(1/IF(Inputs!$B$38="pvp",15,MAX(0.1,Skills!D15-IF(Skills!E15=TRUE,Inputs!$B$32,0))),0)</f>
        <v/>
      </c>
      <c r="R930">
        <f>IF(AND(Inputs!$B$38&lt;&gt;"pvp",Inputs!$B$43&gt;0),IF(Inputs!$B$43&lt;=0,0,(INT(Inputs!$B$43/IF(Inputs!$B$38="pvp",15,MAX(0.1,Skills!D15-IF(Skills!E15=TRUE,Inputs!$B$32,0))))+1)),0)</f>
        <v/>
      </c>
      <c r="S930">
        <f>IFERROR(O930/N930,0)</f>
        <v/>
      </c>
      <c r="T930" t="n">
        <v>0</v>
      </c>
      <c r="V930" t="n">
        <v>0</v>
      </c>
    </row>
    <row r="931">
      <c r="A931">
        <f>Skills!A16</f>
        <v/>
      </c>
      <c r="B931">
        <f>Skills!B16</f>
        <v/>
      </c>
      <c r="C931">
        <f>Inputs!$B$3&gt;=66</f>
        <v/>
      </c>
      <c r="D931">
        <f>IF(Skills!C16=1,60+Inputs!$B$25+Inputs!$B$29,IF(Skills!C16=2,90+Inputs!$B$26+Inputs!$B$29,IF(Skills!C16=3,120+Inputs!$B$27+Inputs!$B$29,MAX(0,(Inputs!$B$3-100)*3)+Inputs!$B$28+Inputs!$B$29)))</f>
        <v/>
      </c>
      <c r="E931">
        <f>INDEX(FactorTable!$B$2:$Y$301, MATCH(ROUND(MIN(300,MAX(1,D931)),0), FactorTable!$A$2:$A$301,0), Skills!M16+1)</f>
        <v/>
      </c>
      <c r="F931">
        <f>IF(Skills!N16=TRUE,(Skills!L16/10)*(E931/1000),Skills!L16/10)+Skills!O16</f>
        <v/>
      </c>
      <c r="G931">
        <f>Skills!G16*IF(Skills!H16&gt;0,Skills!I16/Skills!H16,1)</f>
        <v/>
      </c>
      <c r="H931">
        <f>1-(1-Skills!J16/100)^Skills!K16</f>
        <v/>
      </c>
      <c r="I931" t="inlineStr">
        <is>
          <t>1</t>
        </is>
      </c>
      <c r="J931" t="inlineStr"/>
      <c r="K931" t="inlineStr"/>
      <c r="L931" t="inlineStr"/>
      <c r="M931" t="inlineStr"/>
      <c r="N931" t="inlineStr"/>
      <c r="O931">
        <f>(1-Summary!$B$55)*T931+Summary!$B$55*V931</f>
        <v/>
      </c>
      <c r="P931">
        <f>IF(B954=0,0,O931/B954)</f>
        <v/>
      </c>
      <c r="Q931">
        <f>IFERROR(1/IF(Inputs!$B$38="pvp",15,MAX(0.1,Skills!D16-IF(Skills!E16=TRUE,Inputs!$B$32,0))),0)</f>
        <v/>
      </c>
      <c r="R931">
        <f>IF(AND(Inputs!$B$38&lt;&gt;"pvp",Inputs!$B$43&gt;0),IF(Inputs!$B$43&lt;=0,0,(INT(Inputs!$B$43/IF(Inputs!$B$38="pvp",15,MAX(0.1,Skills!D16-IF(Skills!E16=TRUE,Inputs!$B$32,0))))+1)),0)</f>
        <v/>
      </c>
      <c r="S931">
        <f>IFERROR(O931/N931,0)</f>
        <v/>
      </c>
      <c r="T931" t="n">
        <v>0</v>
      </c>
      <c r="V931" t="n">
        <v>0</v>
      </c>
    </row>
    <row r="932">
      <c r="A932">
        <f>Skills!A17</f>
        <v/>
      </c>
      <c r="B932">
        <f>Skills!B17</f>
        <v/>
      </c>
      <c r="C932">
        <f>Inputs!$B$3&gt;=115</f>
        <v/>
      </c>
      <c r="D932">
        <f>IF(Skills!C17=1,60+Inputs!$B$25+Inputs!$B$29,IF(Skills!C17=2,90+Inputs!$B$26+Inputs!$B$29,IF(Skills!C17=3,120+Inputs!$B$27+Inputs!$B$29,MAX(0,(Inputs!$B$3-100)*3)+Inputs!$B$28+Inputs!$B$29)))</f>
        <v/>
      </c>
      <c r="E932">
        <f>INDEX(FactorTable!$B$2:$Y$301, MATCH(ROUND(MIN(300,MAX(1,D932)),0), FactorTable!$A$2:$A$301,0), Skills!M17+1)</f>
        <v/>
      </c>
      <c r="F932">
        <f>IF(Skills!N17=TRUE,(Skills!L17/10)*(E932/1000),Skills!L17/10)+Skills!O17</f>
        <v/>
      </c>
      <c r="G932">
        <f>Skills!G17*IF(Skills!H17&gt;0,Skills!I17/Skills!H17,1)</f>
        <v/>
      </c>
      <c r="H932">
        <f>1-(1-Skills!J17/100)^Skills!K17</f>
        <v/>
      </c>
      <c r="I932" t="inlineStr">
        <is>
          <t>1</t>
        </is>
      </c>
      <c r="J932" t="inlineStr"/>
      <c r="K932" t="inlineStr"/>
      <c r="L932" t="inlineStr"/>
      <c r="M932" t="inlineStr"/>
      <c r="N932" t="inlineStr"/>
      <c r="O932">
        <f>(1-Summary!$B$55)*T932+Summary!$B$55*V932</f>
        <v/>
      </c>
      <c r="P932">
        <f>IF(B954=0,0,O932/B954)</f>
        <v/>
      </c>
      <c r="Q932">
        <f>IFERROR(1/IF(Inputs!$B$38="pvp",15,MAX(0.1,Skills!D17-IF(Skills!E17=TRUE,Inputs!$B$32,0))),0)</f>
        <v/>
      </c>
      <c r="R932">
        <f>IF(AND(Inputs!$B$38&lt;&gt;"pvp",Inputs!$B$43&gt;0),IF(Inputs!$B$43&lt;=0,0,(INT(Inputs!$B$43/IF(Inputs!$B$38="pvp",15,MAX(0.1,Skills!D17-IF(Skills!E17=TRUE,Inputs!$B$32,0))))+1)),0)</f>
        <v/>
      </c>
      <c r="S932">
        <f>IFERROR(O932/N932,0)</f>
        <v/>
      </c>
      <c r="T932" t="n">
        <v>0</v>
      </c>
      <c r="V932" t="n">
        <v>0</v>
      </c>
    </row>
    <row r="933">
      <c r="A933">
        <f>Skills!A18</f>
        <v/>
      </c>
      <c r="B933">
        <f>Skills!B18</f>
        <v/>
      </c>
      <c r="C933">
        <f>Inputs!$B$3&gt;=115</f>
        <v/>
      </c>
      <c r="D933">
        <f>IF(Skills!C18=1,60+Inputs!$B$25+Inputs!$B$29,IF(Skills!C18=2,90+Inputs!$B$26+Inputs!$B$29,IF(Skills!C18=3,120+Inputs!$B$27+Inputs!$B$29,MAX(0,(Inputs!$B$3-100)*3)+Inputs!$B$28+Inputs!$B$29)))</f>
        <v/>
      </c>
      <c r="E933">
        <f>INDEX(FactorTable!$B$2:$Y$301, MATCH(ROUND(MIN(300,MAX(1,D933)),0), FactorTable!$A$2:$A$301,0), Skills!M18+1)</f>
        <v/>
      </c>
      <c r="F933">
        <f>IF(Skills!N18=TRUE,(Skills!L18/10)*(E933/1000),Skills!L18/10)+Skills!O18</f>
        <v/>
      </c>
      <c r="G933">
        <f>Skills!G18*IF(Skills!H18&gt;0,Skills!I18/Skills!H18,1)</f>
        <v/>
      </c>
      <c r="H933">
        <f>1-(1-Skills!J18/100)^Skills!K18</f>
        <v/>
      </c>
      <c r="I933" t="inlineStr">
        <is>
          <t>1</t>
        </is>
      </c>
      <c r="J933" t="inlineStr"/>
      <c r="K933" t="inlineStr"/>
      <c r="L933" t="inlineStr"/>
      <c r="M933" t="inlineStr"/>
      <c r="N933" t="inlineStr"/>
      <c r="O933">
        <f>(1-Summary!$B$55)*T933+Summary!$B$55*V933</f>
        <v/>
      </c>
      <c r="P933">
        <f>IF(B954=0,0,O933/B954)</f>
        <v/>
      </c>
      <c r="Q933">
        <f>IFERROR(1/IF(Inputs!$B$38="pvp",15,MAX(0.1,Skills!D18-IF(Skills!E18=TRUE,Inputs!$B$32,0))),0)</f>
        <v/>
      </c>
      <c r="R933">
        <f>IF(AND(Inputs!$B$38&lt;&gt;"pvp",Inputs!$B$43&gt;0),IF(Inputs!$B$43&lt;=0,0,(INT(Inputs!$B$43/IF(Inputs!$B$38="pvp",15,MAX(0.1,Skills!D18-IF(Skills!E18=TRUE,Inputs!$B$32,0))))+1)),0)</f>
        <v/>
      </c>
      <c r="S933">
        <f>IFERROR(O933/N933,0)</f>
        <v/>
      </c>
      <c r="T933" t="n">
        <v>0</v>
      </c>
      <c r="V933" t="n">
        <v>0</v>
      </c>
    </row>
    <row r="934">
      <c r="A934">
        <f>Skills!A19</f>
        <v/>
      </c>
      <c r="B934">
        <f>Skills!B19</f>
        <v/>
      </c>
      <c r="C934">
        <f>TRUE</f>
        <v/>
      </c>
      <c r="D934">
        <f>IF(Skills!C19=1,60+Inputs!$B$25+Inputs!$B$29,IF(Skills!C19=2,90+Inputs!$B$26+Inputs!$B$29,IF(Skills!C19=3,120+Inputs!$B$27+Inputs!$B$29,MAX(0,(Inputs!$B$3-100)*3)+Inputs!$B$28+Inputs!$B$29)))</f>
        <v/>
      </c>
      <c r="E934">
        <f>INDEX(FactorTable!$B$2:$Y$301, MATCH(ROUND(MIN(300,MAX(1,D934)),0), FactorTable!$A$2:$A$301,0), Skills!M19+1)</f>
        <v/>
      </c>
      <c r="F934">
        <f>IF(Skills!N19=TRUE,(Skills!L19/10)*(E934/1000),Skills!L19/10)+Skills!O19</f>
        <v/>
      </c>
      <c r="G934">
        <f>Skills!G19*IF(Skills!H19&gt;0,Skills!I19/Skills!H19,1)</f>
        <v/>
      </c>
      <c r="H934">
        <f>1-(1-Skills!J19/100)^Skills!K19</f>
        <v/>
      </c>
      <c r="I934" t="inlineStr">
        <is>
          <t>1</t>
        </is>
      </c>
      <c r="J934" t="inlineStr"/>
      <c r="K934" t="inlineStr"/>
      <c r="L934" t="inlineStr"/>
      <c r="M934" t="inlineStr"/>
      <c r="N934" t="inlineStr"/>
      <c r="O934">
        <f>(1-Summary!$B$55)*T934+Summary!$B$55*V934</f>
        <v/>
      </c>
      <c r="P934">
        <f>IF(B954=0,0,O934/B954)</f>
        <v/>
      </c>
      <c r="Q934">
        <f>IFERROR(1/IF(Inputs!$B$38="pvp",15,MAX(0.1,Skills!D19-IF(Skills!E19=TRUE,Inputs!$B$32,0))),0)</f>
        <v/>
      </c>
      <c r="R934">
        <f>IF(AND(Inputs!$B$38&lt;&gt;"pvp",Inputs!$B$43&gt;0),IF(Inputs!$B$43&lt;=0,0,(INT(Inputs!$B$43/IF(Inputs!$B$38="pvp",15,MAX(0.1,Skills!D19-IF(Skills!E19=TRUE,Inputs!$B$32,0))))+1)),0)</f>
        <v/>
      </c>
      <c r="S934">
        <f>IFERROR(O934/N934,0)</f>
        <v/>
      </c>
      <c r="T934" t="n">
        <v>0</v>
      </c>
      <c r="V934" t="n">
        <v>0</v>
      </c>
    </row>
    <row r="935">
      <c r="A935">
        <f>Skills!A20</f>
        <v/>
      </c>
      <c r="B935">
        <f>Skills!B20</f>
        <v/>
      </c>
      <c r="C935">
        <f>Inputs!$B$3&gt;=33</f>
        <v/>
      </c>
      <c r="D935">
        <f>IF(Skills!C20=1,60+Inputs!$B$25+Inputs!$B$29,IF(Skills!C20=2,90+Inputs!$B$26+Inputs!$B$29,IF(Skills!C20=3,120+Inputs!$B$27+Inputs!$B$29,MAX(0,(Inputs!$B$3-100)*3)+Inputs!$B$28+Inputs!$B$29)))</f>
        <v/>
      </c>
      <c r="E935">
        <f>INDEX(FactorTable!$B$2:$Y$301, MATCH(ROUND(MIN(300,MAX(1,D935)),0), FactorTable!$A$2:$A$301,0), Skills!M20+1)</f>
        <v/>
      </c>
      <c r="F935">
        <f>IF(Skills!N20=TRUE,(Skills!L20/10)*(E935/1000),Skills!L20/10)+Skills!O20</f>
        <v/>
      </c>
      <c r="G935">
        <f>Skills!G20*IF(Skills!H20&gt;0,Skills!I20/Skills!H20,1)</f>
        <v/>
      </c>
      <c r="H935">
        <f>1-(1-Skills!J20/100)^Skills!K20</f>
        <v/>
      </c>
      <c r="I935" t="inlineStr">
        <is>
          <t>1</t>
        </is>
      </c>
      <c r="J935" t="inlineStr"/>
      <c r="K935" t="inlineStr"/>
      <c r="L935" t="inlineStr"/>
      <c r="M935" t="inlineStr"/>
      <c r="N935" t="inlineStr"/>
      <c r="O935">
        <f>(1-Summary!$B$55)*T935+Summary!$B$55*V935</f>
        <v/>
      </c>
      <c r="P935">
        <f>IF(B954=0,0,O935/B954)</f>
        <v/>
      </c>
      <c r="Q935" t="n">
        <v>0</v>
      </c>
      <c r="R935" t="n">
        <v>0</v>
      </c>
      <c r="S935">
        <f>IFERROR(O935/N935,0)</f>
        <v/>
      </c>
      <c r="T935" t="n">
        <v>0</v>
      </c>
      <c r="V935" t="n">
        <v>0</v>
      </c>
    </row>
    <row r="936">
      <c r="A936">
        <f>Skills!A21</f>
        <v/>
      </c>
      <c r="B936">
        <f>Skills!B21</f>
        <v/>
      </c>
      <c r="C936">
        <f>Inputs!$B$3&gt;=38</f>
        <v/>
      </c>
      <c r="D936">
        <f>IF(Skills!C21=1,60+Inputs!$B$25+Inputs!$B$29,IF(Skills!C21=2,90+Inputs!$B$26+Inputs!$B$29,IF(Skills!C21=3,120+Inputs!$B$27+Inputs!$B$29,MAX(0,(Inputs!$B$3-100)*3)+Inputs!$B$28+Inputs!$B$29)))</f>
        <v/>
      </c>
      <c r="E936">
        <f>INDEX(FactorTable!$B$2:$Y$301, MATCH(ROUND(MIN(300,MAX(1,D936)),0), FactorTable!$A$2:$A$301,0), Skills!M21+1)</f>
        <v/>
      </c>
      <c r="F936">
        <f>IF(Skills!N21=TRUE,(Skills!L21/10)*(E936/1000),Skills!L21/10)+Skills!O21</f>
        <v/>
      </c>
      <c r="G936">
        <f>Skills!G21*IF(Skills!H21&gt;0,Skills!I21/Skills!H21,1)</f>
        <v/>
      </c>
      <c r="H936">
        <f>1-(1-Skills!J21/100)^Skills!K21</f>
        <v/>
      </c>
      <c r="I936" t="inlineStr">
        <is>
          <t>1</t>
        </is>
      </c>
      <c r="J936" t="inlineStr"/>
      <c r="K936" t="inlineStr"/>
      <c r="L936" t="inlineStr"/>
      <c r="M936" t="inlineStr"/>
      <c r="N936" t="inlineStr"/>
      <c r="O936">
        <f>(1-Summary!$B$55)*T936+Summary!$B$55*V936</f>
        <v/>
      </c>
      <c r="P936">
        <f>IF(B954=0,0,O936/B954)</f>
        <v/>
      </c>
      <c r="Q936" t="n">
        <v>0</v>
      </c>
      <c r="R936" t="n">
        <v>0</v>
      </c>
      <c r="S936">
        <f>IFERROR(O936/N936,0)</f>
        <v/>
      </c>
      <c r="T936" t="n">
        <v>0</v>
      </c>
      <c r="V936" t="n">
        <v>0</v>
      </c>
    </row>
    <row r="937">
      <c r="A937">
        <f>Skills!A22</f>
        <v/>
      </c>
      <c r="B937">
        <f>Skills!B22</f>
        <v/>
      </c>
      <c r="C937">
        <f>Inputs!$B$3&gt;=43</f>
        <v/>
      </c>
      <c r="D937">
        <f>IF(Skills!C22=1,60+Inputs!$B$25+Inputs!$B$29,IF(Skills!C22=2,90+Inputs!$B$26+Inputs!$B$29,IF(Skills!C22=3,120+Inputs!$B$27+Inputs!$B$29,MAX(0,(Inputs!$B$3-100)*3)+Inputs!$B$28+Inputs!$B$29)))</f>
        <v/>
      </c>
      <c r="E937">
        <f>INDEX(FactorTable!$B$2:$Y$301, MATCH(ROUND(MIN(300,MAX(1,D937)),0), FactorTable!$A$2:$A$301,0), Skills!M22+1)</f>
        <v/>
      </c>
      <c r="F937">
        <f>IF(Skills!N22=TRUE,(Skills!L22/10)*(E937/1000),Skills!L22/10)+Skills!O22</f>
        <v/>
      </c>
      <c r="G937">
        <f>Skills!G22*IF(Skills!H22&gt;0,Skills!I22/Skills!H22,1)</f>
        <v/>
      </c>
      <c r="H937">
        <f>1-(1-Skills!J22/100)^Skills!K22</f>
        <v/>
      </c>
      <c r="I937" t="inlineStr">
        <is>
          <t>1</t>
        </is>
      </c>
      <c r="J937" t="inlineStr"/>
      <c r="K937" t="inlineStr"/>
      <c r="L937" t="inlineStr"/>
      <c r="M937" t="inlineStr"/>
      <c r="N937" t="inlineStr"/>
      <c r="O937">
        <f>(1-Summary!$B$55)*T937+Summary!$B$55*V937</f>
        <v/>
      </c>
      <c r="P937">
        <f>IF(B954=0,0,O937/B954)</f>
        <v/>
      </c>
      <c r="Q937" t="n">
        <v>0</v>
      </c>
      <c r="R937" t="n">
        <v>0</v>
      </c>
      <c r="S937">
        <f>IFERROR(O937/N937,0)</f>
        <v/>
      </c>
      <c r="T937" t="n">
        <v>0</v>
      </c>
      <c r="V937" t="n">
        <v>0</v>
      </c>
    </row>
    <row r="938">
      <c r="A938">
        <f>Skills!A23</f>
        <v/>
      </c>
      <c r="B938">
        <f>Skills!B23</f>
        <v/>
      </c>
      <c r="C938">
        <f>Inputs!$B$3&gt;=120</f>
        <v/>
      </c>
      <c r="D938">
        <f>IF(Skills!C23=1,60+Inputs!$B$25+Inputs!$B$29,IF(Skills!C23=2,90+Inputs!$B$26+Inputs!$B$29,IF(Skills!C23=3,120+Inputs!$B$27+Inputs!$B$29,MAX(0,(Inputs!$B$3-100)*3)+Inputs!$B$28+Inputs!$B$29)))</f>
        <v/>
      </c>
      <c r="E938">
        <f>INDEX(FactorTable!$B$2:$Y$301, MATCH(ROUND(MIN(300,MAX(1,D938)),0), FactorTable!$A$2:$A$301,0), Skills!M23+1)</f>
        <v/>
      </c>
      <c r="F938">
        <f>IF(Skills!N23=TRUE,(Skills!L23/10)*(E938/1000),Skills!L23/10)+Skills!O23</f>
        <v/>
      </c>
      <c r="G938">
        <f>Skills!G23*IF(Skills!H23&gt;0,Skills!I23/Skills!H23,1)</f>
        <v/>
      </c>
      <c r="H938">
        <f>1-(1-Skills!J23/100)^Skills!K23</f>
        <v/>
      </c>
      <c r="I938" t="inlineStr">
        <is>
          <t>1</t>
        </is>
      </c>
      <c r="J938" t="inlineStr"/>
      <c r="K938" t="inlineStr"/>
      <c r="L938" t="inlineStr"/>
      <c r="M938" t="inlineStr"/>
      <c r="N938" t="inlineStr"/>
      <c r="O938">
        <f>(1-Summary!$B$55)*T938+Summary!$B$55*V938</f>
        <v/>
      </c>
      <c r="P938">
        <f>IF(B954=0,0,O938/B954)</f>
        <v/>
      </c>
      <c r="Q938" t="n">
        <v>0</v>
      </c>
      <c r="R938" t="n">
        <v>0</v>
      </c>
      <c r="S938">
        <f>IFERROR(O938/N938,0)</f>
        <v/>
      </c>
      <c r="T938" t="n">
        <v>0</v>
      </c>
      <c r="V938" t="n">
        <v>0</v>
      </c>
    </row>
    <row r="939">
      <c r="A939">
        <f>Skills!A24</f>
        <v/>
      </c>
      <c r="B939">
        <f>Skills!B24</f>
        <v/>
      </c>
      <c r="C939">
        <f>Inputs!$B$3&gt;=120</f>
        <v/>
      </c>
      <c r="D939">
        <f>IF(Skills!C24=1,60+Inputs!$B$25+Inputs!$B$29,IF(Skills!C24=2,90+Inputs!$B$26+Inputs!$B$29,IF(Skills!C24=3,120+Inputs!$B$27+Inputs!$B$29,MAX(0,(Inputs!$B$3-100)*3)+Inputs!$B$28+Inputs!$B$29)))</f>
        <v/>
      </c>
      <c r="E939">
        <f>INDEX(FactorTable!$B$2:$Y$301, MATCH(ROUND(MIN(300,MAX(1,D939)),0), FactorTable!$A$2:$A$301,0), Skills!M24+1)</f>
        <v/>
      </c>
      <c r="F939">
        <f>IF(Skills!N24=TRUE,(Skills!L24/10)*(E939/1000),Skills!L24/10)+Skills!O24</f>
        <v/>
      </c>
      <c r="G939">
        <f>Skills!G24*IF(Skills!H24&gt;0,Skills!I24/Skills!H24,1)</f>
        <v/>
      </c>
      <c r="H939">
        <f>1-(1-Skills!J24/100)^Skills!K24</f>
        <v/>
      </c>
      <c r="I939" t="inlineStr">
        <is>
          <t>1</t>
        </is>
      </c>
      <c r="J939" t="inlineStr"/>
      <c r="K939" t="inlineStr"/>
      <c r="L939" t="inlineStr"/>
      <c r="M939" t="inlineStr"/>
      <c r="N939" t="inlineStr"/>
      <c r="O939">
        <f>(1-Summary!$B$55)*T939+Summary!$B$55*V939</f>
        <v/>
      </c>
      <c r="P939">
        <f>IF(B954=0,0,O939/B954)</f>
        <v/>
      </c>
      <c r="Q939" t="n">
        <v>0</v>
      </c>
      <c r="R939" t="n">
        <v>0</v>
      </c>
      <c r="S939">
        <f>IFERROR(O939/N939,0)</f>
        <v/>
      </c>
      <c r="T939" t="n">
        <v>0</v>
      </c>
      <c r="V939" t="n">
        <v>0</v>
      </c>
    </row>
    <row r="940">
      <c r="A940">
        <f>Skills!A25</f>
        <v/>
      </c>
      <c r="B940">
        <f>Skills!B25</f>
        <v/>
      </c>
      <c r="C940">
        <f>Inputs!$B$3&gt;=125</f>
        <v/>
      </c>
      <c r="D940">
        <f>IF(Skills!C25=1,60+Inputs!$B$25+Inputs!$B$29,IF(Skills!C25=2,90+Inputs!$B$26+Inputs!$B$29,IF(Skills!C25=3,120+Inputs!$B$27+Inputs!$B$29,MAX(0,(Inputs!$B$3-100)*3)+Inputs!$B$28+Inputs!$B$29)))</f>
        <v/>
      </c>
      <c r="E940">
        <f>INDEX(FactorTable!$B$2:$Y$301, MATCH(ROUND(MIN(300,MAX(1,D940)),0), FactorTable!$A$2:$A$301,0), Skills!M25+1)</f>
        <v/>
      </c>
      <c r="F940">
        <f>IF(Skills!N25=TRUE,(Skills!L25/10)*(E940/1000),Skills!L25/10)+Skills!O25</f>
        <v/>
      </c>
      <c r="G940">
        <f>Skills!G25*IF(Skills!H25&gt;0,Skills!I25/Skills!H25,1)</f>
        <v/>
      </c>
      <c r="H940">
        <f>1-(1-Skills!J25/100)^Skills!K25</f>
        <v/>
      </c>
      <c r="I940" t="inlineStr">
        <is>
          <t>1</t>
        </is>
      </c>
      <c r="J940" t="inlineStr"/>
      <c r="K940" t="inlineStr"/>
      <c r="L940" t="inlineStr"/>
      <c r="M940" t="inlineStr"/>
      <c r="N940" t="inlineStr"/>
      <c r="O940">
        <f>(1-Summary!$B$55)*T940+Summary!$B$55*V940</f>
        <v/>
      </c>
      <c r="P940">
        <f>IF(B954=0,0,O940/B954)</f>
        <v/>
      </c>
      <c r="Q940" t="n">
        <v>0</v>
      </c>
      <c r="R940" t="n">
        <v>0</v>
      </c>
      <c r="S940">
        <f>IFERROR(O940/N940,0)</f>
        <v/>
      </c>
      <c r="T940" t="n">
        <v>0</v>
      </c>
      <c r="V940" t="n">
        <v>0</v>
      </c>
    </row>
    <row r="941">
      <c r="A941">
        <f>Skills!A26</f>
        <v/>
      </c>
      <c r="B941">
        <f>Skills!B26</f>
        <v/>
      </c>
      <c r="C941">
        <f>Inputs!$B$3&gt;=72</f>
        <v/>
      </c>
      <c r="D941">
        <f>IF(Skills!C26=1,60+Inputs!$B$25+Inputs!$B$29,IF(Skills!C26=2,90+Inputs!$B$26+Inputs!$B$29,IF(Skills!C26=3,120+Inputs!$B$27+Inputs!$B$29,MAX(0,(Inputs!$B$3-100)*3)+Inputs!$B$28+Inputs!$B$29)))</f>
        <v/>
      </c>
      <c r="E941">
        <f>INDEX(FactorTable!$B$2:$Y$301, MATCH(ROUND(MIN(300,MAX(1,D941)),0), FactorTable!$A$2:$A$301,0), Skills!M26+1)</f>
        <v/>
      </c>
      <c r="F941">
        <f>IF(Skills!N26=TRUE,(Skills!L26/10)*(E941/1000),Skills!L26/10)+Skills!O26</f>
        <v/>
      </c>
      <c r="G941">
        <f>Skills!G26*IF(Skills!H26&gt;0,Skills!I26/Skills!H26,1)</f>
        <v/>
      </c>
      <c r="H941">
        <f>1-(1-Skills!J26/100)^Skills!K26</f>
        <v/>
      </c>
      <c r="I941" t="inlineStr">
        <is>
          <t>1</t>
        </is>
      </c>
      <c r="J941" t="inlineStr"/>
      <c r="K941" t="inlineStr"/>
      <c r="L941" t="inlineStr"/>
      <c r="M941" t="inlineStr"/>
      <c r="N941" t="inlineStr"/>
      <c r="O941">
        <f>(1-Summary!$B$55)*T941+Summary!$B$55*V941</f>
        <v/>
      </c>
      <c r="P941">
        <f>IF(B954=0,0,O941/B954)</f>
        <v/>
      </c>
      <c r="Q941" t="n">
        <v>0</v>
      </c>
      <c r="R941" t="n">
        <v>0</v>
      </c>
      <c r="S941">
        <f>IFERROR(O941/N941,0)</f>
        <v/>
      </c>
      <c r="T941" t="n">
        <v>0</v>
      </c>
      <c r="V941" t="n">
        <v>0</v>
      </c>
    </row>
    <row r="943">
      <c r="A943" t="inlineStr">
        <is>
          <t>Attack% Bucket Multiplier</t>
        </is>
      </c>
      <c r="B943">
        <f>(1+(((C928=TRUE)*F928*IF(Inputs!$B$3&gt;=110,7,5))+((C930=TRUE)*F930*IF(AND(Inputs!$B$38&lt;&gt;"pvp",Inputs!$B$43&gt;0),(((R930-1)*(Skills!T15*(1+Inputs!$B$34/100))+MIN((Skills!T15*(1+Inputs!$B$34/100)),MAX(0,Inputs!$B$43-((R930-1)*Skills!D15))))/Inputs!$B$43),IF(Inputs!$B$38="pvp",MIN((Skills!T15*(1+Inputs!$B$34/100)),15)/15,(Skills!T15*(1+Inputs!$B$34/100))/Skills!D15)))+0)/100)</f>
        <v/>
      </c>
    </row>
    <row r="944">
      <c r="A944" t="inlineStr">
        <is>
          <t>Global Crit Rate Bonus %</t>
        </is>
      </c>
      <c r="B944" t="n">
        <v>0</v>
      </c>
    </row>
    <row r="945">
      <c r="A945" t="inlineStr">
        <is>
          <t>Attack Speed Buff Bonus %</t>
        </is>
      </c>
      <c r="B945">
        <f>((C934=TRUE)*F934*IF(AND(Inputs!$B$38&lt;&gt;"pvp",Inputs!$B$43&gt;0),(((R934-1)*(Skills!T19*(1+Inputs!$B$34/100))+MIN((Skills!T19*(1+Inputs!$B$34/100)),MAX(0,Inputs!$B$43-((R934-1)*Skills!D19))))/Inputs!$B$43),IF(Inputs!$B$38="pvp",MIN((Skills!T19*(1+Inputs!$B$34/100)),15)/15,(Skills!T19*(1+Inputs!$B$34/100))/Skills!D19)))</f>
        <v/>
      </c>
    </row>
    <row r="946">
      <c r="A946" t="inlineStr">
        <is>
          <t>Actions Per Second</t>
        </is>
      </c>
      <c r="B946">
        <f>1+MIN(150,150*(1-(1-(Inputs!$B$11+((C935=TRUE)*(F935-Calc!F20)))/150)*(1-B945/150)))/100</f>
        <v/>
      </c>
    </row>
    <row r="947">
      <c r="A947" t="inlineStr">
        <is>
          <t>Skill + Buff Cast Rate</t>
        </is>
      </c>
      <c r="B947">
        <f>IF(AND(Inputs!$B$38&lt;&gt;"pvp",Inputs!$B$43&gt;0),SUMPRODUCT((Skills!E2:E26=TRUE)*(C917:C941=TRUE)*R917:R941*Skills!F2:F26)/Inputs!$B$43,SUMPRODUCT((Skills!E2:E26=TRUE)*(C917:C941=TRUE)*Q917:Q941*Skills!F2:F26))</f>
        <v/>
      </c>
    </row>
    <row r="948">
      <c r="A948" t="inlineStr">
        <is>
          <t>Raging Blow Casts Per Second</t>
        </is>
      </c>
      <c r="B948">
        <f>MAX(0,B946-B947)</f>
        <v/>
      </c>
    </row>
    <row r="949">
      <c r="A949" t="inlineStr">
        <is>
          <t>Global Critical Damage Bonus % (Enrage)</t>
        </is>
      </c>
      <c r="B949">
        <f>((C933=TRUE)*F933*IF(AND(Inputs!$B$38&lt;&gt;"pvp",Inputs!$B$43&gt;0),(((R933-1)*(Skills!T18*(1+Inputs!$B$34/100))+MIN((Skills!T18*(1+Inputs!$B$34/100)),MAX(0,Inputs!$B$43-((R933-1)*Skills!D18))))/Inputs!$B$43),IF(Inputs!$B$38="pvp",MIN((Skills!T18*(1+Inputs!$B$34/100)),15)/15,(Skills!T18*(1+Inputs!$B$34/100))/Skills!D18)))</f>
        <v/>
      </c>
    </row>
    <row r="950">
      <c r="A950" t="inlineStr">
        <is>
          <t>Global Final Damage Bonus % (Enrage + Combo Synergy)</t>
        </is>
      </c>
      <c r="B950">
        <f>((C932=TRUE)*F932*IF(AND(Inputs!$B$38&lt;&gt;"pvp",Inputs!$B$43&gt;0),(((R932-1)*(Skills!T17*(1+Inputs!$B$34/100))+MIN((Skills!T17*(1+Inputs!$B$34/100)),MAX(0,Inputs!$B$43-((R932-1)*Skills!D17))))/Inputs!$B$43),IF(Inputs!$B$38="pvp",MIN((Skills!T17*(1+Inputs!$B$34/100)),15)/15,(Skills!T17*(1+Inputs!$B$34/100))/Skills!D17)))+((C929=TRUE)*F929*IF(Inputs!$B$3&gt;=110,7,5))</f>
        <v/>
      </c>
    </row>
    <row r="951">
      <c r="A951" t="inlineStr">
        <is>
          <t>Buff-Casting Startup Delay (s, fixed-duration only)</t>
        </is>
      </c>
      <c r="B951">
        <f>IF(AND(Inputs!$B$38&lt;&gt;"pvp",Inputs!$B$43&gt;0),SUMPRODUCT((Skills!T2:T26&gt;0)*(Skills!E2:E26=TRUE)*(C917:C941=TRUE))/B946,0)</f>
        <v/>
      </c>
    </row>
    <row r="952">
      <c r="A952" t="inlineStr">
        <is>
          <t>Boss-Only Total DPS (this block's swept value)</t>
        </is>
      </c>
      <c r="B952">
        <f>SUM(T917:T941)</f>
        <v/>
      </c>
    </row>
    <row r="953">
      <c r="A953" t="inlineStr">
        <is>
          <t>Normal-Only Total DPS (this block's swept value)</t>
        </is>
      </c>
      <c r="B953">
        <f>SUM(V917:V941)</f>
        <v/>
      </c>
    </row>
    <row r="954">
      <c r="A954" s="5" t="inlineStr">
        <is>
          <t>TOTAL DPS</t>
        </is>
      </c>
      <c r="B954" s="5">
        <f>SUM(O917:O941)</f>
        <v/>
      </c>
    </row>
    <row r="957">
      <c r="A957" s="5" t="inlineStr">
        <is>
          <t>Stat: ATTACK %</t>
        </is>
      </c>
    </row>
    <row r="958">
      <c r="A958" s="9" t="inlineStr">
        <is>
          <t>Key</t>
        </is>
      </c>
      <c r="B958" s="9" t="inlineStr">
        <is>
          <t>Name</t>
        </is>
      </c>
      <c r="C958" s="9" t="inlineStr">
        <is>
          <t>Unlocked</t>
        </is>
      </c>
      <c r="D958" s="9" t="inlineStr">
        <is>
          <t>InputLevel</t>
        </is>
      </c>
      <c r="E958" s="9" t="inlineStr">
        <is>
          <t>Factor</t>
        </is>
      </c>
      <c r="F958" s="9" t="inlineStr">
        <is>
          <t>CoefficientPercent</t>
        </is>
      </c>
      <c r="G958" s="9" t="inlineStr">
        <is>
          <t>EffectiveHits</t>
        </is>
      </c>
      <c r="H958" s="9" t="inlineStr">
        <is>
          <t>ProcProbability</t>
        </is>
      </c>
      <c r="I958" s="9" t="inlineStr">
        <is>
          <t>MapleHeroMultiplier</t>
        </is>
      </c>
      <c r="J958" s="9" t="inlineStr">
        <is>
          <t>BaseDamage</t>
        </is>
      </c>
      <c r="K958" s="9" t="inlineStr">
        <is>
          <t>BaseHitDamage</t>
        </is>
      </c>
      <c r="L958" s="9" t="inlineStr">
        <is>
          <t>NonCritAvg</t>
        </is>
      </c>
      <c r="M958" s="9" t="inlineStr">
        <is>
          <t>CritAvg</t>
        </is>
      </c>
      <c r="N958" s="9" t="inlineStr">
        <is>
          <t>ExpectedDamage(perHit)</t>
        </is>
      </c>
      <c r="O958" s="9" t="inlineStr">
        <is>
          <t>DPS</t>
        </is>
      </c>
      <c r="P958" s="9" t="inlineStr">
        <is>
          <t>% of Total</t>
        </is>
      </c>
      <c r="Q958" s="9" t="inlineStr">
        <is>
          <t>InvCooldown</t>
        </is>
      </c>
      <c r="R958" s="9" t="inlineStr">
        <is>
          <t>CastsInFight</t>
        </is>
      </c>
      <c r="S958" s="9" t="inlineStr">
        <is>
          <t>HitRate(perSec)</t>
        </is>
      </c>
      <c r="U958" t="inlineStr">
        <is>
          <t>helpers</t>
        </is>
      </c>
    </row>
    <row r="959">
      <c r="A959">
        <f>Skills!A2</f>
        <v/>
      </c>
      <c r="B959">
        <f>Skills!B2</f>
        <v/>
      </c>
      <c r="C959">
        <f>Inputs!$B$3&gt;=100</f>
        <v/>
      </c>
      <c r="D959" t="inlineStr"/>
      <c r="E959" t="inlineStr"/>
      <c r="F959">
        <f>U961+Skills!O2</f>
        <v/>
      </c>
      <c r="G959">
        <f>Skills!G2*IF(Skills!H2&gt;0,Skills!I2/Skills!H2,1)</f>
        <v/>
      </c>
      <c r="H959">
        <f>1-(1-Skills!J2/100)^Skills!K2</f>
        <v/>
      </c>
      <c r="I959" t="inlineStr">
        <is>
          <t>1</t>
        </is>
      </c>
      <c r="J959">
        <f>((Inputs!$B$6*(1+(Inputs!$B$7+1)/100))+(((Inputs!$B$12*(1+Inputs!$B$13/100))-(Inputs!$B$12*(1+Inputs!$B$13/100)))+0.25*(Inputs!$B$14-Inputs!$B$14))*(1+(Inputs!$B$7+1)/100))*(F959/100)</f>
        <v/>
      </c>
      <c r="K959">
        <f>J959*(1+((Inputs!$B$12*(1+Inputs!$B$13/100))*0.01+Inputs!$B$14*0.0025)/100)*(1+Inputs!$B$15/100)*(1+Inputs!$B$16/100)*(5000/(6000+Inputs!$B$42*(1-(Inputs!$B$19+0)/100)))*(1+(Inputs!$B$24+((C982=TRUE)*(F982-Calc!F25))+B992)/100)*(1+IF(Skills!A2="ENHANCED_RAGING_BLOW",IF(Inputs!$B$3&gt;=134,MAX(0,IF(Inputs!$B$3&gt;=110,7,5)-5)*50,0),0)/100)*(1+(IF(Skills!A2="RAGING_BLOW",Inputs!$B$17+((C978=TRUE)*(F978-Calc!F21)),Inputs!$B$18+((C980=TRUE)*(F980-Calc!F23))))/100)*((1+(((C970=TRUE)*F970*IF(Inputs!$B$3&gt;=110,7,5))+((C972=TRUE)*F972*IF(AND(Inputs!$B$38&lt;&gt;"pvp",Inputs!$B$43&gt;0),(((R972-1)*(Skills!T15*(1+Inputs!$B$34/100))+MIN((Skills!T15*(1+Inputs!$B$34/100)),MAX(0,Inputs!$B$43-((R972-1)*Skills!D15))))/Inputs!$B$43),IF(Inputs!$B$38="pvp",MIN((Skills!T15*(1+Inputs!$B$34/100)),15)/15,(Skills!T15*(1+Inputs!$B$34/100))/Skills!D15)))+0)/100)*I959)</f>
        <v/>
      </c>
      <c r="L959">
        <f>K959*(MIN(Inputs!$B$22+((C979=TRUE)*(F979-Calc!F22)),Inputs!$B$23+((C981=TRUE)*(F981-Calc!F24)))/100+(Inputs!$B$23+((C981=TRUE)*(F981-Calc!F24)))/100)/2</f>
        <v/>
      </c>
      <c r="M959">
        <f>L959*(1+(Inputs!$B$10+0+B991)/100)</f>
        <v/>
      </c>
      <c r="N959">
        <f>L959*(1-MIN((Inputs!$B$9+((C983=TRUE)*(F983-Calc!F26))+B986),100)/100)+M959*(MIN((Inputs!$B$9+((C983=TRUE)*(F983-Calc!F26))+B986),100)/100)</f>
        <v/>
      </c>
      <c r="O959">
        <f>(1-Summary!$B$55)*T959+Summary!$B$55*V959</f>
        <v/>
      </c>
      <c r="P959">
        <f>IF(B996=0,0,O959/B996)</f>
        <v/>
      </c>
      <c r="Q959" t="n">
        <v>0</v>
      </c>
      <c r="R959" t="n">
        <v>0</v>
      </c>
      <c r="S959">
        <f>IFERROR(O959/N959,0)</f>
        <v/>
      </c>
      <c r="T959">
        <f>IF(C959,(Skills!G2*N959*B990)*IF(Inputs!$B$38="pvp",1,1+(Inputs!$B$20+0+Skills!P2+Summary!$B$59)/100),0)</f>
        <v/>
      </c>
      <c r="U959">
        <f>MAX(0,(Inputs!$B$3-100)*3)+Inputs!$B$28+Inputs!$B$29</f>
        <v/>
      </c>
      <c r="V959">
        <f>IF(C959,(Skills!G2*N959*B990)*IF(Inputs!$B$38="pvp",1,(1+(Inputs!$B$21+Skills!Q2+Summary!$B$59)/100)*(MIN((6+Inputs!$B$33),Inputs!$B$37))),0)</f>
        <v/>
      </c>
    </row>
    <row r="960">
      <c r="A960">
        <f>Skills!A3</f>
        <v/>
      </c>
      <c r="B960">
        <f>Skills!B3</f>
        <v/>
      </c>
      <c r="C960">
        <f>Inputs!$B$3&gt;=50</f>
        <v/>
      </c>
      <c r="D960">
        <f>IF(Skills!C3=1,60+Inputs!$B$25+Inputs!$B$29,IF(Skills!C3=2,90+Inputs!$B$26+Inputs!$B$29,IF(Skills!C3=3,120+Inputs!$B$27+Inputs!$B$29,MAX(0,(Inputs!$B$3-100)*3)+Inputs!$B$28+Inputs!$B$29)))</f>
        <v/>
      </c>
      <c r="E960">
        <f>INDEX(FactorTable!$B$2:$Y$301, MATCH(ROUND(MIN(300,MAX(1,D960)),0), FactorTable!$A$2:$A$301,0), Skills!M3+1)</f>
        <v/>
      </c>
      <c r="F960">
        <f>IF(Skills!N3=TRUE,(Skills!L3/10)*(E960/1000),Skills!L3/10)+Skills!O3</f>
        <v/>
      </c>
      <c r="G960" t="inlineStr"/>
      <c r="H960" t="inlineStr"/>
      <c r="I960" t="inlineStr">
        <is>
          <t>1</t>
        </is>
      </c>
      <c r="J960" t="inlineStr"/>
      <c r="K960" t="inlineStr"/>
      <c r="L960" t="inlineStr"/>
      <c r="M960" t="inlineStr"/>
      <c r="N960" t="inlineStr"/>
      <c r="O960" t="inlineStr"/>
      <c r="P960" t="inlineStr"/>
      <c r="Q960" t="inlineStr"/>
      <c r="R960" t="inlineStr"/>
      <c r="S960" t="inlineStr"/>
      <c r="U960">
        <f>INDEX(FactorTable!$B$2:$Y$301, MATCH(ROUND(MIN(300,MAX(1,U959)),0), FactorTable!$A$2:$A$301,0), 22)</f>
        <v/>
      </c>
    </row>
    <row r="961">
      <c r="A961">
        <f>Skills!A4</f>
        <v/>
      </c>
      <c r="B961">
        <f>Skills!B4</f>
        <v/>
      </c>
      <c r="C961">
        <f>Inputs!$B$3&gt;=105</f>
        <v/>
      </c>
      <c r="D961">
        <f>IF(Skills!C4=1,60+Inputs!$B$25+Inputs!$B$29,IF(Skills!C4=2,90+Inputs!$B$26+Inputs!$B$29,IF(Skills!C4=3,120+Inputs!$B$27+Inputs!$B$29,MAX(0,(Inputs!$B$3-100)*3)+Inputs!$B$28+Inputs!$B$29)))</f>
        <v/>
      </c>
      <c r="E961">
        <f>INDEX(FactorTable!$B$2:$Y$301, MATCH(ROUND(MIN(300,MAX(1,D961)),0), FactorTable!$A$2:$A$301,0), Skills!M4+1)</f>
        <v/>
      </c>
      <c r="F961">
        <f>IF(Skills!N4=TRUE,(Skills!L4/10)*(E961/1000),Skills!L4/10)+Skills!O4</f>
        <v/>
      </c>
      <c r="G961" t="inlineStr"/>
      <c r="H961" t="inlineStr"/>
      <c r="I961" t="inlineStr">
        <is>
          <t>1</t>
        </is>
      </c>
      <c r="J961" t="inlineStr"/>
      <c r="K961" t="inlineStr"/>
      <c r="L961" t="inlineStr"/>
      <c r="M961" t="inlineStr"/>
      <c r="N961" t="inlineStr"/>
      <c r="O961" t="inlineStr"/>
      <c r="P961" t="inlineStr"/>
      <c r="Q961" t="inlineStr"/>
      <c r="R961" t="inlineStr"/>
      <c r="S961" t="inlineStr"/>
      <c r="U961">
        <f>290*U960/1000</f>
        <v/>
      </c>
    </row>
    <row r="962">
      <c r="A962">
        <f>Skills!A5</f>
        <v/>
      </c>
      <c r="B962">
        <f>Skills!B5</f>
        <v/>
      </c>
      <c r="C962">
        <f>Inputs!$B$3&gt;=103</f>
        <v/>
      </c>
      <c r="D962">
        <f>IF(Skills!C5=1,60+Inputs!$B$25+Inputs!$B$29,IF(Skills!C5=2,90+Inputs!$B$26+Inputs!$B$29,IF(Skills!C5=3,120+Inputs!$B$27+Inputs!$B$29,MAX(0,(Inputs!$B$3-100)*3)+Inputs!$B$28+Inputs!$B$29)))</f>
        <v/>
      </c>
      <c r="E962">
        <f>INDEX(FactorTable!$B$2:$Y$301, MATCH(ROUND(MIN(300,MAX(1,D962)),0), FactorTable!$A$2:$A$301,0), Skills!M5+1)</f>
        <v/>
      </c>
      <c r="F962">
        <f>IF(Skills!N5=TRUE,(Skills!L5/10)*(E962/1000),Skills!L5/10)+Skills!O5</f>
        <v/>
      </c>
      <c r="G962">
        <f>Skills!G5*IF(Skills!H5&gt;0,Skills!I5/Skills!H5,1)</f>
        <v/>
      </c>
      <c r="H962">
        <f>1-(1-Skills!J5/100)^Skills!K5</f>
        <v/>
      </c>
      <c r="I962" t="inlineStr">
        <is>
          <t>1</t>
        </is>
      </c>
      <c r="J962">
        <f>((Inputs!$B$6*(1+(Inputs!$B$7+1)/100))+(((Inputs!$B$12*(1+Inputs!$B$13/100))-(Inputs!$B$12*(1+Inputs!$B$13/100)))+0.25*(Inputs!$B$14-Inputs!$B$14))*(1+(Inputs!$B$7+1)/100))*(F962/100)</f>
        <v/>
      </c>
      <c r="K962">
        <f>J962*(1+((Inputs!$B$12*(1+Inputs!$B$13/100))*0.01+Inputs!$B$14*0.0025)/100)*(1+Inputs!$B$15/100)*(1+Inputs!$B$16/100)*(5000/(6000+Inputs!$B$42*(1-(Inputs!$B$19+0)/100)))*(1+(Inputs!$B$24+((C982=TRUE)*(F982-Calc!F25))+B992)/100)*(1+IF(Skills!A5="ENHANCED_RAGING_BLOW",IF(Inputs!$B$3&gt;=134,MAX(0,IF(Inputs!$B$3&gt;=110,7,5)-5)*50,0),0)/100)*(1+(IF(Skills!A5="RAGING_BLOW",Inputs!$B$17+((C978=TRUE)*(F978-Calc!F21)),Inputs!$B$18+((C980=TRUE)*(F980-Calc!F23))))/100)*((1+(((C970=TRUE)*F970*IF(Inputs!$B$3&gt;=110,7,5))+((C972=TRUE)*F972*IF(AND(Inputs!$B$38&lt;&gt;"pvp",Inputs!$B$43&gt;0),(((R972-1)*(Skills!T15*(1+Inputs!$B$34/100))+MIN((Skills!T15*(1+Inputs!$B$34/100)),MAX(0,Inputs!$B$43-((R972-1)*Skills!D15))))/Inputs!$B$43),IF(Inputs!$B$38="pvp",MIN((Skills!T15*(1+Inputs!$B$34/100)),15)/15,(Skills!T15*(1+Inputs!$B$34/100))/Skills!D15)))+0)/100)*I962)</f>
        <v/>
      </c>
      <c r="L962">
        <f>K962*(MIN(Inputs!$B$22+((C979=TRUE)*(F979-Calc!F22)),Inputs!$B$23+((C981=TRUE)*(F981-Calc!F24)))/100+(Inputs!$B$23+((C981=TRUE)*(F981-Calc!F24)))/100)/2</f>
        <v/>
      </c>
      <c r="M962">
        <f>L962*(1+(Inputs!$B$10+0+B991)/100)</f>
        <v/>
      </c>
      <c r="N962">
        <f>L962*(1-MIN((Inputs!$B$9+((C983=TRUE)*(F983-Calc!F26))+B986),100)/100)+M962*(MIN((Inputs!$B$9+((C983=TRUE)*(F983-Calc!F26))+B986),100)/100)</f>
        <v/>
      </c>
      <c r="O962">
        <f>(1-Summary!$B$55)*T962+Summary!$B$55*V962</f>
        <v/>
      </c>
      <c r="P962">
        <f>IF(B996=0,0,O962/B996)</f>
        <v/>
      </c>
      <c r="Q962">
        <f>IFERROR(1/IF(Inputs!$B$38="pvp",15,MAX(0.1,Skills!D5-IF(Skills!E5=TRUE,Inputs!$B$32,0))),0)</f>
        <v/>
      </c>
      <c r="R962">
        <f>IF(AND(Inputs!$B$38&lt;&gt;"pvp",Inputs!$B$43&gt;0),IF(MAX(0,Inputs!$B$43-B993)&lt;=0,0,(INT(MAX(0,Inputs!$B$43-B993)/IF(Inputs!$B$38="pvp",15,MAX(0.1,Skills!D5-IF(Skills!E5=TRUE,Inputs!$B$32,0))))+1)),0)</f>
        <v/>
      </c>
      <c r="S962">
        <f>IFERROR(O962/N962,0)</f>
        <v/>
      </c>
      <c r="T962">
        <f>IF(C962,(H962*N962*IF(AND(Inputs!$B$38&lt;&gt;"pvp",Inputs!$B$43&gt;0),((Skills!G5*((R962-1)*IF(Skills!H5&gt;0,Skills!I5/Skills!H5,1)+IF(Skills!H5&gt;0,MIN(Skills!I5,MAX(0,MAX(0,Inputs!$B$43-B993)-((R962-1)*IF(Inputs!$B$38="pvp",15,MAX(0.1,Skills!D5-IF(Skills!E5=TRUE,Inputs!$B$32,0))))))/Skills!H5,1)))/Inputs!$B$43),G962*Q962))*IF(Inputs!$B$38="pvp",1,1+(Inputs!$B$20+0+Skills!P5+Summary!$B$59)/100),0)</f>
        <v/>
      </c>
      <c r="V962">
        <f>IF(C962,(H962*N962*IF(AND(Inputs!$B$38&lt;&gt;"pvp",Inputs!$B$43&gt;0),((Skills!G5*((R962-1)*IF(Skills!H5&gt;0,Skills!I5/Skills!H5,1)+IF(Skills!H5&gt;0,MIN(Skills!I5,MAX(0,MAX(0,Inputs!$B$43-B993)-((R962-1)*IF(Inputs!$B$38="pvp",15,MAX(0.1,Skills!D5-IF(Skills!E5=TRUE,Inputs!$B$32,0))))))/Skills!H5,1)))/Inputs!$B$43),G962*Q962))*IF(Inputs!$B$38="pvp",1,(1+(Inputs!$B$21+Skills!Q5+Summary!$B$59)/100)*(MIN(Skills!R5,Inputs!$B$37))),0)</f>
        <v/>
      </c>
    </row>
    <row r="963">
      <c r="A963">
        <f>Skills!A6</f>
        <v/>
      </c>
      <c r="B963">
        <f>Skills!B6</f>
        <v/>
      </c>
      <c r="C963">
        <f>Inputs!$B$3&gt;=103</f>
        <v/>
      </c>
      <c r="D963">
        <f>IF(Skills!C6=1,60+Inputs!$B$25+Inputs!$B$29,IF(Skills!C6=2,90+Inputs!$B$26+Inputs!$B$29,IF(Skills!C6=3,120+Inputs!$B$27+Inputs!$B$29,MAX(0,(Inputs!$B$3-100)*3)+Inputs!$B$28+Inputs!$B$29)))</f>
        <v/>
      </c>
      <c r="E963">
        <f>INDEX(FactorTable!$B$2:$Y$301, MATCH(ROUND(MIN(300,MAX(1,D963)),0), FactorTable!$A$2:$A$301,0), Skills!M6+1)</f>
        <v/>
      </c>
      <c r="F963">
        <f>IF(Skills!N6=TRUE,(Skills!L6/10)*(E963/1000),Skills!L6/10)+Skills!O6</f>
        <v/>
      </c>
      <c r="G963">
        <f>Skills!G6*IF(Skills!H6&gt;0,Skills!I6/Skills!H6,1)</f>
        <v/>
      </c>
      <c r="H963">
        <f>1-(1-Skills!J6/100)^Skills!K6</f>
        <v/>
      </c>
      <c r="I963" t="inlineStr">
        <is>
          <t>1</t>
        </is>
      </c>
      <c r="J963">
        <f>((Inputs!$B$6*(1+(Inputs!$B$7+1)/100))+(((Inputs!$B$12*(1+Inputs!$B$13/100))-(Inputs!$B$12*(1+Inputs!$B$13/100)))+0.25*(Inputs!$B$14-Inputs!$B$14))*(1+(Inputs!$B$7+1)/100))*(F963/100)</f>
        <v/>
      </c>
      <c r="K963">
        <f>J963*(1+((Inputs!$B$12*(1+Inputs!$B$13/100))*0.01+Inputs!$B$14*0.0025)/100)*(1+Inputs!$B$15/100)*(1+Inputs!$B$16/100)*(5000/(6000+Inputs!$B$42*(1-(Inputs!$B$19+0)/100)))*(1+(Inputs!$B$24+((C982=TRUE)*(F982-Calc!F25))+B992)/100)*(1+IF(Skills!A6="ENHANCED_RAGING_BLOW",IF(Inputs!$B$3&gt;=134,MAX(0,IF(Inputs!$B$3&gt;=110,7,5)-5)*50,0),0)/100)*(1+(IF(Skills!A6="RAGING_BLOW",Inputs!$B$17+((C978=TRUE)*(F978-Calc!F21)),Inputs!$B$18+((C980=TRUE)*(F980-Calc!F23))))/100)*((1+(((C970=TRUE)*F970*IF(Inputs!$B$3&gt;=110,7,5))+((C972=TRUE)*F972*IF(AND(Inputs!$B$38&lt;&gt;"pvp",Inputs!$B$43&gt;0),(((R972-1)*(Skills!T15*(1+Inputs!$B$34/100))+MIN((Skills!T15*(1+Inputs!$B$34/100)),MAX(0,Inputs!$B$43-((R972-1)*Skills!D15))))/Inputs!$B$43),IF(Inputs!$B$38="pvp",MIN((Skills!T15*(1+Inputs!$B$34/100)),15)/15,(Skills!T15*(1+Inputs!$B$34/100))/Skills!D15)))+0)/100)*I963)</f>
        <v/>
      </c>
      <c r="L963">
        <f>K963*(MIN(Inputs!$B$22+((C979=TRUE)*(F979-Calc!F22)),Inputs!$B$23+((C981=TRUE)*(F981-Calc!F24)))/100+(Inputs!$B$23+((C981=TRUE)*(F981-Calc!F24)))/100)/2</f>
        <v/>
      </c>
      <c r="M963">
        <f>L963*(1+(Inputs!$B$10+0+B991)/100)</f>
        <v/>
      </c>
      <c r="N963">
        <f>L963*(1-MIN((Inputs!$B$9+((C983=TRUE)*(F983-Calc!F26))+B986),100)/100)+M963*(MIN((Inputs!$B$9+((C983=TRUE)*(F983-Calc!F26))+B986),100)/100)</f>
        <v/>
      </c>
      <c r="O963">
        <f>(1-Summary!$B$55)*T963+Summary!$B$55*V963</f>
        <v/>
      </c>
      <c r="P963">
        <f>IF(B996=0,0,O963/B996)</f>
        <v/>
      </c>
      <c r="Q963">
        <f>IFERROR(1/IF(Inputs!$B$38="pvp",15,MAX(0.1,Skills!D6-IF(Skills!E6=TRUE,Inputs!$B$32,0))),0)</f>
        <v/>
      </c>
      <c r="R963">
        <f>IF(AND(Inputs!$B$38&lt;&gt;"pvp",Inputs!$B$43&gt;0),IF(MAX(0,Inputs!$B$43-B993)&lt;=0,0,(INT(MAX(0,Inputs!$B$43-B993)/IF(Inputs!$B$38="pvp",15,MAX(0.1,Skills!D6-IF(Skills!E6=TRUE,Inputs!$B$32,0))))+1)),0)</f>
        <v/>
      </c>
      <c r="S963">
        <f>IFERROR(O963/N963,0)</f>
        <v/>
      </c>
      <c r="T963">
        <f>IF(C963,(H963*N963*IF(AND(Inputs!$B$38&lt;&gt;"pvp",Inputs!$B$43&gt;0),((Skills!G6*((R963-1)*IF(Skills!H6&gt;0,Skills!I6/Skills!H6,1)+IF(Skills!H6&gt;0,MIN(Skills!I6,MAX(0,MAX(0,Inputs!$B$43-B993)-((R963-1)*IF(Inputs!$B$38="pvp",15,MAX(0.1,Skills!D6-IF(Skills!E6=TRUE,Inputs!$B$32,0))))))/Skills!H6,1)))/Inputs!$B$43),G963*Q963))*IF(Inputs!$B$38="pvp",1,1+(Inputs!$B$20+0+Skills!P6+Summary!$B$59)/100),0)</f>
        <v/>
      </c>
      <c r="V963">
        <f>IF(C963,(H963*N963*IF(AND(Inputs!$B$38&lt;&gt;"pvp",Inputs!$B$43&gt;0),((Skills!G6*((R963-1)*IF(Skills!H6&gt;0,Skills!I6/Skills!H6,1)+IF(Skills!H6&gt;0,MIN(Skills!I6,MAX(0,MAX(0,Inputs!$B$43-B993)-((R963-1)*IF(Inputs!$B$38="pvp",15,MAX(0.1,Skills!D6-IF(Skills!E6=TRUE,Inputs!$B$32,0))))))/Skills!H6,1)))/Inputs!$B$43),G963*Q963))*IF(Inputs!$B$38="pvp",1,(1+(Inputs!$B$21+Skills!Q6+Summary!$B$59)/100)*(MIN(Skills!R6,Inputs!$B$37))),0)</f>
        <v/>
      </c>
    </row>
    <row r="964">
      <c r="A964">
        <f>Skills!A7</f>
        <v/>
      </c>
      <c r="B964">
        <f>Skills!B7</f>
        <v/>
      </c>
      <c r="C964">
        <f>Inputs!$B$3&gt;=107</f>
        <v/>
      </c>
      <c r="D964">
        <f>IF(Skills!C7=1,60+Inputs!$B$25+Inputs!$B$29,IF(Skills!C7=2,90+Inputs!$B$26+Inputs!$B$29,IF(Skills!C7=3,120+Inputs!$B$27+Inputs!$B$29,MAX(0,(Inputs!$B$3-100)*3)+Inputs!$B$28+Inputs!$B$29)))</f>
        <v/>
      </c>
      <c r="E964">
        <f>INDEX(FactorTable!$B$2:$Y$301, MATCH(ROUND(MIN(300,MAX(1,D964)),0), FactorTable!$A$2:$A$301,0), Skills!M7+1)</f>
        <v/>
      </c>
      <c r="F964">
        <f>IF(Skills!N7=TRUE,(Skills!L7/10)*(E964/1000),Skills!L7/10)+Skills!O7</f>
        <v/>
      </c>
      <c r="G964">
        <f>Skills!G7*IF(Skills!H7&gt;0,Skills!I7/Skills!H7,1)</f>
        <v/>
      </c>
      <c r="H964">
        <f>1-(1-Skills!J7/100)^Skills!K7</f>
        <v/>
      </c>
      <c r="I964" t="inlineStr">
        <is>
          <t>1</t>
        </is>
      </c>
      <c r="J964">
        <f>((Inputs!$B$6*(1+(Inputs!$B$7+1)/100))+(((Inputs!$B$12*(1+Inputs!$B$13/100))-(Inputs!$B$12*(1+Inputs!$B$13/100)))+0.25*(Inputs!$B$14-Inputs!$B$14))*(1+(Inputs!$B$7+1)/100))*(F964/100)</f>
        <v/>
      </c>
      <c r="K964">
        <f>J964*(1+((Inputs!$B$12*(1+Inputs!$B$13/100))*0.01+Inputs!$B$14*0.0025)/100)*(1+Inputs!$B$15/100)*(1+Inputs!$B$16/100)*(5000/(6000+Inputs!$B$42*(1-(Inputs!$B$19+0)/100)))*(1+(Inputs!$B$24+((C982=TRUE)*(F982-Calc!F25))+B992)/100)*(1+IF(Skills!A7="ENHANCED_RAGING_BLOW",IF(Inputs!$B$3&gt;=134,MAX(0,IF(Inputs!$B$3&gt;=110,7,5)-5)*50,0),0)/100)*(1+(IF(Skills!A7="RAGING_BLOW",Inputs!$B$17+((C978=TRUE)*(F978-Calc!F21)),Inputs!$B$18+((C980=TRUE)*(F980-Calc!F23))))/100)*((1+(((C970=TRUE)*F970*IF(Inputs!$B$3&gt;=110,7,5))+((C972=TRUE)*F972*IF(AND(Inputs!$B$38&lt;&gt;"pvp",Inputs!$B$43&gt;0),(((R972-1)*(Skills!T15*(1+Inputs!$B$34/100))+MIN((Skills!T15*(1+Inputs!$B$34/100)),MAX(0,Inputs!$B$43-((R972-1)*Skills!D15))))/Inputs!$B$43),IF(Inputs!$B$38="pvp",MIN((Skills!T15*(1+Inputs!$B$34/100)),15)/15,(Skills!T15*(1+Inputs!$B$34/100))/Skills!D15)))+0)/100)*I964)</f>
        <v/>
      </c>
      <c r="L964">
        <f>K964*(MIN(Inputs!$B$22+((C979=TRUE)*(F979-Calc!F22)),Inputs!$B$23+((C981=TRUE)*(F981-Calc!F24)))/100+(Inputs!$B$23+((C981=TRUE)*(F981-Calc!F24)))/100)/2</f>
        <v/>
      </c>
      <c r="M964">
        <f>L964*(1+(Inputs!$B$10+0+B991)/100)</f>
        <v/>
      </c>
      <c r="N964">
        <f>L964*(1-MIN((Inputs!$B$9+((C983=TRUE)*(F983-Calc!F26))+B986),100)/100)+M964*(MIN((Inputs!$B$9+((C983=TRUE)*(F983-Calc!F26))+B986),100)/100)</f>
        <v/>
      </c>
      <c r="O964">
        <f>(1-Summary!$B$55)*T964+Summary!$B$55*V964</f>
        <v/>
      </c>
      <c r="P964">
        <f>IF(B996=0,0,O964/B996)</f>
        <v/>
      </c>
      <c r="Q964">
        <f>IFERROR(1/IF(Inputs!$B$38="pvp",15,MAX(0.1,Skills!D7-IF(Skills!E7=TRUE,Inputs!$B$32,0))),0)</f>
        <v/>
      </c>
      <c r="R964">
        <f>IF(AND(Inputs!$B$38&lt;&gt;"pvp",Inputs!$B$43&gt;0),IF(MAX(0,Inputs!$B$43-B993)&lt;=0,0,(INT(MAX(0,Inputs!$B$43-B993)/IF(Inputs!$B$38="pvp",15,MAX(0.1,Skills!D7-IF(Skills!E7=TRUE,Inputs!$B$32,0))))+1)),0)</f>
        <v/>
      </c>
      <c r="S964">
        <f>IFERROR(O964/N964,0)</f>
        <v/>
      </c>
      <c r="T964">
        <f>IF(C964,(H964*N964*IF(AND(Inputs!$B$38&lt;&gt;"pvp",Inputs!$B$43&gt;0),((Skills!G7*((R964-1)*IF(Skills!H7&gt;0,Skills!I7/Skills!H7,1)+IF(Skills!H7&gt;0,MIN(Skills!I7,MAX(0,MAX(0,Inputs!$B$43-B993)-((R964-1)*IF(Inputs!$B$38="pvp",15,MAX(0.1,Skills!D7-IF(Skills!E7=TRUE,Inputs!$B$32,0))))))/Skills!H7,1)))/Inputs!$B$43),G964*Q964))*IF(Inputs!$B$38="pvp",1,1+(Inputs!$B$20+0+Skills!P7+Summary!$B$59)/100),0)</f>
        <v/>
      </c>
      <c r="V964">
        <f>IF(C964,(H964*N964*IF(AND(Inputs!$B$38&lt;&gt;"pvp",Inputs!$B$43&gt;0),((Skills!G7*((R964-1)*IF(Skills!H7&gt;0,Skills!I7/Skills!H7,1)+IF(Skills!H7&gt;0,MIN(Skills!I7,MAX(0,MAX(0,Inputs!$B$43-B993)-((R964-1)*IF(Inputs!$B$38="pvp",15,MAX(0.1,Skills!D7-IF(Skills!E7=TRUE,Inputs!$B$32,0))))))/Skills!H7,1)))/Inputs!$B$43),G964*Q964))*IF(Inputs!$B$38="pvp",1,(1+(Inputs!$B$21+Skills!Q7+Summary!$B$59)/100)*(MIN(Skills!R7,Inputs!$B$37))),0)</f>
        <v/>
      </c>
    </row>
    <row r="965">
      <c r="A965">
        <f>Skills!A8</f>
        <v/>
      </c>
      <c r="B965">
        <f>Skills!B8</f>
        <v/>
      </c>
      <c r="C965">
        <f>Inputs!$B$3&gt;=117</f>
        <v/>
      </c>
      <c r="D965">
        <f>IF(Skills!C8=1,60+Inputs!$B$25+Inputs!$B$29,IF(Skills!C8=2,90+Inputs!$B$26+Inputs!$B$29,IF(Skills!C8=3,120+Inputs!$B$27+Inputs!$B$29,MAX(0,(Inputs!$B$3-100)*3)+Inputs!$B$28+Inputs!$B$29)))</f>
        <v/>
      </c>
      <c r="E965">
        <f>INDEX(FactorTable!$B$2:$Y$301, MATCH(ROUND(MIN(300,MAX(1,D965)),0), FactorTable!$A$2:$A$301,0), Skills!M8+1)</f>
        <v/>
      </c>
      <c r="F965">
        <f>IF(Skills!N8=TRUE,(Skills!L8/10)*(E965/1000),Skills!L8/10)+Skills!O8</f>
        <v/>
      </c>
      <c r="G965">
        <f>Skills!G8*IF(Skills!H8&gt;0,Skills!I8/Skills!H8,1)</f>
        <v/>
      </c>
      <c r="H965">
        <f>1-(1-Skills!J8/100)^Skills!K8</f>
        <v/>
      </c>
      <c r="I965" t="inlineStr">
        <is>
          <t>1</t>
        </is>
      </c>
      <c r="J965">
        <f>((Inputs!$B$6*(1+(Inputs!$B$7+1)/100))+(((Inputs!$B$12*(1+Inputs!$B$13/100))-(Inputs!$B$12*(1+Inputs!$B$13/100)))+0.25*(Inputs!$B$14-Inputs!$B$14))*(1+(Inputs!$B$7+1)/100))*(F965/100)</f>
        <v/>
      </c>
      <c r="K965">
        <f>J965*(1+((Inputs!$B$12*(1+Inputs!$B$13/100))*0.01+Inputs!$B$14*0.0025)/100)*(1+Inputs!$B$15/100)*(1+Inputs!$B$16/100)*(5000/(6000+Inputs!$B$42*(1-(Inputs!$B$19+0)/100)))*(1+(Inputs!$B$24+((C982=TRUE)*(F982-Calc!F25))+B992)/100)*(1+IF(Skills!A8="ENHANCED_RAGING_BLOW",IF(Inputs!$B$3&gt;=134,MAX(0,IF(Inputs!$B$3&gt;=110,7,5)-5)*50,0),0)/100)*(1+(IF(Skills!A8="RAGING_BLOW",Inputs!$B$17+((C978=TRUE)*(F978-Calc!F21)),Inputs!$B$18+((C980=TRUE)*(F980-Calc!F23))))/100)*((1+(((C970=TRUE)*F970*IF(Inputs!$B$3&gt;=110,7,5))+((C972=TRUE)*F972*IF(AND(Inputs!$B$38&lt;&gt;"pvp",Inputs!$B$43&gt;0),(((R972-1)*(Skills!T15*(1+Inputs!$B$34/100))+MIN((Skills!T15*(1+Inputs!$B$34/100)),MAX(0,Inputs!$B$43-((R972-1)*Skills!D15))))/Inputs!$B$43),IF(Inputs!$B$38="pvp",MIN((Skills!T15*(1+Inputs!$B$34/100)),15)/15,(Skills!T15*(1+Inputs!$B$34/100))/Skills!D15)))+0)/100)*I965)</f>
        <v/>
      </c>
      <c r="L965">
        <f>K965*(MIN(Inputs!$B$22+((C979=TRUE)*(F979-Calc!F22)),Inputs!$B$23+((C981=TRUE)*(F981-Calc!F24)))/100+(Inputs!$B$23+((C981=TRUE)*(F981-Calc!F24)))/100)/2</f>
        <v/>
      </c>
      <c r="M965">
        <f>L965*(1+(Inputs!$B$10+0+B991)/100)</f>
        <v/>
      </c>
      <c r="N965">
        <f>L965*(1-MIN((Inputs!$B$9+((C983=TRUE)*(F983-Calc!F26))+B986),100)/100)+M965*(MIN((Inputs!$B$9+((C983=TRUE)*(F983-Calc!F26))+B986),100)/100)</f>
        <v/>
      </c>
      <c r="O965">
        <f>(1-Summary!$B$55)*T965+Summary!$B$55*V965</f>
        <v/>
      </c>
      <c r="P965">
        <f>IF(B996=0,0,O965/B996)</f>
        <v/>
      </c>
      <c r="Q965">
        <f>IFERROR(1/IF(Inputs!$B$38="pvp",15,MAX(0.1,Skills!D8-IF(Skills!E8=TRUE,Inputs!$B$32,0))),0)</f>
        <v/>
      </c>
      <c r="R965">
        <f>IF(AND(Inputs!$B$38&lt;&gt;"pvp",Inputs!$B$43&gt;0),IF(MAX(0,Inputs!$B$43-B993)&lt;=0,0,(INT(MAX(0,Inputs!$B$43-B993)/IF(Inputs!$B$38="pvp",15,MAX(0.1,Skills!D8-IF(Skills!E8=TRUE,Inputs!$B$32,0))))+1)),0)</f>
        <v/>
      </c>
      <c r="S965">
        <f>IFERROR(O965/N965,0)</f>
        <v/>
      </c>
      <c r="T965">
        <f>IF(C965,(H965*N965*IF(AND(Inputs!$B$38&lt;&gt;"pvp",Inputs!$B$43&gt;0),((Skills!G8*((R965-1)*IF(Skills!H8&gt;0,Skills!I8/Skills!H8,1)+IF(Skills!H8&gt;0,MIN(Skills!I8,MAX(0,MAX(0,Inputs!$B$43-B993)-((R965-1)*IF(Inputs!$B$38="pvp",15,MAX(0.1,Skills!D8-IF(Skills!E8=TRUE,Inputs!$B$32,0))))))/Skills!H8,1)))/Inputs!$B$43),G965*Q965))*IF(Inputs!$B$38="pvp",1,1+(Inputs!$B$20+0+Skills!P8+Summary!$B$59)/100),0)</f>
        <v/>
      </c>
      <c r="V965">
        <f>IF(C965,(H965*N965*IF(AND(Inputs!$B$38&lt;&gt;"pvp",Inputs!$B$43&gt;0),((Skills!G8*((R965-1)*IF(Skills!H8&gt;0,Skills!I8/Skills!H8,1)+IF(Skills!H8&gt;0,MIN(Skills!I8,MAX(0,MAX(0,Inputs!$B$43-B993)-((R965-1)*IF(Inputs!$B$38="pvp",15,MAX(0.1,Skills!D8-IF(Skills!E8=TRUE,Inputs!$B$32,0))))))/Skills!H8,1)))/Inputs!$B$43),G965*Q965))*IF(Inputs!$B$38="pvp",1,(1+(Inputs!$B$21+Skills!Q8+Summary!$B$59)/100)*(MIN(Skills!R8,Inputs!$B$37))),0)</f>
        <v/>
      </c>
    </row>
    <row r="966">
      <c r="A966">
        <f>Skills!A9</f>
        <v/>
      </c>
      <c r="B966">
        <f>Skills!B9</f>
        <v/>
      </c>
      <c r="C966">
        <f>Inputs!$B$3&gt;=69</f>
        <v/>
      </c>
      <c r="D966">
        <f>IF(Skills!C9=1,60+Inputs!$B$25+Inputs!$B$29,IF(Skills!C9=2,90+Inputs!$B$26+Inputs!$B$29,IF(Skills!C9=3,120+Inputs!$B$27+Inputs!$B$29,MAX(0,(Inputs!$B$3-100)*3)+Inputs!$B$28+Inputs!$B$29)))</f>
        <v/>
      </c>
      <c r="E966">
        <f>INDEX(FactorTable!$B$2:$Y$301, MATCH(ROUND(MIN(300,MAX(1,D966)),0), FactorTable!$A$2:$A$301,0), Skills!M9+1)</f>
        <v/>
      </c>
      <c r="F966">
        <f>IF(Skills!N9=TRUE,(Skills!L9/10)*(E966/1000),Skills!L9/10)+Skills!O9</f>
        <v/>
      </c>
      <c r="G966">
        <f>Skills!G9*IF(Skills!H9&gt;0,Skills!I9/Skills!H9,1)</f>
        <v/>
      </c>
      <c r="H966">
        <f>1-(1-Skills!J9/100)^Skills!K9</f>
        <v/>
      </c>
      <c r="I966" t="inlineStr">
        <is>
          <t>1</t>
        </is>
      </c>
      <c r="J966">
        <f>((Inputs!$B$6*(1+(Inputs!$B$7+1)/100))+(((Inputs!$B$12*(1+Inputs!$B$13/100))-(Inputs!$B$12*(1+Inputs!$B$13/100)))+0.25*(Inputs!$B$14-Inputs!$B$14))*(1+(Inputs!$B$7+1)/100))*(F966/100)</f>
        <v/>
      </c>
      <c r="K966">
        <f>J966*(1+((Inputs!$B$12*(1+Inputs!$B$13/100))*0.01+Inputs!$B$14*0.0025)/100)*(1+Inputs!$B$15/100)*(1+Inputs!$B$16/100)*(5000/(6000+Inputs!$B$42*(1-(Inputs!$B$19+0)/100)))*(1+(Inputs!$B$24+((C982=TRUE)*(F982-Calc!F25))+B992)/100)*(1+1.0*IF(C969=TRUE,F969,0)/100)*(1+IF(Skills!A9="ENHANCED_RAGING_BLOW",IF(Inputs!$B$3&gt;=134,MAX(0,IF(Inputs!$B$3&gt;=110,7,5)-5)*50,0),0)/100)*(1+(IF(Skills!A9="RAGING_BLOW",Inputs!$B$17+((C978=TRUE)*(F978-Calc!F21)),Inputs!$B$18+((C980=TRUE)*(F980-Calc!F23))))/100)*((1+(((C970=TRUE)*F970*IF(Inputs!$B$3&gt;=110,7,5))+((C972=TRUE)*F972*IF(AND(Inputs!$B$38&lt;&gt;"pvp",Inputs!$B$43&gt;0),(((R972-1)*(Skills!T15*(1+Inputs!$B$34/100))+MIN((Skills!T15*(1+Inputs!$B$34/100)),MAX(0,Inputs!$B$43-((R972-1)*Skills!D15))))/Inputs!$B$43),IF(Inputs!$B$38="pvp",MIN((Skills!T15*(1+Inputs!$B$34/100)),15)/15,(Skills!T15*(1+Inputs!$B$34/100))/Skills!D15)))+0)/100)*I966)</f>
        <v/>
      </c>
      <c r="L966">
        <f>K966*(MIN(Inputs!$B$22+((C979=TRUE)*(F979-Calc!F22)),Inputs!$B$23+((C981=TRUE)*(F981-Calc!F24)))/100+(Inputs!$B$23+((C981=TRUE)*(F981-Calc!F24)))/100)/2</f>
        <v/>
      </c>
      <c r="M966">
        <f>L966*(1+(Inputs!$B$10+0+B991)/100)</f>
        <v/>
      </c>
      <c r="N966">
        <f>L966*(1-MIN((Inputs!$B$9+((C983=TRUE)*(F983-Calc!F26))+B986),100)/100)+M966*(MIN((Inputs!$B$9+((C983=TRUE)*(F983-Calc!F26))+B986),100)/100)</f>
        <v/>
      </c>
      <c r="O966">
        <f>(1-Summary!$B$55)*T966+Summary!$B$55*V966</f>
        <v/>
      </c>
      <c r="P966">
        <f>IF(B996=0,0,O966/B996)</f>
        <v/>
      </c>
      <c r="Q966">
        <f>IFERROR(1/IF(Inputs!$B$38="pvp",15,MAX(0.1,Skills!D9-IF(Skills!E9=TRUE,Inputs!$B$32,0))),0)</f>
        <v/>
      </c>
      <c r="R966">
        <f>IF(AND(Inputs!$B$38&lt;&gt;"pvp",Inputs!$B$43&gt;0),IF(MAX(0,Inputs!$B$43-B993)&lt;=0,0,(INT(MAX(0,Inputs!$B$43-B993)/IF(Inputs!$B$38="pvp",15,MAX(0.1,Skills!D9-IF(Skills!E9=TRUE,Inputs!$B$32,0))))+1)),0)</f>
        <v/>
      </c>
      <c r="S966">
        <f>IFERROR(O966/N966,0)</f>
        <v/>
      </c>
      <c r="T966">
        <f>IF(C966,(H966*N966*IF(AND(Inputs!$B$38&lt;&gt;"pvp",Inputs!$B$43&gt;0),((Skills!G9*((R966-1)*IF(Skills!H9&gt;0,Skills!I9/Skills!H9,1)+IF(Skills!H9&gt;0,MIN(Skills!I9,MAX(0,MAX(0,Inputs!$B$43-B993)-((R966-1)*IF(Inputs!$B$38="pvp",15,MAX(0.1,Skills!D9-IF(Skills!E9=TRUE,Inputs!$B$32,0))))))/Skills!H9,1)))/Inputs!$B$43),G966*Q966))*IF(Inputs!$B$38="pvp",1,1+(Inputs!$B$20+0+Skills!P9+Summary!$B$59)/100),0)</f>
        <v/>
      </c>
      <c r="V966">
        <f>IF(C966,(H966*N966*IF(AND(Inputs!$B$38&lt;&gt;"pvp",Inputs!$B$43&gt;0),((Skills!G9*((R966-1)*IF(Skills!H9&gt;0,Skills!I9/Skills!H9,1)+IF(Skills!H9&gt;0,MIN(Skills!I9,MAX(0,MAX(0,Inputs!$B$43-B993)-((R966-1)*IF(Inputs!$B$38="pvp",15,MAX(0.1,Skills!D9-IF(Skills!E9=TRUE,Inputs!$B$32,0))))))/Skills!H9,1)))/Inputs!$B$43),G966*Q966))*IF(Inputs!$B$38="pvp",1,(1+(Inputs!$B$21+Skills!Q9+Summary!$B$59)/100)*(MIN(Skills!R9,Inputs!$B$37))),0)</f>
        <v/>
      </c>
    </row>
    <row r="967">
      <c r="A967">
        <f>Skills!A10</f>
        <v/>
      </c>
      <c r="B967">
        <f>Skills!B10</f>
        <v/>
      </c>
      <c r="C967">
        <f>Inputs!$B$3&gt;=63</f>
        <v/>
      </c>
      <c r="D967">
        <f>IF(Skills!C10=1,60+Inputs!$B$25+Inputs!$B$29,IF(Skills!C10=2,90+Inputs!$B$26+Inputs!$B$29,IF(Skills!C10=3,120+Inputs!$B$27+Inputs!$B$29,MAX(0,(Inputs!$B$3-100)*3)+Inputs!$B$28+Inputs!$B$29)))</f>
        <v/>
      </c>
      <c r="E967">
        <f>INDEX(FactorTable!$B$2:$Y$301, MATCH(ROUND(MIN(300,MAX(1,D967)),0), FactorTable!$A$2:$A$301,0), Skills!M10+1)</f>
        <v/>
      </c>
      <c r="F967">
        <f>IF(Skills!N10=TRUE,(Skills!L10/10)*(E967/1000),Skills!L10/10)+Skills!O10</f>
        <v/>
      </c>
      <c r="G967">
        <f>Skills!G10*IF(Skills!H10&gt;0,Skills!I10/Skills!H10,1)</f>
        <v/>
      </c>
      <c r="H967">
        <f>1-(1-Skills!J10/100)^Skills!K10</f>
        <v/>
      </c>
      <c r="I967" t="inlineStr">
        <is>
          <t>1</t>
        </is>
      </c>
      <c r="J967">
        <f>((Inputs!$B$6*(1+(Inputs!$B$7+1)/100))+(((Inputs!$B$12*(1+Inputs!$B$13/100))-(Inputs!$B$12*(1+Inputs!$B$13/100)))+0.25*(Inputs!$B$14-Inputs!$B$14))*(1+(Inputs!$B$7+1)/100))*(F967/100)</f>
        <v/>
      </c>
      <c r="K967">
        <f>J967*(1+((Inputs!$B$12*(1+Inputs!$B$13/100))*0.01+Inputs!$B$14*0.0025)/100)*(1+Inputs!$B$15/100)*(1+Inputs!$B$16/100)*(5000/(6000+Inputs!$B$42*(1-(Inputs!$B$19+0)/100)))*(1+(Inputs!$B$24+((C982=TRUE)*(F982-Calc!F25))+B992)/100)*(1+1.5*IF(C969=TRUE,F969,0)/100)*(1+IF(Skills!A10="ENHANCED_RAGING_BLOW",IF(Inputs!$B$3&gt;=134,MAX(0,IF(Inputs!$B$3&gt;=110,7,5)-5)*50,0),0)/100)*(1+(IF(Skills!A10="RAGING_BLOW",Inputs!$B$17+((C978=TRUE)*(F978-Calc!F21)),Inputs!$B$18+((C980=TRUE)*(F980-Calc!F23))))/100)*((1+(((C970=TRUE)*F970*IF(Inputs!$B$3&gt;=110,7,5))+((C972=TRUE)*F972*IF(AND(Inputs!$B$38&lt;&gt;"pvp",Inputs!$B$43&gt;0),(((R972-1)*(Skills!T15*(1+Inputs!$B$34/100))+MIN((Skills!T15*(1+Inputs!$B$34/100)),MAX(0,Inputs!$B$43-((R972-1)*Skills!D15))))/Inputs!$B$43),IF(Inputs!$B$38="pvp",MIN((Skills!T15*(1+Inputs!$B$34/100)),15)/15,(Skills!T15*(1+Inputs!$B$34/100))/Skills!D15)))+0)/100)*I967)</f>
        <v/>
      </c>
      <c r="L967">
        <f>K967*(MIN(Inputs!$B$22+((C979=TRUE)*(F979-Calc!F22)),Inputs!$B$23+((C981=TRUE)*(F981-Calc!F24)))/100+(Inputs!$B$23+((C981=TRUE)*(F981-Calc!F24)))/100)/2</f>
        <v/>
      </c>
      <c r="M967">
        <f>L967*(1+(Inputs!$B$10+0+B991)/100)</f>
        <v/>
      </c>
      <c r="N967">
        <f>L967*(1-MIN((Inputs!$B$9+((C983=TRUE)*(F983-Calc!F26))+B986),100)/100)+M967*(MIN((Inputs!$B$9+((C983=TRUE)*(F983-Calc!F26))+B986),100)/100)</f>
        <v/>
      </c>
      <c r="O967">
        <f>(1-Summary!$B$55)*T967+Summary!$B$55*V967</f>
        <v/>
      </c>
      <c r="P967">
        <f>IF(B996=0,0,O967/B996)</f>
        <v/>
      </c>
      <c r="Q967">
        <f>IFERROR(1/IF(Inputs!$B$38="pvp",15,MAX(0.1,Skills!D10-IF(Skills!E10=TRUE,Inputs!$B$32,0))),0)</f>
        <v/>
      </c>
      <c r="R967">
        <f>IF(AND(Inputs!$B$38&lt;&gt;"pvp",Inputs!$B$43&gt;0),IF(MAX(0,Inputs!$B$43-B993)&lt;=0,0,(INT(MAX(0,Inputs!$B$43-B993)/IF(Inputs!$B$38="pvp",15,MAX(0.1,Skills!D10-IF(Skills!E10=TRUE,Inputs!$B$32,0))))+1)),0)</f>
        <v/>
      </c>
      <c r="S967">
        <f>IFERROR(O967/N967,0)</f>
        <v/>
      </c>
      <c r="T967">
        <f>IF(C967,(H967*N967*IF(AND(Inputs!$B$38&lt;&gt;"pvp",Inputs!$B$43&gt;0),((Skills!G10*((R967-1)*IF(Skills!H10&gt;0,Skills!I10/Skills!H10,1)+IF(Skills!H10&gt;0,MIN(Skills!I10,MAX(0,MAX(0,Inputs!$B$43-B993)-((R967-1)*IF(Inputs!$B$38="pvp",15,MAX(0.1,Skills!D10-IF(Skills!E10=TRUE,Inputs!$B$32,0))))))/Skills!H10,1)))/Inputs!$B$43),G967*Q967))*IF(Inputs!$B$38="pvp",1,1+(Inputs!$B$20+0+Skills!P10+Summary!$B$59)/100),0)</f>
        <v/>
      </c>
      <c r="V967">
        <f>IF(C967,(H967*N967*IF(AND(Inputs!$B$38&lt;&gt;"pvp",Inputs!$B$43&gt;0),((Skills!G10*((R967-1)*IF(Skills!H10&gt;0,Skills!I10/Skills!H10,1)+IF(Skills!H10&gt;0,MIN(Skills!I10,MAX(0,MAX(0,Inputs!$B$43-B993)-((R967-1)*IF(Inputs!$B$38="pvp",15,MAX(0.1,Skills!D10-IF(Skills!E10=TRUE,Inputs!$B$32,0))))))/Skills!H10,1)))/Inputs!$B$43),G967*Q967))*IF(Inputs!$B$38="pvp",1,(1+(Inputs!$B$21+Skills!Q10+Summary!$B$59)/100)*(MIN(Skills!R10,Inputs!$B$37))),0)</f>
        <v/>
      </c>
    </row>
    <row r="968">
      <c r="A968">
        <f>Skills!A11</f>
        <v/>
      </c>
      <c r="B968">
        <f>Skills!B11</f>
        <v/>
      </c>
      <c r="C968">
        <f>Inputs!$B$3&gt;=35</f>
        <v/>
      </c>
      <c r="D968">
        <f>IF(Skills!C11=1,60+Inputs!$B$25+Inputs!$B$29,IF(Skills!C11=2,90+Inputs!$B$26+Inputs!$B$29,IF(Skills!C11=3,120+Inputs!$B$27+Inputs!$B$29,MAX(0,(Inputs!$B$3-100)*3)+Inputs!$B$28+Inputs!$B$29)))</f>
        <v/>
      </c>
      <c r="E968">
        <f>INDEX(FactorTable!$B$2:$Y$301, MATCH(ROUND(MIN(300,MAX(1,D968)),0), FactorTable!$A$2:$A$301,0), Skills!M11+1)</f>
        <v/>
      </c>
      <c r="F968">
        <f>IF(Skills!N11=TRUE,(Skills!L11/10)*(E968/1000),Skills!L11/10)+Skills!O11</f>
        <v/>
      </c>
      <c r="G968">
        <f>Skills!G11*IF(Skills!H11&gt;0,Skills!I11/Skills!H11,1)</f>
        <v/>
      </c>
      <c r="H968">
        <f>1-(1-Skills!J11/100)^Skills!K11</f>
        <v/>
      </c>
      <c r="I968" t="inlineStr">
        <is>
          <t>1</t>
        </is>
      </c>
      <c r="J968">
        <f>((Inputs!$B$6*(1+(Inputs!$B$7+1)/100))+(((Inputs!$B$12*(1+Inputs!$B$13/100))-(Inputs!$B$12*(1+Inputs!$B$13/100)))+0.25*(Inputs!$B$14-Inputs!$B$14))*(1+(Inputs!$B$7+1)/100))*(F968/100)</f>
        <v/>
      </c>
      <c r="K968">
        <f>J968*(1+((Inputs!$B$12*(1+Inputs!$B$13/100))*0.01+Inputs!$B$14*0.0025)/100)*(1+Inputs!$B$15/100)*(1+Inputs!$B$16/100)*(5000/(6000+Inputs!$B$42*(1-(Inputs!$B$19+0)/100)))*(1+(Inputs!$B$24+((C982=TRUE)*(F982-Calc!F25))+B992)/100)*(1+4.0*IF(C969=TRUE,F969,0)/100)*(1+IF(Skills!A11="ENHANCED_RAGING_BLOW",IF(Inputs!$B$3&gt;=134,MAX(0,IF(Inputs!$B$3&gt;=110,7,5)-5)*50,0),0)/100)*(1+(IF(Skills!A11="RAGING_BLOW",Inputs!$B$17+((C978=TRUE)*(F978-Calc!F21)),Inputs!$B$18+((C980=TRUE)*(F980-Calc!F23))))/100)*((1+(((C970=TRUE)*F970*IF(Inputs!$B$3&gt;=110,7,5))+((C972=TRUE)*F972*IF(AND(Inputs!$B$38&lt;&gt;"pvp",Inputs!$B$43&gt;0),(((R972-1)*(Skills!T15*(1+Inputs!$B$34/100))+MIN((Skills!T15*(1+Inputs!$B$34/100)),MAX(0,Inputs!$B$43-((R972-1)*Skills!D15))))/Inputs!$B$43),IF(Inputs!$B$38="pvp",MIN((Skills!T15*(1+Inputs!$B$34/100)),15)/15,(Skills!T15*(1+Inputs!$B$34/100))/Skills!D15)))+0)/100)*I968)</f>
        <v/>
      </c>
      <c r="L968">
        <f>K968*(MIN(Inputs!$B$22+((C979=TRUE)*(F979-Calc!F22)),Inputs!$B$23+((C981=TRUE)*(F981-Calc!F24)))/100+(Inputs!$B$23+((C981=TRUE)*(F981-Calc!F24)))/100)/2</f>
        <v/>
      </c>
      <c r="M968">
        <f>L968*(1+(Inputs!$B$10+0+B991)/100)</f>
        <v/>
      </c>
      <c r="N968">
        <f>L968*(1-MIN((Inputs!$B$9+((C983=TRUE)*(F983-Calc!F26))+B986),100)/100)+M968*(MIN((Inputs!$B$9+((C983=TRUE)*(F983-Calc!F26))+B986),100)/100)</f>
        <v/>
      </c>
      <c r="O968">
        <f>(1-Summary!$B$55)*T968+Summary!$B$55*V968</f>
        <v/>
      </c>
      <c r="P968">
        <f>IF(B996=0,0,O968/B996)</f>
        <v/>
      </c>
      <c r="Q968">
        <f>IFERROR(1/IF(Inputs!$B$38="pvp",15,MAX(0.1,Skills!D11-IF(Skills!E11=TRUE,Inputs!$B$32,0))),0)</f>
        <v/>
      </c>
      <c r="R968">
        <f>IF(AND(Inputs!$B$38&lt;&gt;"pvp",Inputs!$B$43&gt;0),IF(MAX(0,Inputs!$B$43-B993)&lt;=0,0,(INT(MAX(0,Inputs!$B$43-B993)/IF(Inputs!$B$38="pvp",15,MAX(0.1,Skills!D11-IF(Skills!E11=TRUE,Inputs!$B$32,0))))+1)),0)</f>
        <v/>
      </c>
      <c r="S968">
        <f>IFERROR(O968/N968,0)</f>
        <v/>
      </c>
      <c r="T968">
        <f>IF(C968,(H968*N968*IF(AND(Inputs!$B$38&lt;&gt;"pvp",Inputs!$B$43&gt;0),((Skills!G11*((R968-1)*IF(Skills!H11&gt;0,Skills!I11/Skills!H11,1)+IF(Skills!H11&gt;0,MIN(Skills!I11,MAX(0,MAX(0,Inputs!$B$43-B993)-((R968-1)*IF(Inputs!$B$38="pvp",15,MAX(0.1,Skills!D11-IF(Skills!E11=TRUE,Inputs!$B$32,0))))))/Skills!H11,1)))/Inputs!$B$43),G968*Q968))*IF(Inputs!$B$38="pvp",1,1+(Inputs!$B$20+0+Skills!P11+Summary!$B$59)/100),0)</f>
        <v/>
      </c>
      <c r="V968">
        <f>IF(C968,(H968*N968*IF(AND(Inputs!$B$38&lt;&gt;"pvp",Inputs!$B$43&gt;0),((Skills!G11*((R968-1)*IF(Skills!H11&gt;0,Skills!I11/Skills!H11,1)+IF(Skills!H11&gt;0,MIN(Skills!I11,MAX(0,MAX(0,Inputs!$B$43-B993)-((R968-1)*IF(Inputs!$B$38="pvp",15,MAX(0.1,Skills!D11-IF(Skills!E11=TRUE,Inputs!$B$32,0))))))/Skills!H11,1)))/Inputs!$B$43),G968*Q968))*IF(Inputs!$B$38="pvp",1,(1+(Inputs!$B$21+Skills!Q11+Summary!$B$59)/100)*(MIN(Skills!R11,Inputs!$B$37))),0)</f>
        <v/>
      </c>
    </row>
    <row r="969">
      <c r="A969">
        <f>Skills!A12</f>
        <v/>
      </c>
      <c r="B969">
        <f>Skills!B12</f>
        <v/>
      </c>
      <c r="C969">
        <f>Inputs!$B$3&gt;=100</f>
        <v/>
      </c>
      <c r="D969">
        <f>IF(Skills!C12=1,60+Inputs!$B$25+Inputs!$B$29,IF(Skills!C12=2,90+Inputs!$B$26+Inputs!$B$29,IF(Skills!C12=3,120+Inputs!$B$27+Inputs!$B$29,MAX(0,(Inputs!$B$3-100)*3)+Inputs!$B$28+Inputs!$B$29)))</f>
        <v/>
      </c>
      <c r="E969">
        <f>INDEX(FactorTable!$B$2:$Y$301, MATCH(ROUND(MIN(300,MAX(1,D969)),0), FactorTable!$A$2:$A$301,0), Skills!M12+1)</f>
        <v/>
      </c>
      <c r="F969">
        <f>IF(Skills!N12=TRUE,(Skills!L12/10)*(E969/1000),Skills!L12/10)+Skills!O12</f>
        <v/>
      </c>
      <c r="G969" t="inlineStr"/>
      <c r="H969" t="inlineStr"/>
      <c r="I969" t="inlineStr">
        <is>
          <t>1</t>
        </is>
      </c>
      <c r="J969" t="inlineStr"/>
      <c r="K969" t="inlineStr"/>
      <c r="L969" t="inlineStr"/>
      <c r="M969" t="inlineStr"/>
      <c r="N969" t="inlineStr"/>
      <c r="O969" t="inlineStr"/>
      <c r="P969" t="inlineStr"/>
      <c r="Q969" t="inlineStr"/>
      <c r="R969" t="inlineStr"/>
      <c r="S969" t="inlineStr"/>
    </row>
    <row r="970">
      <c r="A970">
        <f>Skills!A13</f>
        <v/>
      </c>
      <c r="B970">
        <f>Skills!B13</f>
        <v/>
      </c>
      <c r="C970">
        <f>Inputs!$B$3&gt;=45</f>
        <v/>
      </c>
      <c r="D970">
        <f>IF(Skills!C13=1,60+Inputs!$B$25+Inputs!$B$29,IF(Skills!C13=2,90+Inputs!$B$26+Inputs!$B$29,IF(Skills!C13=3,120+Inputs!$B$27+Inputs!$B$29,MAX(0,(Inputs!$B$3-100)*3)+Inputs!$B$28+Inputs!$B$29)))</f>
        <v/>
      </c>
      <c r="E970">
        <f>INDEX(FactorTable!$B$2:$Y$301, MATCH(ROUND(MIN(300,MAX(1,D970)),0), FactorTable!$A$2:$A$301,0), Skills!M13+1)</f>
        <v/>
      </c>
      <c r="F970">
        <f>IF(Skills!N13=TRUE,(Skills!L13/10)*(E970/1000),Skills!L13/10)+Skills!O13</f>
        <v/>
      </c>
      <c r="G970">
        <f>Skills!G13*IF(Skills!H13&gt;0,Skills!I13/Skills!H13,1)</f>
        <v/>
      </c>
      <c r="H970">
        <f>1-(1-Skills!J13/100)^Skills!K13</f>
        <v/>
      </c>
      <c r="I970" t="inlineStr">
        <is>
          <t>1</t>
        </is>
      </c>
      <c r="J970" t="inlineStr"/>
      <c r="K970" t="inlineStr"/>
      <c r="L970" t="inlineStr"/>
      <c r="M970" t="inlineStr"/>
      <c r="N970" t="inlineStr"/>
      <c r="O970">
        <f>(1-Summary!$B$55)*T970+Summary!$B$55*V970</f>
        <v/>
      </c>
      <c r="P970">
        <f>IF(B996=0,0,O970/B996)</f>
        <v/>
      </c>
      <c r="Q970" t="n">
        <v>0</v>
      </c>
      <c r="R970" t="n">
        <v>0</v>
      </c>
      <c r="S970">
        <f>IFERROR(O970/N970,0)</f>
        <v/>
      </c>
      <c r="T970" t="n">
        <v>0</v>
      </c>
      <c r="V970" t="n">
        <v>0</v>
      </c>
    </row>
    <row r="971">
      <c r="A971">
        <f>Skills!A14</f>
        <v/>
      </c>
      <c r="B971">
        <f>Skills!B14</f>
        <v/>
      </c>
      <c r="C971">
        <f>Inputs!$B$3&gt;=75</f>
        <v/>
      </c>
      <c r="D971">
        <f>IF(Skills!C14=1,60+Inputs!$B$25+Inputs!$B$29,IF(Skills!C14=2,90+Inputs!$B$26+Inputs!$B$29,IF(Skills!C14=3,120+Inputs!$B$27+Inputs!$B$29,MAX(0,(Inputs!$B$3-100)*3)+Inputs!$B$28+Inputs!$B$29)))</f>
        <v/>
      </c>
      <c r="E971">
        <f>INDEX(FactorTable!$B$2:$Y$301, MATCH(ROUND(MIN(300,MAX(1,D971)),0), FactorTable!$A$2:$A$301,0), Skills!M14+1)</f>
        <v/>
      </c>
      <c r="F971">
        <f>IF(Skills!N14=TRUE,(Skills!L14/10)*(E971/1000),Skills!L14/10)+Skills!O14</f>
        <v/>
      </c>
      <c r="G971">
        <f>Skills!G14*IF(Skills!H14&gt;0,Skills!I14/Skills!H14,1)</f>
        <v/>
      </c>
      <c r="H971">
        <f>1-(1-Skills!J14/100)^Skills!K14</f>
        <v/>
      </c>
      <c r="I971" t="inlineStr">
        <is>
          <t>1</t>
        </is>
      </c>
      <c r="J971" t="inlineStr"/>
      <c r="K971" t="inlineStr"/>
      <c r="L971" t="inlineStr"/>
      <c r="M971" t="inlineStr"/>
      <c r="N971" t="inlineStr"/>
      <c r="O971">
        <f>(1-Summary!$B$55)*T971+Summary!$B$55*V971</f>
        <v/>
      </c>
      <c r="P971">
        <f>IF(B996=0,0,O971/B996)</f>
        <v/>
      </c>
      <c r="Q971" t="n">
        <v>0</v>
      </c>
      <c r="R971" t="n">
        <v>0</v>
      </c>
      <c r="S971">
        <f>IFERROR(O971/N971,0)</f>
        <v/>
      </c>
      <c r="T971" t="n">
        <v>0</v>
      </c>
      <c r="V971" t="n">
        <v>0</v>
      </c>
    </row>
    <row r="972">
      <c r="A972">
        <f>Skills!A15</f>
        <v/>
      </c>
      <c r="B972">
        <f>Skills!B15</f>
        <v/>
      </c>
      <c r="C972">
        <f>Inputs!$B$3&gt;=40</f>
        <v/>
      </c>
      <c r="D972">
        <f>IF(Skills!C15=1,60+Inputs!$B$25+Inputs!$B$29,IF(Skills!C15=2,90+Inputs!$B$26+Inputs!$B$29,IF(Skills!C15=3,120+Inputs!$B$27+Inputs!$B$29,MAX(0,(Inputs!$B$3-100)*3)+Inputs!$B$28+Inputs!$B$29)))</f>
        <v/>
      </c>
      <c r="E972">
        <f>INDEX(FactorTable!$B$2:$Y$301, MATCH(ROUND(MIN(300,MAX(1,D972)),0), FactorTable!$A$2:$A$301,0), Skills!M15+1)</f>
        <v/>
      </c>
      <c r="F972">
        <f>IF(Skills!N15=TRUE,(Skills!L15/10)*(E972/1000),Skills!L15/10)+Skills!O15</f>
        <v/>
      </c>
      <c r="G972">
        <f>Skills!G15*IF(Skills!H15&gt;0,Skills!I15/Skills!H15,1)</f>
        <v/>
      </c>
      <c r="H972">
        <f>1-(1-Skills!J15/100)^Skills!K15</f>
        <v/>
      </c>
      <c r="I972" t="inlineStr">
        <is>
          <t>1</t>
        </is>
      </c>
      <c r="J972" t="inlineStr"/>
      <c r="K972" t="inlineStr"/>
      <c r="L972" t="inlineStr"/>
      <c r="M972" t="inlineStr"/>
      <c r="N972" t="inlineStr"/>
      <c r="O972">
        <f>(1-Summary!$B$55)*T972+Summary!$B$55*V972</f>
        <v/>
      </c>
      <c r="P972">
        <f>IF(B996=0,0,O972/B996)</f>
        <v/>
      </c>
      <c r="Q972">
        <f>IFERROR(1/IF(Inputs!$B$38="pvp",15,MAX(0.1,Skills!D15-IF(Skills!E15=TRUE,Inputs!$B$32,0))),0)</f>
        <v/>
      </c>
      <c r="R972">
        <f>IF(AND(Inputs!$B$38&lt;&gt;"pvp",Inputs!$B$43&gt;0),IF(Inputs!$B$43&lt;=0,0,(INT(Inputs!$B$43/IF(Inputs!$B$38="pvp",15,MAX(0.1,Skills!D15-IF(Skills!E15=TRUE,Inputs!$B$32,0))))+1)),0)</f>
        <v/>
      </c>
      <c r="S972">
        <f>IFERROR(O972/N972,0)</f>
        <v/>
      </c>
      <c r="T972" t="n">
        <v>0</v>
      </c>
      <c r="V972" t="n">
        <v>0</v>
      </c>
    </row>
    <row r="973">
      <c r="A973">
        <f>Skills!A16</f>
        <v/>
      </c>
      <c r="B973">
        <f>Skills!B16</f>
        <v/>
      </c>
      <c r="C973">
        <f>Inputs!$B$3&gt;=66</f>
        <v/>
      </c>
      <c r="D973">
        <f>IF(Skills!C16=1,60+Inputs!$B$25+Inputs!$B$29,IF(Skills!C16=2,90+Inputs!$B$26+Inputs!$B$29,IF(Skills!C16=3,120+Inputs!$B$27+Inputs!$B$29,MAX(0,(Inputs!$B$3-100)*3)+Inputs!$B$28+Inputs!$B$29)))</f>
        <v/>
      </c>
      <c r="E973">
        <f>INDEX(FactorTable!$B$2:$Y$301, MATCH(ROUND(MIN(300,MAX(1,D973)),0), FactorTable!$A$2:$A$301,0), Skills!M16+1)</f>
        <v/>
      </c>
      <c r="F973">
        <f>IF(Skills!N16=TRUE,(Skills!L16/10)*(E973/1000),Skills!L16/10)+Skills!O16</f>
        <v/>
      </c>
      <c r="G973">
        <f>Skills!G16*IF(Skills!H16&gt;0,Skills!I16/Skills!H16,1)</f>
        <v/>
      </c>
      <c r="H973">
        <f>1-(1-Skills!J16/100)^Skills!K16</f>
        <v/>
      </c>
      <c r="I973" t="inlineStr">
        <is>
          <t>1</t>
        </is>
      </c>
      <c r="J973" t="inlineStr"/>
      <c r="K973" t="inlineStr"/>
      <c r="L973" t="inlineStr"/>
      <c r="M973" t="inlineStr"/>
      <c r="N973" t="inlineStr"/>
      <c r="O973">
        <f>(1-Summary!$B$55)*T973+Summary!$B$55*V973</f>
        <v/>
      </c>
      <c r="P973">
        <f>IF(B996=0,0,O973/B996)</f>
        <v/>
      </c>
      <c r="Q973">
        <f>IFERROR(1/IF(Inputs!$B$38="pvp",15,MAX(0.1,Skills!D16-IF(Skills!E16=TRUE,Inputs!$B$32,0))),0)</f>
        <v/>
      </c>
      <c r="R973">
        <f>IF(AND(Inputs!$B$38&lt;&gt;"pvp",Inputs!$B$43&gt;0),IF(Inputs!$B$43&lt;=0,0,(INT(Inputs!$B$43/IF(Inputs!$B$38="pvp",15,MAX(0.1,Skills!D16-IF(Skills!E16=TRUE,Inputs!$B$32,0))))+1)),0)</f>
        <v/>
      </c>
      <c r="S973">
        <f>IFERROR(O973/N973,0)</f>
        <v/>
      </c>
      <c r="T973" t="n">
        <v>0</v>
      </c>
      <c r="V973" t="n">
        <v>0</v>
      </c>
    </row>
    <row r="974">
      <c r="A974">
        <f>Skills!A17</f>
        <v/>
      </c>
      <c r="B974">
        <f>Skills!B17</f>
        <v/>
      </c>
      <c r="C974">
        <f>Inputs!$B$3&gt;=115</f>
        <v/>
      </c>
      <c r="D974">
        <f>IF(Skills!C17=1,60+Inputs!$B$25+Inputs!$B$29,IF(Skills!C17=2,90+Inputs!$B$26+Inputs!$B$29,IF(Skills!C17=3,120+Inputs!$B$27+Inputs!$B$29,MAX(0,(Inputs!$B$3-100)*3)+Inputs!$B$28+Inputs!$B$29)))</f>
        <v/>
      </c>
      <c r="E974">
        <f>INDEX(FactorTable!$B$2:$Y$301, MATCH(ROUND(MIN(300,MAX(1,D974)),0), FactorTable!$A$2:$A$301,0), Skills!M17+1)</f>
        <v/>
      </c>
      <c r="F974">
        <f>IF(Skills!N17=TRUE,(Skills!L17/10)*(E974/1000),Skills!L17/10)+Skills!O17</f>
        <v/>
      </c>
      <c r="G974">
        <f>Skills!G17*IF(Skills!H17&gt;0,Skills!I17/Skills!H17,1)</f>
        <v/>
      </c>
      <c r="H974">
        <f>1-(1-Skills!J17/100)^Skills!K17</f>
        <v/>
      </c>
      <c r="I974" t="inlineStr">
        <is>
          <t>1</t>
        </is>
      </c>
      <c r="J974" t="inlineStr"/>
      <c r="K974" t="inlineStr"/>
      <c r="L974" t="inlineStr"/>
      <c r="M974" t="inlineStr"/>
      <c r="N974" t="inlineStr"/>
      <c r="O974">
        <f>(1-Summary!$B$55)*T974+Summary!$B$55*V974</f>
        <v/>
      </c>
      <c r="P974">
        <f>IF(B996=0,0,O974/B996)</f>
        <v/>
      </c>
      <c r="Q974">
        <f>IFERROR(1/IF(Inputs!$B$38="pvp",15,MAX(0.1,Skills!D17-IF(Skills!E17=TRUE,Inputs!$B$32,0))),0)</f>
        <v/>
      </c>
      <c r="R974">
        <f>IF(AND(Inputs!$B$38&lt;&gt;"pvp",Inputs!$B$43&gt;0),IF(Inputs!$B$43&lt;=0,0,(INT(Inputs!$B$43/IF(Inputs!$B$38="pvp",15,MAX(0.1,Skills!D17-IF(Skills!E17=TRUE,Inputs!$B$32,0))))+1)),0)</f>
        <v/>
      </c>
      <c r="S974">
        <f>IFERROR(O974/N974,0)</f>
        <v/>
      </c>
      <c r="T974" t="n">
        <v>0</v>
      </c>
      <c r="V974" t="n">
        <v>0</v>
      </c>
    </row>
    <row r="975">
      <c r="A975">
        <f>Skills!A18</f>
        <v/>
      </c>
      <c r="B975">
        <f>Skills!B18</f>
        <v/>
      </c>
      <c r="C975">
        <f>Inputs!$B$3&gt;=115</f>
        <v/>
      </c>
      <c r="D975">
        <f>IF(Skills!C18=1,60+Inputs!$B$25+Inputs!$B$29,IF(Skills!C18=2,90+Inputs!$B$26+Inputs!$B$29,IF(Skills!C18=3,120+Inputs!$B$27+Inputs!$B$29,MAX(0,(Inputs!$B$3-100)*3)+Inputs!$B$28+Inputs!$B$29)))</f>
        <v/>
      </c>
      <c r="E975">
        <f>INDEX(FactorTable!$B$2:$Y$301, MATCH(ROUND(MIN(300,MAX(1,D975)),0), FactorTable!$A$2:$A$301,0), Skills!M18+1)</f>
        <v/>
      </c>
      <c r="F975">
        <f>IF(Skills!N18=TRUE,(Skills!L18/10)*(E975/1000),Skills!L18/10)+Skills!O18</f>
        <v/>
      </c>
      <c r="G975">
        <f>Skills!G18*IF(Skills!H18&gt;0,Skills!I18/Skills!H18,1)</f>
        <v/>
      </c>
      <c r="H975">
        <f>1-(1-Skills!J18/100)^Skills!K18</f>
        <v/>
      </c>
      <c r="I975" t="inlineStr">
        <is>
          <t>1</t>
        </is>
      </c>
      <c r="J975" t="inlineStr"/>
      <c r="K975" t="inlineStr"/>
      <c r="L975" t="inlineStr"/>
      <c r="M975" t="inlineStr"/>
      <c r="N975" t="inlineStr"/>
      <c r="O975">
        <f>(1-Summary!$B$55)*T975+Summary!$B$55*V975</f>
        <v/>
      </c>
      <c r="P975">
        <f>IF(B996=0,0,O975/B996)</f>
        <v/>
      </c>
      <c r="Q975">
        <f>IFERROR(1/IF(Inputs!$B$38="pvp",15,MAX(0.1,Skills!D18-IF(Skills!E18=TRUE,Inputs!$B$32,0))),0)</f>
        <v/>
      </c>
      <c r="R975">
        <f>IF(AND(Inputs!$B$38&lt;&gt;"pvp",Inputs!$B$43&gt;0),IF(Inputs!$B$43&lt;=0,0,(INT(Inputs!$B$43/IF(Inputs!$B$38="pvp",15,MAX(0.1,Skills!D18-IF(Skills!E18=TRUE,Inputs!$B$32,0))))+1)),0)</f>
        <v/>
      </c>
      <c r="S975">
        <f>IFERROR(O975/N975,0)</f>
        <v/>
      </c>
      <c r="T975" t="n">
        <v>0</v>
      </c>
      <c r="V975" t="n">
        <v>0</v>
      </c>
    </row>
    <row r="976">
      <c r="A976">
        <f>Skills!A19</f>
        <v/>
      </c>
      <c r="B976">
        <f>Skills!B19</f>
        <v/>
      </c>
      <c r="C976">
        <f>TRUE</f>
        <v/>
      </c>
      <c r="D976">
        <f>IF(Skills!C19=1,60+Inputs!$B$25+Inputs!$B$29,IF(Skills!C19=2,90+Inputs!$B$26+Inputs!$B$29,IF(Skills!C19=3,120+Inputs!$B$27+Inputs!$B$29,MAX(0,(Inputs!$B$3-100)*3)+Inputs!$B$28+Inputs!$B$29)))</f>
        <v/>
      </c>
      <c r="E976">
        <f>INDEX(FactorTable!$B$2:$Y$301, MATCH(ROUND(MIN(300,MAX(1,D976)),0), FactorTable!$A$2:$A$301,0), Skills!M19+1)</f>
        <v/>
      </c>
      <c r="F976">
        <f>IF(Skills!N19=TRUE,(Skills!L19/10)*(E976/1000),Skills!L19/10)+Skills!O19</f>
        <v/>
      </c>
      <c r="G976">
        <f>Skills!G19*IF(Skills!H19&gt;0,Skills!I19/Skills!H19,1)</f>
        <v/>
      </c>
      <c r="H976">
        <f>1-(1-Skills!J19/100)^Skills!K19</f>
        <v/>
      </c>
      <c r="I976" t="inlineStr">
        <is>
          <t>1</t>
        </is>
      </c>
      <c r="J976" t="inlineStr"/>
      <c r="K976" t="inlineStr"/>
      <c r="L976" t="inlineStr"/>
      <c r="M976" t="inlineStr"/>
      <c r="N976" t="inlineStr"/>
      <c r="O976">
        <f>(1-Summary!$B$55)*T976+Summary!$B$55*V976</f>
        <v/>
      </c>
      <c r="P976">
        <f>IF(B996=0,0,O976/B996)</f>
        <v/>
      </c>
      <c r="Q976">
        <f>IFERROR(1/IF(Inputs!$B$38="pvp",15,MAX(0.1,Skills!D19-IF(Skills!E19=TRUE,Inputs!$B$32,0))),0)</f>
        <v/>
      </c>
      <c r="R976">
        <f>IF(AND(Inputs!$B$38&lt;&gt;"pvp",Inputs!$B$43&gt;0),IF(Inputs!$B$43&lt;=0,0,(INT(Inputs!$B$43/IF(Inputs!$B$38="pvp",15,MAX(0.1,Skills!D19-IF(Skills!E19=TRUE,Inputs!$B$32,0))))+1)),0)</f>
        <v/>
      </c>
      <c r="S976">
        <f>IFERROR(O976/N976,0)</f>
        <v/>
      </c>
      <c r="T976" t="n">
        <v>0</v>
      </c>
      <c r="V976" t="n">
        <v>0</v>
      </c>
    </row>
    <row r="977">
      <c r="A977">
        <f>Skills!A20</f>
        <v/>
      </c>
      <c r="B977">
        <f>Skills!B20</f>
        <v/>
      </c>
      <c r="C977">
        <f>Inputs!$B$3&gt;=33</f>
        <v/>
      </c>
      <c r="D977">
        <f>IF(Skills!C20=1,60+Inputs!$B$25+Inputs!$B$29,IF(Skills!C20=2,90+Inputs!$B$26+Inputs!$B$29,IF(Skills!C20=3,120+Inputs!$B$27+Inputs!$B$29,MAX(0,(Inputs!$B$3-100)*3)+Inputs!$B$28+Inputs!$B$29)))</f>
        <v/>
      </c>
      <c r="E977">
        <f>INDEX(FactorTable!$B$2:$Y$301, MATCH(ROUND(MIN(300,MAX(1,D977)),0), FactorTable!$A$2:$A$301,0), Skills!M20+1)</f>
        <v/>
      </c>
      <c r="F977">
        <f>IF(Skills!N20=TRUE,(Skills!L20/10)*(E977/1000),Skills!L20/10)+Skills!O20</f>
        <v/>
      </c>
      <c r="G977">
        <f>Skills!G20*IF(Skills!H20&gt;0,Skills!I20/Skills!H20,1)</f>
        <v/>
      </c>
      <c r="H977">
        <f>1-(1-Skills!J20/100)^Skills!K20</f>
        <v/>
      </c>
      <c r="I977" t="inlineStr">
        <is>
          <t>1</t>
        </is>
      </c>
      <c r="J977" t="inlineStr"/>
      <c r="K977" t="inlineStr"/>
      <c r="L977" t="inlineStr"/>
      <c r="M977" t="inlineStr"/>
      <c r="N977" t="inlineStr"/>
      <c r="O977">
        <f>(1-Summary!$B$55)*T977+Summary!$B$55*V977</f>
        <v/>
      </c>
      <c r="P977">
        <f>IF(B996=0,0,O977/B996)</f>
        <v/>
      </c>
      <c r="Q977" t="n">
        <v>0</v>
      </c>
      <c r="R977" t="n">
        <v>0</v>
      </c>
      <c r="S977">
        <f>IFERROR(O977/N977,0)</f>
        <v/>
      </c>
      <c r="T977" t="n">
        <v>0</v>
      </c>
      <c r="V977" t="n">
        <v>0</v>
      </c>
    </row>
    <row r="978">
      <c r="A978">
        <f>Skills!A21</f>
        <v/>
      </c>
      <c r="B978">
        <f>Skills!B21</f>
        <v/>
      </c>
      <c r="C978">
        <f>Inputs!$B$3&gt;=38</f>
        <v/>
      </c>
      <c r="D978">
        <f>IF(Skills!C21=1,60+Inputs!$B$25+Inputs!$B$29,IF(Skills!C21=2,90+Inputs!$B$26+Inputs!$B$29,IF(Skills!C21=3,120+Inputs!$B$27+Inputs!$B$29,MAX(0,(Inputs!$B$3-100)*3)+Inputs!$B$28+Inputs!$B$29)))</f>
        <v/>
      </c>
      <c r="E978">
        <f>INDEX(FactorTable!$B$2:$Y$301, MATCH(ROUND(MIN(300,MAX(1,D978)),0), FactorTable!$A$2:$A$301,0), Skills!M21+1)</f>
        <v/>
      </c>
      <c r="F978">
        <f>IF(Skills!N21=TRUE,(Skills!L21/10)*(E978/1000),Skills!L21/10)+Skills!O21</f>
        <v/>
      </c>
      <c r="G978">
        <f>Skills!G21*IF(Skills!H21&gt;0,Skills!I21/Skills!H21,1)</f>
        <v/>
      </c>
      <c r="H978">
        <f>1-(1-Skills!J21/100)^Skills!K21</f>
        <v/>
      </c>
      <c r="I978" t="inlineStr">
        <is>
          <t>1</t>
        </is>
      </c>
      <c r="J978" t="inlineStr"/>
      <c r="K978" t="inlineStr"/>
      <c r="L978" t="inlineStr"/>
      <c r="M978" t="inlineStr"/>
      <c r="N978" t="inlineStr"/>
      <c r="O978">
        <f>(1-Summary!$B$55)*T978+Summary!$B$55*V978</f>
        <v/>
      </c>
      <c r="P978">
        <f>IF(B996=0,0,O978/B996)</f>
        <v/>
      </c>
      <c r="Q978" t="n">
        <v>0</v>
      </c>
      <c r="R978" t="n">
        <v>0</v>
      </c>
      <c r="S978">
        <f>IFERROR(O978/N978,0)</f>
        <v/>
      </c>
      <c r="T978" t="n">
        <v>0</v>
      </c>
      <c r="V978" t="n">
        <v>0</v>
      </c>
    </row>
    <row r="979">
      <c r="A979">
        <f>Skills!A22</f>
        <v/>
      </c>
      <c r="B979">
        <f>Skills!B22</f>
        <v/>
      </c>
      <c r="C979">
        <f>Inputs!$B$3&gt;=43</f>
        <v/>
      </c>
      <c r="D979">
        <f>IF(Skills!C22=1,60+Inputs!$B$25+Inputs!$B$29,IF(Skills!C22=2,90+Inputs!$B$26+Inputs!$B$29,IF(Skills!C22=3,120+Inputs!$B$27+Inputs!$B$29,MAX(0,(Inputs!$B$3-100)*3)+Inputs!$B$28+Inputs!$B$29)))</f>
        <v/>
      </c>
      <c r="E979">
        <f>INDEX(FactorTable!$B$2:$Y$301, MATCH(ROUND(MIN(300,MAX(1,D979)),0), FactorTable!$A$2:$A$301,0), Skills!M22+1)</f>
        <v/>
      </c>
      <c r="F979">
        <f>IF(Skills!N22=TRUE,(Skills!L22/10)*(E979/1000),Skills!L22/10)+Skills!O22</f>
        <v/>
      </c>
      <c r="G979">
        <f>Skills!G22*IF(Skills!H22&gt;0,Skills!I22/Skills!H22,1)</f>
        <v/>
      </c>
      <c r="H979">
        <f>1-(1-Skills!J22/100)^Skills!K22</f>
        <v/>
      </c>
      <c r="I979" t="inlineStr">
        <is>
          <t>1</t>
        </is>
      </c>
      <c r="J979" t="inlineStr"/>
      <c r="K979" t="inlineStr"/>
      <c r="L979" t="inlineStr"/>
      <c r="M979" t="inlineStr"/>
      <c r="N979" t="inlineStr"/>
      <c r="O979">
        <f>(1-Summary!$B$55)*T979+Summary!$B$55*V979</f>
        <v/>
      </c>
      <c r="P979">
        <f>IF(B996=0,0,O979/B996)</f>
        <v/>
      </c>
      <c r="Q979" t="n">
        <v>0</v>
      </c>
      <c r="R979" t="n">
        <v>0</v>
      </c>
      <c r="S979">
        <f>IFERROR(O979/N979,0)</f>
        <v/>
      </c>
      <c r="T979" t="n">
        <v>0</v>
      </c>
      <c r="V979" t="n">
        <v>0</v>
      </c>
    </row>
    <row r="980">
      <c r="A980">
        <f>Skills!A23</f>
        <v/>
      </c>
      <c r="B980">
        <f>Skills!B23</f>
        <v/>
      </c>
      <c r="C980">
        <f>Inputs!$B$3&gt;=120</f>
        <v/>
      </c>
      <c r="D980">
        <f>IF(Skills!C23=1,60+Inputs!$B$25+Inputs!$B$29,IF(Skills!C23=2,90+Inputs!$B$26+Inputs!$B$29,IF(Skills!C23=3,120+Inputs!$B$27+Inputs!$B$29,MAX(0,(Inputs!$B$3-100)*3)+Inputs!$B$28+Inputs!$B$29)))</f>
        <v/>
      </c>
      <c r="E980">
        <f>INDEX(FactorTable!$B$2:$Y$301, MATCH(ROUND(MIN(300,MAX(1,D980)),0), FactorTable!$A$2:$A$301,0), Skills!M23+1)</f>
        <v/>
      </c>
      <c r="F980">
        <f>IF(Skills!N23=TRUE,(Skills!L23/10)*(E980/1000),Skills!L23/10)+Skills!O23</f>
        <v/>
      </c>
      <c r="G980">
        <f>Skills!G23*IF(Skills!H23&gt;0,Skills!I23/Skills!H23,1)</f>
        <v/>
      </c>
      <c r="H980">
        <f>1-(1-Skills!J23/100)^Skills!K23</f>
        <v/>
      </c>
      <c r="I980" t="inlineStr">
        <is>
          <t>1</t>
        </is>
      </c>
      <c r="J980" t="inlineStr"/>
      <c r="K980" t="inlineStr"/>
      <c r="L980" t="inlineStr"/>
      <c r="M980" t="inlineStr"/>
      <c r="N980" t="inlineStr"/>
      <c r="O980">
        <f>(1-Summary!$B$55)*T980+Summary!$B$55*V980</f>
        <v/>
      </c>
      <c r="P980">
        <f>IF(B996=0,0,O980/B996)</f>
        <v/>
      </c>
      <c r="Q980" t="n">
        <v>0</v>
      </c>
      <c r="R980" t="n">
        <v>0</v>
      </c>
      <c r="S980">
        <f>IFERROR(O980/N980,0)</f>
        <v/>
      </c>
      <c r="T980" t="n">
        <v>0</v>
      </c>
      <c r="V980" t="n">
        <v>0</v>
      </c>
    </row>
    <row r="981">
      <c r="A981">
        <f>Skills!A24</f>
        <v/>
      </c>
      <c r="B981">
        <f>Skills!B24</f>
        <v/>
      </c>
      <c r="C981">
        <f>Inputs!$B$3&gt;=120</f>
        <v/>
      </c>
      <c r="D981">
        <f>IF(Skills!C24=1,60+Inputs!$B$25+Inputs!$B$29,IF(Skills!C24=2,90+Inputs!$B$26+Inputs!$B$29,IF(Skills!C24=3,120+Inputs!$B$27+Inputs!$B$29,MAX(0,(Inputs!$B$3-100)*3)+Inputs!$B$28+Inputs!$B$29)))</f>
        <v/>
      </c>
      <c r="E981">
        <f>INDEX(FactorTable!$B$2:$Y$301, MATCH(ROUND(MIN(300,MAX(1,D981)),0), FactorTable!$A$2:$A$301,0), Skills!M24+1)</f>
        <v/>
      </c>
      <c r="F981">
        <f>IF(Skills!N24=TRUE,(Skills!L24/10)*(E981/1000),Skills!L24/10)+Skills!O24</f>
        <v/>
      </c>
      <c r="G981">
        <f>Skills!G24*IF(Skills!H24&gt;0,Skills!I24/Skills!H24,1)</f>
        <v/>
      </c>
      <c r="H981">
        <f>1-(1-Skills!J24/100)^Skills!K24</f>
        <v/>
      </c>
      <c r="I981" t="inlineStr">
        <is>
          <t>1</t>
        </is>
      </c>
      <c r="J981" t="inlineStr"/>
      <c r="K981" t="inlineStr"/>
      <c r="L981" t="inlineStr"/>
      <c r="M981" t="inlineStr"/>
      <c r="N981" t="inlineStr"/>
      <c r="O981">
        <f>(1-Summary!$B$55)*T981+Summary!$B$55*V981</f>
        <v/>
      </c>
      <c r="P981">
        <f>IF(B996=0,0,O981/B996)</f>
        <v/>
      </c>
      <c r="Q981" t="n">
        <v>0</v>
      </c>
      <c r="R981" t="n">
        <v>0</v>
      </c>
      <c r="S981">
        <f>IFERROR(O981/N981,0)</f>
        <v/>
      </c>
      <c r="T981" t="n">
        <v>0</v>
      </c>
      <c r="V981" t="n">
        <v>0</v>
      </c>
    </row>
    <row r="982">
      <c r="A982">
        <f>Skills!A25</f>
        <v/>
      </c>
      <c r="B982">
        <f>Skills!B25</f>
        <v/>
      </c>
      <c r="C982">
        <f>Inputs!$B$3&gt;=125</f>
        <v/>
      </c>
      <c r="D982">
        <f>IF(Skills!C25=1,60+Inputs!$B$25+Inputs!$B$29,IF(Skills!C25=2,90+Inputs!$B$26+Inputs!$B$29,IF(Skills!C25=3,120+Inputs!$B$27+Inputs!$B$29,MAX(0,(Inputs!$B$3-100)*3)+Inputs!$B$28+Inputs!$B$29)))</f>
        <v/>
      </c>
      <c r="E982">
        <f>INDEX(FactorTable!$B$2:$Y$301, MATCH(ROUND(MIN(300,MAX(1,D982)),0), FactorTable!$A$2:$A$301,0), Skills!M25+1)</f>
        <v/>
      </c>
      <c r="F982">
        <f>IF(Skills!N25=TRUE,(Skills!L25/10)*(E982/1000),Skills!L25/10)+Skills!O25</f>
        <v/>
      </c>
      <c r="G982">
        <f>Skills!G25*IF(Skills!H25&gt;0,Skills!I25/Skills!H25,1)</f>
        <v/>
      </c>
      <c r="H982">
        <f>1-(1-Skills!J25/100)^Skills!K25</f>
        <v/>
      </c>
      <c r="I982" t="inlineStr">
        <is>
          <t>1</t>
        </is>
      </c>
      <c r="J982" t="inlineStr"/>
      <c r="K982" t="inlineStr"/>
      <c r="L982" t="inlineStr"/>
      <c r="M982" t="inlineStr"/>
      <c r="N982" t="inlineStr"/>
      <c r="O982">
        <f>(1-Summary!$B$55)*T982+Summary!$B$55*V982</f>
        <v/>
      </c>
      <c r="P982">
        <f>IF(B996=0,0,O982/B996)</f>
        <v/>
      </c>
      <c r="Q982" t="n">
        <v>0</v>
      </c>
      <c r="R982" t="n">
        <v>0</v>
      </c>
      <c r="S982">
        <f>IFERROR(O982/N982,0)</f>
        <v/>
      </c>
      <c r="T982" t="n">
        <v>0</v>
      </c>
      <c r="V982" t="n">
        <v>0</v>
      </c>
    </row>
    <row r="983">
      <c r="A983">
        <f>Skills!A26</f>
        <v/>
      </c>
      <c r="B983">
        <f>Skills!B26</f>
        <v/>
      </c>
      <c r="C983">
        <f>Inputs!$B$3&gt;=72</f>
        <v/>
      </c>
      <c r="D983">
        <f>IF(Skills!C26=1,60+Inputs!$B$25+Inputs!$B$29,IF(Skills!C26=2,90+Inputs!$B$26+Inputs!$B$29,IF(Skills!C26=3,120+Inputs!$B$27+Inputs!$B$29,MAX(0,(Inputs!$B$3-100)*3)+Inputs!$B$28+Inputs!$B$29)))</f>
        <v/>
      </c>
      <c r="E983">
        <f>INDEX(FactorTable!$B$2:$Y$301, MATCH(ROUND(MIN(300,MAX(1,D983)),0), FactorTable!$A$2:$A$301,0), Skills!M26+1)</f>
        <v/>
      </c>
      <c r="F983">
        <f>IF(Skills!N26=TRUE,(Skills!L26/10)*(E983/1000),Skills!L26/10)+Skills!O26</f>
        <v/>
      </c>
      <c r="G983">
        <f>Skills!G26*IF(Skills!H26&gt;0,Skills!I26/Skills!H26,1)</f>
        <v/>
      </c>
      <c r="H983">
        <f>1-(1-Skills!J26/100)^Skills!K26</f>
        <v/>
      </c>
      <c r="I983" t="inlineStr">
        <is>
          <t>1</t>
        </is>
      </c>
      <c r="J983" t="inlineStr"/>
      <c r="K983" t="inlineStr"/>
      <c r="L983" t="inlineStr"/>
      <c r="M983" t="inlineStr"/>
      <c r="N983" t="inlineStr"/>
      <c r="O983">
        <f>(1-Summary!$B$55)*T983+Summary!$B$55*V983</f>
        <v/>
      </c>
      <c r="P983">
        <f>IF(B996=0,0,O983/B996)</f>
        <v/>
      </c>
      <c r="Q983" t="n">
        <v>0</v>
      </c>
      <c r="R983" t="n">
        <v>0</v>
      </c>
      <c r="S983">
        <f>IFERROR(O983/N983,0)</f>
        <v/>
      </c>
      <c r="T983" t="n">
        <v>0</v>
      </c>
      <c r="V983" t="n">
        <v>0</v>
      </c>
    </row>
    <row r="985">
      <c r="A985" t="inlineStr">
        <is>
          <t>Attack% Bucket Multiplier</t>
        </is>
      </c>
      <c r="B985">
        <f>(1+(((C970=TRUE)*F970*IF(Inputs!$B$3&gt;=110,7,5))+((C972=TRUE)*F972*IF(AND(Inputs!$B$38&lt;&gt;"pvp",Inputs!$B$43&gt;0),(((R972-1)*(Skills!T15*(1+Inputs!$B$34/100))+MIN((Skills!T15*(1+Inputs!$B$34/100)),MAX(0,Inputs!$B$43-((R972-1)*Skills!D15))))/Inputs!$B$43),IF(Inputs!$B$38="pvp",MIN((Skills!T15*(1+Inputs!$B$34/100)),15)/15,(Skills!T15*(1+Inputs!$B$34/100))/Skills!D15)))+0)/100)</f>
        <v/>
      </c>
    </row>
    <row r="986">
      <c r="A986" t="inlineStr">
        <is>
          <t>Global Crit Rate Bonus %</t>
        </is>
      </c>
      <c r="B986" t="n">
        <v>0</v>
      </c>
    </row>
    <row r="987">
      <c r="A987" t="inlineStr">
        <is>
          <t>Attack Speed Buff Bonus %</t>
        </is>
      </c>
      <c r="B987">
        <f>((C976=TRUE)*F976*IF(AND(Inputs!$B$38&lt;&gt;"pvp",Inputs!$B$43&gt;0),(((R976-1)*(Skills!T19*(1+Inputs!$B$34/100))+MIN((Skills!T19*(1+Inputs!$B$34/100)),MAX(0,Inputs!$B$43-((R976-1)*Skills!D19))))/Inputs!$B$43),IF(Inputs!$B$38="pvp",MIN((Skills!T19*(1+Inputs!$B$34/100)),15)/15,(Skills!T19*(1+Inputs!$B$34/100))/Skills!D19)))</f>
        <v/>
      </c>
    </row>
    <row r="988">
      <c r="A988" t="inlineStr">
        <is>
          <t>Actions Per Second</t>
        </is>
      </c>
      <c r="B988">
        <f>1+MIN(150,150*(1-(1-(Inputs!$B$11+((C977=TRUE)*(F977-Calc!F20)))/150)*(1-B987/150)))/100</f>
        <v/>
      </c>
    </row>
    <row r="989">
      <c r="A989" t="inlineStr">
        <is>
          <t>Skill + Buff Cast Rate</t>
        </is>
      </c>
      <c r="B989">
        <f>IF(AND(Inputs!$B$38&lt;&gt;"pvp",Inputs!$B$43&gt;0),SUMPRODUCT((Skills!E2:E26=TRUE)*(C959:C983=TRUE)*R959:R983*Skills!F2:F26)/Inputs!$B$43,SUMPRODUCT((Skills!E2:E26=TRUE)*(C959:C983=TRUE)*Q959:Q983*Skills!F2:F26))</f>
        <v/>
      </c>
    </row>
    <row r="990">
      <c r="A990" t="inlineStr">
        <is>
          <t>Raging Blow Casts Per Second</t>
        </is>
      </c>
      <c r="B990">
        <f>MAX(0,B988-B989)</f>
        <v/>
      </c>
    </row>
    <row r="991">
      <c r="A991" t="inlineStr">
        <is>
          <t>Global Critical Damage Bonus % (Enrage)</t>
        </is>
      </c>
      <c r="B991">
        <f>((C975=TRUE)*F975*IF(AND(Inputs!$B$38&lt;&gt;"pvp",Inputs!$B$43&gt;0),(((R975-1)*(Skills!T18*(1+Inputs!$B$34/100))+MIN((Skills!T18*(1+Inputs!$B$34/100)),MAX(0,Inputs!$B$43-((R975-1)*Skills!D18))))/Inputs!$B$43),IF(Inputs!$B$38="pvp",MIN((Skills!T18*(1+Inputs!$B$34/100)),15)/15,(Skills!T18*(1+Inputs!$B$34/100))/Skills!D18)))</f>
        <v/>
      </c>
    </row>
    <row r="992">
      <c r="A992" t="inlineStr">
        <is>
          <t>Global Final Damage Bonus % (Enrage + Combo Synergy)</t>
        </is>
      </c>
      <c r="B992">
        <f>((C974=TRUE)*F974*IF(AND(Inputs!$B$38&lt;&gt;"pvp",Inputs!$B$43&gt;0),(((R974-1)*(Skills!T17*(1+Inputs!$B$34/100))+MIN((Skills!T17*(1+Inputs!$B$34/100)),MAX(0,Inputs!$B$43-((R974-1)*Skills!D17))))/Inputs!$B$43),IF(Inputs!$B$38="pvp",MIN((Skills!T17*(1+Inputs!$B$34/100)),15)/15,(Skills!T17*(1+Inputs!$B$34/100))/Skills!D17)))+((C971=TRUE)*F971*IF(Inputs!$B$3&gt;=110,7,5))</f>
        <v/>
      </c>
    </row>
    <row r="993">
      <c r="A993" t="inlineStr">
        <is>
          <t>Buff-Casting Startup Delay (s, fixed-duration only)</t>
        </is>
      </c>
      <c r="B993">
        <f>IF(AND(Inputs!$B$38&lt;&gt;"pvp",Inputs!$B$43&gt;0),SUMPRODUCT((Skills!T2:T26&gt;0)*(Skills!E2:E26=TRUE)*(C959:C983=TRUE))/B988,0)</f>
        <v/>
      </c>
    </row>
    <row r="994">
      <c r="A994" t="inlineStr">
        <is>
          <t>Boss-Only Total DPS (this block's swept value)</t>
        </is>
      </c>
      <c r="B994">
        <f>SUM(T959:T983)</f>
        <v/>
      </c>
    </row>
    <row r="995">
      <c r="A995" t="inlineStr">
        <is>
          <t>Normal-Only Total DPS (this block's swept value)</t>
        </is>
      </c>
      <c r="B995">
        <f>SUM(V959:V983)</f>
        <v/>
      </c>
    </row>
    <row r="996">
      <c r="A996" s="5" t="inlineStr">
        <is>
          <t>TOTAL DPS</t>
        </is>
      </c>
      <c r="B996" s="5">
        <f>SUM(O959:O983)</f>
        <v/>
      </c>
    </row>
    <row r="999">
      <c r="A999" s="5" t="inlineStr">
        <is>
          <t>Stat: Skill Cooldown Decrease (seconds)</t>
        </is>
      </c>
    </row>
    <row r="1000">
      <c r="A1000" s="9" t="inlineStr">
        <is>
          <t>Key</t>
        </is>
      </c>
      <c r="B1000" s="9" t="inlineStr">
        <is>
          <t>Name</t>
        </is>
      </c>
      <c r="C1000" s="9" t="inlineStr">
        <is>
          <t>Unlocked</t>
        </is>
      </c>
      <c r="D1000" s="9" t="inlineStr">
        <is>
          <t>InputLevel</t>
        </is>
      </c>
      <c r="E1000" s="9" t="inlineStr">
        <is>
          <t>Factor</t>
        </is>
      </c>
      <c r="F1000" s="9" t="inlineStr">
        <is>
          <t>CoefficientPercent</t>
        </is>
      </c>
      <c r="G1000" s="9" t="inlineStr">
        <is>
          <t>EffectiveHits</t>
        </is>
      </c>
      <c r="H1000" s="9" t="inlineStr">
        <is>
          <t>ProcProbability</t>
        </is>
      </c>
      <c r="I1000" s="9" t="inlineStr">
        <is>
          <t>MapleHeroMultiplier</t>
        </is>
      </c>
      <c r="J1000" s="9" t="inlineStr">
        <is>
          <t>BaseDamage</t>
        </is>
      </c>
      <c r="K1000" s="9" t="inlineStr">
        <is>
          <t>BaseHitDamage</t>
        </is>
      </c>
      <c r="L1000" s="9" t="inlineStr">
        <is>
          <t>NonCritAvg</t>
        </is>
      </c>
      <c r="M1000" s="9" t="inlineStr">
        <is>
          <t>CritAvg</t>
        </is>
      </c>
      <c r="N1000" s="9" t="inlineStr">
        <is>
          <t>ExpectedDamage(perHit)</t>
        </is>
      </c>
      <c r="O1000" s="9" t="inlineStr">
        <is>
          <t>DPS</t>
        </is>
      </c>
      <c r="P1000" s="9" t="inlineStr">
        <is>
          <t>% of Total</t>
        </is>
      </c>
      <c r="Q1000" s="9" t="inlineStr">
        <is>
          <t>InvCooldown</t>
        </is>
      </c>
      <c r="R1000" s="9" t="inlineStr">
        <is>
          <t>CastsInFight</t>
        </is>
      </c>
      <c r="S1000" s="9" t="inlineStr">
        <is>
          <t>HitRate(perSec)</t>
        </is>
      </c>
      <c r="U1000" t="inlineStr">
        <is>
          <t>helpers</t>
        </is>
      </c>
    </row>
    <row r="1001">
      <c r="A1001">
        <f>Skills!A2</f>
        <v/>
      </c>
      <c r="B1001">
        <f>Skills!B2</f>
        <v/>
      </c>
      <c r="C1001">
        <f>Inputs!$B$3&gt;=100</f>
        <v/>
      </c>
      <c r="D1001" t="inlineStr"/>
      <c r="E1001" t="inlineStr"/>
      <c r="F1001">
        <f>U1003+Skills!O2</f>
        <v/>
      </c>
      <c r="G1001">
        <f>Skills!G2*IF(Skills!H2&gt;0,Skills!I2/Skills!H2,1)</f>
        <v/>
      </c>
      <c r="H1001">
        <f>1-(1-Skills!J2/100)^Skills!K2</f>
        <v/>
      </c>
      <c r="I1001" t="inlineStr">
        <is>
          <t>1</t>
        </is>
      </c>
      <c r="J1001">
        <f>((Inputs!$B$6*(1+Inputs!$B$7/100))+(((Inputs!$B$12*(1+Inputs!$B$13/100))-(Inputs!$B$12*(1+Inputs!$B$13/100)))+0.25*(Inputs!$B$14-Inputs!$B$14))*(1+Inputs!$B$7/100))*(F1001/100)</f>
        <v/>
      </c>
      <c r="K1001">
        <f>J1001*(1+((Inputs!$B$12*(1+Inputs!$B$13/100))*0.01+Inputs!$B$14*0.0025)/100)*(1+Inputs!$B$15/100)*(1+Inputs!$B$16/100)*(5000/(6000+Inputs!$B$42*(1-(Inputs!$B$19+0)/100)))*(1+(Inputs!$B$24+((C1024=TRUE)*(F1024-Calc!F25))+B1034)/100)*(1+IF(Skills!A2="ENHANCED_RAGING_BLOW",IF(Inputs!$B$3&gt;=134,MAX(0,IF(Inputs!$B$3&gt;=110,7,5)-5)*50,0),0)/100)*(1+(IF(Skills!A2="RAGING_BLOW",Inputs!$B$17+((C1020=TRUE)*(F1020-Calc!F21)),Inputs!$B$18+((C1022=TRUE)*(F1022-Calc!F23))))/100)*((1+(((C1012=TRUE)*F1012*IF(Inputs!$B$3&gt;=110,7,5))+((C1014=TRUE)*F1014*IF(AND(Inputs!$B$38&lt;&gt;"pvp",Inputs!$B$43&gt;0),(((R1014-1)*(Skills!T15*(1+Inputs!$B$34/100))+MIN((Skills!T15*(1+Inputs!$B$34/100)),MAX(0,Inputs!$B$43-((R1014-1)*Skills!D15))))/Inputs!$B$43),IF(Inputs!$B$38="pvp",MIN((Skills!T15*(1+Inputs!$B$34/100)),15)/15,(Skills!T15*(1+Inputs!$B$34/100))/Skills!D15)))+0)/100)*I1001)</f>
        <v/>
      </c>
      <c r="L1001">
        <f>K1001*(MIN(Inputs!$B$22+((C1021=TRUE)*(F1021-Calc!F22)),Inputs!$B$23+((C1023=TRUE)*(F1023-Calc!F24)))/100+(Inputs!$B$23+((C1023=TRUE)*(F1023-Calc!F24)))/100)/2</f>
        <v/>
      </c>
      <c r="M1001">
        <f>L1001*(1+(Inputs!$B$10+0+B1033)/100)</f>
        <v/>
      </c>
      <c r="N1001">
        <f>L1001*(1-MIN((Inputs!$B$9+((C1025=TRUE)*(F1025-Calc!F26))+B1028),100)/100)+M1001*(MIN((Inputs!$B$9+((C1025=TRUE)*(F1025-Calc!F26))+B1028),100)/100)</f>
        <v/>
      </c>
      <c r="O1001">
        <f>(1-Summary!$B$55)*T1001+Summary!$B$55*V1001</f>
        <v/>
      </c>
      <c r="P1001">
        <f>IF(B1038=0,0,O1001/B1038)</f>
        <v/>
      </c>
      <c r="Q1001" t="n">
        <v>0</v>
      </c>
      <c r="R1001" t="n">
        <v>0</v>
      </c>
      <c r="S1001">
        <f>IFERROR(O1001/N1001,0)</f>
        <v/>
      </c>
      <c r="T1001">
        <f>IF(C1001,(Skills!G2*N1001*B1032)*IF(Inputs!$B$38="pvp",1,1+(Inputs!$B$20+0+Skills!P2+Summary!$B$59)/100),0)</f>
        <v/>
      </c>
      <c r="U1001">
        <f>MAX(0,(Inputs!$B$3-100)*3)+Inputs!$B$28+Inputs!$B$29</f>
        <v/>
      </c>
      <c r="V1001">
        <f>IF(C1001,(Skills!G2*N1001*B1032)*IF(Inputs!$B$38="pvp",1,(1+(Inputs!$B$21+Skills!Q2+Summary!$B$59)/100)*(MIN((6+Inputs!$B$33),Inputs!$B$37))),0)</f>
        <v/>
      </c>
    </row>
    <row r="1002">
      <c r="A1002">
        <f>Skills!A3</f>
        <v/>
      </c>
      <c r="B1002">
        <f>Skills!B3</f>
        <v/>
      </c>
      <c r="C1002">
        <f>Inputs!$B$3&gt;=50</f>
        <v/>
      </c>
      <c r="D1002">
        <f>IF(Skills!C3=1,60+Inputs!$B$25+Inputs!$B$29,IF(Skills!C3=2,90+Inputs!$B$26+Inputs!$B$29,IF(Skills!C3=3,120+Inputs!$B$27+Inputs!$B$29,MAX(0,(Inputs!$B$3-100)*3)+Inputs!$B$28+Inputs!$B$29)))</f>
        <v/>
      </c>
      <c r="E1002">
        <f>INDEX(FactorTable!$B$2:$Y$301, MATCH(ROUND(MIN(300,MAX(1,D1002)),0), FactorTable!$A$2:$A$301,0), Skills!M3+1)</f>
        <v/>
      </c>
      <c r="F1002">
        <f>IF(Skills!N3=TRUE,(Skills!L3/10)*(E1002/1000),Skills!L3/10)+Skills!O3</f>
        <v/>
      </c>
      <c r="G1002" t="inlineStr"/>
      <c r="H1002" t="inlineStr"/>
      <c r="I1002" t="inlineStr">
        <is>
          <t>1</t>
        </is>
      </c>
      <c r="J1002" t="inlineStr"/>
      <c r="K1002" t="inlineStr"/>
      <c r="L1002" t="inlineStr"/>
      <c r="M1002" t="inlineStr"/>
      <c r="N1002" t="inlineStr"/>
      <c r="O1002" t="inlineStr"/>
      <c r="P1002" t="inlineStr"/>
      <c r="Q1002" t="inlineStr"/>
      <c r="R1002" t="inlineStr"/>
      <c r="S1002" t="inlineStr"/>
      <c r="U1002">
        <f>INDEX(FactorTable!$B$2:$Y$301, MATCH(ROUND(MIN(300,MAX(1,U1001)),0), FactorTable!$A$2:$A$301,0), 22)</f>
        <v/>
      </c>
    </row>
    <row r="1003">
      <c r="A1003">
        <f>Skills!A4</f>
        <v/>
      </c>
      <c r="B1003">
        <f>Skills!B4</f>
        <v/>
      </c>
      <c r="C1003">
        <f>Inputs!$B$3&gt;=105</f>
        <v/>
      </c>
      <c r="D1003">
        <f>IF(Skills!C4=1,60+Inputs!$B$25+Inputs!$B$29,IF(Skills!C4=2,90+Inputs!$B$26+Inputs!$B$29,IF(Skills!C4=3,120+Inputs!$B$27+Inputs!$B$29,MAX(0,(Inputs!$B$3-100)*3)+Inputs!$B$28+Inputs!$B$29)))</f>
        <v/>
      </c>
      <c r="E1003">
        <f>INDEX(FactorTable!$B$2:$Y$301, MATCH(ROUND(MIN(300,MAX(1,D1003)),0), FactorTable!$A$2:$A$301,0), Skills!M4+1)</f>
        <v/>
      </c>
      <c r="F1003">
        <f>IF(Skills!N4=TRUE,(Skills!L4/10)*(E1003/1000),Skills!L4/10)+Skills!O4</f>
        <v/>
      </c>
      <c r="G1003" t="inlineStr"/>
      <c r="H1003" t="inlineStr"/>
      <c r="I1003" t="inlineStr">
        <is>
          <t>1</t>
        </is>
      </c>
      <c r="J1003" t="inlineStr"/>
      <c r="K1003" t="inlineStr"/>
      <c r="L1003" t="inlineStr"/>
      <c r="M1003" t="inlineStr"/>
      <c r="N1003" t="inlineStr"/>
      <c r="O1003" t="inlineStr"/>
      <c r="P1003" t="inlineStr"/>
      <c r="Q1003" t="inlineStr"/>
      <c r="R1003" t="inlineStr"/>
      <c r="S1003" t="inlineStr"/>
      <c r="U1003">
        <f>290*U1002/1000</f>
        <v/>
      </c>
    </row>
    <row r="1004">
      <c r="A1004">
        <f>Skills!A5</f>
        <v/>
      </c>
      <c r="B1004">
        <f>Skills!B5</f>
        <v/>
      </c>
      <c r="C1004">
        <f>Inputs!$B$3&gt;=103</f>
        <v/>
      </c>
      <c r="D1004">
        <f>IF(Skills!C5=1,60+Inputs!$B$25+Inputs!$B$29,IF(Skills!C5=2,90+Inputs!$B$26+Inputs!$B$29,IF(Skills!C5=3,120+Inputs!$B$27+Inputs!$B$29,MAX(0,(Inputs!$B$3-100)*3)+Inputs!$B$28+Inputs!$B$29)))</f>
        <v/>
      </c>
      <c r="E1004">
        <f>INDEX(FactorTable!$B$2:$Y$301, MATCH(ROUND(MIN(300,MAX(1,D1004)),0), FactorTable!$A$2:$A$301,0), Skills!M5+1)</f>
        <v/>
      </c>
      <c r="F1004">
        <f>IF(Skills!N5=TRUE,(Skills!L5/10)*(E1004/1000),Skills!L5/10)+Skills!O5</f>
        <v/>
      </c>
      <c r="G1004">
        <f>Skills!G5*IF(Skills!H5&gt;0,Skills!I5/Skills!H5,1)</f>
        <v/>
      </c>
      <c r="H1004">
        <f>1-(1-Skills!J5/100)^Skills!K5</f>
        <v/>
      </c>
      <c r="I1004" t="inlineStr">
        <is>
          <t>1</t>
        </is>
      </c>
      <c r="J1004">
        <f>((Inputs!$B$6*(1+Inputs!$B$7/100))+(((Inputs!$B$12*(1+Inputs!$B$13/100))-(Inputs!$B$12*(1+Inputs!$B$13/100)))+0.25*(Inputs!$B$14-Inputs!$B$14))*(1+Inputs!$B$7/100))*(F1004/100)</f>
        <v/>
      </c>
      <c r="K1004">
        <f>J1004*(1+((Inputs!$B$12*(1+Inputs!$B$13/100))*0.01+Inputs!$B$14*0.0025)/100)*(1+Inputs!$B$15/100)*(1+Inputs!$B$16/100)*(5000/(6000+Inputs!$B$42*(1-(Inputs!$B$19+0)/100)))*(1+(Inputs!$B$24+((C1024=TRUE)*(F1024-Calc!F25))+B1034)/100)*(1+IF(Skills!A5="ENHANCED_RAGING_BLOW",IF(Inputs!$B$3&gt;=134,MAX(0,IF(Inputs!$B$3&gt;=110,7,5)-5)*50,0),0)/100)*(1+(IF(Skills!A5="RAGING_BLOW",Inputs!$B$17+((C1020=TRUE)*(F1020-Calc!F21)),Inputs!$B$18+((C1022=TRUE)*(F1022-Calc!F23))))/100)*((1+(((C1012=TRUE)*F1012*IF(Inputs!$B$3&gt;=110,7,5))+((C1014=TRUE)*F1014*IF(AND(Inputs!$B$38&lt;&gt;"pvp",Inputs!$B$43&gt;0),(((R1014-1)*(Skills!T15*(1+Inputs!$B$34/100))+MIN((Skills!T15*(1+Inputs!$B$34/100)),MAX(0,Inputs!$B$43-((R1014-1)*Skills!D15))))/Inputs!$B$43),IF(Inputs!$B$38="pvp",MIN((Skills!T15*(1+Inputs!$B$34/100)),15)/15,(Skills!T15*(1+Inputs!$B$34/100))/Skills!D15)))+0)/100)*I1004)</f>
        <v/>
      </c>
      <c r="L1004">
        <f>K1004*(MIN(Inputs!$B$22+((C1021=TRUE)*(F1021-Calc!F22)),Inputs!$B$23+((C1023=TRUE)*(F1023-Calc!F24)))/100+(Inputs!$B$23+((C1023=TRUE)*(F1023-Calc!F24)))/100)/2</f>
        <v/>
      </c>
      <c r="M1004">
        <f>L1004*(1+(Inputs!$B$10+0+B1033)/100)</f>
        <v/>
      </c>
      <c r="N1004">
        <f>L1004*(1-MIN((Inputs!$B$9+((C1025=TRUE)*(F1025-Calc!F26))+B1028),100)/100)+M1004*(MIN((Inputs!$B$9+((C1025=TRUE)*(F1025-Calc!F26))+B1028),100)/100)</f>
        <v/>
      </c>
      <c r="O1004">
        <f>(1-Summary!$B$55)*T1004+Summary!$B$55*V1004</f>
        <v/>
      </c>
      <c r="P1004">
        <f>IF(B1038=0,0,O1004/B1038)</f>
        <v/>
      </c>
      <c r="Q1004">
        <f>IFERROR(1/IF(Inputs!$B$38="pvp",15,MAX(0.1,Skills!D5-IF(Skills!E5=TRUE,(Inputs!$B$32+1),0))),0)</f>
        <v/>
      </c>
      <c r="R1004">
        <f>IF(AND(Inputs!$B$38&lt;&gt;"pvp",Inputs!$B$43&gt;0),IF(MAX(0,Inputs!$B$43-B1035)&lt;=0,0,(INT(MAX(0,Inputs!$B$43-B1035)/IF(Inputs!$B$38="pvp",15,MAX(0.1,Skills!D5-IF(Skills!E5=TRUE,(Inputs!$B$32+1),0))))+1)),0)</f>
        <v/>
      </c>
      <c r="S1004">
        <f>IFERROR(O1004/N1004,0)</f>
        <v/>
      </c>
      <c r="T1004">
        <f>IF(C1004,(H1004*N1004*IF(AND(Inputs!$B$38&lt;&gt;"pvp",Inputs!$B$43&gt;0),((Skills!G5*((R1004-1)*IF(Skills!H5&gt;0,Skills!I5/Skills!H5,1)+IF(Skills!H5&gt;0,MIN(Skills!I5,MAX(0,MAX(0,Inputs!$B$43-B1035)-((R1004-1)*IF(Inputs!$B$38="pvp",15,MAX(0.1,Skills!D5-IF(Skills!E5=TRUE,(Inputs!$B$32+1),0))))))/Skills!H5,1)))/Inputs!$B$43),G1004*Q1004))*IF(Inputs!$B$38="pvp",1,1+(Inputs!$B$20+0+Skills!P5+Summary!$B$59)/100),0)</f>
        <v/>
      </c>
      <c r="V1004">
        <f>IF(C1004,(H1004*N1004*IF(AND(Inputs!$B$38&lt;&gt;"pvp",Inputs!$B$43&gt;0),((Skills!G5*((R1004-1)*IF(Skills!H5&gt;0,Skills!I5/Skills!H5,1)+IF(Skills!H5&gt;0,MIN(Skills!I5,MAX(0,MAX(0,Inputs!$B$43-B1035)-((R1004-1)*IF(Inputs!$B$38="pvp",15,MAX(0.1,Skills!D5-IF(Skills!E5=TRUE,(Inputs!$B$32+1),0))))))/Skills!H5,1)))/Inputs!$B$43),G1004*Q1004))*IF(Inputs!$B$38="pvp",1,(1+(Inputs!$B$21+Skills!Q5+Summary!$B$59)/100)*(MIN(Skills!R5,Inputs!$B$37))),0)</f>
        <v/>
      </c>
    </row>
    <row r="1005">
      <c r="A1005">
        <f>Skills!A6</f>
        <v/>
      </c>
      <c r="B1005">
        <f>Skills!B6</f>
        <v/>
      </c>
      <c r="C1005">
        <f>Inputs!$B$3&gt;=103</f>
        <v/>
      </c>
      <c r="D1005">
        <f>IF(Skills!C6=1,60+Inputs!$B$25+Inputs!$B$29,IF(Skills!C6=2,90+Inputs!$B$26+Inputs!$B$29,IF(Skills!C6=3,120+Inputs!$B$27+Inputs!$B$29,MAX(0,(Inputs!$B$3-100)*3)+Inputs!$B$28+Inputs!$B$29)))</f>
        <v/>
      </c>
      <c r="E1005">
        <f>INDEX(FactorTable!$B$2:$Y$301, MATCH(ROUND(MIN(300,MAX(1,D1005)),0), FactorTable!$A$2:$A$301,0), Skills!M6+1)</f>
        <v/>
      </c>
      <c r="F1005">
        <f>IF(Skills!N6=TRUE,(Skills!L6/10)*(E1005/1000),Skills!L6/10)+Skills!O6</f>
        <v/>
      </c>
      <c r="G1005">
        <f>Skills!G6*IF(Skills!H6&gt;0,Skills!I6/Skills!H6,1)</f>
        <v/>
      </c>
      <c r="H1005">
        <f>1-(1-Skills!J6/100)^Skills!K6</f>
        <v/>
      </c>
      <c r="I1005" t="inlineStr">
        <is>
          <t>1</t>
        </is>
      </c>
      <c r="J1005">
        <f>((Inputs!$B$6*(1+Inputs!$B$7/100))+(((Inputs!$B$12*(1+Inputs!$B$13/100))-(Inputs!$B$12*(1+Inputs!$B$13/100)))+0.25*(Inputs!$B$14-Inputs!$B$14))*(1+Inputs!$B$7/100))*(F1005/100)</f>
        <v/>
      </c>
      <c r="K1005">
        <f>J1005*(1+((Inputs!$B$12*(1+Inputs!$B$13/100))*0.01+Inputs!$B$14*0.0025)/100)*(1+Inputs!$B$15/100)*(1+Inputs!$B$16/100)*(5000/(6000+Inputs!$B$42*(1-(Inputs!$B$19+0)/100)))*(1+(Inputs!$B$24+((C1024=TRUE)*(F1024-Calc!F25))+B1034)/100)*(1+IF(Skills!A6="ENHANCED_RAGING_BLOW",IF(Inputs!$B$3&gt;=134,MAX(0,IF(Inputs!$B$3&gt;=110,7,5)-5)*50,0),0)/100)*(1+(IF(Skills!A6="RAGING_BLOW",Inputs!$B$17+((C1020=TRUE)*(F1020-Calc!F21)),Inputs!$B$18+((C1022=TRUE)*(F1022-Calc!F23))))/100)*((1+(((C1012=TRUE)*F1012*IF(Inputs!$B$3&gt;=110,7,5))+((C1014=TRUE)*F1014*IF(AND(Inputs!$B$38&lt;&gt;"pvp",Inputs!$B$43&gt;0),(((R1014-1)*(Skills!T15*(1+Inputs!$B$34/100))+MIN((Skills!T15*(1+Inputs!$B$34/100)),MAX(0,Inputs!$B$43-((R1014-1)*Skills!D15))))/Inputs!$B$43),IF(Inputs!$B$38="pvp",MIN((Skills!T15*(1+Inputs!$B$34/100)),15)/15,(Skills!T15*(1+Inputs!$B$34/100))/Skills!D15)))+0)/100)*I1005)</f>
        <v/>
      </c>
      <c r="L1005">
        <f>K1005*(MIN(Inputs!$B$22+((C1021=TRUE)*(F1021-Calc!F22)),Inputs!$B$23+((C1023=TRUE)*(F1023-Calc!F24)))/100+(Inputs!$B$23+((C1023=TRUE)*(F1023-Calc!F24)))/100)/2</f>
        <v/>
      </c>
      <c r="M1005">
        <f>L1005*(1+(Inputs!$B$10+0+B1033)/100)</f>
        <v/>
      </c>
      <c r="N1005">
        <f>L1005*(1-MIN((Inputs!$B$9+((C1025=TRUE)*(F1025-Calc!F26))+B1028),100)/100)+M1005*(MIN((Inputs!$B$9+((C1025=TRUE)*(F1025-Calc!F26))+B1028),100)/100)</f>
        <v/>
      </c>
      <c r="O1005">
        <f>(1-Summary!$B$55)*T1005+Summary!$B$55*V1005</f>
        <v/>
      </c>
      <c r="P1005">
        <f>IF(B1038=0,0,O1005/B1038)</f>
        <v/>
      </c>
      <c r="Q1005">
        <f>IFERROR(1/IF(Inputs!$B$38="pvp",15,MAX(0.1,Skills!D6-IF(Skills!E6=TRUE,(Inputs!$B$32+1),0))),0)</f>
        <v/>
      </c>
      <c r="R1005">
        <f>IF(AND(Inputs!$B$38&lt;&gt;"pvp",Inputs!$B$43&gt;0),IF(MAX(0,Inputs!$B$43-B1035)&lt;=0,0,(INT(MAX(0,Inputs!$B$43-B1035)/IF(Inputs!$B$38="pvp",15,MAX(0.1,Skills!D6-IF(Skills!E6=TRUE,(Inputs!$B$32+1),0))))+1)),0)</f>
        <v/>
      </c>
      <c r="S1005">
        <f>IFERROR(O1005/N1005,0)</f>
        <v/>
      </c>
      <c r="T1005">
        <f>IF(C1005,(H1005*N1005*IF(AND(Inputs!$B$38&lt;&gt;"pvp",Inputs!$B$43&gt;0),((Skills!G6*((R1005-1)*IF(Skills!H6&gt;0,Skills!I6/Skills!H6,1)+IF(Skills!H6&gt;0,MIN(Skills!I6,MAX(0,MAX(0,Inputs!$B$43-B1035)-((R1005-1)*IF(Inputs!$B$38="pvp",15,MAX(0.1,Skills!D6-IF(Skills!E6=TRUE,(Inputs!$B$32+1),0))))))/Skills!H6,1)))/Inputs!$B$43),G1005*Q1005))*IF(Inputs!$B$38="pvp",1,1+(Inputs!$B$20+0+Skills!P6+Summary!$B$59)/100),0)</f>
        <v/>
      </c>
      <c r="V1005">
        <f>IF(C1005,(H1005*N1005*IF(AND(Inputs!$B$38&lt;&gt;"pvp",Inputs!$B$43&gt;0),((Skills!G6*((R1005-1)*IF(Skills!H6&gt;0,Skills!I6/Skills!H6,1)+IF(Skills!H6&gt;0,MIN(Skills!I6,MAX(0,MAX(0,Inputs!$B$43-B1035)-((R1005-1)*IF(Inputs!$B$38="pvp",15,MAX(0.1,Skills!D6-IF(Skills!E6=TRUE,(Inputs!$B$32+1),0))))))/Skills!H6,1)))/Inputs!$B$43),G1005*Q1005))*IF(Inputs!$B$38="pvp",1,(1+(Inputs!$B$21+Skills!Q6+Summary!$B$59)/100)*(MIN(Skills!R6,Inputs!$B$37))),0)</f>
        <v/>
      </c>
    </row>
    <row r="1006">
      <c r="A1006">
        <f>Skills!A7</f>
        <v/>
      </c>
      <c r="B1006">
        <f>Skills!B7</f>
        <v/>
      </c>
      <c r="C1006">
        <f>Inputs!$B$3&gt;=107</f>
        <v/>
      </c>
      <c r="D1006">
        <f>IF(Skills!C7=1,60+Inputs!$B$25+Inputs!$B$29,IF(Skills!C7=2,90+Inputs!$B$26+Inputs!$B$29,IF(Skills!C7=3,120+Inputs!$B$27+Inputs!$B$29,MAX(0,(Inputs!$B$3-100)*3)+Inputs!$B$28+Inputs!$B$29)))</f>
        <v/>
      </c>
      <c r="E1006">
        <f>INDEX(FactorTable!$B$2:$Y$301, MATCH(ROUND(MIN(300,MAX(1,D1006)),0), FactorTable!$A$2:$A$301,0), Skills!M7+1)</f>
        <v/>
      </c>
      <c r="F1006">
        <f>IF(Skills!N7=TRUE,(Skills!L7/10)*(E1006/1000),Skills!L7/10)+Skills!O7</f>
        <v/>
      </c>
      <c r="G1006">
        <f>Skills!G7*IF(Skills!H7&gt;0,Skills!I7/Skills!H7,1)</f>
        <v/>
      </c>
      <c r="H1006">
        <f>1-(1-Skills!J7/100)^Skills!K7</f>
        <v/>
      </c>
      <c r="I1006" t="inlineStr">
        <is>
          <t>1</t>
        </is>
      </c>
      <c r="J1006">
        <f>((Inputs!$B$6*(1+Inputs!$B$7/100))+(((Inputs!$B$12*(1+Inputs!$B$13/100))-(Inputs!$B$12*(1+Inputs!$B$13/100)))+0.25*(Inputs!$B$14-Inputs!$B$14))*(1+Inputs!$B$7/100))*(F1006/100)</f>
        <v/>
      </c>
      <c r="K1006">
        <f>J1006*(1+((Inputs!$B$12*(1+Inputs!$B$13/100))*0.01+Inputs!$B$14*0.0025)/100)*(1+Inputs!$B$15/100)*(1+Inputs!$B$16/100)*(5000/(6000+Inputs!$B$42*(1-(Inputs!$B$19+0)/100)))*(1+(Inputs!$B$24+((C1024=TRUE)*(F1024-Calc!F25))+B1034)/100)*(1+IF(Skills!A7="ENHANCED_RAGING_BLOW",IF(Inputs!$B$3&gt;=134,MAX(0,IF(Inputs!$B$3&gt;=110,7,5)-5)*50,0),0)/100)*(1+(IF(Skills!A7="RAGING_BLOW",Inputs!$B$17+((C1020=TRUE)*(F1020-Calc!F21)),Inputs!$B$18+((C1022=TRUE)*(F1022-Calc!F23))))/100)*((1+(((C1012=TRUE)*F1012*IF(Inputs!$B$3&gt;=110,7,5))+((C1014=TRUE)*F1014*IF(AND(Inputs!$B$38&lt;&gt;"pvp",Inputs!$B$43&gt;0),(((R1014-1)*(Skills!T15*(1+Inputs!$B$34/100))+MIN((Skills!T15*(1+Inputs!$B$34/100)),MAX(0,Inputs!$B$43-((R1014-1)*Skills!D15))))/Inputs!$B$43),IF(Inputs!$B$38="pvp",MIN((Skills!T15*(1+Inputs!$B$34/100)),15)/15,(Skills!T15*(1+Inputs!$B$34/100))/Skills!D15)))+0)/100)*I1006)</f>
        <v/>
      </c>
      <c r="L1006">
        <f>K1006*(MIN(Inputs!$B$22+((C1021=TRUE)*(F1021-Calc!F22)),Inputs!$B$23+((C1023=TRUE)*(F1023-Calc!F24)))/100+(Inputs!$B$23+((C1023=TRUE)*(F1023-Calc!F24)))/100)/2</f>
        <v/>
      </c>
      <c r="M1006">
        <f>L1006*(1+(Inputs!$B$10+0+B1033)/100)</f>
        <v/>
      </c>
      <c r="N1006">
        <f>L1006*(1-MIN((Inputs!$B$9+((C1025=TRUE)*(F1025-Calc!F26))+B1028),100)/100)+M1006*(MIN((Inputs!$B$9+((C1025=TRUE)*(F1025-Calc!F26))+B1028),100)/100)</f>
        <v/>
      </c>
      <c r="O1006">
        <f>(1-Summary!$B$55)*T1006+Summary!$B$55*V1006</f>
        <v/>
      </c>
      <c r="P1006">
        <f>IF(B1038=0,0,O1006/B1038)</f>
        <v/>
      </c>
      <c r="Q1006">
        <f>IFERROR(1/IF(Inputs!$B$38="pvp",15,MAX(0.1,Skills!D7-IF(Skills!E7=TRUE,(Inputs!$B$32+1),0))),0)</f>
        <v/>
      </c>
      <c r="R1006">
        <f>IF(AND(Inputs!$B$38&lt;&gt;"pvp",Inputs!$B$43&gt;0),IF(MAX(0,Inputs!$B$43-B1035)&lt;=0,0,(INT(MAX(0,Inputs!$B$43-B1035)/IF(Inputs!$B$38="pvp",15,MAX(0.1,Skills!D7-IF(Skills!E7=TRUE,(Inputs!$B$32+1),0))))+1)),0)</f>
        <v/>
      </c>
      <c r="S1006">
        <f>IFERROR(O1006/N1006,0)</f>
        <v/>
      </c>
      <c r="T1006">
        <f>IF(C1006,(H1006*N1006*IF(AND(Inputs!$B$38&lt;&gt;"pvp",Inputs!$B$43&gt;0),((Skills!G7*((R1006-1)*IF(Skills!H7&gt;0,Skills!I7/Skills!H7,1)+IF(Skills!H7&gt;0,MIN(Skills!I7,MAX(0,MAX(0,Inputs!$B$43-B1035)-((R1006-1)*IF(Inputs!$B$38="pvp",15,MAX(0.1,Skills!D7-IF(Skills!E7=TRUE,(Inputs!$B$32+1),0))))))/Skills!H7,1)))/Inputs!$B$43),G1006*Q1006))*IF(Inputs!$B$38="pvp",1,1+(Inputs!$B$20+0+Skills!P7+Summary!$B$59)/100),0)</f>
        <v/>
      </c>
      <c r="V1006">
        <f>IF(C1006,(H1006*N1006*IF(AND(Inputs!$B$38&lt;&gt;"pvp",Inputs!$B$43&gt;0),((Skills!G7*((R1006-1)*IF(Skills!H7&gt;0,Skills!I7/Skills!H7,1)+IF(Skills!H7&gt;0,MIN(Skills!I7,MAX(0,MAX(0,Inputs!$B$43-B1035)-((R1006-1)*IF(Inputs!$B$38="pvp",15,MAX(0.1,Skills!D7-IF(Skills!E7=TRUE,(Inputs!$B$32+1),0))))))/Skills!H7,1)))/Inputs!$B$43),G1006*Q1006))*IF(Inputs!$B$38="pvp",1,(1+(Inputs!$B$21+Skills!Q7+Summary!$B$59)/100)*(MIN(Skills!R7,Inputs!$B$37))),0)</f>
        <v/>
      </c>
    </row>
    <row r="1007">
      <c r="A1007">
        <f>Skills!A8</f>
        <v/>
      </c>
      <c r="B1007">
        <f>Skills!B8</f>
        <v/>
      </c>
      <c r="C1007">
        <f>Inputs!$B$3&gt;=117</f>
        <v/>
      </c>
      <c r="D1007">
        <f>IF(Skills!C8=1,60+Inputs!$B$25+Inputs!$B$29,IF(Skills!C8=2,90+Inputs!$B$26+Inputs!$B$29,IF(Skills!C8=3,120+Inputs!$B$27+Inputs!$B$29,MAX(0,(Inputs!$B$3-100)*3)+Inputs!$B$28+Inputs!$B$29)))</f>
        <v/>
      </c>
      <c r="E1007">
        <f>INDEX(FactorTable!$B$2:$Y$301, MATCH(ROUND(MIN(300,MAX(1,D1007)),0), FactorTable!$A$2:$A$301,0), Skills!M8+1)</f>
        <v/>
      </c>
      <c r="F1007">
        <f>IF(Skills!N8=TRUE,(Skills!L8/10)*(E1007/1000),Skills!L8/10)+Skills!O8</f>
        <v/>
      </c>
      <c r="G1007">
        <f>Skills!G8*IF(Skills!H8&gt;0,Skills!I8/Skills!H8,1)</f>
        <v/>
      </c>
      <c r="H1007">
        <f>1-(1-Skills!J8/100)^Skills!K8</f>
        <v/>
      </c>
      <c r="I1007" t="inlineStr">
        <is>
          <t>1</t>
        </is>
      </c>
      <c r="J1007">
        <f>((Inputs!$B$6*(1+Inputs!$B$7/100))+(((Inputs!$B$12*(1+Inputs!$B$13/100))-(Inputs!$B$12*(1+Inputs!$B$13/100)))+0.25*(Inputs!$B$14-Inputs!$B$14))*(1+Inputs!$B$7/100))*(F1007/100)</f>
        <v/>
      </c>
      <c r="K1007">
        <f>J1007*(1+((Inputs!$B$12*(1+Inputs!$B$13/100))*0.01+Inputs!$B$14*0.0025)/100)*(1+Inputs!$B$15/100)*(1+Inputs!$B$16/100)*(5000/(6000+Inputs!$B$42*(1-(Inputs!$B$19+0)/100)))*(1+(Inputs!$B$24+((C1024=TRUE)*(F1024-Calc!F25))+B1034)/100)*(1+IF(Skills!A8="ENHANCED_RAGING_BLOW",IF(Inputs!$B$3&gt;=134,MAX(0,IF(Inputs!$B$3&gt;=110,7,5)-5)*50,0),0)/100)*(1+(IF(Skills!A8="RAGING_BLOW",Inputs!$B$17+((C1020=TRUE)*(F1020-Calc!F21)),Inputs!$B$18+((C1022=TRUE)*(F1022-Calc!F23))))/100)*((1+(((C1012=TRUE)*F1012*IF(Inputs!$B$3&gt;=110,7,5))+((C1014=TRUE)*F1014*IF(AND(Inputs!$B$38&lt;&gt;"pvp",Inputs!$B$43&gt;0),(((R1014-1)*(Skills!T15*(1+Inputs!$B$34/100))+MIN((Skills!T15*(1+Inputs!$B$34/100)),MAX(0,Inputs!$B$43-((R1014-1)*Skills!D15))))/Inputs!$B$43),IF(Inputs!$B$38="pvp",MIN((Skills!T15*(1+Inputs!$B$34/100)),15)/15,(Skills!T15*(1+Inputs!$B$34/100))/Skills!D15)))+0)/100)*I1007)</f>
        <v/>
      </c>
      <c r="L1007">
        <f>K1007*(MIN(Inputs!$B$22+((C1021=TRUE)*(F1021-Calc!F22)),Inputs!$B$23+((C1023=TRUE)*(F1023-Calc!F24)))/100+(Inputs!$B$23+((C1023=TRUE)*(F1023-Calc!F24)))/100)/2</f>
        <v/>
      </c>
      <c r="M1007">
        <f>L1007*(1+(Inputs!$B$10+0+B1033)/100)</f>
        <v/>
      </c>
      <c r="N1007">
        <f>L1007*(1-MIN((Inputs!$B$9+((C1025=TRUE)*(F1025-Calc!F26))+B1028),100)/100)+M1007*(MIN((Inputs!$B$9+((C1025=TRUE)*(F1025-Calc!F26))+B1028),100)/100)</f>
        <v/>
      </c>
      <c r="O1007">
        <f>(1-Summary!$B$55)*T1007+Summary!$B$55*V1007</f>
        <v/>
      </c>
      <c r="P1007">
        <f>IF(B1038=0,0,O1007/B1038)</f>
        <v/>
      </c>
      <c r="Q1007">
        <f>IFERROR(1/IF(Inputs!$B$38="pvp",15,MAX(0.1,Skills!D8-IF(Skills!E8=TRUE,(Inputs!$B$32+1),0))),0)</f>
        <v/>
      </c>
      <c r="R1007">
        <f>IF(AND(Inputs!$B$38&lt;&gt;"pvp",Inputs!$B$43&gt;0),IF(MAX(0,Inputs!$B$43-B1035)&lt;=0,0,(INT(MAX(0,Inputs!$B$43-B1035)/IF(Inputs!$B$38="pvp",15,MAX(0.1,Skills!D8-IF(Skills!E8=TRUE,(Inputs!$B$32+1),0))))+1)),0)</f>
        <v/>
      </c>
      <c r="S1007">
        <f>IFERROR(O1007/N1007,0)</f>
        <v/>
      </c>
      <c r="T1007">
        <f>IF(C1007,(H1007*N1007*IF(AND(Inputs!$B$38&lt;&gt;"pvp",Inputs!$B$43&gt;0),((Skills!G8*((R1007-1)*IF(Skills!H8&gt;0,Skills!I8/Skills!H8,1)+IF(Skills!H8&gt;0,MIN(Skills!I8,MAX(0,MAX(0,Inputs!$B$43-B1035)-((R1007-1)*IF(Inputs!$B$38="pvp",15,MAX(0.1,Skills!D8-IF(Skills!E8=TRUE,(Inputs!$B$32+1),0))))))/Skills!H8,1)))/Inputs!$B$43),G1007*Q1007))*IF(Inputs!$B$38="pvp",1,1+(Inputs!$B$20+0+Skills!P8+Summary!$B$59)/100),0)</f>
        <v/>
      </c>
      <c r="V1007">
        <f>IF(C1007,(H1007*N1007*IF(AND(Inputs!$B$38&lt;&gt;"pvp",Inputs!$B$43&gt;0),((Skills!G8*((R1007-1)*IF(Skills!H8&gt;0,Skills!I8/Skills!H8,1)+IF(Skills!H8&gt;0,MIN(Skills!I8,MAX(0,MAX(0,Inputs!$B$43-B1035)-((R1007-1)*IF(Inputs!$B$38="pvp",15,MAX(0.1,Skills!D8-IF(Skills!E8=TRUE,(Inputs!$B$32+1),0))))))/Skills!H8,1)))/Inputs!$B$43),G1007*Q1007))*IF(Inputs!$B$38="pvp",1,(1+(Inputs!$B$21+Skills!Q8+Summary!$B$59)/100)*(MIN(Skills!R8,Inputs!$B$37))),0)</f>
        <v/>
      </c>
    </row>
    <row r="1008">
      <c r="A1008">
        <f>Skills!A9</f>
        <v/>
      </c>
      <c r="B1008">
        <f>Skills!B9</f>
        <v/>
      </c>
      <c r="C1008">
        <f>Inputs!$B$3&gt;=69</f>
        <v/>
      </c>
      <c r="D1008">
        <f>IF(Skills!C9=1,60+Inputs!$B$25+Inputs!$B$29,IF(Skills!C9=2,90+Inputs!$B$26+Inputs!$B$29,IF(Skills!C9=3,120+Inputs!$B$27+Inputs!$B$29,MAX(0,(Inputs!$B$3-100)*3)+Inputs!$B$28+Inputs!$B$29)))</f>
        <v/>
      </c>
      <c r="E1008">
        <f>INDEX(FactorTable!$B$2:$Y$301, MATCH(ROUND(MIN(300,MAX(1,D1008)),0), FactorTable!$A$2:$A$301,0), Skills!M9+1)</f>
        <v/>
      </c>
      <c r="F1008">
        <f>IF(Skills!N9=TRUE,(Skills!L9/10)*(E1008/1000),Skills!L9/10)+Skills!O9</f>
        <v/>
      </c>
      <c r="G1008">
        <f>Skills!G9*IF(Skills!H9&gt;0,Skills!I9/Skills!H9,1)</f>
        <v/>
      </c>
      <c r="H1008">
        <f>1-(1-Skills!J9/100)^Skills!K9</f>
        <v/>
      </c>
      <c r="I1008" t="inlineStr">
        <is>
          <t>1</t>
        </is>
      </c>
      <c r="J1008">
        <f>((Inputs!$B$6*(1+Inputs!$B$7/100))+(((Inputs!$B$12*(1+Inputs!$B$13/100))-(Inputs!$B$12*(1+Inputs!$B$13/100)))+0.25*(Inputs!$B$14-Inputs!$B$14))*(1+Inputs!$B$7/100))*(F1008/100)</f>
        <v/>
      </c>
      <c r="K1008">
        <f>J1008*(1+((Inputs!$B$12*(1+Inputs!$B$13/100))*0.01+Inputs!$B$14*0.0025)/100)*(1+Inputs!$B$15/100)*(1+Inputs!$B$16/100)*(5000/(6000+Inputs!$B$42*(1-(Inputs!$B$19+0)/100)))*(1+(Inputs!$B$24+((C1024=TRUE)*(F1024-Calc!F25))+B1034)/100)*(1+1.0*IF(C1011=TRUE,F1011,0)/100)*(1+IF(Skills!A9="ENHANCED_RAGING_BLOW",IF(Inputs!$B$3&gt;=134,MAX(0,IF(Inputs!$B$3&gt;=110,7,5)-5)*50,0),0)/100)*(1+(IF(Skills!A9="RAGING_BLOW",Inputs!$B$17+((C1020=TRUE)*(F1020-Calc!F21)),Inputs!$B$18+((C1022=TRUE)*(F1022-Calc!F23))))/100)*((1+(((C1012=TRUE)*F1012*IF(Inputs!$B$3&gt;=110,7,5))+((C1014=TRUE)*F1014*IF(AND(Inputs!$B$38&lt;&gt;"pvp",Inputs!$B$43&gt;0),(((R1014-1)*(Skills!T15*(1+Inputs!$B$34/100))+MIN((Skills!T15*(1+Inputs!$B$34/100)),MAX(0,Inputs!$B$43-((R1014-1)*Skills!D15))))/Inputs!$B$43),IF(Inputs!$B$38="pvp",MIN((Skills!T15*(1+Inputs!$B$34/100)),15)/15,(Skills!T15*(1+Inputs!$B$34/100))/Skills!D15)))+0)/100)*I1008)</f>
        <v/>
      </c>
      <c r="L1008">
        <f>K1008*(MIN(Inputs!$B$22+((C1021=TRUE)*(F1021-Calc!F22)),Inputs!$B$23+((C1023=TRUE)*(F1023-Calc!F24)))/100+(Inputs!$B$23+((C1023=TRUE)*(F1023-Calc!F24)))/100)/2</f>
        <v/>
      </c>
      <c r="M1008">
        <f>L1008*(1+(Inputs!$B$10+0+B1033)/100)</f>
        <v/>
      </c>
      <c r="N1008">
        <f>L1008*(1-MIN((Inputs!$B$9+((C1025=TRUE)*(F1025-Calc!F26))+B1028),100)/100)+M1008*(MIN((Inputs!$B$9+((C1025=TRUE)*(F1025-Calc!F26))+B1028),100)/100)</f>
        <v/>
      </c>
      <c r="O1008">
        <f>(1-Summary!$B$55)*T1008+Summary!$B$55*V1008</f>
        <v/>
      </c>
      <c r="P1008">
        <f>IF(B1038=0,0,O1008/B1038)</f>
        <v/>
      </c>
      <c r="Q1008">
        <f>IFERROR(1/IF(Inputs!$B$38="pvp",15,MAX(0.1,Skills!D9-IF(Skills!E9=TRUE,(Inputs!$B$32+1),0))),0)</f>
        <v/>
      </c>
      <c r="R1008">
        <f>IF(AND(Inputs!$B$38&lt;&gt;"pvp",Inputs!$B$43&gt;0),IF(MAX(0,Inputs!$B$43-B1035)&lt;=0,0,(INT(MAX(0,Inputs!$B$43-B1035)/IF(Inputs!$B$38="pvp",15,MAX(0.1,Skills!D9-IF(Skills!E9=TRUE,(Inputs!$B$32+1),0))))+1)),0)</f>
        <v/>
      </c>
      <c r="S1008">
        <f>IFERROR(O1008/N1008,0)</f>
        <v/>
      </c>
      <c r="T1008">
        <f>IF(C1008,(H1008*N1008*IF(AND(Inputs!$B$38&lt;&gt;"pvp",Inputs!$B$43&gt;0),((Skills!G9*((R1008-1)*IF(Skills!H9&gt;0,Skills!I9/Skills!H9,1)+IF(Skills!H9&gt;0,MIN(Skills!I9,MAX(0,MAX(0,Inputs!$B$43-B1035)-((R1008-1)*IF(Inputs!$B$38="pvp",15,MAX(0.1,Skills!D9-IF(Skills!E9=TRUE,(Inputs!$B$32+1),0))))))/Skills!H9,1)))/Inputs!$B$43),G1008*Q1008))*IF(Inputs!$B$38="pvp",1,1+(Inputs!$B$20+0+Skills!P9+Summary!$B$59)/100),0)</f>
        <v/>
      </c>
      <c r="V1008">
        <f>IF(C1008,(H1008*N1008*IF(AND(Inputs!$B$38&lt;&gt;"pvp",Inputs!$B$43&gt;0),((Skills!G9*((R1008-1)*IF(Skills!H9&gt;0,Skills!I9/Skills!H9,1)+IF(Skills!H9&gt;0,MIN(Skills!I9,MAX(0,MAX(0,Inputs!$B$43-B1035)-((R1008-1)*IF(Inputs!$B$38="pvp",15,MAX(0.1,Skills!D9-IF(Skills!E9=TRUE,(Inputs!$B$32+1),0))))))/Skills!H9,1)))/Inputs!$B$43),G1008*Q1008))*IF(Inputs!$B$38="pvp",1,(1+(Inputs!$B$21+Skills!Q9+Summary!$B$59)/100)*(MIN(Skills!R9,Inputs!$B$37))),0)</f>
        <v/>
      </c>
    </row>
    <row r="1009">
      <c r="A1009">
        <f>Skills!A10</f>
        <v/>
      </c>
      <c r="B1009">
        <f>Skills!B10</f>
        <v/>
      </c>
      <c r="C1009">
        <f>Inputs!$B$3&gt;=63</f>
        <v/>
      </c>
      <c r="D1009">
        <f>IF(Skills!C10=1,60+Inputs!$B$25+Inputs!$B$29,IF(Skills!C10=2,90+Inputs!$B$26+Inputs!$B$29,IF(Skills!C10=3,120+Inputs!$B$27+Inputs!$B$29,MAX(0,(Inputs!$B$3-100)*3)+Inputs!$B$28+Inputs!$B$29)))</f>
        <v/>
      </c>
      <c r="E1009">
        <f>INDEX(FactorTable!$B$2:$Y$301, MATCH(ROUND(MIN(300,MAX(1,D1009)),0), FactorTable!$A$2:$A$301,0), Skills!M10+1)</f>
        <v/>
      </c>
      <c r="F1009">
        <f>IF(Skills!N10=TRUE,(Skills!L10/10)*(E1009/1000),Skills!L10/10)+Skills!O10</f>
        <v/>
      </c>
      <c r="G1009">
        <f>Skills!G10*IF(Skills!H10&gt;0,Skills!I10/Skills!H10,1)</f>
        <v/>
      </c>
      <c r="H1009">
        <f>1-(1-Skills!J10/100)^Skills!K10</f>
        <v/>
      </c>
      <c r="I1009" t="inlineStr">
        <is>
          <t>1</t>
        </is>
      </c>
      <c r="J1009">
        <f>((Inputs!$B$6*(1+Inputs!$B$7/100))+(((Inputs!$B$12*(1+Inputs!$B$13/100))-(Inputs!$B$12*(1+Inputs!$B$13/100)))+0.25*(Inputs!$B$14-Inputs!$B$14))*(1+Inputs!$B$7/100))*(F1009/100)</f>
        <v/>
      </c>
      <c r="K1009">
        <f>J1009*(1+((Inputs!$B$12*(1+Inputs!$B$13/100))*0.01+Inputs!$B$14*0.0025)/100)*(1+Inputs!$B$15/100)*(1+Inputs!$B$16/100)*(5000/(6000+Inputs!$B$42*(1-(Inputs!$B$19+0)/100)))*(1+(Inputs!$B$24+((C1024=TRUE)*(F1024-Calc!F25))+B1034)/100)*(1+1.5*IF(C1011=TRUE,F1011,0)/100)*(1+IF(Skills!A10="ENHANCED_RAGING_BLOW",IF(Inputs!$B$3&gt;=134,MAX(0,IF(Inputs!$B$3&gt;=110,7,5)-5)*50,0),0)/100)*(1+(IF(Skills!A10="RAGING_BLOW",Inputs!$B$17+((C1020=TRUE)*(F1020-Calc!F21)),Inputs!$B$18+((C1022=TRUE)*(F1022-Calc!F23))))/100)*((1+(((C1012=TRUE)*F1012*IF(Inputs!$B$3&gt;=110,7,5))+((C1014=TRUE)*F1014*IF(AND(Inputs!$B$38&lt;&gt;"pvp",Inputs!$B$43&gt;0),(((R1014-1)*(Skills!T15*(1+Inputs!$B$34/100))+MIN((Skills!T15*(1+Inputs!$B$34/100)),MAX(0,Inputs!$B$43-((R1014-1)*Skills!D15))))/Inputs!$B$43),IF(Inputs!$B$38="pvp",MIN((Skills!T15*(1+Inputs!$B$34/100)),15)/15,(Skills!T15*(1+Inputs!$B$34/100))/Skills!D15)))+0)/100)*I1009)</f>
        <v/>
      </c>
      <c r="L1009">
        <f>K1009*(MIN(Inputs!$B$22+((C1021=TRUE)*(F1021-Calc!F22)),Inputs!$B$23+((C1023=TRUE)*(F1023-Calc!F24)))/100+(Inputs!$B$23+((C1023=TRUE)*(F1023-Calc!F24)))/100)/2</f>
        <v/>
      </c>
      <c r="M1009">
        <f>L1009*(1+(Inputs!$B$10+0+B1033)/100)</f>
        <v/>
      </c>
      <c r="N1009">
        <f>L1009*(1-MIN((Inputs!$B$9+((C1025=TRUE)*(F1025-Calc!F26))+B1028),100)/100)+M1009*(MIN((Inputs!$B$9+((C1025=TRUE)*(F1025-Calc!F26))+B1028),100)/100)</f>
        <v/>
      </c>
      <c r="O1009">
        <f>(1-Summary!$B$55)*T1009+Summary!$B$55*V1009</f>
        <v/>
      </c>
      <c r="P1009">
        <f>IF(B1038=0,0,O1009/B1038)</f>
        <v/>
      </c>
      <c r="Q1009">
        <f>IFERROR(1/IF(Inputs!$B$38="pvp",15,MAX(0.1,Skills!D10-IF(Skills!E10=TRUE,(Inputs!$B$32+1),0))),0)</f>
        <v/>
      </c>
      <c r="R1009">
        <f>IF(AND(Inputs!$B$38&lt;&gt;"pvp",Inputs!$B$43&gt;0),IF(MAX(0,Inputs!$B$43-B1035)&lt;=0,0,(INT(MAX(0,Inputs!$B$43-B1035)/IF(Inputs!$B$38="pvp",15,MAX(0.1,Skills!D10-IF(Skills!E10=TRUE,(Inputs!$B$32+1),0))))+1)),0)</f>
        <v/>
      </c>
      <c r="S1009">
        <f>IFERROR(O1009/N1009,0)</f>
        <v/>
      </c>
      <c r="T1009">
        <f>IF(C1009,(H1009*N1009*IF(AND(Inputs!$B$38&lt;&gt;"pvp",Inputs!$B$43&gt;0),((Skills!G10*((R1009-1)*IF(Skills!H10&gt;0,Skills!I10/Skills!H10,1)+IF(Skills!H10&gt;0,MIN(Skills!I10,MAX(0,MAX(0,Inputs!$B$43-B1035)-((R1009-1)*IF(Inputs!$B$38="pvp",15,MAX(0.1,Skills!D10-IF(Skills!E10=TRUE,(Inputs!$B$32+1),0))))))/Skills!H10,1)))/Inputs!$B$43),G1009*Q1009))*IF(Inputs!$B$38="pvp",1,1+(Inputs!$B$20+0+Skills!P10+Summary!$B$59)/100),0)</f>
        <v/>
      </c>
      <c r="V1009">
        <f>IF(C1009,(H1009*N1009*IF(AND(Inputs!$B$38&lt;&gt;"pvp",Inputs!$B$43&gt;0),((Skills!G10*((R1009-1)*IF(Skills!H10&gt;0,Skills!I10/Skills!H10,1)+IF(Skills!H10&gt;0,MIN(Skills!I10,MAX(0,MAX(0,Inputs!$B$43-B1035)-((R1009-1)*IF(Inputs!$B$38="pvp",15,MAX(0.1,Skills!D10-IF(Skills!E10=TRUE,(Inputs!$B$32+1),0))))))/Skills!H10,1)))/Inputs!$B$43),G1009*Q1009))*IF(Inputs!$B$38="pvp",1,(1+(Inputs!$B$21+Skills!Q10+Summary!$B$59)/100)*(MIN(Skills!R10,Inputs!$B$37))),0)</f>
        <v/>
      </c>
    </row>
    <row r="1010">
      <c r="A1010">
        <f>Skills!A11</f>
        <v/>
      </c>
      <c r="B1010">
        <f>Skills!B11</f>
        <v/>
      </c>
      <c r="C1010">
        <f>Inputs!$B$3&gt;=35</f>
        <v/>
      </c>
      <c r="D1010">
        <f>IF(Skills!C11=1,60+Inputs!$B$25+Inputs!$B$29,IF(Skills!C11=2,90+Inputs!$B$26+Inputs!$B$29,IF(Skills!C11=3,120+Inputs!$B$27+Inputs!$B$29,MAX(0,(Inputs!$B$3-100)*3)+Inputs!$B$28+Inputs!$B$29)))</f>
        <v/>
      </c>
      <c r="E1010">
        <f>INDEX(FactorTable!$B$2:$Y$301, MATCH(ROUND(MIN(300,MAX(1,D1010)),0), FactorTable!$A$2:$A$301,0), Skills!M11+1)</f>
        <v/>
      </c>
      <c r="F1010">
        <f>IF(Skills!N11=TRUE,(Skills!L11/10)*(E1010/1000),Skills!L11/10)+Skills!O11</f>
        <v/>
      </c>
      <c r="G1010">
        <f>Skills!G11*IF(Skills!H11&gt;0,Skills!I11/Skills!H11,1)</f>
        <v/>
      </c>
      <c r="H1010">
        <f>1-(1-Skills!J11/100)^Skills!K11</f>
        <v/>
      </c>
      <c r="I1010" t="inlineStr">
        <is>
          <t>1</t>
        </is>
      </c>
      <c r="J1010">
        <f>((Inputs!$B$6*(1+Inputs!$B$7/100))+(((Inputs!$B$12*(1+Inputs!$B$13/100))-(Inputs!$B$12*(1+Inputs!$B$13/100)))+0.25*(Inputs!$B$14-Inputs!$B$14))*(1+Inputs!$B$7/100))*(F1010/100)</f>
        <v/>
      </c>
      <c r="K1010">
        <f>J1010*(1+((Inputs!$B$12*(1+Inputs!$B$13/100))*0.01+Inputs!$B$14*0.0025)/100)*(1+Inputs!$B$15/100)*(1+Inputs!$B$16/100)*(5000/(6000+Inputs!$B$42*(1-(Inputs!$B$19+0)/100)))*(1+(Inputs!$B$24+((C1024=TRUE)*(F1024-Calc!F25))+B1034)/100)*(1+4.0*IF(C1011=TRUE,F1011,0)/100)*(1+IF(Skills!A11="ENHANCED_RAGING_BLOW",IF(Inputs!$B$3&gt;=134,MAX(0,IF(Inputs!$B$3&gt;=110,7,5)-5)*50,0),0)/100)*(1+(IF(Skills!A11="RAGING_BLOW",Inputs!$B$17+((C1020=TRUE)*(F1020-Calc!F21)),Inputs!$B$18+((C1022=TRUE)*(F1022-Calc!F23))))/100)*((1+(((C1012=TRUE)*F1012*IF(Inputs!$B$3&gt;=110,7,5))+((C1014=TRUE)*F1014*IF(AND(Inputs!$B$38&lt;&gt;"pvp",Inputs!$B$43&gt;0),(((R1014-1)*(Skills!T15*(1+Inputs!$B$34/100))+MIN((Skills!T15*(1+Inputs!$B$34/100)),MAX(0,Inputs!$B$43-((R1014-1)*Skills!D15))))/Inputs!$B$43),IF(Inputs!$B$38="pvp",MIN((Skills!T15*(1+Inputs!$B$34/100)),15)/15,(Skills!T15*(1+Inputs!$B$34/100))/Skills!D15)))+0)/100)*I1010)</f>
        <v/>
      </c>
      <c r="L1010">
        <f>K1010*(MIN(Inputs!$B$22+((C1021=TRUE)*(F1021-Calc!F22)),Inputs!$B$23+((C1023=TRUE)*(F1023-Calc!F24)))/100+(Inputs!$B$23+((C1023=TRUE)*(F1023-Calc!F24)))/100)/2</f>
        <v/>
      </c>
      <c r="M1010">
        <f>L1010*(1+(Inputs!$B$10+0+B1033)/100)</f>
        <v/>
      </c>
      <c r="N1010">
        <f>L1010*(1-MIN((Inputs!$B$9+((C1025=TRUE)*(F1025-Calc!F26))+B1028),100)/100)+M1010*(MIN((Inputs!$B$9+((C1025=TRUE)*(F1025-Calc!F26))+B1028),100)/100)</f>
        <v/>
      </c>
      <c r="O1010">
        <f>(1-Summary!$B$55)*T1010+Summary!$B$55*V1010</f>
        <v/>
      </c>
      <c r="P1010">
        <f>IF(B1038=0,0,O1010/B1038)</f>
        <v/>
      </c>
      <c r="Q1010">
        <f>IFERROR(1/IF(Inputs!$B$38="pvp",15,MAX(0.1,Skills!D11-IF(Skills!E11=TRUE,(Inputs!$B$32+1),0))),0)</f>
        <v/>
      </c>
      <c r="R1010">
        <f>IF(AND(Inputs!$B$38&lt;&gt;"pvp",Inputs!$B$43&gt;0),IF(MAX(0,Inputs!$B$43-B1035)&lt;=0,0,(INT(MAX(0,Inputs!$B$43-B1035)/IF(Inputs!$B$38="pvp",15,MAX(0.1,Skills!D11-IF(Skills!E11=TRUE,(Inputs!$B$32+1),0))))+1)),0)</f>
        <v/>
      </c>
      <c r="S1010">
        <f>IFERROR(O1010/N1010,0)</f>
        <v/>
      </c>
      <c r="T1010">
        <f>IF(C1010,(H1010*N1010*IF(AND(Inputs!$B$38&lt;&gt;"pvp",Inputs!$B$43&gt;0),((Skills!G11*((R1010-1)*IF(Skills!H11&gt;0,Skills!I11/Skills!H11,1)+IF(Skills!H11&gt;0,MIN(Skills!I11,MAX(0,MAX(0,Inputs!$B$43-B1035)-((R1010-1)*IF(Inputs!$B$38="pvp",15,MAX(0.1,Skills!D11-IF(Skills!E11=TRUE,(Inputs!$B$32+1),0))))))/Skills!H11,1)))/Inputs!$B$43),G1010*Q1010))*IF(Inputs!$B$38="pvp",1,1+(Inputs!$B$20+0+Skills!P11+Summary!$B$59)/100),0)</f>
        <v/>
      </c>
      <c r="V1010">
        <f>IF(C1010,(H1010*N1010*IF(AND(Inputs!$B$38&lt;&gt;"pvp",Inputs!$B$43&gt;0),((Skills!G11*((R1010-1)*IF(Skills!H11&gt;0,Skills!I11/Skills!H11,1)+IF(Skills!H11&gt;0,MIN(Skills!I11,MAX(0,MAX(0,Inputs!$B$43-B1035)-((R1010-1)*IF(Inputs!$B$38="pvp",15,MAX(0.1,Skills!D11-IF(Skills!E11=TRUE,(Inputs!$B$32+1),0))))))/Skills!H11,1)))/Inputs!$B$43),G1010*Q1010))*IF(Inputs!$B$38="pvp",1,(1+(Inputs!$B$21+Skills!Q11+Summary!$B$59)/100)*(MIN(Skills!R11,Inputs!$B$37))),0)</f>
        <v/>
      </c>
    </row>
    <row r="1011">
      <c r="A1011">
        <f>Skills!A12</f>
        <v/>
      </c>
      <c r="B1011">
        <f>Skills!B12</f>
        <v/>
      </c>
      <c r="C1011">
        <f>Inputs!$B$3&gt;=100</f>
        <v/>
      </c>
      <c r="D1011">
        <f>IF(Skills!C12=1,60+Inputs!$B$25+Inputs!$B$29,IF(Skills!C12=2,90+Inputs!$B$26+Inputs!$B$29,IF(Skills!C12=3,120+Inputs!$B$27+Inputs!$B$29,MAX(0,(Inputs!$B$3-100)*3)+Inputs!$B$28+Inputs!$B$29)))</f>
        <v/>
      </c>
      <c r="E1011">
        <f>INDEX(FactorTable!$B$2:$Y$301, MATCH(ROUND(MIN(300,MAX(1,D1011)),0), FactorTable!$A$2:$A$301,0), Skills!M12+1)</f>
        <v/>
      </c>
      <c r="F1011">
        <f>IF(Skills!N12=TRUE,(Skills!L12/10)*(E1011/1000),Skills!L12/10)+Skills!O12</f>
        <v/>
      </c>
      <c r="G1011" t="inlineStr"/>
      <c r="H1011" t="inlineStr"/>
      <c r="I1011" t="inlineStr">
        <is>
          <t>1</t>
        </is>
      </c>
      <c r="J1011" t="inlineStr"/>
      <c r="K1011" t="inlineStr"/>
      <c r="L1011" t="inlineStr"/>
      <c r="M1011" t="inlineStr"/>
      <c r="N1011" t="inlineStr"/>
      <c r="O1011" t="inlineStr"/>
      <c r="P1011" t="inlineStr"/>
      <c r="Q1011" t="inlineStr"/>
      <c r="R1011" t="inlineStr"/>
      <c r="S1011" t="inlineStr"/>
    </row>
    <row r="1012">
      <c r="A1012">
        <f>Skills!A13</f>
        <v/>
      </c>
      <c r="B1012">
        <f>Skills!B13</f>
        <v/>
      </c>
      <c r="C1012">
        <f>Inputs!$B$3&gt;=45</f>
        <v/>
      </c>
      <c r="D1012">
        <f>IF(Skills!C13=1,60+Inputs!$B$25+Inputs!$B$29,IF(Skills!C13=2,90+Inputs!$B$26+Inputs!$B$29,IF(Skills!C13=3,120+Inputs!$B$27+Inputs!$B$29,MAX(0,(Inputs!$B$3-100)*3)+Inputs!$B$28+Inputs!$B$29)))</f>
        <v/>
      </c>
      <c r="E1012">
        <f>INDEX(FactorTable!$B$2:$Y$301, MATCH(ROUND(MIN(300,MAX(1,D1012)),0), FactorTable!$A$2:$A$301,0), Skills!M13+1)</f>
        <v/>
      </c>
      <c r="F1012">
        <f>IF(Skills!N13=TRUE,(Skills!L13/10)*(E1012/1000),Skills!L13/10)+Skills!O13</f>
        <v/>
      </c>
      <c r="G1012">
        <f>Skills!G13*IF(Skills!H13&gt;0,Skills!I13/Skills!H13,1)</f>
        <v/>
      </c>
      <c r="H1012">
        <f>1-(1-Skills!J13/100)^Skills!K13</f>
        <v/>
      </c>
      <c r="I1012" t="inlineStr">
        <is>
          <t>1</t>
        </is>
      </c>
      <c r="J1012" t="inlineStr"/>
      <c r="K1012" t="inlineStr"/>
      <c r="L1012" t="inlineStr"/>
      <c r="M1012" t="inlineStr"/>
      <c r="N1012" t="inlineStr"/>
      <c r="O1012">
        <f>(1-Summary!$B$55)*T1012+Summary!$B$55*V1012</f>
        <v/>
      </c>
      <c r="P1012">
        <f>IF(B1038=0,0,O1012/B1038)</f>
        <v/>
      </c>
      <c r="Q1012" t="n">
        <v>0</v>
      </c>
      <c r="R1012" t="n">
        <v>0</v>
      </c>
      <c r="S1012">
        <f>IFERROR(O1012/N1012,0)</f>
        <v/>
      </c>
      <c r="T1012" t="n">
        <v>0</v>
      </c>
      <c r="V1012" t="n">
        <v>0</v>
      </c>
    </row>
    <row r="1013">
      <c r="A1013">
        <f>Skills!A14</f>
        <v/>
      </c>
      <c r="B1013">
        <f>Skills!B14</f>
        <v/>
      </c>
      <c r="C1013">
        <f>Inputs!$B$3&gt;=75</f>
        <v/>
      </c>
      <c r="D1013">
        <f>IF(Skills!C14=1,60+Inputs!$B$25+Inputs!$B$29,IF(Skills!C14=2,90+Inputs!$B$26+Inputs!$B$29,IF(Skills!C14=3,120+Inputs!$B$27+Inputs!$B$29,MAX(0,(Inputs!$B$3-100)*3)+Inputs!$B$28+Inputs!$B$29)))</f>
        <v/>
      </c>
      <c r="E1013">
        <f>INDEX(FactorTable!$B$2:$Y$301, MATCH(ROUND(MIN(300,MAX(1,D1013)),0), FactorTable!$A$2:$A$301,0), Skills!M14+1)</f>
        <v/>
      </c>
      <c r="F1013">
        <f>IF(Skills!N14=TRUE,(Skills!L14/10)*(E1013/1000),Skills!L14/10)+Skills!O14</f>
        <v/>
      </c>
      <c r="G1013">
        <f>Skills!G14*IF(Skills!H14&gt;0,Skills!I14/Skills!H14,1)</f>
        <v/>
      </c>
      <c r="H1013">
        <f>1-(1-Skills!J14/100)^Skills!K14</f>
        <v/>
      </c>
      <c r="I1013" t="inlineStr">
        <is>
          <t>1</t>
        </is>
      </c>
      <c r="J1013" t="inlineStr"/>
      <c r="K1013" t="inlineStr"/>
      <c r="L1013" t="inlineStr"/>
      <c r="M1013" t="inlineStr"/>
      <c r="N1013" t="inlineStr"/>
      <c r="O1013">
        <f>(1-Summary!$B$55)*T1013+Summary!$B$55*V1013</f>
        <v/>
      </c>
      <c r="P1013">
        <f>IF(B1038=0,0,O1013/B1038)</f>
        <v/>
      </c>
      <c r="Q1013" t="n">
        <v>0</v>
      </c>
      <c r="R1013" t="n">
        <v>0</v>
      </c>
      <c r="S1013">
        <f>IFERROR(O1013/N1013,0)</f>
        <v/>
      </c>
      <c r="T1013" t="n">
        <v>0</v>
      </c>
      <c r="V1013" t="n">
        <v>0</v>
      </c>
    </row>
    <row r="1014">
      <c r="A1014">
        <f>Skills!A15</f>
        <v/>
      </c>
      <c r="B1014">
        <f>Skills!B15</f>
        <v/>
      </c>
      <c r="C1014">
        <f>Inputs!$B$3&gt;=40</f>
        <v/>
      </c>
      <c r="D1014">
        <f>IF(Skills!C15=1,60+Inputs!$B$25+Inputs!$B$29,IF(Skills!C15=2,90+Inputs!$B$26+Inputs!$B$29,IF(Skills!C15=3,120+Inputs!$B$27+Inputs!$B$29,MAX(0,(Inputs!$B$3-100)*3)+Inputs!$B$28+Inputs!$B$29)))</f>
        <v/>
      </c>
      <c r="E1014">
        <f>INDEX(FactorTable!$B$2:$Y$301, MATCH(ROUND(MIN(300,MAX(1,D1014)),0), FactorTable!$A$2:$A$301,0), Skills!M15+1)</f>
        <v/>
      </c>
      <c r="F1014">
        <f>IF(Skills!N15=TRUE,(Skills!L15/10)*(E1014/1000),Skills!L15/10)+Skills!O15</f>
        <v/>
      </c>
      <c r="G1014">
        <f>Skills!G15*IF(Skills!H15&gt;0,Skills!I15/Skills!H15,1)</f>
        <v/>
      </c>
      <c r="H1014">
        <f>1-(1-Skills!J15/100)^Skills!K15</f>
        <v/>
      </c>
      <c r="I1014" t="inlineStr">
        <is>
          <t>1</t>
        </is>
      </c>
      <c r="J1014" t="inlineStr"/>
      <c r="K1014" t="inlineStr"/>
      <c r="L1014" t="inlineStr"/>
      <c r="M1014" t="inlineStr"/>
      <c r="N1014" t="inlineStr"/>
      <c r="O1014">
        <f>(1-Summary!$B$55)*T1014+Summary!$B$55*V1014</f>
        <v/>
      </c>
      <c r="P1014">
        <f>IF(B1038=0,0,O1014/B1038)</f>
        <v/>
      </c>
      <c r="Q1014">
        <f>IFERROR(1/IF(Inputs!$B$38="pvp",15,MAX(0.1,Skills!D15-IF(Skills!E15=TRUE,(Inputs!$B$32+1),0))),0)</f>
        <v/>
      </c>
      <c r="R1014">
        <f>IF(AND(Inputs!$B$38&lt;&gt;"pvp",Inputs!$B$43&gt;0),IF(Inputs!$B$43&lt;=0,0,(INT(Inputs!$B$43/IF(Inputs!$B$38="pvp",15,MAX(0.1,Skills!D15-IF(Skills!E15=TRUE,(Inputs!$B$32+1),0))))+1)),0)</f>
        <v/>
      </c>
      <c r="S1014">
        <f>IFERROR(O1014/N1014,0)</f>
        <v/>
      </c>
      <c r="T1014" t="n">
        <v>0</v>
      </c>
      <c r="V1014" t="n">
        <v>0</v>
      </c>
    </row>
    <row r="1015">
      <c r="A1015">
        <f>Skills!A16</f>
        <v/>
      </c>
      <c r="B1015">
        <f>Skills!B16</f>
        <v/>
      </c>
      <c r="C1015">
        <f>Inputs!$B$3&gt;=66</f>
        <v/>
      </c>
      <c r="D1015">
        <f>IF(Skills!C16=1,60+Inputs!$B$25+Inputs!$B$29,IF(Skills!C16=2,90+Inputs!$B$26+Inputs!$B$29,IF(Skills!C16=3,120+Inputs!$B$27+Inputs!$B$29,MAX(0,(Inputs!$B$3-100)*3)+Inputs!$B$28+Inputs!$B$29)))</f>
        <v/>
      </c>
      <c r="E1015">
        <f>INDEX(FactorTable!$B$2:$Y$301, MATCH(ROUND(MIN(300,MAX(1,D1015)),0), FactorTable!$A$2:$A$301,0), Skills!M16+1)</f>
        <v/>
      </c>
      <c r="F1015">
        <f>IF(Skills!N16=TRUE,(Skills!L16/10)*(E1015/1000),Skills!L16/10)+Skills!O16</f>
        <v/>
      </c>
      <c r="G1015">
        <f>Skills!G16*IF(Skills!H16&gt;0,Skills!I16/Skills!H16,1)</f>
        <v/>
      </c>
      <c r="H1015">
        <f>1-(1-Skills!J16/100)^Skills!K16</f>
        <v/>
      </c>
      <c r="I1015" t="inlineStr">
        <is>
          <t>1</t>
        </is>
      </c>
      <c r="J1015" t="inlineStr"/>
      <c r="K1015" t="inlineStr"/>
      <c r="L1015" t="inlineStr"/>
      <c r="M1015" t="inlineStr"/>
      <c r="N1015" t="inlineStr"/>
      <c r="O1015">
        <f>(1-Summary!$B$55)*T1015+Summary!$B$55*V1015</f>
        <v/>
      </c>
      <c r="P1015">
        <f>IF(B1038=0,0,O1015/B1038)</f>
        <v/>
      </c>
      <c r="Q1015">
        <f>IFERROR(1/IF(Inputs!$B$38="pvp",15,MAX(0.1,Skills!D16-IF(Skills!E16=TRUE,(Inputs!$B$32+1),0))),0)</f>
        <v/>
      </c>
      <c r="R1015">
        <f>IF(AND(Inputs!$B$38&lt;&gt;"pvp",Inputs!$B$43&gt;0),IF(Inputs!$B$43&lt;=0,0,(INT(Inputs!$B$43/IF(Inputs!$B$38="pvp",15,MAX(0.1,Skills!D16-IF(Skills!E16=TRUE,(Inputs!$B$32+1),0))))+1)),0)</f>
        <v/>
      </c>
      <c r="S1015">
        <f>IFERROR(O1015/N1015,0)</f>
        <v/>
      </c>
      <c r="T1015" t="n">
        <v>0</v>
      </c>
      <c r="V1015" t="n">
        <v>0</v>
      </c>
    </row>
    <row r="1016">
      <c r="A1016">
        <f>Skills!A17</f>
        <v/>
      </c>
      <c r="B1016">
        <f>Skills!B17</f>
        <v/>
      </c>
      <c r="C1016">
        <f>Inputs!$B$3&gt;=115</f>
        <v/>
      </c>
      <c r="D1016">
        <f>IF(Skills!C17=1,60+Inputs!$B$25+Inputs!$B$29,IF(Skills!C17=2,90+Inputs!$B$26+Inputs!$B$29,IF(Skills!C17=3,120+Inputs!$B$27+Inputs!$B$29,MAX(0,(Inputs!$B$3-100)*3)+Inputs!$B$28+Inputs!$B$29)))</f>
        <v/>
      </c>
      <c r="E1016">
        <f>INDEX(FactorTable!$B$2:$Y$301, MATCH(ROUND(MIN(300,MAX(1,D1016)),0), FactorTable!$A$2:$A$301,0), Skills!M17+1)</f>
        <v/>
      </c>
      <c r="F1016">
        <f>IF(Skills!N17=TRUE,(Skills!L17/10)*(E1016/1000),Skills!L17/10)+Skills!O17</f>
        <v/>
      </c>
      <c r="G1016">
        <f>Skills!G17*IF(Skills!H17&gt;0,Skills!I17/Skills!H17,1)</f>
        <v/>
      </c>
      <c r="H1016">
        <f>1-(1-Skills!J17/100)^Skills!K17</f>
        <v/>
      </c>
      <c r="I1016" t="inlineStr">
        <is>
          <t>1</t>
        </is>
      </c>
      <c r="J1016" t="inlineStr"/>
      <c r="K1016" t="inlineStr"/>
      <c r="L1016" t="inlineStr"/>
      <c r="M1016" t="inlineStr"/>
      <c r="N1016" t="inlineStr"/>
      <c r="O1016">
        <f>(1-Summary!$B$55)*T1016+Summary!$B$55*V1016</f>
        <v/>
      </c>
      <c r="P1016">
        <f>IF(B1038=0,0,O1016/B1038)</f>
        <v/>
      </c>
      <c r="Q1016">
        <f>IFERROR(1/IF(Inputs!$B$38="pvp",15,MAX(0.1,Skills!D17-IF(Skills!E17=TRUE,(Inputs!$B$32+1),0))),0)</f>
        <v/>
      </c>
      <c r="R1016">
        <f>IF(AND(Inputs!$B$38&lt;&gt;"pvp",Inputs!$B$43&gt;0),IF(Inputs!$B$43&lt;=0,0,(INT(Inputs!$B$43/IF(Inputs!$B$38="pvp",15,MAX(0.1,Skills!D17-IF(Skills!E17=TRUE,(Inputs!$B$32+1),0))))+1)),0)</f>
        <v/>
      </c>
      <c r="S1016">
        <f>IFERROR(O1016/N1016,0)</f>
        <v/>
      </c>
      <c r="T1016" t="n">
        <v>0</v>
      </c>
      <c r="V1016" t="n">
        <v>0</v>
      </c>
    </row>
    <row r="1017">
      <c r="A1017">
        <f>Skills!A18</f>
        <v/>
      </c>
      <c r="B1017">
        <f>Skills!B18</f>
        <v/>
      </c>
      <c r="C1017">
        <f>Inputs!$B$3&gt;=115</f>
        <v/>
      </c>
      <c r="D1017">
        <f>IF(Skills!C18=1,60+Inputs!$B$25+Inputs!$B$29,IF(Skills!C18=2,90+Inputs!$B$26+Inputs!$B$29,IF(Skills!C18=3,120+Inputs!$B$27+Inputs!$B$29,MAX(0,(Inputs!$B$3-100)*3)+Inputs!$B$28+Inputs!$B$29)))</f>
        <v/>
      </c>
      <c r="E1017">
        <f>INDEX(FactorTable!$B$2:$Y$301, MATCH(ROUND(MIN(300,MAX(1,D1017)),0), FactorTable!$A$2:$A$301,0), Skills!M18+1)</f>
        <v/>
      </c>
      <c r="F1017">
        <f>IF(Skills!N18=TRUE,(Skills!L18/10)*(E1017/1000),Skills!L18/10)+Skills!O18</f>
        <v/>
      </c>
      <c r="G1017">
        <f>Skills!G18*IF(Skills!H18&gt;0,Skills!I18/Skills!H18,1)</f>
        <v/>
      </c>
      <c r="H1017">
        <f>1-(1-Skills!J18/100)^Skills!K18</f>
        <v/>
      </c>
      <c r="I1017" t="inlineStr">
        <is>
          <t>1</t>
        </is>
      </c>
      <c r="J1017" t="inlineStr"/>
      <c r="K1017" t="inlineStr"/>
      <c r="L1017" t="inlineStr"/>
      <c r="M1017" t="inlineStr"/>
      <c r="N1017" t="inlineStr"/>
      <c r="O1017">
        <f>(1-Summary!$B$55)*T1017+Summary!$B$55*V1017</f>
        <v/>
      </c>
      <c r="P1017">
        <f>IF(B1038=0,0,O1017/B1038)</f>
        <v/>
      </c>
      <c r="Q1017">
        <f>IFERROR(1/IF(Inputs!$B$38="pvp",15,MAX(0.1,Skills!D18-IF(Skills!E18=TRUE,(Inputs!$B$32+1),0))),0)</f>
        <v/>
      </c>
      <c r="R1017">
        <f>IF(AND(Inputs!$B$38&lt;&gt;"pvp",Inputs!$B$43&gt;0),IF(Inputs!$B$43&lt;=0,0,(INT(Inputs!$B$43/IF(Inputs!$B$38="pvp",15,MAX(0.1,Skills!D18-IF(Skills!E18=TRUE,(Inputs!$B$32+1),0))))+1)),0)</f>
        <v/>
      </c>
      <c r="S1017">
        <f>IFERROR(O1017/N1017,0)</f>
        <v/>
      </c>
      <c r="T1017" t="n">
        <v>0</v>
      </c>
      <c r="V1017" t="n">
        <v>0</v>
      </c>
    </row>
    <row r="1018">
      <c r="A1018">
        <f>Skills!A19</f>
        <v/>
      </c>
      <c r="B1018">
        <f>Skills!B19</f>
        <v/>
      </c>
      <c r="C1018">
        <f>TRUE</f>
        <v/>
      </c>
      <c r="D1018">
        <f>IF(Skills!C19=1,60+Inputs!$B$25+Inputs!$B$29,IF(Skills!C19=2,90+Inputs!$B$26+Inputs!$B$29,IF(Skills!C19=3,120+Inputs!$B$27+Inputs!$B$29,MAX(0,(Inputs!$B$3-100)*3)+Inputs!$B$28+Inputs!$B$29)))</f>
        <v/>
      </c>
      <c r="E1018">
        <f>INDEX(FactorTable!$B$2:$Y$301, MATCH(ROUND(MIN(300,MAX(1,D1018)),0), FactorTable!$A$2:$A$301,0), Skills!M19+1)</f>
        <v/>
      </c>
      <c r="F1018">
        <f>IF(Skills!N19=TRUE,(Skills!L19/10)*(E1018/1000),Skills!L19/10)+Skills!O19</f>
        <v/>
      </c>
      <c r="G1018">
        <f>Skills!G19*IF(Skills!H19&gt;0,Skills!I19/Skills!H19,1)</f>
        <v/>
      </c>
      <c r="H1018">
        <f>1-(1-Skills!J19/100)^Skills!K19</f>
        <v/>
      </c>
      <c r="I1018" t="inlineStr">
        <is>
          <t>1</t>
        </is>
      </c>
      <c r="J1018" t="inlineStr"/>
      <c r="K1018" t="inlineStr"/>
      <c r="L1018" t="inlineStr"/>
      <c r="M1018" t="inlineStr"/>
      <c r="N1018" t="inlineStr"/>
      <c r="O1018">
        <f>(1-Summary!$B$55)*T1018+Summary!$B$55*V1018</f>
        <v/>
      </c>
      <c r="P1018">
        <f>IF(B1038=0,0,O1018/B1038)</f>
        <v/>
      </c>
      <c r="Q1018">
        <f>IFERROR(1/IF(Inputs!$B$38="pvp",15,MAX(0.1,Skills!D19-IF(Skills!E19=TRUE,(Inputs!$B$32+1),0))),0)</f>
        <v/>
      </c>
      <c r="R1018">
        <f>IF(AND(Inputs!$B$38&lt;&gt;"pvp",Inputs!$B$43&gt;0),IF(Inputs!$B$43&lt;=0,0,(INT(Inputs!$B$43/IF(Inputs!$B$38="pvp",15,MAX(0.1,Skills!D19-IF(Skills!E19=TRUE,(Inputs!$B$32+1),0))))+1)),0)</f>
        <v/>
      </c>
      <c r="S1018">
        <f>IFERROR(O1018/N1018,0)</f>
        <v/>
      </c>
      <c r="T1018" t="n">
        <v>0</v>
      </c>
      <c r="V1018" t="n">
        <v>0</v>
      </c>
    </row>
    <row r="1019">
      <c r="A1019">
        <f>Skills!A20</f>
        <v/>
      </c>
      <c r="B1019">
        <f>Skills!B20</f>
        <v/>
      </c>
      <c r="C1019">
        <f>Inputs!$B$3&gt;=33</f>
        <v/>
      </c>
      <c r="D1019">
        <f>IF(Skills!C20=1,60+Inputs!$B$25+Inputs!$B$29,IF(Skills!C20=2,90+Inputs!$B$26+Inputs!$B$29,IF(Skills!C20=3,120+Inputs!$B$27+Inputs!$B$29,MAX(0,(Inputs!$B$3-100)*3)+Inputs!$B$28+Inputs!$B$29)))</f>
        <v/>
      </c>
      <c r="E1019">
        <f>INDEX(FactorTable!$B$2:$Y$301, MATCH(ROUND(MIN(300,MAX(1,D1019)),0), FactorTable!$A$2:$A$301,0), Skills!M20+1)</f>
        <v/>
      </c>
      <c r="F1019">
        <f>IF(Skills!N20=TRUE,(Skills!L20/10)*(E1019/1000),Skills!L20/10)+Skills!O20</f>
        <v/>
      </c>
      <c r="G1019">
        <f>Skills!G20*IF(Skills!H20&gt;0,Skills!I20/Skills!H20,1)</f>
        <v/>
      </c>
      <c r="H1019">
        <f>1-(1-Skills!J20/100)^Skills!K20</f>
        <v/>
      </c>
      <c r="I1019" t="inlineStr">
        <is>
          <t>1</t>
        </is>
      </c>
      <c r="J1019" t="inlineStr"/>
      <c r="K1019" t="inlineStr"/>
      <c r="L1019" t="inlineStr"/>
      <c r="M1019" t="inlineStr"/>
      <c r="N1019" t="inlineStr"/>
      <c r="O1019">
        <f>(1-Summary!$B$55)*T1019+Summary!$B$55*V1019</f>
        <v/>
      </c>
      <c r="P1019">
        <f>IF(B1038=0,0,O1019/B1038)</f>
        <v/>
      </c>
      <c r="Q1019" t="n">
        <v>0</v>
      </c>
      <c r="R1019" t="n">
        <v>0</v>
      </c>
      <c r="S1019">
        <f>IFERROR(O1019/N1019,0)</f>
        <v/>
      </c>
      <c r="T1019" t="n">
        <v>0</v>
      </c>
      <c r="V1019" t="n">
        <v>0</v>
      </c>
    </row>
    <row r="1020">
      <c r="A1020">
        <f>Skills!A21</f>
        <v/>
      </c>
      <c r="B1020">
        <f>Skills!B21</f>
        <v/>
      </c>
      <c r="C1020">
        <f>Inputs!$B$3&gt;=38</f>
        <v/>
      </c>
      <c r="D1020">
        <f>IF(Skills!C21=1,60+Inputs!$B$25+Inputs!$B$29,IF(Skills!C21=2,90+Inputs!$B$26+Inputs!$B$29,IF(Skills!C21=3,120+Inputs!$B$27+Inputs!$B$29,MAX(0,(Inputs!$B$3-100)*3)+Inputs!$B$28+Inputs!$B$29)))</f>
        <v/>
      </c>
      <c r="E1020">
        <f>INDEX(FactorTable!$B$2:$Y$301, MATCH(ROUND(MIN(300,MAX(1,D1020)),0), FactorTable!$A$2:$A$301,0), Skills!M21+1)</f>
        <v/>
      </c>
      <c r="F1020">
        <f>IF(Skills!N21=TRUE,(Skills!L21/10)*(E1020/1000),Skills!L21/10)+Skills!O21</f>
        <v/>
      </c>
      <c r="G1020">
        <f>Skills!G21*IF(Skills!H21&gt;0,Skills!I21/Skills!H21,1)</f>
        <v/>
      </c>
      <c r="H1020">
        <f>1-(1-Skills!J21/100)^Skills!K21</f>
        <v/>
      </c>
      <c r="I1020" t="inlineStr">
        <is>
          <t>1</t>
        </is>
      </c>
      <c r="J1020" t="inlineStr"/>
      <c r="K1020" t="inlineStr"/>
      <c r="L1020" t="inlineStr"/>
      <c r="M1020" t="inlineStr"/>
      <c r="N1020" t="inlineStr"/>
      <c r="O1020">
        <f>(1-Summary!$B$55)*T1020+Summary!$B$55*V1020</f>
        <v/>
      </c>
      <c r="P1020">
        <f>IF(B1038=0,0,O1020/B1038)</f>
        <v/>
      </c>
      <c r="Q1020" t="n">
        <v>0</v>
      </c>
      <c r="R1020" t="n">
        <v>0</v>
      </c>
      <c r="S1020">
        <f>IFERROR(O1020/N1020,0)</f>
        <v/>
      </c>
      <c r="T1020" t="n">
        <v>0</v>
      </c>
      <c r="V1020" t="n">
        <v>0</v>
      </c>
    </row>
    <row r="1021">
      <c r="A1021">
        <f>Skills!A22</f>
        <v/>
      </c>
      <c r="B1021">
        <f>Skills!B22</f>
        <v/>
      </c>
      <c r="C1021">
        <f>Inputs!$B$3&gt;=43</f>
        <v/>
      </c>
      <c r="D1021">
        <f>IF(Skills!C22=1,60+Inputs!$B$25+Inputs!$B$29,IF(Skills!C22=2,90+Inputs!$B$26+Inputs!$B$29,IF(Skills!C22=3,120+Inputs!$B$27+Inputs!$B$29,MAX(0,(Inputs!$B$3-100)*3)+Inputs!$B$28+Inputs!$B$29)))</f>
        <v/>
      </c>
      <c r="E1021">
        <f>INDEX(FactorTable!$B$2:$Y$301, MATCH(ROUND(MIN(300,MAX(1,D1021)),0), FactorTable!$A$2:$A$301,0), Skills!M22+1)</f>
        <v/>
      </c>
      <c r="F1021">
        <f>IF(Skills!N22=TRUE,(Skills!L22/10)*(E1021/1000),Skills!L22/10)+Skills!O22</f>
        <v/>
      </c>
      <c r="G1021">
        <f>Skills!G22*IF(Skills!H22&gt;0,Skills!I22/Skills!H22,1)</f>
        <v/>
      </c>
      <c r="H1021">
        <f>1-(1-Skills!J22/100)^Skills!K22</f>
        <v/>
      </c>
      <c r="I1021" t="inlineStr">
        <is>
          <t>1</t>
        </is>
      </c>
      <c r="J1021" t="inlineStr"/>
      <c r="K1021" t="inlineStr"/>
      <c r="L1021" t="inlineStr"/>
      <c r="M1021" t="inlineStr"/>
      <c r="N1021" t="inlineStr"/>
      <c r="O1021">
        <f>(1-Summary!$B$55)*T1021+Summary!$B$55*V1021</f>
        <v/>
      </c>
      <c r="P1021">
        <f>IF(B1038=0,0,O1021/B1038)</f>
        <v/>
      </c>
      <c r="Q1021" t="n">
        <v>0</v>
      </c>
      <c r="R1021" t="n">
        <v>0</v>
      </c>
      <c r="S1021">
        <f>IFERROR(O1021/N1021,0)</f>
        <v/>
      </c>
      <c r="T1021" t="n">
        <v>0</v>
      </c>
      <c r="V1021" t="n">
        <v>0</v>
      </c>
    </row>
    <row r="1022">
      <c r="A1022">
        <f>Skills!A23</f>
        <v/>
      </c>
      <c r="B1022">
        <f>Skills!B23</f>
        <v/>
      </c>
      <c r="C1022">
        <f>Inputs!$B$3&gt;=120</f>
        <v/>
      </c>
      <c r="D1022">
        <f>IF(Skills!C23=1,60+Inputs!$B$25+Inputs!$B$29,IF(Skills!C23=2,90+Inputs!$B$26+Inputs!$B$29,IF(Skills!C23=3,120+Inputs!$B$27+Inputs!$B$29,MAX(0,(Inputs!$B$3-100)*3)+Inputs!$B$28+Inputs!$B$29)))</f>
        <v/>
      </c>
      <c r="E1022">
        <f>INDEX(FactorTable!$B$2:$Y$301, MATCH(ROUND(MIN(300,MAX(1,D1022)),0), FactorTable!$A$2:$A$301,0), Skills!M23+1)</f>
        <v/>
      </c>
      <c r="F1022">
        <f>IF(Skills!N23=TRUE,(Skills!L23/10)*(E1022/1000),Skills!L23/10)+Skills!O23</f>
        <v/>
      </c>
      <c r="G1022">
        <f>Skills!G23*IF(Skills!H23&gt;0,Skills!I23/Skills!H23,1)</f>
        <v/>
      </c>
      <c r="H1022">
        <f>1-(1-Skills!J23/100)^Skills!K23</f>
        <v/>
      </c>
      <c r="I1022" t="inlineStr">
        <is>
          <t>1</t>
        </is>
      </c>
      <c r="J1022" t="inlineStr"/>
      <c r="K1022" t="inlineStr"/>
      <c r="L1022" t="inlineStr"/>
      <c r="M1022" t="inlineStr"/>
      <c r="N1022" t="inlineStr"/>
      <c r="O1022">
        <f>(1-Summary!$B$55)*T1022+Summary!$B$55*V1022</f>
        <v/>
      </c>
      <c r="P1022">
        <f>IF(B1038=0,0,O1022/B1038)</f>
        <v/>
      </c>
      <c r="Q1022" t="n">
        <v>0</v>
      </c>
      <c r="R1022" t="n">
        <v>0</v>
      </c>
      <c r="S1022">
        <f>IFERROR(O1022/N1022,0)</f>
        <v/>
      </c>
      <c r="T1022" t="n">
        <v>0</v>
      </c>
      <c r="V1022" t="n">
        <v>0</v>
      </c>
    </row>
    <row r="1023">
      <c r="A1023">
        <f>Skills!A24</f>
        <v/>
      </c>
      <c r="B1023">
        <f>Skills!B24</f>
        <v/>
      </c>
      <c r="C1023">
        <f>Inputs!$B$3&gt;=120</f>
        <v/>
      </c>
      <c r="D1023">
        <f>IF(Skills!C24=1,60+Inputs!$B$25+Inputs!$B$29,IF(Skills!C24=2,90+Inputs!$B$26+Inputs!$B$29,IF(Skills!C24=3,120+Inputs!$B$27+Inputs!$B$29,MAX(0,(Inputs!$B$3-100)*3)+Inputs!$B$28+Inputs!$B$29)))</f>
        <v/>
      </c>
      <c r="E1023">
        <f>INDEX(FactorTable!$B$2:$Y$301, MATCH(ROUND(MIN(300,MAX(1,D1023)),0), FactorTable!$A$2:$A$301,0), Skills!M24+1)</f>
        <v/>
      </c>
      <c r="F1023">
        <f>IF(Skills!N24=TRUE,(Skills!L24/10)*(E1023/1000),Skills!L24/10)+Skills!O24</f>
        <v/>
      </c>
      <c r="G1023">
        <f>Skills!G24*IF(Skills!H24&gt;0,Skills!I24/Skills!H24,1)</f>
        <v/>
      </c>
      <c r="H1023">
        <f>1-(1-Skills!J24/100)^Skills!K24</f>
        <v/>
      </c>
      <c r="I1023" t="inlineStr">
        <is>
          <t>1</t>
        </is>
      </c>
      <c r="J1023" t="inlineStr"/>
      <c r="K1023" t="inlineStr"/>
      <c r="L1023" t="inlineStr"/>
      <c r="M1023" t="inlineStr"/>
      <c r="N1023" t="inlineStr"/>
      <c r="O1023">
        <f>(1-Summary!$B$55)*T1023+Summary!$B$55*V1023</f>
        <v/>
      </c>
      <c r="P1023">
        <f>IF(B1038=0,0,O1023/B1038)</f>
        <v/>
      </c>
      <c r="Q1023" t="n">
        <v>0</v>
      </c>
      <c r="R1023" t="n">
        <v>0</v>
      </c>
      <c r="S1023">
        <f>IFERROR(O1023/N1023,0)</f>
        <v/>
      </c>
      <c r="T1023" t="n">
        <v>0</v>
      </c>
      <c r="V1023" t="n">
        <v>0</v>
      </c>
    </row>
    <row r="1024">
      <c r="A1024">
        <f>Skills!A25</f>
        <v/>
      </c>
      <c r="B1024">
        <f>Skills!B25</f>
        <v/>
      </c>
      <c r="C1024">
        <f>Inputs!$B$3&gt;=125</f>
        <v/>
      </c>
      <c r="D1024">
        <f>IF(Skills!C25=1,60+Inputs!$B$25+Inputs!$B$29,IF(Skills!C25=2,90+Inputs!$B$26+Inputs!$B$29,IF(Skills!C25=3,120+Inputs!$B$27+Inputs!$B$29,MAX(0,(Inputs!$B$3-100)*3)+Inputs!$B$28+Inputs!$B$29)))</f>
        <v/>
      </c>
      <c r="E1024">
        <f>INDEX(FactorTable!$B$2:$Y$301, MATCH(ROUND(MIN(300,MAX(1,D1024)),0), FactorTable!$A$2:$A$301,0), Skills!M25+1)</f>
        <v/>
      </c>
      <c r="F1024">
        <f>IF(Skills!N25=TRUE,(Skills!L25/10)*(E1024/1000),Skills!L25/10)+Skills!O25</f>
        <v/>
      </c>
      <c r="G1024">
        <f>Skills!G25*IF(Skills!H25&gt;0,Skills!I25/Skills!H25,1)</f>
        <v/>
      </c>
      <c r="H1024">
        <f>1-(1-Skills!J25/100)^Skills!K25</f>
        <v/>
      </c>
      <c r="I1024" t="inlineStr">
        <is>
          <t>1</t>
        </is>
      </c>
      <c r="J1024" t="inlineStr"/>
      <c r="K1024" t="inlineStr"/>
      <c r="L1024" t="inlineStr"/>
      <c r="M1024" t="inlineStr"/>
      <c r="N1024" t="inlineStr"/>
      <c r="O1024">
        <f>(1-Summary!$B$55)*T1024+Summary!$B$55*V1024</f>
        <v/>
      </c>
      <c r="P1024">
        <f>IF(B1038=0,0,O1024/B1038)</f>
        <v/>
      </c>
      <c r="Q1024" t="n">
        <v>0</v>
      </c>
      <c r="R1024" t="n">
        <v>0</v>
      </c>
      <c r="S1024">
        <f>IFERROR(O1024/N1024,0)</f>
        <v/>
      </c>
      <c r="T1024" t="n">
        <v>0</v>
      </c>
      <c r="V1024" t="n">
        <v>0</v>
      </c>
    </row>
    <row r="1025">
      <c r="A1025">
        <f>Skills!A26</f>
        <v/>
      </c>
      <c r="B1025">
        <f>Skills!B26</f>
        <v/>
      </c>
      <c r="C1025">
        <f>Inputs!$B$3&gt;=72</f>
        <v/>
      </c>
      <c r="D1025">
        <f>IF(Skills!C26=1,60+Inputs!$B$25+Inputs!$B$29,IF(Skills!C26=2,90+Inputs!$B$26+Inputs!$B$29,IF(Skills!C26=3,120+Inputs!$B$27+Inputs!$B$29,MAX(0,(Inputs!$B$3-100)*3)+Inputs!$B$28+Inputs!$B$29)))</f>
        <v/>
      </c>
      <c r="E1025">
        <f>INDEX(FactorTable!$B$2:$Y$301, MATCH(ROUND(MIN(300,MAX(1,D1025)),0), FactorTable!$A$2:$A$301,0), Skills!M26+1)</f>
        <v/>
      </c>
      <c r="F1025">
        <f>IF(Skills!N26=TRUE,(Skills!L26/10)*(E1025/1000),Skills!L26/10)+Skills!O26</f>
        <v/>
      </c>
      <c r="G1025">
        <f>Skills!G26*IF(Skills!H26&gt;0,Skills!I26/Skills!H26,1)</f>
        <v/>
      </c>
      <c r="H1025">
        <f>1-(1-Skills!J26/100)^Skills!K26</f>
        <v/>
      </c>
      <c r="I1025" t="inlineStr">
        <is>
          <t>1</t>
        </is>
      </c>
      <c r="J1025" t="inlineStr"/>
      <c r="K1025" t="inlineStr"/>
      <c r="L1025" t="inlineStr"/>
      <c r="M1025" t="inlineStr"/>
      <c r="N1025" t="inlineStr"/>
      <c r="O1025">
        <f>(1-Summary!$B$55)*T1025+Summary!$B$55*V1025</f>
        <v/>
      </c>
      <c r="P1025">
        <f>IF(B1038=0,0,O1025/B1038)</f>
        <v/>
      </c>
      <c r="Q1025" t="n">
        <v>0</v>
      </c>
      <c r="R1025" t="n">
        <v>0</v>
      </c>
      <c r="S1025">
        <f>IFERROR(O1025/N1025,0)</f>
        <v/>
      </c>
      <c r="T1025" t="n">
        <v>0</v>
      </c>
      <c r="V1025" t="n">
        <v>0</v>
      </c>
    </row>
    <row r="1027">
      <c r="A1027" t="inlineStr">
        <is>
          <t>Attack% Bucket Multiplier</t>
        </is>
      </c>
      <c r="B1027">
        <f>(1+(((C1012=TRUE)*F1012*IF(Inputs!$B$3&gt;=110,7,5))+((C1014=TRUE)*F1014*IF(AND(Inputs!$B$38&lt;&gt;"pvp",Inputs!$B$43&gt;0),(((R1014-1)*(Skills!T15*(1+Inputs!$B$34/100))+MIN((Skills!T15*(1+Inputs!$B$34/100)),MAX(0,Inputs!$B$43-((R1014-1)*Skills!D15))))/Inputs!$B$43),IF(Inputs!$B$38="pvp",MIN((Skills!T15*(1+Inputs!$B$34/100)),15)/15,(Skills!T15*(1+Inputs!$B$34/100))/Skills!D15)))+0)/100)</f>
        <v/>
      </c>
    </row>
    <row r="1028">
      <c r="A1028" t="inlineStr">
        <is>
          <t>Global Crit Rate Bonus %</t>
        </is>
      </c>
      <c r="B1028" t="n">
        <v>0</v>
      </c>
    </row>
    <row r="1029">
      <c r="A1029" t="inlineStr">
        <is>
          <t>Attack Speed Buff Bonus %</t>
        </is>
      </c>
      <c r="B1029">
        <f>((C1018=TRUE)*F1018*IF(AND(Inputs!$B$38&lt;&gt;"pvp",Inputs!$B$43&gt;0),(((R1018-1)*(Skills!T19*(1+Inputs!$B$34/100))+MIN((Skills!T19*(1+Inputs!$B$34/100)),MAX(0,Inputs!$B$43-((R1018-1)*Skills!D19))))/Inputs!$B$43),IF(Inputs!$B$38="pvp",MIN((Skills!T19*(1+Inputs!$B$34/100)),15)/15,(Skills!T19*(1+Inputs!$B$34/100))/Skills!D19)))</f>
        <v/>
      </c>
    </row>
    <row r="1030">
      <c r="A1030" t="inlineStr">
        <is>
          <t>Actions Per Second</t>
        </is>
      </c>
      <c r="B1030">
        <f>1+MIN(150,150*(1-(1-(Inputs!$B$11+((C1019=TRUE)*(F1019-Calc!F20)))/150)*(1-B1029/150)))/100</f>
        <v/>
      </c>
    </row>
    <row r="1031">
      <c r="A1031" t="inlineStr">
        <is>
          <t>Skill + Buff Cast Rate</t>
        </is>
      </c>
      <c r="B1031">
        <f>IF(AND(Inputs!$B$38&lt;&gt;"pvp",Inputs!$B$43&gt;0),SUMPRODUCT((Skills!E2:E26=TRUE)*(C1001:C1025=TRUE)*R1001:R1025*Skills!F2:F26)/Inputs!$B$43,SUMPRODUCT((Skills!E2:E26=TRUE)*(C1001:C1025=TRUE)*Q1001:Q1025*Skills!F2:F26))</f>
        <v/>
      </c>
    </row>
    <row r="1032">
      <c r="A1032" t="inlineStr">
        <is>
          <t>Raging Blow Casts Per Second</t>
        </is>
      </c>
      <c r="B1032">
        <f>MAX(0,B1030-B1031)</f>
        <v/>
      </c>
    </row>
    <row r="1033">
      <c r="A1033" t="inlineStr">
        <is>
          <t>Global Critical Damage Bonus % (Enrage)</t>
        </is>
      </c>
      <c r="B1033">
        <f>((C1017=TRUE)*F1017*IF(AND(Inputs!$B$38&lt;&gt;"pvp",Inputs!$B$43&gt;0),(((R1017-1)*(Skills!T18*(1+Inputs!$B$34/100))+MIN((Skills!T18*(1+Inputs!$B$34/100)),MAX(0,Inputs!$B$43-((R1017-1)*Skills!D18))))/Inputs!$B$43),IF(Inputs!$B$38="pvp",MIN((Skills!T18*(1+Inputs!$B$34/100)),15)/15,(Skills!T18*(1+Inputs!$B$34/100))/Skills!D18)))</f>
        <v/>
      </c>
    </row>
    <row r="1034">
      <c r="A1034" t="inlineStr">
        <is>
          <t>Global Final Damage Bonus % (Enrage + Combo Synergy)</t>
        </is>
      </c>
      <c r="B1034">
        <f>((C1016=TRUE)*F1016*IF(AND(Inputs!$B$38&lt;&gt;"pvp",Inputs!$B$43&gt;0),(((R1016-1)*(Skills!T17*(1+Inputs!$B$34/100))+MIN((Skills!T17*(1+Inputs!$B$34/100)),MAX(0,Inputs!$B$43-((R1016-1)*Skills!D17))))/Inputs!$B$43),IF(Inputs!$B$38="pvp",MIN((Skills!T17*(1+Inputs!$B$34/100)),15)/15,(Skills!T17*(1+Inputs!$B$34/100))/Skills!D17)))+((C1013=TRUE)*F1013*IF(Inputs!$B$3&gt;=110,7,5))</f>
        <v/>
      </c>
    </row>
    <row r="1035">
      <c r="A1035" t="inlineStr">
        <is>
          <t>Buff-Casting Startup Delay (s, fixed-duration only)</t>
        </is>
      </c>
      <c r="B1035">
        <f>IF(AND(Inputs!$B$38&lt;&gt;"pvp",Inputs!$B$43&gt;0),SUMPRODUCT((Skills!T2:T26&gt;0)*(Skills!E2:E26=TRUE)*(C1001:C1025=TRUE))/B1030,0)</f>
        <v/>
      </c>
    </row>
    <row r="1036">
      <c r="A1036" t="inlineStr">
        <is>
          <t>Boss-Only Total DPS (this block's swept value)</t>
        </is>
      </c>
      <c r="B1036">
        <f>SUM(T1001:T1025)</f>
        <v/>
      </c>
    </row>
    <row r="1037">
      <c r="A1037" t="inlineStr">
        <is>
          <t>Normal-Only Total DPS (this block's swept value)</t>
        </is>
      </c>
      <c r="B1037">
        <f>SUM(V1001:V1025)</f>
        <v/>
      </c>
    </row>
    <row r="1038">
      <c r="A1038" s="5" t="inlineStr">
        <is>
          <t>TOTAL DPS</t>
        </is>
      </c>
      <c r="B1038" s="5">
        <f>SUM(O1001:O1025)</f>
        <v/>
      </c>
    </row>
    <row r="1041">
      <c r="A1041" s="5" t="inlineStr">
        <is>
          <t>Stat: Basic Attack Target Increase (flat)</t>
        </is>
      </c>
    </row>
    <row r="1042">
      <c r="A1042" s="9" t="inlineStr">
        <is>
          <t>Key</t>
        </is>
      </c>
      <c r="B1042" s="9" t="inlineStr">
        <is>
          <t>Name</t>
        </is>
      </c>
      <c r="C1042" s="9" t="inlineStr">
        <is>
          <t>Unlocked</t>
        </is>
      </c>
      <c r="D1042" s="9" t="inlineStr">
        <is>
          <t>InputLevel</t>
        </is>
      </c>
      <c r="E1042" s="9" t="inlineStr">
        <is>
          <t>Factor</t>
        </is>
      </c>
      <c r="F1042" s="9" t="inlineStr">
        <is>
          <t>CoefficientPercent</t>
        </is>
      </c>
      <c r="G1042" s="9" t="inlineStr">
        <is>
          <t>EffectiveHits</t>
        </is>
      </c>
      <c r="H1042" s="9" t="inlineStr">
        <is>
          <t>ProcProbability</t>
        </is>
      </c>
      <c r="I1042" s="9" t="inlineStr">
        <is>
          <t>MapleHeroMultiplier</t>
        </is>
      </c>
      <c r="J1042" s="9" t="inlineStr">
        <is>
          <t>BaseDamage</t>
        </is>
      </c>
      <c r="K1042" s="9" t="inlineStr">
        <is>
          <t>BaseHitDamage</t>
        </is>
      </c>
      <c r="L1042" s="9" t="inlineStr">
        <is>
          <t>NonCritAvg</t>
        </is>
      </c>
      <c r="M1042" s="9" t="inlineStr">
        <is>
          <t>CritAvg</t>
        </is>
      </c>
      <c r="N1042" s="9" t="inlineStr">
        <is>
          <t>ExpectedDamage(perHit)</t>
        </is>
      </c>
      <c r="O1042" s="9" t="inlineStr">
        <is>
          <t>DPS</t>
        </is>
      </c>
      <c r="P1042" s="9" t="inlineStr">
        <is>
          <t>% of Total</t>
        </is>
      </c>
      <c r="Q1042" s="9" t="inlineStr">
        <is>
          <t>InvCooldown</t>
        </is>
      </c>
      <c r="R1042" s="9" t="inlineStr">
        <is>
          <t>CastsInFight</t>
        </is>
      </c>
      <c r="S1042" s="9" t="inlineStr">
        <is>
          <t>HitRate(perSec)</t>
        </is>
      </c>
      <c r="U1042" t="inlineStr">
        <is>
          <t>helpers</t>
        </is>
      </c>
    </row>
    <row r="1043">
      <c r="A1043">
        <f>Skills!A2</f>
        <v/>
      </c>
      <c r="B1043">
        <f>Skills!B2</f>
        <v/>
      </c>
      <c r="C1043">
        <f>Inputs!$B$3&gt;=100</f>
        <v/>
      </c>
      <c r="D1043" t="inlineStr"/>
      <c r="E1043" t="inlineStr"/>
      <c r="F1043">
        <f>U1045+Skills!O2</f>
        <v/>
      </c>
      <c r="G1043">
        <f>Skills!G2*IF(Skills!H2&gt;0,Skills!I2/Skills!H2,1)</f>
        <v/>
      </c>
      <c r="H1043">
        <f>1-(1-Skills!J2/100)^Skills!K2</f>
        <v/>
      </c>
      <c r="I1043" t="inlineStr">
        <is>
          <t>1</t>
        </is>
      </c>
      <c r="J1043">
        <f>((Inputs!$B$6*(1+Inputs!$B$7/100))+(((Inputs!$B$12*(1+Inputs!$B$13/100))-(Inputs!$B$12*(1+Inputs!$B$13/100)))+0.25*(Inputs!$B$14-Inputs!$B$14))*(1+Inputs!$B$7/100))*(F1043/100)</f>
        <v/>
      </c>
      <c r="K1043">
        <f>J1043*(1+((Inputs!$B$12*(1+Inputs!$B$13/100))*0.01+Inputs!$B$14*0.0025)/100)*(1+Inputs!$B$15/100)*(1+Inputs!$B$16/100)*(5000/(6000+Inputs!$B$42*(1-(Inputs!$B$19+0)/100)))*(1+(Inputs!$B$24+((C1066=TRUE)*(F1066-Calc!F25))+B1076)/100)*(1+IF(Skills!A2="ENHANCED_RAGING_BLOW",IF(Inputs!$B$3&gt;=134,MAX(0,IF(Inputs!$B$3&gt;=110,7,5)-5)*50,0),0)/100)*(1+(IF(Skills!A2="RAGING_BLOW",Inputs!$B$17+((C1062=TRUE)*(F1062-Calc!F21)),Inputs!$B$18+((C1064=TRUE)*(F1064-Calc!F23))))/100)*((1+(((C1054=TRUE)*F1054*IF(Inputs!$B$3&gt;=110,7,5))+((C1056=TRUE)*F1056*IF(AND(Inputs!$B$38&lt;&gt;"pvp",Inputs!$B$43&gt;0),(((R1056-1)*(Skills!T15*(1+Inputs!$B$34/100))+MIN((Skills!T15*(1+Inputs!$B$34/100)),MAX(0,Inputs!$B$43-((R1056-1)*Skills!D15))))/Inputs!$B$43),IF(Inputs!$B$38="pvp",MIN((Skills!T15*(1+Inputs!$B$34/100)),15)/15,(Skills!T15*(1+Inputs!$B$34/100))/Skills!D15)))+0)/100)*I1043)</f>
        <v/>
      </c>
      <c r="L1043">
        <f>K1043*(MIN(Inputs!$B$22+((C1063=TRUE)*(F1063-Calc!F22)),Inputs!$B$23+((C1065=TRUE)*(F1065-Calc!F24)))/100+(Inputs!$B$23+((C1065=TRUE)*(F1065-Calc!F24)))/100)/2</f>
        <v/>
      </c>
      <c r="M1043">
        <f>L1043*(1+(Inputs!$B$10+0+B1075)/100)</f>
        <v/>
      </c>
      <c r="N1043">
        <f>L1043*(1-MIN((Inputs!$B$9+((C1067=TRUE)*(F1067-Calc!F26))+B1070),100)/100)+M1043*(MIN((Inputs!$B$9+((C1067=TRUE)*(F1067-Calc!F26))+B1070),100)/100)</f>
        <v/>
      </c>
      <c r="O1043">
        <f>(1-Summary!$B$55)*T1043+Summary!$B$55*V1043</f>
        <v/>
      </c>
      <c r="P1043">
        <f>IF(B1080=0,0,O1043/B1080)</f>
        <v/>
      </c>
      <c r="Q1043" t="n">
        <v>0</v>
      </c>
      <c r="R1043" t="n">
        <v>0</v>
      </c>
      <c r="S1043">
        <f>IFERROR(O1043/N1043,0)</f>
        <v/>
      </c>
      <c r="T1043">
        <f>IF(C1043,(Skills!G2*N1043*B1074)*IF(Inputs!$B$38="pvp",1,1+(Inputs!$B$20+0+Skills!P2+Summary!$B$59)/100),0)</f>
        <v/>
      </c>
      <c r="U1043">
        <f>MAX(0,(Inputs!$B$3-100)*3)+Inputs!$B$28+Inputs!$B$29</f>
        <v/>
      </c>
      <c r="V1043">
        <f>IF(C1043,(Skills!G2*N1043*B1074)*IF(Inputs!$B$38="pvp",1,(1+(Inputs!$B$21+Skills!Q2+Summary!$B$59)/100)*(MIN((6+(Inputs!$B$33+1)),Inputs!$B$37))),0)</f>
        <v/>
      </c>
    </row>
    <row r="1044">
      <c r="A1044">
        <f>Skills!A3</f>
        <v/>
      </c>
      <c r="B1044">
        <f>Skills!B3</f>
        <v/>
      </c>
      <c r="C1044">
        <f>Inputs!$B$3&gt;=50</f>
        <v/>
      </c>
      <c r="D1044">
        <f>IF(Skills!C3=1,60+Inputs!$B$25+Inputs!$B$29,IF(Skills!C3=2,90+Inputs!$B$26+Inputs!$B$29,IF(Skills!C3=3,120+Inputs!$B$27+Inputs!$B$29,MAX(0,(Inputs!$B$3-100)*3)+Inputs!$B$28+Inputs!$B$29)))</f>
        <v/>
      </c>
      <c r="E1044">
        <f>INDEX(FactorTable!$B$2:$Y$301, MATCH(ROUND(MIN(300,MAX(1,D1044)),0), FactorTable!$A$2:$A$301,0), Skills!M3+1)</f>
        <v/>
      </c>
      <c r="F1044">
        <f>IF(Skills!N3=TRUE,(Skills!L3/10)*(E1044/1000),Skills!L3/10)+Skills!O3</f>
        <v/>
      </c>
      <c r="G1044" t="inlineStr"/>
      <c r="H1044" t="inlineStr"/>
      <c r="I1044" t="inlineStr">
        <is>
          <t>1</t>
        </is>
      </c>
      <c r="J1044" t="inlineStr"/>
      <c r="K1044" t="inlineStr"/>
      <c r="L1044" t="inlineStr"/>
      <c r="M1044" t="inlineStr"/>
      <c r="N1044" t="inlineStr"/>
      <c r="O1044" t="inlineStr"/>
      <c r="P1044" t="inlineStr"/>
      <c r="Q1044" t="inlineStr"/>
      <c r="R1044" t="inlineStr"/>
      <c r="S1044" t="inlineStr"/>
      <c r="U1044">
        <f>INDEX(FactorTable!$B$2:$Y$301, MATCH(ROUND(MIN(300,MAX(1,U1043)),0), FactorTable!$A$2:$A$301,0), 22)</f>
        <v/>
      </c>
    </row>
    <row r="1045">
      <c r="A1045">
        <f>Skills!A4</f>
        <v/>
      </c>
      <c r="B1045">
        <f>Skills!B4</f>
        <v/>
      </c>
      <c r="C1045">
        <f>Inputs!$B$3&gt;=105</f>
        <v/>
      </c>
      <c r="D1045">
        <f>IF(Skills!C4=1,60+Inputs!$B$25+Inputs!$B$29,IF(Skills!C4=2,90+Inputs!$B$26+Inputs!$B$29,IF(Skills!C4=3,120+Inputs!$B$27+Inputs!$B$29,MAX(0,(Inputs!$B$3-100)*3)+Inputs!$B$28+Inputs!$B$29)))</f>
        <v/>
      </c>
      <c r="E1045">
        <f>INDEX(FactorTable!$B$2:$Y$301, MATCH(ROUND(MIN(300,MAX(1,D1045)),0), FactorTable!$A$2:$A$301,0), Skills!M4+1)</f>
        <v/>
      </c>
      <c r="F1045">
        <f>IF(Skills!N4=TRUE,(Skills!L4/10)*(E1045/1000),Skills!L4/10)+Skills!O4</f>
        <v/>
      </c>
      <c r="G1045" t="inlineStr"/>
      <c r="H1045" t="inlineStr"/>
      <c r="I1045" t="inlineStr">
        <is>
          <t>1</t>
        </is>
      </c>
      <c r="J1045" t="inlineStr"/>
      <c r="K1045" t="inlineStr"/>
      <c r="L1045" t="inlineStr"/>
      <c r="M1045" t="inlineStr"/>
      <c r="N1045" t="inlineStr"/>
      <c r="O1045" t="inlineStr"/>
      <c r="P1045" t="inlineStr"/>
      <c r="Q1045" t="inlineStr"/>
      <c r="R1045" t="inlineStr"/>
      <c r="S1045" t="inlineStr"/>
      <c r="U1045">
        <f>290*U1044/1000</f>
        <v/>
      </c>
    </row>
    <row r="1046">
      <c r="A1046">
        <f>Skills!A5</f>
        <v/>
      </c>
      <c r="B1046">
        <f>Skills!B5</f>
        <v/>
      </c>
      <c r="C1046">
        <f>Inputs!$B$3&gt;=103</f>
        <v/>
      </c>
      <c r="D1046">
        <f>IF(Skills!C5=1,60+Inputs!$B$25+Inputs!$B$29,IF(Skills!C5=2,90+Inputs!$B$26+Inputs!$B$29,IF(Skills!C5=3,120+Inputs!$B$27+Inputs!$B$29,MAX(0,(Inputs!$B$3-100)*3)+Inputs!$B$28+Inputs!$B$29)))</f>
        <v/>
      </c>
      <c r="E1046">
        <f>INDEX(FactorTable!$B$2:$Y$301, MATCH(ROUND(MIN(300,MAX(1,D1046)),0), FactorTable!$A$2:$A$301,0), Skills!M5+1)</f>
        <v/>
      </c>
      <c r="F1046">
        <f>IF(Skills!N5=TRUE,(Skills!L5/10)*(E1046/1000),Skills!L5/10)+Skills!O5</f>
        <v/>
      </c>
      <c r="G1046">
        <f>Skills!G5*IF(Skills!H5&gt;0,Skills!I5/Skills!H5,1)</f>
        <v/>
      </c>
      <c r="H1046">
        <f>1-(1-Skills!J5/100)^Skills!K5</f>
        <v/>
      </c>
      <c r="I1046" t="inlineStr">
        <is>
          <t>1</t>
        </is>
      </c>
      <c r="J1046">
        <f>((Inputs!$B$6*(1+Inputs!$B$7/100))+(((Inputs!$B$12*(1+Inputs!$B$13/100))-(Inputs!$B$12*(1+Inputs!$B$13/100)))+0.25*(Inputs!$B$14-Inputs!$B$14))*(1+Inputs!$B$7/100))*(F1046/100)</f>
        <v/>
      </c>
      <c r="K1046">
        <f>J1046*(1+((Inputs!$B$12*(1+Inputs!$B$13/100))*0.01+Inputs!$B$14*0.0025)/100)*(1+Inputs!$B$15/100)*(1+Inputs!$B$16/100)*(5000/(6000+Inputs!$B$42*(1-(Inputs!$B$19+0)/100)))*(1+(Inputs!$B$24+((C1066=TRUE)*(F1066-Calc!F25))+B1076)/100)*(1+IF(Skills!A5="ENHANCED_RAGING_BLOW",IF(Inputs!$B$3&gt;=134,MAX(0,IF(Inputs!$B$3&gt;=110,7,5)-5)*50,0),0)/100)*(1+(IF(Skills!A5="RAGING_BLOW",Inputs!$B$17+((C1062=TRUE)*(F1062-Calc!F21)),Inputs!$B$18+((C1064=TRUE)*(F1064-Calc!F23))))/100)*((1+(((C1054=TRUE)*F1054*IF(Inputs!$B$3&gt;=110,7,5))+((C1056=TRUE)*F1056*IF(AND(Inputs!$B$38&lt;&gt;"pvp",Inputs!$B$43&gt;0),(((R1056-1)*(Skills!T15*(1+Inputs!$B$34/100))+MIN((Skills!T15*(1+Inputs!$B$34/100)),MAX(0,Inputs!$B$43-((R1056-1)*Skills!D15))))/Inputs!$B$43),IF(Inputs!$B$38="pvp",MIN((Skills!T15*(1+Inputs!$B$34/100)),15)/15,(Skills!T15*(1+Inputs!$B$34/100))/Skills!D15)))+0)/100)*I1046)</f>
        <v/>
      </c>
      <c r="L1046">
        <f>K1046*(MIN(Inputs!$B$22+((C1063=TRUE)*(F1063-Calc!F22)),Inputs!$B$23+((C1065=TRUE)*(F1065-Calc!F24)))/100+(Inputs!$B$23+((C1065=TRUE)*(F1065-Calc!F24)))/100)/2</f>
        <v/>
      </c>
      <c r="M1046">
        <f>L1046*(1+(Inputs!$B$10+0+B1075)/100)</f>
        <v/>
      </c>
      <c r="N1046">
        <f>L1046*(1-MIN((Inputs!$B$9+((C1067=TRUE)*(F1067-Calc!F26))+B1070),100)/100)+M1046*(MIN((Inputs!$B$9+((C1067=TRUE)*(F1067-Calc!F26))+B1070),100)/100)</f>
        <v/>
      </c>
      <c r="O1046">
        <f>(1-Summary!$B$55)*T1046+Summary!$B$55*V1046</f>
        <v/>
      </c>
      <c r="P1046">
        <f>IF(B1080=0,0,O1046/B1080)</f>
        <v/>
      </c>
      <c r="Q1046">
        <f>IFERROR(1/IF(Inputs!$B$38="pvp",15,MAX(0.1,Skills!D5-IF(Skills!E5=TRUE,Inputs!$B$32,0))),0)</f>
        <v/>
      </c>
      <c r="R1046">
        <f>IF(AND(Inputs!$B$38&lt;&gt;"pvp",Inputs!$B$43&gt;0),IF(MAX(0,Inputs!$B$43-B1077)&lt;=0,0,(INT(MAX(0,Inputs!$B$43-B1077)/IF(Inputs!$B$38="pvp",15,MAX(0.1,Skills!D5-IF(Skills!E5=TRUE,Inputs!$B$32,0))))+1)),0)</f>
        <v/>
      </c>
      <c r="S1046">
        <f>IFERROR(O1046/N1046,0)</f>
        <v/>
      </c>
      <c r="T1046">
        <f>IF(C1046,(H1046*N1046*IF(AND(Inputs!$B$38&lt;&gt;"pvp",Inputs!$B$43&gt;0),((Skills!G5*((R1046-1)*IF(Skills!H5&gt;0,Skills!I5/Skills!H5,1)+IF(Skills!H5&gt;0,MIN(Skills!I5,MAX(0,MAX(0,Inputs!$B$43-B1077)-((R1046-1)*IF(Inputs!$B$38="pvp",15,MAX(0.1,Skills!D5-IF(Skills!E5=TRUE,Inputs!$B$32,0))))))/Skills!H5,1)))/Inputs!$B$43),G1046*Q1046))*IF(Inputs!$B$38="pvp",1,1+(Inputs!$B$20+0+Skills!P5+Summary!$B$59)/100),0)</f>
        <v/>
      </c>
      <c r="V1046">
        <f>IF(C1046,(H1046*N1046*IF(AND(Inputs!$B$38&lt;&gt;"pvp",Inputs!$B$43&gt;0),((Skills!G5*((R1046-1)*IF(Skills!H5&gt;0,Skills!I5/Skills!H5,1)+IF(Skills!H5&gt;0,MIN(Skills!I5,MAX(0,MAX(0,Inputs!$B$43-B1077)-((R1046-1)*IF(Inputs!$B$38="pvp",15,MAX(0.1,Skills!D5-IF(Skills!E5=TRUE,Inputs!$B$32,0))))))/Skills!H5,1)))/Inputs!$B$43),G1046*Q1046))*IF(Inputs!$B$38="pvp",1,(1+(Inputs!$B$21+Skills!Q5+Summary!$B$59)/100)*(MIN(Skills!R5,Inputs!$B$37))),0)</f>
        <v/>
      </c>
    </row>
    <row r="1047">
      <c r="A1047">
        <f>Skills!A6</f>
        <v/>
      </c>
      <c r="B1047">
        <f>Skills!B6</f>
        <v/>
      </c>
      <c r="C1047">
        <f>Inputs!$B$3&gt;=103</f>
        <v/>
      </c>
      <c r="D1047">
        <f>IF(Skills!C6=1,60+Inputs!$B$25+Inputs!$B$29,IF(Skills!C6=2,90+Inputs!$B$26+Inputs!$B$29,IF(Skills!C6=3,120+Inputs!$B$27+Inputs!$B$29,MAX(0,(Inputs!$B$3-100)*3)+Inputs!$B$28+Inputs!$B$29)))</f>
        <v/>
      </c>
      <c r="E1047">
        <f>INDEX(FactorTable!$B$2:$Y$301, MATCH(ROUND(MIN(300,MAX(1,D1047)),0), FactorTable!$A$2:$A$301,0), Skills!M6+1)</f>
        <v/>
      </c>
      <c r="F1047">
        <f>IF(Skills!N6=TRUE,(Skills!L6/10)*(E1047/1000),Skills!L6/10)+Skills!O6</f>
        <v/>
      </c>
      <c r="G1047">
        <f>Skills!G6*IF(Skills!H6&gt;0,Skills!I6/Skills!H6,1)</f>
        <v/>
      </c>
      <c r="H1047">
        <f>1-(1-Skills!J6/100)^Skills!K6</f>
        <v/>
      </c>
      <c r="I1047" t="inlineStr">
        <is>
          <t>1</t>
        </is>
      </c>
      <c r="J1047">
        <f>((Inputs!$B$6*(1+Inputs!$B$7/100))+(((Inputs!$B$12*(1+Inputs!$B$13/100))-(Inputs!$B$12*(1+Inputs!$B$13/100)))+0.25*(Inputs!$B$14-Inputs!$B$14))*(1+Inputs!$B$7/100))*(F1047/100)</f>
        <v/>
      </c>
      <c r="K1047">
        <f>J1047*(1+((Inputs!$B$12*(1+Inputs!$B$13/100))*0.01+Inputs!$B$14*0.0025)/100)*(1+Inputs!$B$15/100)*(1+Inputs!$B$16/100)*(5000/(6000+Inputs!$B$42*(1-(Inputs!$B$19+0)/100)))*(1+(Inputs!$B$24+((C1066=TRUE)*(F1066-Calc!F25))+B1076)/100)*(1+IF(Skills!A6="ENHANCED_RAGING_BLOW",IF(Inputs!$B$3&gt;=134,MAX(0,IF(Inputs!$B$3&gt;=110,7,5)-5)*50,0),0)/100)*(1+(IF(Skills!A6="RAGING_BLOW",Inputs!$B$17+((C1062=TRUE)*(F1062-Calc!F21)),Inputs!$B$18+((C1064=TRUE)*(F1064-Calc!F23))))/100)*((1+(((C1054=TRUE)*F1054*IF(Inputs!$B$3&gt;=110,7,5))+((C1056=TRUE)*F1056*IF(AND(Inputs!$B$38&lt;&gt;"pvp",Inputs!$B$43&gt;0),(((R1056-1)*(Skills!T15*(1+Inputs!$B$34/100))+MIN((Skills!T15*(1+Inputs!$B$34/100)),MAX(0,Inputs!$B$43-((R1056-1)*Skills!D15))))/Inputs!$B$43),IF(Inputs!$B$38="pvp",MIN((Skills!T15*(1+Inputs!$B$34/100)),15)/15,(Skills!T15*(1+Inputs!$B$34/100))/Skills!D15)))+0)/100)*I1047)</f>
        <v/>
      </c>
      <c r="L1047">
        <f>K1047*(MIN(Inputs!$B$22+((C1063=TRUE)*(F1063-Calc!F22)),Inputs!$B$23+((C1065=TRUE)*(F1065-Calc!F24)))/100+(Inputs!$B$23+((C1065=TRUE)*(F1065-Calc!F24)))/100)/2</f>
        <v/>
      </c>
      <c r="M1047">
        <f>L1047*(1+(Inputs!$B$10+0+B1075)/100)</f>
        <v/>
      </c>
      <c r="N1047">
        <f>L1047*(1-MIN((Inputs!$B$9+((C1067=TRUE)*(F1067-Calc!F26))+B1070),100)/100)+M1047*(MIN((Inputs!$B$9+((C1067=TRUE)*(F1067-Calc!F26))+B1070),100)/100)</f>
        <v/>
      </c>
      <c r="O1047">
        <f>(1-Summary!$B$55)*T1047+Summary!$B$55*V1047</f>
        <v/>
      </c>
      <c r="P1047">
        <f>IF(B1080=0,0,O1047/B1080)</f>
        <v/>
      </c>
      <c r="Q1047">
        <f>IFERROR(1/IF(Inputs!$B$38="pvp",15,MAX(0.1,Skills!D6-IF(Skills!E6=TRUE,Inputs!$B$32,0))),0)</f>
        <v/>
      </c>
      <c r="R1047">
        <f>IF(AND(Inputs!$B$38&lt;&gt;"pvp",Inputs!$B$43&gt;0),IF(MAX(0,Inputs!$B$43-B1077)&lt;=0,0,(INT(MAX(0,Inputs!$B$43-B1077)/IF(Inputs!$B$38="pvp",15,MAX(0.1,Skills!D6-IF(Skills!E6=TRUE,Inputs!$B$32,0))))+1)),0)</f>
        <v/>
      </c>
      <c r="S1047">
        <f>IFERROR(O1047/N1047,0)</f>
        <v/>
      </c>
      <c r="T1047">
        <f>IF(C1047,(H1047*N1047*IF(AND(Inputs!$B$38&lt;&gt;"pvp",Inputs!$B$43&gt;0),((Skills!G6*((R1047-1)*IF(Skills!H6&gt;0,Skills!I6/Skills!H6,1)+IF(Skills!H6&gt;0,MIN(Skills!I6,MAX(0,MAX(0,Inputs!$B$43-B1077)-((R1047-1)*IF(Inputs!$B$38="pvp",15,MAX(0.1,Skills!D6-IF(Skills!E6=TRUE,Inputs!$B$32,0))))))/Skills!H6,1)))/Inputs!$B$43),G1047*Q1047))*IF(Inputs!$B$38="pvp",1,1+(Inputs!$B$20+0+Skills!P6+Summary!$B$59)/100),0)</f>
        <v/>
      </c>
      <c r="V1047">
        <f>IF(C1047,(H1047*N1047*IF(AND(Inputs!$B$38&lt;&gt;"pvp",Inputs!$B$43&gt;0),((Skills!G6*((R1047-1)*IF(Skills!H6&gt;0,Skills!I6/Skills!H6,1)+IF(Skills!H6&gt;0,MIN(Skills!I6,MAX(0,MAX(0,Inputs!$B$43-B1077)-((R1047-1)*IF(Inputs!$B$38="pvp",15,MAX(0.1,Skills!D6-IF(Skills!E6=TRUE,Inputs!$B$32,0))))))/Skills!H6,1)))/Inputs!$B$43),G1047*Q1047))*IF(Inputs!$B$38="pvp",1,(1+(Inputs!$B$21+Skills!Q6+Summary!$B$59)/100)*(MIN(Skills!R6,Inputs!$B$37))),0)</f>
        <v/>
      </c>
    </row>
    <row r="1048">
      <c r="A1048">
        <f>Skills!A7</f>
        <v/>
      </c>
      <c r="B1048">
        <f>Skills!B7</f>
        <v/>
      </c>
      <c r="C1048">
        <f>Inputs!$B$3&gt;=107</f>
        <v/>
      </c>
      <c r="D1048">
        <f>IF(Skills!C7=1,60+Inputs!$B$25+Inputs!$B$29,IF(Skills!C7=2,90+Inputs!$B$26+Inputs!$B$29,IF(Skills!C7=3,120+Inputs!$B$27+Inputs!$B$29,MAX(0,(Inputs!$B$3-100)*3)+Inputs!$B$28+Inputs!$B$29)))</f>
        <v/>
      </c>
      <c r="E1048">
        <f>INDEX(FactorTable!$B$2:$Y$301, MATCH(ROUND(MIN(300,MAX(1,D1048)),0), FactorTable!$A$2:$A$301,0), Skills!M7+1)</f>
        <v/>
      </c>
      <c r="F1048">
        <f>IF(Skills!N7=TRUE,(Skills!L7/10)*(E1048/1000),Skills!L7/10)+Skills!O7</f>
        <v/>
      </c>
      <c r="G1048">
        <f>Skills!G7*IF(Skills!H7&gt;0,Skills!I7/Skills!H7,1)</f>
        <v/>
      </c>
      <c r="H1048">
        <f>1-(1-Skills!J7/100)^Skills!K7</f>
        <v/>
      </c>
      <c r="I1048" t="inlineStr">
        <is>
          <t>1</t>
        </is>
      </c>
      <c r="J1048">
        <f>((Inputs!$B$6*(1+Inputs!$B$7/100))+(((Inputs!$B$12*(1+Inputs!$B$13/100))-(Inputs!$B$12*(1+Inputs!$B$13/100)))+0.25*(Inputs!$B$14-Inputs!$B$14))*(1+Inputs!$B$7/100))*(F1048/100)</f>
        <v/>
      </c>
      <c r="K1048">
        <f>J1048*(1+((Inputs!$B$12*(1+Inputs!$B$13/100))*0.01+Inputs!$B$14*0.0025)/100)*(1+Inputs!$B$15/100)*(1+Inputs!$B$16/100)*(5000/(6000+Inputs!$B$42*(1-(Inputs!$B$19+0)/100)))*(1+(Inputs!$B$24+((C1066=TRUE)*(F1066-Calc!F25))+B1076)/100)*(1+IF(Skills!A7="ENHANCED_RAGING_BLOW",IF(Inputs!$B$3&gt;=134,MAX(0,IF(Inputs!$B$3&gt;=110,7,5)-5)*50,0),0)/100)*(1+(IF(Skills!A7="RAGING_BLOW",Inputs!$B$17+((C1062=TRUE)*(F1062-Calc!F21)),Inputs!$B$18+((C1064=TRUE)*(F1064-Calc!F23))))/100)*((1+(((C1054=TRUE)*F1054*IF(Inputs!$B$3&gt;=110,7,5))+((C1056=TRUE)*F1056*IF(AND(Inputs!$B$38&lt;&gt;"pvp",Inputs!$B$43&gt;0),(((R1056-1)*(Skills!T15*(1+Inputs!$B$34/100))+MIN((Skills!T15*(1+Inputs!$B$34/100)),MAX(0,Inputs!$B$43-((R1056-1)*Skills!D15))))/Inputs!$B$43),IF(Inputs!$B$38="pvp",MIN((Skills!T15*(1+Inputs!$B$34/100)),15)/15,(Skills!T15*(1+Inputs!$B$34/100))/Skills!D15)))+0)/100)*I1048)</f>
        <v/>
      </c>
      <c r="L1048">
        <f>K1048*(MIN(Inputs!$B$22+((C1063=TRUE)*(F1063-Calc!F22)),Inputs!$B$23+((C1065=TRUE)*(F1065-Calc!F24)))/100+(Inputs!$B$23+((C1065=TRUE)*(F1065-Calc!F24)))/100)/2</f>
        <v/>
      </c>
      <c r="M1048">
        <f>L1048*(1+(Inputs!$B$10+0+B1075)/100)</f>
        <v/>
      </c>
      <c r="N1048">
        <f>L1048*(1-MIN((Inputs!$B$9+((C1067=TRUE)*(F1067-Calc!F26))+B1070),100)/100)+M1048*(MIN((Inputs!$B$9+((C1067=TRUE)*(F1067-Calc!F26))+B1070),100)/100)</f>
        <v/>
      </c>
      <c r="O1048">
        <f>(1-Summary!$B$55)*T1048+Summary!$B$55*V1048</f>
        <v/>
      </c>
      <c r="P1048">
        <f>IF(B1080=0,0,O1048/B1080)</f>
        <v/>
      </c>
      <c r="Q1048">
        <f>IFERROR(1/IF(Inputs!$B$38="pvp",15,MAX(0.1,Skills!D7-IF(Skills!E7=TRUE,Inputs!$B$32,0))),0)</f>
        <v/>
      </c>
      <c r="R1048">
        <f>IF(AND(Inputs!$B$38&lt;&gt;"pvp",Inputs!$B$43&gt;0),IF(MAX(0,Inputs!$B$43-B1077)&lt;=0,0,(INT(MAX(0,Inputs!$B$43-B1077)/IF(Inputs!$B$38="pvp",15,MAX(0.1,Skills!D7-IF(Skills!E7=TRUE,Inputs!$B$32,0))))+1)),0)</f>
        <v/>
      </c>
      <c r="S1048">
        <f>IFERROR(O1048/N1048,0)</f>
        <v/>
      </c>
      <c r="T1048">
        <f>IF(C1048,(H1048*N1048*IF(AND(Inputs!$B$38&lt;&gt;"pvp",Inputs!$B$43&gt;0),((Skills!G7*((R1048-1)*IF(Skills!H7&gt;0,Skills!I7/Skills!H7,1)+IF(Skills!H7&gt;0,MIN(Skills!I7,MAX(0,MAX(0,Inputs!$B$43-B1077)-((R1048-1)*IF(Inputs!$B$38="pvp",15,MAX(0.1,Skills!D7-IF(Skills!E7=TRUE,Inputs!$B$32,0))))))/Skills!H7,1)))/Inputs!$B$43),G1048*Q1048))*IF(Inputs!$B$38="pvp",1,1+(Inputs!$B$20+0+Skills!P7+Summary!$B$59)/100),0)</f>
        <v/>
      </c>
      <c r="V1048">
        <f>IF(C1048,(H1048*N1048*IF(AND(Inputs!$B$38&lt;&gt;"pvp",Inputs!$B$43&gt;0),((Skills!G7*((R1048-1)*IF(Skills!H7&gt;0,Skills!I7/Skills!H7,1)+IF(Skills!H7&gt;0,MIN(Skills!I7,MAX(0,MAX(0,Inputs!$B$43-B1077)-((R1048-1)*IF(Inputs!$B$38="pvp",15,MAX(0.1,Skills!D7-IF(Skills!E7=TRUE,Inputs!$B$32,0))))))/Skills!H7,1)))/Inputs!$B$43),G1048*Q1048))*IF(Inputs!$B$38="pvp",1,(1+(Inputs!$B$21+Skills!Q7+Summary!$B$59)/100)*(MIN(Skills!R7,Inputs!$B$37))),0)</f>
        <v/>
      </c>
    </row>
    <row r="1049">
      <c r="A1049">
        <f>Skills!A8</f>
        <v/>
      </c>
      <c r="B1049">
        <f>Skills!B8</f>
        <v/>
      </c>
      <c r="C1049">
        <f>Inputs!$B$3&gt;=117</f>
        <v/>
      </c>
      <c r="D1049">
        <f>IF(Skills!C8=1,60+Inputs!$B$25+Inputs!$B$29,IF(Skills!C8=2,90+Inputs!$B$26+Inputs!$B$29,IF(Skills!C8=3,120+Inputs!$B$27+Inputs!$B$29,MAX(0,(Inputs!$B$3-100)*3)+Inputs!$B$28+Inputs!$B$29)))</f>
        <v/>
      </c>
      <c r="E1049">
        <f>INDEX(FactorTable!$B$2:$Y$301, MATCH(ROUND(MIN(300,MAX(1,D1049)),0), FactorTable!$A$2:$A$301,0), Skills!M8+1)</f>
        <v/>
      </c>
      <c r="F1049">
        <f>IF(Skills!N8=TRUE,(Skills!L8/10)*(E1049/1000),Skills!L8/10)+Skills!O8</f>
        <v/>
      </c>
      <c r="G1049">
        <f>Skills!G8*IF(Skills!H8&gt;0,Skills!I8/Skills!H8,1)</f>
        <v/>
      </c>
      <c r="H1049">
        <f>1-(1-Skills!J8/100)^Skills!K8</f>
        <v/>
      </c>
      <c r="I1049" t="inlineStr">
        <is>
          <t>1</t>
        </is>
      </c>
      <c r="J1049">
        <f>((Inputs!$B$6*(1+Inputs!$B$7/100))+(((Inputs!$B$12*(1+Inputs!$B$13/100))-(Inputs!$B$12*(1+Inputs!$B$13/100)))+0.25*(Inputs!$B$14-Inputs!$B$14))*(1+Inputs!$B$7/100))*(F1049/100)</f>
        <v/>
      </c>
      <c r="K1049">
        <f>J1049*(1+((Inputs!$B$12*(1+Inputs!$B$13/100))*0.01+Inputs!$B$14*0.0025)/100)*(1+Inputs!$B$15/100)*(1+Inputs!$B$16/100)*(5000/(6000+Inputs!$B$42*(1-(Inputs!$B$19+0)/100)))*(1+(Inputs!$B$24+((C1066=TRUE)*(F1066-Calc!F25))+B1076)/100)*(1+IF(Skills!A8="ENHANCED_RAGING_BLOW",IF(Inputs!$B$3&gt;=134,MAX(0,IF(Inputs!$B$3&gt;=110,7,5)-5)*50,0),0)/100)*(1+(IF(Skills!A8="RAGING_BLOW",Inputs!$B$17+((C1062=TRUE)*(F1062-Calc!F21)),Inputs!$B$18+((C1064=TRUE)*(F1064-Calc!F23))))/100)*((1+(((C1054=TRUE)*F1054*IF(Inputs!$B$3&gt;=110,7,5))+((C1056=TRUE)*F1056*IF(AND(Inputs!$B$38&lt;&gt;"pvp",Inputs!$B$43&gt;0),(((R1056-1)*(Skills!T15*(1+Inputs!$B$34/100))+MIN((Skills!T15*(1+Inputs!$B$34/100)),MAX(0,Inputs!$B$43-((R1056-1)*Skills!D15))))/Inputs!$B$43),IF(Inputs!$B$38="pvp",MIN((Skills!T15*(1+Inputs!$B$34/100)),15)/15,(Skills!T15*(1+Inputs!$B$34/100))/Skills!D15)))+0)/100)*I1049)</f>
        <v/>
      </c>
      <c r="L1049">
        <f>K1049*(MIN(Inputs!$B$22+((C1063=TRUE)*(F1063-Calc!F22)),Inputs!$B$23+((C1065=TRUE)*(F1065-Calc!F24)))/100+(Inputs!$B$23+((C1065=TRUE)*(F1065-Calc!F24)))/100)/2</f>
        <v/>
      </c>
      <c r="M1049">
        <f>L1049*(1+(Inputs!$B$10+0+B1075)/100)</f>
        <v/>
      </c>
      <c r="N1049">
        <f>L1049*(1-MIN((Inputs!$B$9+((C1067=TRUE)*(F1067-Calc!F26))+B1070),100)/100)+M1049*(MIN((Inputs!$B$9+((C1067=TRUE)*(F1067-Calc!F26))+B1070),100)/100)</f>
        <v/>
      </c>
      <c r="O1049">
        <f>(1-Summary!$B$55)*T1049+Summary!$B$55*V1049</f>
        <v/>
      </c>
      <c r="P1049">
        <f>IF(B1080=0,0,O1049/B1080)</f>
        <v/>
      </c>
      <c r="Q1049">
        <f>IFERROR(1/IF(Inputs!$B$38="pvp",15,MAX(0.1,Skills!D8-IF(Skills!E8=TRUE,Inputs!$B$32,0))),0)</f>
        <v/>
      </c>
      <c r="R1049">
        <f>IF(AND(Inputs!$B$38&lt;&gt;"pvp",Inputs!$B$43&gt;0),IF(MAX(0,Inputs!$B$43-B1077)&lt;=0,0,(INT(MAX(0,Inputs!$B$43-B1077)/IF(Inputs!$B$38="pvp",15,MAX(0.1,Skills!D8-IF(Skills!E8=TRUE,Inputs!$B$32,0))))+1)),0)</f>
        <v/>
      </c>
      <c r="S1049">
        <f>IFERROR(O1049/N1049,0)</f>
        <v/>
      </c>
      <c r="T1049">
        <f>IF(C1049,(H1049*N1049*IF(AND(Inputs!$B$38&lt;&gt;"pvp",Inputs!$B$43&gt;0),((Skills!G8*((R1049-1)*IF(Skills!H8&gt;0,Skills!I8/Skills!H8,1)+IF(Skills!H8&gt;0,MIN(Skills!I8,MAX(0,MAX(0,Inputs!$B$43-B1077)-((R1049-1)*IF(Inputs!$B$38="pvp",15,MAX(0.1,Skills!D8-IF(Skills!E8=TRUE,Inputs!$B$32,0))))))/Skills!H8,1)))/Inputs!$B$43),G1049*Q1049))*IF(Inputs!$B$38="pvp",1,1+(Inputs!$B$20+0+Skills!P8+Summary!$B$59)/100),0)</f>
        <v/>
      </c>
      <c r="V1049">
        <f>IF(C1049,(H1049*N1049*IF(AND(Inputs!$B$38&lt;&gt;"pvp",Inputs!$B$43&gt;0),((Skills!G8*((R1049-1)*IF(Skills!H8&gt;0,Skills!I8/Skills!H8,1)+IF(Skills!H8&gt;0,MIN(Skills!I8,MAX(0,MAX(0,Inputs!$B$43-B1077)-((R1049-1)*IF(Inputs!$B$38="pvp",15,MAX(0.1,Skills!D8-IF(Skills!E8=TRUE,Inputs!$B$32,0))))))/Skills!H8,1)))/Inputs!$B$43),G1049*Q1049))*IF(Inputs!$B$38="pvp",1,(1+(Inputs!$B$21+Skills!Q8+Summary!$B$59)/100)*(MIN(Skills!R8,Inputs!$B$37))),0)</f>
        <v/>
      </c>
    </row>
    <row r="1050">
      <c r="A1050">
        <f>Skills!A9</f>
        <v/>
      </c>
      <c r="B1050">
        <f>Skills!B9</f>
        <v/>
      </c>
      <c r="C1050">
        <f>Inputs!$B$3&gt;=69</f>
        <v/>
      </c>
      <c r="D1050">
        <f>IF(Skills!C9=1,60+Inputs!$B$25+Inputs!$B$29,IF(Skills!C9=2,90+Inputs!$B$26+Inputs!$B$29,IF(Skills!C9=3,120+Inputs!$B$27+Inputs!$B$29,MAX(0,(Inputs!$B$3-100)*3)+Inputs!$B$28+Inputs!$B$29)))</f>
        <v/>
      </c>
      <c r="E1050">
        <f>INDEX(FactorTable!$B$2:$Y$301, MATCH(ROUND(MIN(300,MAX(1,D1050)),0), FactorTable!$A$2:$A$301,0), Skills!M9+1)</f>
        <v/>
      </c>
      <c r="F1050">
        <f>IF(Skills!N9=TRUE,(Skills!L9/10)*(E1050/1000),Skills!L9/10)+Skills!O9</f>
        <v/>
      </c>
      <c r="G1050">
        <f>Skills!G9*IF(Skills!H9&gt;0,Skills!I9/Skills!H9,1)</f>
        <v/>
      </c>
      <c r="H1050">
        <f>1-(1-Skills!J9/100)^Skills!K9</f>
        <v/>
      </c>
      <c r="I1050" t="inlineStr">
        <is>
          <t>1</t>
        </is>
      </c>
      <c r="J1050">
        <f>((Inputs!$B$6*(1+Inputs!$B$7/100))+(((Inputs!$B$12*(1+Inputs!$B$13/100))-(Inputs!$B$12*(1+Inputs!$B$13/100)))+0.25*(Inputs!$B$14-Inputs!$B$14))*(1+Inputs!$B$7/100))*(F1050/100)</f>
        <v/>
      </c>
      <c r="K1050">
        <f>J1050*(1+((Inputs!$B$12*(1+Inputs!$B$13/100))*0.01+Inputs!$B$14*0.0025)/100)*(1+Inputs!$B$15/100)*(1+Inputs!$B$16/100)*(5000/(6000+Inputs!$B$42*(1-(Inputs!$B$19+0)/100)))*(1+(Inputs!$B$24+((C1066=TRUE)*(F1066-Calc!F25))+B1076)/100)*(1+1.0*IF(C1053=TRUE,F1053,0)/100)*(1+IF(Skills!A9="ENHANCED_RAGING_BLOW",IF(Inputs!$B$3&gt;=134,MAX(0,IF(Inputs!$B$3&gt;=110,7,5)-5)*50,0),0)/100)*(1+(IF(Skills!A9="RAGING_BLOW",Inputs!$B$17+((C1062=TRUE)*(F1062-Calc!F21)),Inputs!$B$18+((C1064=TRUE)*(F1064-Calc!F23))))/100)*((1+(((C1054=TRUE)*F1054*IF(Inputs!$B$3&gt;=110,7,5))+((C1056=TRUE)*F1056*IF(AND(Inputs!$B$38&lt;&gt;"pvp",Inputs!$B$43&gt;0),(((R1056-1)*(Skills!T15*(1+Inputs!$B$34/100))+MIN((Skills!T15*(1+Inputs!$B$34/100)),MAX(0,Inputs!$B$43-((R1056-1)*Skills!D15))))/Inputs!$B$43),IF(Inputs!$B$38="pvp",MIN((Skills!T15*(1+Inputs!$B$34/100)),15)/15,(Skills!T15*(1+Inputs!$B$34/100))/Skills!D15)))+0)/100)*I1050)</f>
        <v/>
      </c>
      <c r="L1050">
        <f>K1050*(MIN(Inputs!$B$22+((C1063=TRUE)*(F1063-Calc!F22)),Inputs!$B$23+((C1065=TRUE)*(F1065-Calc!F24)))/100+(Inputs!$B$23+((C1065=TRUE)*(F1065-Calc!F24)))/100)/2</f>
        <v/>
      </c>
      <c r="M1050">
        <f>L1050*(1+(Inputs!$B$10+0+B1075)/100)</f>
        <v/>
      </c>
      <c r="N1050">
        <f>L1050*(1-MIN((Inputs!$B$9+((C1067=TRUE)*(F1067-Calc!F26))+B1070),100)/100)+M1050*(MIN((Inputs!$B$9+((C1067=TRUE)*(F1067-Calc!F26))+B1070),100)/100)</f>
        <v/>
      </c>
      <c r="O1050">
        <f>(1-Summary!$B$55)*T1050+Summary!$B$55*V1050</f>
        <v/>
      </c>
      <c r="P1050">
        <f>IF(B1080=0,0,O1050/B1080)</f>
        <v/>
      </c>
      <c r="Q1050">
        <f>IFERROR(1/IF(Inputs!$B$38="pvp",15,MAX(0.1,Skills!D9-IF(Skills!E9=TRUE,Inputs!$B$32,0))),0)</f>
        <v/>
      </c>
      <c r="R1050">
        <f>IF(AND(Inputs!$B$38&lt;&gt;"pvp",Inputs!$B$43&gt;0),IF(MAX(0,Inputs!$B$43-B1077)&lt;=0,0,(INT(MAX(0,Inputs!$B$43-B1077)/IF(Inputs!$B$38="pvp",15,MAX(0.1,Skills!D9-IF(Skills!E9=TRUE,Inputs!$B$32,0))))+1)),0)</f>
        <v/>
      </c>
      <c r="S1050">
        <f>IFERROR(O1050/N1050,0)</f>
        <v/>
      </c>
      <c r="T1050">
        <f>IF(C1050,(H1050*N1050*IF(AND(Inputs!$B$38&lt;&gt;"pvp",Inputs!$B$43&gt;0),((Skills!G9*((R1050-1)*IF(Skills!H9&gt;0,Skills!I9/Skills!H9,1)+IF(Skills!H9&gt;0,MIN(Skills!I9,MAX(0,MAX(0,Inputs!$B$43-B1077)-((R1050-1)*IF(Inputs!$B$38="pvp",15,MAX(0.1,Skills!D9-IF(Skills!E9=TRUE,Inputs!$B$32,0))))))/Skills!H9,1)))/Inputs!$B$43),G1050*Q1050))*IF(Inputs!$B$38="pvp",1,1+(Inputs!$B$20+0+Skills!P9+Summary!$B$59)/100),0)</f>
        <v/>
      </c>
      <c r="V1050">
        <f>IF(C1050,(H1050*N1050*IF(AND(Inputs!$B$38&lt;&gt;"pvp",Inputs!$B$43&gt;0),((Skills!G9*((R1050-1)*IF(Skills!H9&gt;0,Skills!I9/Skills!H9,1)+IF(Skills!H9&gt;0,MIN(Skills!I9,MAX(0,MAX(0,Inputs!$B$43-B1077)-((R1050-1)*IF(Inputs!$B$38="pvp",15,MAX(0.1,Skills!D9-IF(Skills!E9=TRUE,Inputs!$B$32,0))))))/Skills!H9,1)))/Inputs!$B$43),G1050*Q1050))*IF(Inputs!$B$38="pvp",1,(1+(Inputs!$B$21+Skills!Q9+Summary!$B$59)/100)*(MIN(Skills!R9,Inputs!$B$37))),0)</f>
        <v/>
      </c>
    </row>
    <row r="1051">
      <c r="A1051">
        <f>Skills!A10</f>
        <v/>
      </c>
      <c r="B1051">
        <f>Skills!B10</f>
        <v/>
      </c>
      <c r="C1051">
        <f>Inputs!$B$3&gt;=63</f>
        <v/>
      </c>
      <c r="D1051">
        <f>IF(Skills!C10=1,60+Inputs!$B$25+Inputs!$B$29,IF(Skills!C10=2,90+Inputs!$B$26+Inputs!$B$29,IF(Skills!C10=3,120+Inputs!$B$27+Inputs!$B$29,MAX(0,(Inputs!$B$3-100)*3)+Inputs!$B$28+Inputs!$B$29)))</f>
        <v/>
      </c>
      <c r="E1051">
        <f>INDEX(FactorTable!$B$2:$Y$301, MATCH(ROUND(MIN(300,MAX(1,D1051)),0), FactorTable!$A$2:$A$301,0), Skills!M10+1)</f>
        <v/>
      </c>
      <c r="F1051">
        <f>IF(Skills!N10=TRUE,(Skills!L10/10)*(E1051/1000),Skills!L10/10)+Skills!O10</f>
        <v/>
      </c>
      <c r="G1051">
        <f>Skills!G10*IF(Skills!H10&gt;0,Skills!I10/Skills!H10,1)</f>
        <v/>
      </c>
      <c r="H1051">
        <f>1-(1-Skills!J10/100)^Skills!K10</f>
        <v/>
      </c>
      <c r="I1051" t="inlineStr">
        <is>
          <t>1</t>
        </is>
      </c>
      <c r="J1051">
        <f>((Inputs!$B$6*(1+Inputs!$B$7/100))+(((Inputs!$B$12*(1+Inputs!$B$13/100))-(Inputs!$B$12*(1+Inputs!$B$13/100)))+0.25*(Inputs!$B$14-Inputs!$B$14))*(1+Inputs!$B$7/100))*(F1051/100)</f>
        <v/>
      </c>
      <c r="K1051">
        <f>J1051*(1+((Inputs!$B$12*(1+Inputs!$B$13/100))*0.01+Inputs!$B$14*0.0025)/100)*(1+Inputs!$B$15/100)*(1+Inputs!$B$16/100)*(5000/(6000+Inputs!$B$42*(1-(Inputs!$B$19+0)/100)))*(1+(Inputs!$B$24+((C1066=TRUE)*(F1066-Calc!F25))+B1076)/100)*(1+1.5*IF(C1053=TRUE,F1053,0)/100)*(1+IF(Skills!A10="ENHANCED_RAGING_BLOW",IF(Inputs!$B$3&gt;=134,MAX(0,IF(Inputs!$B$3&gt;=110,7,5)-5)*50,0),0)/100)*(1+(IF(Skills!A10="RAGING_BLOW",Inputs!$B$17+((C1062=TRUE)*(F1062-Calc!F21)),Inputs!$B$18+((C1064=TRUE)*(F1064-Calc!F23))))/100)*((1+(((C1054=TRUE)*F1054*IF(Inputs!$B$3&gt;=110,7,5))+((C1056=TRUE)*F1056*IF(AND(Inputs!$B$38&lt;&gt;"pvp",Inputs!$B$43&gt;0),(((R1056-1)*(Skills!T15*(1+Inputs!$B$34/100))+MIN((Skills!T15*(1+Inputs!$B$34/100)),MAX(0,Inputs!$B$43-((R1056-1)*Skills!D15))))/Inputs!$B$43),IF(Inputs!$B$38="pvp",MIN((Skills!T15*(1+Inputs!$B$34/100)),15)/15,(Skills!T15*(1+Inputs!$B$34/100))/Skills!D15)))+0)/100)*I1051)</f>
        <v/>
      </c>
      <c r="L1051">
        <f>K1051*(MIN(Inputs!$B$22+((C1063=TRUE)*(F1063-Calc!F22)),Inputs!$B$23+((C1065=TRUE)*(F1065-Calc!F24)))/100+(Inputs!$B$23+((C1065=TRUE)*(F1065-Calc!F24)))/100)/2</f>
        <v/>
      </c>
      <c r="M1051">
        <f>L1051*(1+(Inputs!$B$10+0+B1075)/100)</f>
        <v/>
      </c>
      <c r="N1051">
        <f>L1051*(1-MIN((Inputs!$B$9+((C1067=TRUE)*(F1067-Calc!F26))+B1070),100)/100)+M1051*(MIN((Inputs!$B$9+((C1067=TRUE)*(F1067-Calc!F26))+B1070),100)/100)</f>
        <v/>
      </c>
      <c r="O1051">
        <f>(1-Summary!$B$55)*T1051+Summary!$B$55*V1051</f>
        <v/>
      </c>
      <c r="P1051">
        <f>IF(B1080=0,0,O1051/B1080)</f>
        <v/>
      </c>
      <c r="Q1051">
        <f>IFERROR(1/IF(Inputs!$B$38="pvp",15,MAX(0.1,Skills!D10-IF(Skills!E10=TRUE,Inputs!$B$32,0))),0)</f>
        <v/>
      </c>
      <c r="R1051">
        <f>IF(AND(Inputs!$B$38&lt;&gt;"pvp",Inputs!$B$43&gt;0),IF(MAX(0,Inputs!$B$43-B1077)&lt;=0,0,(INT(MAX(0,Inputs!$B$43-B1077)/IF(Inputs!$B$38="pvp",15,MAX(0.1,Skills!D10-IF(Skills!E10=TRUE,Inputs!$B$32,0))))+1)),0)</f>
        <v/>
      </c>
      <c r="S1051">
        <f>IFERROR(O1051/N1051,0)</f>
        <v/>
      </c>
      <c r="T1051">
        <f>IF(C1051,(H1051*N1051*IF(AND(Inputs!$B$38&lt;&gt;"pvp",Inputs!$B$43&gt;0),((Skills!G10*((R1051-1)*IF(Skills!H10&gt;0,Skills!I10/Skills!H10,1)+IF(Skills!H10&gt;0,MIN(Skills!I10,MAX(0,MAX(0,Inputs!$B$43-B1077)-((R1051-1)*IF(Inputs!$B$38="pvp",15,MAX(0.1,Skills!D10-IF(Skills!E10=TRUE,Inputs!$B$32,0))))))/Skills!H10,1)))/Inputs!$B$43),G1051*Q1051))*IF(Inputs!$B$38="pvp",1,1+(Inputs!$B$20+0+Skills!P10+Summary!$B$59)/100),0)</f>
        <v/>
      </c>
      <c r="V1051">
        <f>IF(C1051,(H1051*N1051*IF(AND(Inputs!$B$38&lt;&gt;"pvp",Inputs!$B$43&gt;0),((Skills!G10*((R1051-1)*IF(Skills!H10&gt;0,Skills!I10/Skills!H10,1)+IF(Skills!H10&gt;0,MIN(Skills!I10,MAX(0,MAX(0,Inputs!$B$43-B1077)-((R1051-1)*IF(Inputs!$B$38="pvp",15,MAX(0.1,Skills!D10-IF(Skills!E10=TRUE,Inputs!$B$32,0))))))/Skills!H10,1)))/Inputs!$B$43),G1051*Q1051))*IF(Inputs!$B$38="pvp",1,(1+(Inputs!$B$21+Skills!Q10+Summary!$B$59)/100)*(MIN(Skills!R10,Inputs!$B$37))),0)</f>
        <v/>
      </c>
    </row>
    <row r="1052">
      <c r="A1052">
        <f>Skills!A11</f>
        <v/>
      </c>
      <c r="B1052">
        <f>Skills!B11</f>
        <v/>
      </c>
      <c r="C1052">
        <f>Inputs!$B$3&gt;=35</f>
        <v/>
      </c>
      <c r="D1052">
        <f>IF(Skills!C11=1,60+Inputs!$B$25+Inputs!$B$29,IF(Skills!C11=2,90+Inputs!$B$26+Inputs!$B$29,IF(Skills!C11=3,120+Inputs!$B$27+Inputs!$B$29,MAX(0,(Inputs!$B$3-100)*3)+Inputs!$B$28+Inputs!$B$29)))</f>
        <v/>
      </c>
      <c r="E1052">
        <f>INDEX(FactorTable!$B$2:$Y$301, MATCH(ROUND(MIN(300,MAX(1,D1052)),0), FactorTable!$A$2:$A$301,0), Skills!M11+1)</f>
        <v/>
      </c>
      <c r="F1052">
        <f>IF(Skills!N11=TRUE,(Skills!L11/10)*(E1052/1000),Skills!L11/10)+Skills!O11</f>
        <v/>
      </c>
      <c r="G1052">
        <f>Skills!G11*IF(Skills!H11&gt;0,Skills!I11/Skills!H11,1)</f>
        <v/>
      </c>
      <c r="H1052">
        <f>1-(1-Skills!J11/100)^Skills!K11</f>
        <v/>
      </c>
      <c r="I1052" t="inlineStr">
        <is>
          <t>1</t>
        </is>
      </c>
      <c r="J1052">
        <f>((Inputs!$B$6*(1+Inputs!$B$7/100))+(((Inputs!$B$12*(1+Inputs!$B$13/100))-(Inputs!$B$12*(1+Inputs!$B$13/100)))+0.25*(Inputs!$B$14-Inputs!$B$14))*(1+Inputs!$B$7/100))*(F1052/100)</f>
        <v/>
      </c>
      <c r="K1052">
        <f>J1052*(1+((Inputs!$B$12*(1+Inputs!$B$13/100))*0.01+Inputs!$B$14*0.0025)/100)*(1+Inputs!$B$15/100)*(1+Inputs!$B$16/100)*(5000/(6000+Inputs!$B$42*(1-(Inputs!$B$19+0)/100)))*(1+(Inputs!$B$24+((C1066=TRUE)*(F1066-Calc!F25))+B1076)/100)*(1+4.0*IF(C1053=TRUE,F1053,0)/100)*(1+IF(Skills!A11="ENHANCED_RAGING_BLOW",IF(Inputs!$B$3&gt;=134,MAX(0,IF(Inputs!$B$3&gt;=110,7,5)-5)*50,0),0)/100)*(1+(IF(Skills!A11="RAGING_BLOW",Inputs!$B$17+((C1062=TRUE)*(F1062-Calc!F21)),Inputs!$B$18+((C1064=TRUE)*(F1064-Calc!F23))))/100)*((1+(((C1054=TRUE)*F1054*IF(Inputs!$B$3&gt;=110,7,5))+((C1056=TRUE)*F1056*IF(AND(Inputs!$B$38&lt;&gt;"pvp",Inputs!$B$43&gt;0),(((R1056-1)*(Skills!T15*(1+Inputs!$B$34/100))+MIN((Skills!T15*(1+Inputs!$B$34/100)),MAX(0,Inputs!$B$43-((R1056-1)*Skills!D15))))/Inputs!$B$43),IF(Inputs!$B$38="pvp",MIN((Skills!T15*(1+Inputs!$B$34/100)),15)/15,(Skills!T15*(1+Inputs!$B$34/100))/Skills!D15)))+0)/100)*I1052)</f>
        <v/>
      </c>
      <c r="L1052">
        <f>K1052*(MIN(Inputs!$B$22+((C1063=TRUE)*(F1063-Calc!F22)),Inputs!$B$23+((C1065=TRUE)*(F1065-Calc!F24)))/100+(Inputs!$B$23+((C1065=TRUE)*(F1065-Calc!F24)))/100)/2</f>
        <v/>
      </c>
      <c r="M1052">
        <f>L1052*(1+(Inputs!$B$10+0+B1075)/100)</f>
        <v/>
      </c>
      <c r="N1052">
        <f>L1052*(1-MIN((Inputs!$B$9+((C1067=TRUE)*(F1067-Calc!F26))+B1070),100)/100)+M1052*(MIN((Inputs!$B$9+((C1067=TRUE)*(F1067-Calc!F26))+B1070),100)/100)</f>
        <v/>
      </c>
      <c r="O1052">
        <f>(1-Summary!$B$55)*T1052+Summary!$B$55*V1052</f>
        <v/>
      </c>
      <c r="P1052">
        <f>IF(B1080=0,0,O1052/B1080)</f>
        <v/>
      </c>
      <c r="Q1052">
        <f>IFERROR(1/IF(Inputs!$B$38="pvp",15,MAX(0.1,Skills!D11-IF(Skills!E11=TRUE,Inputs!$B$32,0))),0)</f>
        <v/>
      </c>
      <c r="R1052">
        <f>IF(AND(Inputs!$B$38&lt;&gt;"pvp",Inputs!$B$43&gt;0),IF(MAX(0,Inputs!$B$43-B1077)&lt;=0,0,(INT(MAX(0,Inputs!$B$43-B1077)/IF(Inputs!$B$38="pvp",15,MAX(0.1,Skills!D11-IF(Skills!E11=TRUE,Inputs!$B$32,0))))+1)),0)</f>
        <v/>
      </c>
      <c r="S1052">
        <f>IFERROR(O1052/N1052,0)</f>
        <v/>
      </c>
      <c r="T1052">
        <f>IF(C1052,(H1052*N1052*IF(AND(Inputs!$B$38&lt;&gt;"pvp",Inputs!$B$43&gt;0),((Skills!G11*((R1052-1)*IF(Skills!H11&gt;0,Skills!I11/Skills!H11,1)+IF(Skills!H11&gt;0,MIN(Skills!I11,MAX(0,MAX(0,Inputs!$B$43-B1077)-((R1052-1)*IF(Inputs!$B$38="pvp",15,MAX(0.1,Skills!D11-IF(Skills!E11=TRUE,Inputs!$B$32,0))))))/Skills!H11,1)))/Inputs!$B$43),G1052*Q1052))*IF(Inputs!$B$38="pvp",1,1+(Inputs!$B$20+0+Skills!P11+Summary!$B$59)/100),0)</f>
        <v/>
      </c>
      <c r="V1052">
        <f>IF(C1052,(H1052*N1052*IF(AND(Inputs!$B$38&lt;&gt;"pvp",Inputs!$B$43&gt;0),((Skills!G11*((R1052-1)*IF(Skills!H11&gt;0,Skills!I11/Skills!H11,1)+IF(Skills!H11&gt;0,MIN(Skills!I11,MAX(0,MAX(0,Inputs!$B$43-B1077)-((R1052-1)*IF(Inputs!$B$38="pvp",15,MAX(0.1,Skills!D11-IF(Skills!E11=TRUE,Inputs!$B$32,0))))))/Skills!H11,1)))/Inputs!$B$43),G1052*Q1052))*IF(Inputs!$B$38="pvp",1,(1+(Inputs!$B$21+Skills!Q11+Summary!$B$59)/100)*(MIN(Skills!R11,Inputs!$B$37))),0)</f>
        <v/>
      </c>
    </row>
    <row r="1053">
      <c r="A1053">
        <f>Skills!A12</f>
        <v/>
      </c>
      <c r="B1053">
        <f>Skills!B12</f>
        <v/>
      </c>
      <c r="C1053">
        <f>Inputs!$B$3&gt;=100</f>
        <v/>
      </c>
      <c r="D1053">
        <f>IF(Skills!C12=1,60+Inputs!$B$25+Inputs!$B$29,IF(Skills!C12=2,90+Inputs!$B$26+Inputs!$B$29,IF(Skills!C12=3,120+Inputs!$B$27+Inputs!$B$29,MAX(0,(Inputs!$B$3-100)*3)+Inputs!$B$28+Inputs!$B$29)))</f>
        <v/>
      </c>
      <c r="E1053">
        <f>INDEX(FactorTable!$B$2:$Y$301, MATCH(ROUND(MIN(300,MAX(1,D1053)),0), FactorTable!$A$2:$A$301,0), Skills!M12+1)</f>
        <v/>
      </c>
      <c r="F1053">
        <f>IF(Skills!N12=TRUE,(Skills!L12/10)*(E1053/1000),Skills!L12/10)+Skills!O12</f>
        <v/>
      </c>
      <c r="G1053" t="inlineStr"/>
      <c r="H1053" t="inlineStr"/>
      <c r="I1053" t="inlineStr">
        <is>
          <t>1</t>
        </is>
      </c>
      <c r="J1053" t="inlineStr"/>
      <c r="K1053" t="inlineStr"/>
      <c r="L1053" t="inlineStr"/>
      <c r="M1053" t="inlineStr"/>
      <c r="N1053" t="inlineStr"/>
      <c r="O1053" t="inlineStr"/>
      <c r="P1053" t="inlineStr"/>
      <c r="Q1053" t="inlineStr"/>
      <c r="R1053" t="inlineStr"/>
      <c r="S1053" t="inlineStr"/>
    </row>
    <row r="1054">
      <c r="A1054">
        <f>Skills!A13</f>
        <v/>
      </c>
      <c r="B1054">
        <f>Skills!B13</f>
        <v/>
      </c>
      <c r="C1054">
        <f>Inputs!$B$3&gt;=45</f>
        <v/>
      </c>
      <c r="D1054">
        <f>IF(Skills!C13=1,60+Inputs!$B$25+Inputs!$B$29,IF(Skills!C13=2,90+Inputs!$B$26+Inputs!$B$29,IF(Skills!C13=3,120+Inputs!$B$27+Inputs!$B$29,MAX(0,(Inputs!$B$3-100)*3)+Inputs!$B$28+Inputs!$B$29)))</f>
        <v/>
      </c>
      <c r="E1054">
        <f>INDEX(FactorTable!$B$2:$Y$301, MATCH(ROUND(MIN(300,MAX(1,D1054)),0), FactorTable!$A$2:$A$301,0), Skills!M13+1)</f>
        <v/>
      </c>
      <c r="F1054">
        <f>IF(Skills!N13=TRUE,(Skills!L13/10)*(E1054/1000),Skills!L13/10)+Skills!O13</f>
        <v/>
      </c>
      <c r="G1054">
        <f>Skills!G13*IF(Skills!H13&gt;0,Skills!I13/Skills!H13,1)</f>
        <v/>
      </c>
      <c r="H1054">
        <f>1-(1-Skills!J13/100)^Skills!K13</f>
        <v/>
      </c>
      <c r="I1054" t="inlineStr">
        <is>
          <t>1</t>
        </is>
      </c>
      <c r="J1054" t="inlineStr"/>
      <c r="K1054" t="inlineStr"/>
      <c r="L1054" t="inlineStr"/>
      <c r="M1054" t="inlineStr"/>
      <c r="N1054" t="inlineStr"/>
      <c r="O1054">
        <f>(1-Summary!$B$55)*T1054+Summary!$B$55*V1054</f>
        <v/>
      </c>
      <c r="P1054">
        <f>IF(B1080=0,0,O1054/B1080)</f>
        <v/>
      </c>
      <c r="Q1054" t="n">
        <v>0</v>
      </c>
      <c r="R1054" t="n">
        <v>0</v>
      </c>
      <c r="S1054">
        <f>IFERROR(O1054/N1054,0)</f>
        <v/>
      </c>
      <c r="T1054" t="n">
        <v>0</v>
      </c>
      <c r="V1054" t="n">
        <v>0</v>
      </c>
    </row>
    <row r="1055">
      <c r="A1055">
        <f>Skills!A14</f>
        <v/>
      </c>
      <c r="B1055">
        <f>Skills!B14</f>
        <v/>
      </c>
      <c r="C1055">
        <f>Inputs!$B$3&gt;=75</f>
        <v/>
      </c>
      <c r="D1055">
        <f>IF(Skills!C14=1,60+Inputs!$B$25+Inputs!$B$29,IF(Skills!C14=2,90+Inputs!$B$26+Inputs!$B$29,IF(Skills!C14=3,120+Inputs!$B$27+Inputs!$B$29,MAX(0,(Inputs!$B$3-100)*3)+Inputs!$B$28+Inputs!$B$29)))</f>
        <v/>
      </c>
      <c r="E1055">
        <f>INDEX(FactorTable!$B$2:$Y$301, MATCH(ROUND(MIN(300,MAX(1,D1055)),0), FactorTable!$A$2:$A$301,0), Skills!M14+1)</f>
        <v/>
      </c>
      <c r="F1055">
        <f>IF(Skills!N14=TRUE,(Skills!L14/10)*(E1055/1000),Skills!L14/10)+Skills!O14</f>
        <v/>
      </c>
      <c r="G1055">
        <f>Skills!G14*IF(Skills!H14&gt;0,Skills!I14/Skills!H14,1)</f>
        <v/>
      </c>
      <c r="H1055">
        <f>1-(1-Skills!J14/100)^Skills!K14</f>
        <v/>
      </c>
      <c r="I1055" t="inlineStr">
        <is>
          <t>1</t>
        </is>
      </c>
      <c r="J1055" t="inlineStr"/>
      <c r="K1055" t="inlineStr"/>
      <c r="L1055" t="inlineStr"/>
      <c r="M1055" t="inlineStr"/>
      <c r="N1055" t="inlineStr"/>
      <c r="O1055">
        <f>(1-Summary!$B$55)*T1055+Summary!$B$55*V1055</f>
        <v/>
      </c>
      <c r="P1055">
        <f>IF(B1080=0,0,O1055/B1080)</f>
        <v/>
      </c>
      <c r="Q1055" t="n">
        <v>0</v>
      </c>
      <c r="R1055" t="n">
        <v>0</v>
      </c>
      <c r="S1055">
        <f>IFERROR(O1055/N1055,0)</f>
        <v/>
      </c>
      <c r="T1055" t="n">
        <v>0</v>
      </c>
      <c r="V1055" t="n">
        <v>0</v>
      </c>
    </row>
    <row r="1056">
      <c r="A1056">
        <f>Skills!A15</f>
        <v/>
      </c>
      <c r="B1056">
        <f>Skills!B15</f>
        <v/>
      </c>
      <c r="C1056">
        <f>Inputs!$B$3&gt;=40</f>
        <v/>
      </c>
      <c r="D1056">
        <f>IF(Skills!C15=1,60+Inputs!$B$25+Inputs!$B$29,IF(Skills!C15=2,90+Inputs!$B$26+Inputs!$B$29,IF(Skills!C15=3,120+Inputs!$B$27+Inputs!$B$29,MAX(0,(Inputs!$B$3-100)*3)+Inputs!$B$28+Inputs!$B$29)))</f>
        <v/>
      </c>
      <c r="E1056">
        <f>INDEX(FactorTable!$B$2:$Y$301, MATCH(ROUND(MIN(300,MAX(1,D1056)),0), FactorTable!$A$2:$A$301,0), Skills!M15+1)</f>
        <v/>
      </c>
      <c r="F1056">
        <f>IF(Skills!N15=TRUE,(Skills!L15/10)*(E1056/1000),Skills!L15/10)+Skills!O15</f>
        <v/>
      </c>
      <c r="G1056">
        <f>Skills!G15*IF(Skills!H15&gt;0,Skills!I15/Skills!H15,1)</f>
        <v/>
      </c>
      <c r="H1056">
        <f>1-(1-Skills!J15/100)^Skills!K15</f>
        <v/>
      </c>
      <c r="I1056" t="inlineStr">
        <is>
          <t>1</t>
        </is>
      </c>
      <c r="J1056" t="inlineStr"/>
      <c r="K1056" t="inlineStr"/>
      <c r="L1056" t="inlineStr"/>
      <c r="M1056" t="inlineStr"/>
      <c r="N1056" t="inlineStr"/>
      <c r="O1056">
        <f>(1-Summary!$B$55)*T1056+Summary!$B$55*V1056</f>
        <v/>
      </c>
      <c r="P1056">
        <f>IF(B1080=0,0,O1056/B1080)</f>
        <v/>
      </c>
      <c r="Q1056">
        <f>IFERROR(1/IF(Inputs!$B$38="pvp",15,MAX(0.1,Skills!D15-IF(Skills!E15=TRUE,Inputs!$B$32,0))),0)</f>
        <v/>
      </c>
      <c r="R1056">
        <f>IF(AND(Inputs!$B$38&lt;&gt;"pvp",Inputs!$B$43&gt;0),IF(Inputs!$B$43&lt;=0,0,(INT(Inputs!$B$43/IF(Inputs!$B$38="pvp",15,MAX(0.1,Skills!D15-IF(Skills!E15=TRUE,Inputs!$B$32,0))))+1)),0)</f>
        <v/>
      </c>
      <c r="S1056">
        <f>IFERROR(O1056/N1056,0)</f>
        <v/>
      </c>
      <c r="T1056" t="n">
        <v>0</v>
      </c>
      <c r="V1056" t="n">
        <v>0</v>
      </c>
    </row>
    <row r="1057">
      <c r="A1057">
        <f>Skills!A16</f>
        <v/>
      </c>
      <c r="B1057">
        <f>Skills!B16</f>
        <v/>
      </c>
      <c r="C1057">
        <f>Inputs!$B$3&gt;=66</f>
        <v/>
      </c>
      <c r="D1057">
        <f>IF(Skills!C16=1,60+Inputs!$B$25+Inputs!$B$29,IF(Skills!C16=2,90+Inputs!$B$26+Inputs!$B$29,IF(Skills!C16=3,120+Inputs!$B$27+Inputs!$B$29,MAX(0,(Inputs!$B$3-100)*3)+Inputs!$B$28+Inputs!$B$29)))</f>
        <v/>
      </c>
      <c r="E1057">
        <f>INDEX(FactorTable!$B$2:$Y$301, MATCH(ROUND(MIN(300,MAX(1,D1057)),0), FactorTable!$A$2:$A$301,0), Skills!M16+1)</f>
        <v/>
      </c>
      <c r="F1057">
        <f>IF(Skills!N16=TRUE,(Skills!L16/10)*(E1057/1000),Skills!L16/10)+Skills!O16</f>
        <v/>
      </c>
      <c r="G1057">
        <f>Skills!G16*IF(Skills!H16&gt;0,Skills!I16/Skills!H16,1)</f>
        <v/>
      </c>
      <c r="H1057">
        <f>1-(1-Skills!J16/100)^Skills!K16</f>
        <v/>
      </c>
      <c r="I1057" t="inlineStr">
        <is>
          <t>1</t>
        </is>
      </c>
      <c r="J1057" t="inlineStr"/>
      <c r="K1057" t="inlineStr"/>
      <c r="L1057" t="inlineStr"/>
      <c r="M1057" t="inlineStr"/>
      <c r="N1057" t="inlineStr"/>
      <c r="O1057">
        <f>(1-Summary!$B$55)*T1057+Summary!$B$55*V1057</f>
        <v/>
      </c>
      <c r="P1057">
        <f>IF(B1080=0,0,O1057/B1080)</f>
        <v/>
      </c>
      <c r="Q1057">
        <f>IFERROR(1/IF(Inputs!$B$38="pvp",15,MAX(0.1,Skills!D16-IF(Skills!E16=TRUE,Inputs!$B$32,0))),0)</f>
        <v/>
      </c>
      <c r="R1057">
        <f>IF(AND(Inputs!$B$38&lt;&gt;"pvp",Inputs!$B$43&gt;0),IF(Inputs!$B$43&lt;=0,0,(INT(Inputs!$B$43/IF(Inputs!$B$38="pvp",15,MAX(0.1,Skills!D16-IF(Skills!E16=TRUE,Inputs!$B$32,0))))+1)),0)</f>
        <v/>
      </c>
      <c r="S1057">
        <f>IFERROR(O1057/N1057,0)</f>
        <v/>
      </c>
      <c r="T1057" t="n">
        <v>0</v>
      </c>
      <c r="V1057" t="n">
        <v>0</v>
      </c>
    </row>
    <row r="1058">
      <c r="A1058">
        <f>Skills!A17</f>
        <v/>
      </c>
      <c r="B1058">
        <f>Skills!B17</f>
        <v/>
      </c>
      <c r="C1058">
        <f>Inputs!$B$3&gt;=115</f>
        <v/>
      </c>
      <c r="D1058">
        <f>IF(Skills!C17=1,60+Inputs!$B$25+Inputs!$B$29,IF(Skills!C17=2,90+Inputs!$B$26+Inputs!$B$29,IF(Skills!C17=3,120+Inputs!$B$27+Inputs!$B$29,MAX(0,(Inputs!$B$3-100)*3)+Inputs!$B$28+Inputs!$B$29)))</f>
        <v/>
      </c>
      <c r="E1058">
        <f>INDEX(FactorTable!$B$2:$Y$301, MATCH(ROUND(MIN(300,MAX(1,D1058)),0), FactorTable!$A$2:$A$301,0), Skills!M17+1)</f>
        <v/>
      </c>
      <c r="F1058">
        <f>IF(Skills!N17=TRUE,(Skills!L17/10)*(E1058/1000),Skills!L17/10)+Skills!O17</f>
        <v/>
      </c>
      <c r="G1058">
        <f>Skills!G17*IF(Skills!H17&gt;0,Skills!I17/Skills!H17,1)</f>
        <v/>
      </c>
      <c r="H1058">
        <f>1-(1-Skills!J17/100)^Skills!K17</f>
        <v/>
      </c>
      <c r="I1058" t="inlineStr">
        <is>
          <t>1</t>
        </is>
      </c>
      <c r="J1058" t="inlineStr"/>
      <c r="K1058" t="inlineStr"/>
      <c r="L1058" t="inlineStr"/>
      <c r="M1058" t="inlineStr"/>
      <c r="N1058" t="inlineStr"/>
      <c r="O1058">
        <f>(1-Summary!$B$55)*T1058+Summary!$B$55*V1058</f>
        <v/>
      </c>
      <c r="P1058">
        <f>IF(B1080=0,0,O1058/B1080)</f>
        <v/>
      </c>
      <c r="Q1058">
        <f>IFERROR(1/IF(Inputs!$B$38="pvp",15,MAX(0.1,Skills!D17-IF(Skills!E17=TRUE,Inputs!$B$32,0))),0)</f>
        <v/>
      </c>
      <c r="R1058">
        <f>IF(AND(Inputs!$B$38&lt;&gt;"pvp",Inputs!$B$43&gt;0),IF(Inputs!$B$43&lt;=0,0,(INT(Inputs!$B$43/IF(Inputs!$B$38="pvp",15,MAX(0.1,Skills!D17-IF(Skills!E17=TRUE,Inputs!$B$32,0))))+1)),0)</f>
        <v/>
      </c>
      <c r="S1058">
        <f>IFERROR(O1058/N1058,0)</f>
        <v/>
      </c>
      <c r="T1058" t="n">
        <v>0</v>
      </c>
      <c r="V1058" t="n">
        <v>0</v>
      </c>
    </row>
    <row r="1059">
      <c r="A1059">
        <f>Skills!A18</f>
        <v/>
      </c>
      <c r="B1059">
        <f>Skills!B18</f>
        <v/>
      </c>
      <c r="C1059">
        <f>Inputs!$B$3&gt;=115</f>
        <v/>
      </c>
      <c r="D1059">
        <f>IF(Skills!C18=1,60+Inputs!$B$25+Inputs!$B$29,IF(Skills!C18=2,90+Inputs!$B$26+Inputs!$B$29,IF(Skills!C18=3,120+Inputs!$B$27+Inputs!$B$29,MAX(0,(Inputs!$B$3-100)*3)+Inputs!$B$28+Inputs!$B$29)))</f>
        <v/>
      </c>
      <c r="E1059">
        <f>INDEX(FactorTable!$B$2:$Y$301, MATCH(ROUND(MIN(300,MAX(1,D1059)),0), FactorTable!$A$2:$A$301,0), Skills!M18+1)</f>
        <v/>
      </c>
      <c r="F1059">
        <f>IF(Skills!N18=TRUE,(Skills!L18/10)*(E1059/1000),Skills!L18/10)+Skills!O18</f>
        <v/>
      </c>
      <c r="G1059">
        <f>Skills!G18*IF(Skills!H18&gt;0,Skills!I18/Skills!H18,1)</f>
        <v/>
      </c>
      <c r="H1059">
        <f>1-(1-Skills!J18/100)^Skills!K18</f>
        <v/>
      </c>
      <c r="I1059" t="inlineStr">
        <is>
          <t>1</t>
        </is>
      </c>
      <c r="J1059" t="inlineStr"/>
      <c r="K1059" t="inlineStr"/>
      <c r="L1059" t="inlineStr"/>
      <c r="M1059" t="inlineStr"/>
      <c r="N1059" t="inlineStr"/>
      <c r="O1059">
        <f>(1-Summary!$B$55)*T1059+Summary!$B$55*V1059</f>
        <v/>
      </c>
      <c r="P1059">
        <f>IF(B1080=0,0,O1059/B1080)</f>
        <v/>
      </c>
      <c r="Q1059">
        <f>IFERROR(1/IF(Inputs!$B$38="pvp",15,MAX(0.1,Skills!D18-IF(Skills!E18=TRUE,Inputs!$B$32,0))),0)</f>
        <v/>
      </c>
      <c r="R1059">
        <f>IF(AND(Inputs!$B$38&lt;&gt;"pvp",Inputs!$B$43&gt;0),IF(Inputs!$B$43&lt;=0,0,(INT(Inputs!$B$43/IF(Inputs!$B$38="pvp",15,MAX(0.1,Skills!D18-IF(Skills!E18=TRUE,Inputs!$B$32,0))))+1)),0)</f>
        <v/>
      </c>
      <c r="S1059">
        <f>IFERROR(O1059/N1059,0)</f>
        <v/>
      </c>
      <c r="T1059" t="n">
        <v>0</v>
      </c>
      <c r="V1059" t="n">
        <v>0</v>
      </c>
    </row>
    <row r="1060">
      <c r="A1060">
        <f>Skills!A19</f>
        <v/>
      </c>
      <c r="B1060">
        <f>Skills!B19</f>
        <v/>
      </c>
      <c r="C1060">
        <f>TRUE</f>
        <v/>
      </c>
      <c r="D1060">
        <f>IF(Skills!C19=1,60+Inputs!$B$25+Inputs!$B$29,IF(Skills!C19=2,90+Inputs!$B$26+Inputs!$B$29,IF(Skills!C19=3,120+Inputs!$B$27+Inputs!$B$29,MAX(0,(Inputs!$B$3-100)*3)+Inputs!$B$28+Inputs!$B$29)))</f>
        <v/>
      </c>
      <c r="E1060">
        <f>INDEX(FactorTable!$B$2:$Y$301, MATCH(ROUND(MIN(300,MAX(1,D1060)),0), FactorTable!$A$2:$A$301,0), Skills!M19+1)</f>
        <v/>
      </c>
      <c r="F1060">
        <f>IF(Skills!N19=TRUE,(Skills!L19/10)*(E1060/1000),Skills!L19/10)+Skills!O19</f>
        <v/>
      </c>
      <c r="G1060">
        <f>Skills!G19*IF(Skills!H19&gt;0,Skills!I19/Skills!H19,1)</f>
        <v/>
      </c>
      <c r="H1060">
        <f>1-(1-Skills!J19/100)^Skills!K19</f>
        <v/>
      </c>
      <c r="I1060" t="inlineStr">
        <is>
          <t>1</t>
        </is>
      </c>
      <c r="J1060" t="inlineStr"/>
      <c r="K1060" t="inlineStr"/>
      <c r="L1060" t="inlineStr"/>
      <c r="M1060" t="inlineStr"/>
      <c r="N1060" t="inlineStr"/>
      <c r="O1060">
        <f>(1-Summary!$B$55)*T1060+Summary!$B$55*V1060</f>
        <v/>
      </c>
      <c r="P1060">
        <f>IF(B1080=0,0,O1060/B1080)</f>
        <v/>
      </c>
      <c r="Q1060">
        <f>IFERROR(1/IF(Inputs!$B$38="pvp",15,MAX(0.1,Skills!D19-IF(Skills!E19=TRUE,Inputs!$B$32,0))),0)</f>
        <v/>
      </c>
      <c r="R1060">
        <f>IF(AND(Inputs!$B$38&lt;&gt;"pvp",Inputs!$B$43&gt;0),IF(Inputs!$B$43&lt;=0,0,(INT(Inputs!$B$43/IF(Inputs!$B$38="pvp",15,MAX(0.1,Skills!D19-IF(Skills!E19=TRUE,Inputs!$B$32,0))))+1)),0)</f>
        <v/>
      </c>
      <c r="S1060">
        <f>IFERROR(O1060/N1060,0)</f>
        <v/>
      </c>
      <c r="T1060" t="n">
        <v>0</v>
      </c>
      <c r="V1060" t="n">
        <v>0</v>
      </c>
    </row>
    <row r="1061">
      <c r="A1061">
        <f>Skills!A20</f>
        <v/>
      </c>
      <c r="B1061">
        <f>Skills!B20</f>
        <v/>
      </c>
      <c r="C1061">
        <f>Inputs!$B$3&gt;=33</f>
        <v/>
      </c>
      <c r="D1061">
        <f>IF(Skills!C20=1,60+Inputs!$B$25+Inputs!$B$29,IF(Skills!C20=2,90+Inputs!$B$26+Inputs!$B$29,IF(Skills!C20=3,120+Inputs!$B$27+Inputs!$B$29,MAX(0,(Inputs!$B$3-100)*3)+Inputs!$B$28+Inputs!$B$29)))</f>
        <v/>
      </c>
      <c r="E1061">
        <f>INDEX(FactorTable!$B$2:$Y$301, MATCH(ROUND(MIN(300,MAX(1,D1061)),0), FactorTable!$A$2:$A$301,0), Skills!M20+1)</f>
        <v/>
      </c>
      <c r="F1061">
        <f>IF(Skills!N20=TRUE,(Skills!L20/10)*(E1061/1000),Skills!L20/10)+Skills!O20</f>
        <v/>
      </c>
      <c r="G1061">
        <f>Skills!G20*IF(Skills!H20&gt;0,Skills!I20/Skills!H20,1)</f>
        <v/>
      </c>
      <c r="H1061">
        <f>1-(1-Skills!J20/100)^Skills!K20</f>
        <v/>
      </c>
      <c r="I1061" t="inlineStr">
        <is>
          <t>1</t>
        </is>
      </c>
      <c r="J1061" t="inlineStr"/>
      <c r="K1061" t="inlineStr"/>
      <c r="L1061" t="inlineStr"/>
      <c r="M1061" t="inlineStr"/>
      <c r="N1061" t="inlineStr"/>
      <c r="O1061">
        <f>(1-Summary!$B$55)*T1061+Summary!$B$55*V1061</f>
        <v/>
      </c>
      <c r="P1061">
        <f>IF(B1080=0,0,O1061/B1080)</f>
        <v/>
      </c>
      <c r="Q1061" t="n">
        <v>0</v>
      </c>
      <c r="R1061" t="n">
        <v>0</v>
      </c>
      <c r="S1061">
        <f>IFERROR(O1061/N1061,0)</f>
        <v/>
      </c>
      <c r="T1061" t="n">
        <v>0</v>
      </c>
      <c r="V1061" t="n">
        <v>0</v>
      </c>
    </row>
    <row r="1062">
      <c r="A1062">
        <f>Skills!A21</f>
        <v/>
      </c>
      <c r="B1062">
        <f>Skills!B21</f>
        <v/>
      </c>
      <c r="C1062">
        <f>Inputs!$B$3&gt;=38</f>
        <v/>
      </c>
      <c r="D1062">
        <f>IF(Skills!C21=1,60+Inputs!$B$25+Inputs!$B$29,IF(Skills!C21=2,90+Inputs!$B$26+Inputs!$B$29,IF(Skills!C21=3,120+Inputs!$B$27+Inputs!$B$29,MAX(0,(Inputs!$B$3-100)*3)+Inputs!$B$28+Inputs!$B$29)))</f>
        <v/>
      </c>
      <c r="E1062">
        <f>INDEX(FactorTable!$B$2:$Y$301, MATCH(ROUND(MIN(300,MAX(1,D1062)),0), FactorTable!$A$2:$A$301,0), Skills!M21+1)</f>
        <v/>
      </c>
      <c r="F1062">
        <f>IF(Skills!N21=TRUE,(Skills!L21/10)*(E1062/1000),Skills!L21/10)+Skills!O21</f>
        <v/>
      </c>
      <c r="G1062">
        <f>Skills!G21*IF(Skills!H21&gt;0,Skills!I21/Skills!H21,1)</f>
        <v/>
      </c>
      <c r="H1062">
        <f>1-(1-Skills!J21/100)^Skills!K21</f>
        <v/>
      </c>
      <c r="I1062" t="inlineStr">
        <is>
          <t>1</t>
        </is>
      </c>
      <c r="J1062" t="inlineStr"/>
      <c r="K1062" t="inlineStr"/>
      <c r="L1062" t="inlineStr"/>
      <c r="M1062" t="inlineStr"/>
      <c r="N1062" t="inlineStr"/>
      <c r="O1062">
        <f>(1-Summary!$B$55)*T1062+Summary!$B$55*V1062</f>
        <v/>
      </c>
      <c r="P1062">
        <f>IF(B1080=0,0,O1062/B1080)</f>
        <v/>
      </c>
      <c r="Q1062" t="n">
        <v>0</v>
      </c>
      <c r="R1062" t="n">
        <v>0</v>
      </c>
      <c r="S1062">
        <f>IFERROR(O1062/N1062,0)</f>
        <v/>
      </c>
      <c r="T1062" t="n">
        <v>0</v>
      </c>
      <c r="V1062" t="n">
        <v>0</v>
      </c>
    </row>
    <row r="1063">
      <c r="A1063">
        <f>Skills!A22</f>
        <v/>
      </c>
      <c r="B1063">
        <f>Skills!B22</f>
        <v/>
      </c>
      <c r="C1063">
        <f>Inputs!$B$3&gt;=43</f>
        <v/>
      </c>
      <c r="D1063">
        <f>IF(Skills!C22=1,60+Inputs!$B$25+Inputs!$B$29,IF(Skills!C22=2,90+Inputs!$B$26+Inputs!$B$29,IF(Skills!C22=3,120+Inputs!$B$27+Inputs!$B$29,MAX(0,(Inputs!$B$3-100)*3)+Inputs!$B$28+Inputs!$B$29)))</f>
        <v/>
      </c>
      <c r="E1063">
        <f>INDEX(FactorTable!$B$2:$Y$301, MATCH(ROUND(MIN(300,MAX(1,D1063)),0), FactorTable!$A$2:$A$301,0), Skills!M22+1)</f>
        <v/>
      </c>
      <c r="F1063">
        <f>IF(Skills!N22=TRUE,(Skills!L22/10)*(E1063/1000),Skills!L22/10)+Skills!O22</f>
        <v/>
      </c>
      <c r="G1063">
        <f>Skills!G22*IF(Skills!H22&gt;0,Skills!I22/Skills!H22,1)</f>
        <v/>
      </c>
      <c r="H1063">
        <f>1-(1-Skills!J22/100)^Skills!K22</f>
        <v/>
      </c>
      <c r="I1063" t="inlineStr">
        <is>
          <t>1</t>
        </is>
      </c>
      <c r="J1063" t="inlineStr"/>
      <c r="K1063" t="inlineStr"/>
      <c r="L1063" t="inlineStr"/>
      <c r="M1063" t="inlineStr"/>
      <c r="N1063" t="inlineStr"/>
      <c r="O1063">
        <f>(1-Summary!$B$55)*T1063+Summary!$B$55*V1063</f>
        <v/>
      </c>
      <c r="P1063">
        <f>IF(B1080=0,0,O1063/B1080)</f>
        <v/>
      </c>
      <c r="Q1063" t="n">
        <v>0</v>
      </c>
      <c r="R1063" t="n">
        <v>0</v>
      </c>
      <c r="S1063">
        <f>IFERROR(O1063/N1063,0)</f>
        <v/>
      </c>
      <c r="T1063" t="n">
        <v>0</v>
      </c>
      <c r="V1063" t="n">
        <v>0</v>
      </c>
    </row>
    <row r="1064">
      <c r="A1064">
        <f>Skills!A23</f>
        <v/>
      </c>
      <c r="B1064">
        <f>Skills!B23</f>
        <v/>
      </c>
      <c r="C1064">
        <f>Inputs!$B$3&gt;=120</f>
        <v/>
      </c>
      <c r="D1064">
        <f>IF(Skills!C23=1,60+Inputs!$B$25+Inputs!$B$29,IF(Skills!C23=2,90+Inputs!$B$26+Inputs!$B$29,IF(Skills!C23=3,120+Inputs!$B$27+Inputs!$B$29,MAX(0,(Inputs!$B$3-100)*3)+Inputs!$B$28+Inputs!$B$29)))</f>
        <v/>
      </c>
      <c r="E1064">
        <f>INDEX(FactorTable!$B$2:$Y$301, MATCH(ROUND(MIN(300,MAX(1,D1064)),0), FactorTable!$A$2:$A$301,0), Skills!M23+1)</f>
        <v/>
      </c>
      <c r="F1064">
        <f>IF(Skills!N23=TRUE,(Skills!L23/10)*(E1064/1000),Skills!L23/10)+Skills!O23</f>
        <v/>
      </c>
      <c r="G1064">
        <f>Skills!G23*IF(Skills!H23&gt;0,Skills!I23/Skills!H23,1)</f>
        <v/>
      </c>
      <c r="H1064">
        <f>1-(1-Skills!J23/100)^Skills!K23</f>
        <v/>
      </c>
      <c r="I1064" t="inlineStr">
        <is>
          <t>1</t>
        </is>
      </c>
      <c r="J1064" t="inlineStr"/>
      <c r="K1064" t="inlineStr"/>
      <c r="L1064" t="inlineStr"/>
      <c r="M1064" t="inlineStr"/>
      <c r="N1064" t="inlineStr"/>
      <c r="O1064">
        <f>(1-Summary!$B$55)*T1064+Summary!$B$55*V1064</f>
        <v/>
      </c>
      <c r="P1064">
        <f>IF(B1080=0,0,O1064/B1080)</f>
        <v/>
      </c>
      <c r="Q1064" t="n">
        <v>0</v>
      </c>
      <c r="R1064" t="n">
        <v>0</v>
      </c>
      <c r="S1064">
        <f>IFERROR(O1064/N1064,0)</f>
        <v/>
      </c>
      <c r="T1064" t="n">
        <v>0</v>
      </c>
      <c r="V1064" t="n">
        <v>0</v>
      </c>
    </row>
    <row r="1065">
      <c r="A1065">
        <f>Skills!A24</f>
        <v/>
      </c>
      <c r="B1065">
        <f>Skills!B24</f>
        <v/>
      </c>
      <c r="C1065">
        <f>Inputs!$B$3&gt;=120</f>
        <v/>
      </c>
      <c r="D1065">
        <f>IF(Skills!C24=1,60+Inputs!$B$25+Inputs!$B$29,IF(Skills!C24=2,90+Inputs!$B$26+Inputs!$B$29,IF(Skills!C24=3,120+Inputs!$B$27+Inputs!$B$29,MAX(0,(Inputs!$B$3-100)*3)+Inputs!$B$28+Inputs!$B$29)))</f>
        <v/>
      </c>
      <c r="E1065">
        <f>INDEX(FactorTable!$B$2:$Y$301, MATCH(ROUND(MIN(300,MAX(1,D1065)),0), FactorTable!$A$2:$A$301,0), Skills!M24+1)</f>
        <v/>
      </c>
      <c r="F1065">
        <f>IF(Skills!N24=TRUE,(Skills!L24/10)*(E1065/1000),Skills!L24/10)+Skills!O24</f>
        <v/>
      </c>
      <c r="G1065">
        <f>Skills!G24*IF(Skills!H24&gt;0,Skills!I24/Skills!H24,1)</f>
        <v/>
      </c>
      <c r="H1065">
        <f>1-(1-Skills!J24/100)^Skills!K24</f>
        <v/>
      </c>
      <c r="I1065" t="inlineStr">
        <is>
          <t>1</t>
        </is>
      </c>
      <c r="J1065" t="inlineStr"/>
      <c r="K1065" t="inlineStr"/>
      <c r="L1065" t="inlineStr"/>
      <c r="M1065" t="inlineStr"/>
      <c r="N1065" t="inlineStr"/>
      <c r="O1065">
        <f>(1-Summary!$B$55)*T1065+Summary!$B$55*V1065</f>
        <v/>
      </c>
      <c r="P1065">
        <f>IF(B1080=0,0,O1065/B1080)</f>
        <v/>
      </c>
      <c r="Q1065" t="n">
        <v>0</v>
      </c>
      <c r="R1065" t="n">
        <v>0</v>
      </c>
      <c r="S1065">
        <f>IFERROR(O1065/N1065,0)</f>
        <v/>
      </c>
      <c r="T1065" t="n">
        <v>0</v>
      </c>
      <c r="V1065" t="n">
        <v>0</v>
      </c>
    </row>
    <row r="1066">
      <c r="A1066">
        <f>Skills!A25</f>
        <v/>
      </c>
      <c r="B1066">
        <f>Skills!B25</f>
        <v/>
      </c>
      <c r="C1066">
        <f>Inputs!$B$3&gt;=125</f>
        <v/>
      </c>
      <c r="D1066">
        <f>IF(Skills!C25=1,60+Inputs!$B$25+Inputs!$B$29,IF(Skills!C25=2,90+Inputs!$B$26+Inputs!$B$29,IF(Skills!C25=3,120+Inputs!$B$27+Inputs!$B$29,MAX(0,(Inputs!$B$3-100)*3)+Inputs!$B$28+Inputs!$B$29)))</f>
        <v/>
      </c>
      <c r="E1066">
        <f>INDEX(FactorTable!$B$2:$Y$301, MATCH(ROUND(MIN(300,MAX(1,D1066)),0), FactorTable!$A$2:$A$301,0), Skills!M25+1)</f>
        <v/>
      </c>
      <c r="F1066">
        <f>IF(Skills!N25=TRUE,(Skills!L25/10)*(E1066/1000),Skills!L25/10)+Skills!O25</f>
        <v/>
      </c>
      <c r="G1066">
        <f>Skills!G25*IF(Skills!H25&gt;0,Skills!I25/Skills!H25,1)</f>
        <v/>
      </c>
      <c r="H1066">
        <f>1-(1-Skills!J25/100)^Skills!K25</f>
        <v/>
      </c>
      <c r="I1066" t="inlineStr">
        <is>
          <t>1</t>
        </is>
      </c>
      <c r="J1066" t="inlineStr"/>
      <c r="K1066" t="inlineStr"/>
      <c r="L1066" t="inlineStr"/>
      <c r="M1066" t="inlineStr"/>
      <c r="N1066" t="inlineStr"/>
      <c r="O1066">
        <f>(1-Summary!$B$55)*T1066+Summary!$B$55*V1066</f>
        <v/>
      </c>
      <c r="P1066">
        <f>IF(B1080=0,0,O1066/B1080)</f>
        <v/>
      </c>
      <c r="Q1066" t="n">
        <v>0</v>
      </c>
      <c r="R1066" t="n">
        <v>0</v>
      </c>
      <c r="S1066">
        <f>IFERROR(O1066/N1066,0)</f>
        <v/>
      </c>
      <c r="T1066" t="n">
        <v>0</v>
      </c>
      <c r="V1066" t="n">
        <v>0</v>
      </c>
    </row>
    <row r="1067">
      <c r="A1067">
        <f>Skills!A26</f>
        <v/>
      </c>
      <c r="B1067">
        <f>Skills!B26</f>
        <v/>
      </c>
      <c r="C1067">
        <f>Inputs!$B$3&gt;=72</f>
        <v/>
      </c>
      <c r="D1067">
        <f>IF(Skills!C26=1,60+Inputs!$B$25+Inputs!$B$29,IF(Skills!C26=2,90+Inputs!$B$26+Inputs!$B$29,IF(Skills!C26=3,120+Inputs!$B$27+Inputs!$B$29,MAX(0,(Inputs!$B$3-100)*3)+Inputs!$B$28+Inputs!$B$29)))</f>
        <v/>
      </c>
      <c r="E1067">
        <f>INDEX(FactorTable!$B$2:$Y$301, MATCH(ROUND(MIN(300,MAX(1,D1067)),0), FactorTable!$A$2:$A$301,0), Skills!M26+1)</f>
        <v/>
      </c>
      <c r="F1067">
        <f>IF(Skills!N26=TRUE,(Skills!L26/10)*(E1067/1000),Skills!L26/10)+Skills!O26</f>
        <v/>
      </c>
      <c r="G1067">
        <f>Skills!G26*IF(Skills!H26&gt;0,Skills!I26/Skills!H26,1)</f>
        <v/>
      </c>
      <c r="H1067">
        <f>1-(1-Skills!J26/100)^Skills!K26</f>
        <v/>
      </c>
      <c r="I1067" t="inlineStr">
        <is>
          <t>1</t>
        </is>
      </c>
      <c r="J1067" t="inlineStr"/>
      <c r="K1067" t="inlineStr"/>
      <c r="L1067" t="inlineStr"/>
      <c r="M1067" t="inlineStr"/>
      <c r="N1067" t="inlineStr"/>
      <c r="O1067">
        <f>(1-Summary!$B$55)*T1067+Summary!$B$55*V1067</f>
        <v/>
      </c>
      <c r="P1067">
        <f>IF(B1080=0,0,O1067/B1080)</f>
        <v/>
      </c>
      <c r="Q1067" t="n">
        <v>0</v>
      </c>
      <c r="R1067" t="n">
        <v>0</v>
      </c>
      <c r="S1067">
        <f>IFERROR(O1067/N1067,0)</f>
        <v/>
      </c>
      <c r="T1067" t="n">
        <v>0</v>
      </c>
      <c r="V1067" t="n">
        <v>0</v>
      </c>
    </row>
    <row r="1069">
      <c r="A1069" t="inlineStr">
        <is>
          <t>Attack% Bucket Multiplier</t>
        </is>
      </c>
      <c r="B1069">
        <f>(1+(((C1054=TRUE)*F1054*IF(Inputs!$B$3&gt;=110,7,5))+((C1056=TRUE)*F1056*IF(AND(Inputs!$B$38&lt;&gt;"pvp",Inputs!$B$43&gt;0),(((R1056-1)*(Skills!T15*(1+Inputs!$B$34/100))+MIN((Skills!T15*(1+Inputs!$B$34/100)),MAX(0,Inputs!$B$43-((R1056-1)*Skills!D15))))/Inputs!$B$43),IF(Inputs!$B$38="pvp",MIN((Skills!T15*(1+Inputs!$B$34/100)),15)/15,(Skills!T15*(1+Inputs!$B$34/100))/Skills!D15)))+0)/100)</f>
        <v/>
      </c>
    </row>
    <row r="1070">
      <c r="A1070" t="inlineStr">
        <is>
          <t>Global Crit Rate Bonus %</t>
        </is>
      </c>
      <c r="B1070" t="n">
        <v>0</v>
      </c>
    </row>
    <row r="1071">
      <c r="A1071" t="inlineStr">
        <is>
          <t>Attack Speed Buff Bonus %</t>
        </is>
      </c>
      <c r="B1071">
        <f>((C1060=TRUE)*F1060*IF(AND(Inputs!$B$38&lt;&gt;"pvp",Inputs!$B$43&gt;0),(((R1060-1)*(Skills!T19*(1+Inputs!$B$34/100))+MIN((Skills!T19*(1+Inputs!$B$34/100)),MAX(0,Inputs!$B$43-((R1060-1)*Skills!D19))))/Inputs!$B$43),IF(Inputs!$B$38="pvp",MIN((Skills!T19*(1+Inputs!$B$34/100)),15)/15,(Skills!T19*(1+Inputs!$B$34/100))/Skills!D19)))</f>
        <v/>
      </c>
    </row>
    <row r="1072">
      <c r="A1072" t="inlineStr">
        <is>
          <t>Actions Per Second</t>
        </is>
      </c>
      <c r="B1072">
        <f>1+MIN(150,150*(1-(1-(Inputs!$B$11+((C1061=TRUE)*(F1061-Calc!F20)))/150)*(1-B1071/150)))/100</f>
        <v/>
      </c>
    </row>
    <row r="1073">
      <c r="A1073" t="inlineStr">
        <is>
          <t>Skill + Buff Cast Rate</t>
        </is>
      </c>
      <c r="B1073">
        <f>IF(AND(Inputs!$B$38&lt;&gt;"pvp",Inputs!$B$43&gt;0),SUMPRODUCT((Skills!E2:E26=TRUE)*(C1043:C1067=TRUE)*R1043:R1067*Skills!F2:F26)/Inputs!$B$43,SUMPRODUCT((Skills!E2:E26=TRUE)*(C1043:C1067=TRUE)*Q1043:Q1067*Skills!F2:F26))</f>
        <v/>
      </c>
    </row>
    <row r="1074">
      <c r="A1074" t="inlineStr">
        <is>
          <t>Raging Blow Casts Per Second</t>
        </is>
      </c>
      <c r="B1074">
        <f>MAX(0,B1072-B1073)</f>
        <v/>
      </c>
    </row>
    <row r="1075">
      <c r="A1075" t="inlineStr">
        <is>
          <t>Global Critical Damage Bonus % (Enrage)</t>
        </is>
      </c>
      <c r="B1075">
        <f>((C1059=TRUE)*F1059*IF(AND(Inputs!$B$38&lt;&gt;"pvp",Inputs!$B$43&gt;0),(((R1059-1)*(Skills!T18*(1+Inputs!$B$34/100))+MIN((Skills!T18*(1+Inputs!$B$34/100)),MAX(0,Inputs!$B$43-((R1059-1)*Skills!D18))))/Inputs!$B$43),IF(Inputs!$B$38="pvp",MIN((Skills!T18*(1+Inputs!$B$34/100)),15)/15,(Skills!T18*(1+Inputs!$B$34/100))/Skills!D18)))</f>
        <v/>
      </c>
    </row>
    <row r="1076">
      <c r="A1076" t="inlineStr">
        <is>
          <t>Global Final Damage Bonus % (Enrage + Combo Synergy)</t>
        </is>
      </c>
      <c r="B1076">
        <f>((C1058=TRUE)*F1058*IF(AND(Inputs!$B$38&lt;&gt;"pvp",Inputs!$B$43&gt;0),(((R1058-1)*(Skills!T17*(1+Inputs!$B$34/100))+MIN((Skills!T17*(1+Inputs!$B$34/100)),MAX(0,Inputs!$B$43-((R1058-1)*Skills!D17))))/Inputs!$B$43),IF(Inputs!$B$38="pvp",MIN((Skills!T17*(1+Inputs!$B$34/100)),15)/15,(Skills!T17*(1+Inputs!$B$34/100))/Skills!D17)))+((C1055=TRUE)*F1055*IF(Inputs!$B$3&gt;=110,7,5))</f>
        <v/>
      </c>
    </row>
    <row r="1077">
      <c r="A1077" t="inlineStr">
        <is>
          <t>Buff-Casting Startup Delay (s, fixed-duration only)</t>
        </is>
      </c>
      <c r="B1077">
        <f>IF(AND(Inputs!$B$38&lt;&gt;"pvp",Inputs!$B$43&gt;0),SUMPRODUCT((Skills!T2:T26&gt;0)*(Skills!E2:E26=TRUE)*(C1043:C1067=TRUE))/B1072,0)</f>
        <v/>
      </c>
    </row>
    <row r="1078">
      <c r="A1078" t="inlineStr">
        <is>
          <t>Boss-Only Total DPS (this block's swept value)</t>
        </is>
      </c>
      <c r="B1078">
        <f>SUM(T1043:T1067)</f>
        <v/>
      </c>
    </row>
    <row r="1079">
      <c r="A1079" t="inlineStr">
        <is>
          <t>Normal-Only Total DPS (this block's swept value)</t>
        </is>
      </c>
      <c r="B1079">
        <f>SUM(V1043:V1067)</f>
        <v/>
      </c>
    </row>
    <row r="1080">
      <c r="A1080" s="5" t="inlineStr">
        <is>
          <t>TOTAL DPS</t>
        </is>
      </c>
      <c r="B1080" s="5">
        <f>SUM(O1043:O1067)</f>
        <v/>
      </c>
    </row>
    <row r="1083">
      <c r="A1083" s="5" t="inlineStr">
        <is>
          <t>Stat: Buff Duration Increase %</t>
        </is>
      </c>
    </row>
    <row r="1084">
      <c r="A1084" s="9" t="inlineStr">
        <is>
          <t>Key</t>
        </is>
      </c>
      <c r="B1084" s="9" t="inlineStr">
        <is>
          <t>Name</t>
        </is>
      </c>
      <c r="C1084" s="9" t="inlineStr">
        <is>
          <t>Unlocked</t>
        </is>
      </c>
      <c r="D1084" s="9" t="inlineStr">
        <is>
          <t>InputLevel</t>
        </is>
      </c>
      <c r="E1084" s="9" t="inlineStr">
        <is>
          <t>Factor</t>
        </is>
      </c>
      <c r="F1084" s="9" t="inlineStr">
        <is>
          <t>CoefficientPercent</t>
        </is>
      </c>
      <c r="G1084" s="9" t="inlineStr">
        <is>
          <t>EffectiveHits</t>
        </is>
      </c>
      <c r="H1084" s="9" t="inlineStr">
        <is>
          <t>ProcProbability</t>
        </is>
      </c>
      <c r="I1084" s="9" t="inlineStr">
        <is>
          <t>MapleHeroMultiplier</t>
        </is>
      </c>
      <c r="J1084" s="9" t="inlineStr">
        <is>
          <t>BaseDamage</t>
        </is>
      </c>
      <c r="K1084" s="9" t="inlineStr">
        <is>
          <t>BaseHitDamage</t>
        </is>
      </c>
      <c r="L1084" s="9" t="inlineStr">
        <is>
          <t>NonCritAvg</t>
        </is>
      </c>
      <c r="M1084" s="9" t="inlineStr">
        <is>
          <t>CritAvg</t>
        </is>
      </c>
      <c r="N1084" s="9" t="inlineStr">
        <is>
          <t>ExpectedDamage(perHit)</t>
        </is>
      </c>
      <c r="O1084" s="9" t="inlineStr">
        <is>
          <t>DPS</t>
        </is>
      </c>
      <c r="P1084" s="9" t="inlineStr">
        <is>
          <t>% of Total</t>
        </is>
      </c>
      <c r="Q1084" s="9" t="inlineStr">
        <is>
          <t>InvCooldown</t>
        </is>
      </c>
      <c r="R1084" s="9" t="inlineStr">
        <is>
          <t>CastsInFight</t>
        </is>
      </c>
      <c r="S1084" s="9" t="inlineStr">
        <is>
          <t>HitRate(perSec)</t>
        </is>
      </c>
      <c r="U1084" t="inlineStr">
        <is>
          <t>helpers</t>
        </is>
      </c>
    </row>
    <row r="1085">
      <c r="A1085">
        <f>Skills!A2</f>
        <v/>
      </c>
      <c r="B1085">
        <f>Skills!B2</f>
        <v/>
      </c>
      <c r="C1085">
        <f>Inputs!$B$3&gt;=100</f>
        <v/>
      </c>
      <c r="D1085" t="inlineStr"/>
      <c r="E1085" t="inlineStr"/>
      <c r="F1085">
        <f>U1087+Skills!O2</f>
        <v/>
      </c>
      <c r="G1085">
        <f>Skills!G2*IF(Skills!H2&gt;0,Skills!I2/Skills!H2,1)</f>
        <v/>
      </c>
      <c r="H1085">
        <f>1-(1-Skills!J2/100)^Skills!K2</f>
        <v/>
      </c>
      <c r="I1085" t="inlineStr">
        <is>
          <t>1</t>
        </is>
      </c>
      <c r="J1085">
        <f>((Inputs!$B$6*(1+Inputs!$B$7/100))+(((Inputs!$B$12*(1+Inputs!$B$13/100))-(Inputs!$B$12*(1+Inputs!$B$13/100)))+0.25*(Inputs!$B$14-Inputs!$B$14))*(1+Inputs!$B$7/100))*(F1085/100)</f>
        <v/>
      </c>
      <c r="K1085">
        <f>J1085*(1+((Inputs!$B$12*(1+Inputs!$B$13/100))*0.01+Inputs!$B$14*0.0025)/100)*(1+Inputs!$B$15/100)*(1+Inputs!$B$16/100)*(5000/(6000+Inputs!$B$42*(1-(Inputs!$B$19+0)/100)))*(1+(Inputs!$B$24+((C1108=TRUE)*(F1108-Calc!F25))+B1118)/100)*(1+IF(Skills!A2="ENHANCED_RAGING_BLOW",IF(Inputs!$B$3&gt;=134,MAX(0,IF(Inputs!$B$3&gt;=110,7,5)-5)*50,0),0)/100)*(1+(IF(Skills!A2="RAGING_BLOW",Inputs!$B$17+((C1104=TRUE)*(F1104-Calc!F21)),Inputs!$B$18+((C1106=TRUE)*(F1106-Calc!F23))))/100)*((1+(((C1096=TRUE)*F1096*IF(Inputs!$B$3&gt;=110,7,5))+((C1098=TRUE)*F1098*IF(AND(Inputs!$B$38&lt;&gt;"pvp",Inputs!$B$43&gt;0),(((R1098-1)*(Skills!T15*(1+(Inputs!$B$34+1)/100))+MIN((Skills!T15*(1+(Inputs!$B$34+1)/100)),MAX(0,Inputs!$B$43-((R1098-1)*Skills!D15))))/Inputs!$B$43),IF(Inputs!$B$38="pvp",MIN((Skills!T15*(1+(Inputs!$B$34+1)/100)),15)/15,(Skills!T15*(1+(Inputs!$B$34+1)/100))/Skills!D15)))+0)/100)*I1085)</f>
        <v/>
      </c>
      <c r="L1085">
        <f>K1085*(MIN(Inputs!$B$22+((C1105=TRUE)*(F1105-Calc!F22)),Inputs!$B$23+((C1107=TRUE)*(F1107-Calc!F24)))/100+(Inputs!$B$23+((C1107=TRUE)*(F1107-Calc!F24)))/100)/2</f>
        <v/>
      </c>
      <c r="M1085">
        <f>L1085*(1+(Inputs!$B$10+0+B1117)/100)</f>
        <v/>
      </c>
      <c r="N1085">
        <f>L1085*(1-MIN((Inputs!$B$9+((C1109=TRUE)*(F1109-Calc!F26))+B1112),100)/100)+M1085*(MIN((Inputs!$B$9+((C1109=TRUE)*(F1109-Calc!F26))+B1112),100)/100)</f>
        <v/>
      </c>
      <c r="O1085">
        <f>(1-Summary!$B$55)*T1085+Summary!$B$55*V1085</f>
        <v/>
      </c>
      <c r="P1085">
        <f>IF(B1122=0,0,O1085/B1122)</f>
        <v/>
      </c>
      <c r="Q1085" t="n">
        <v>0</v>
      </c>
      <c r="R1085" t="n">
        <v>0</v>
      </c>
      <c r="S1085">
        <f>IFERROR(O1085/N1085,0)</f>
        <v/>
      </c>
      <c r="T1085">
        <f>IF(C1085,(Skills!G2*N1085*B1116)*IF(Inputs!$B$38="pvp",1,1+(Inputs!$B$20+0+Skills!P2+Summary!$B$59)/100),0)</f>
        <v/>
      </c>
      <c r="U1085">
        <f>MAX(0,(Inputs!$B$3-100)*3)+Inputs!$B$28+Inputs!$B$29</f>
        <v/>
      </c>
      <c r="V1085">
        <f>IF(C1085,(Skills!G2*N1085*B1116)*IF(Inputs!$B$38="pvp",1,(1+(Inputs!$B$21+Skills!Q2+Summary!$B$59)/100)*(MIN((6+Inputs!$B$33),Inputs!$B$37))),0)</f>
        <v/>
      </c>
    </row>
    <row r="1086">
      <c r="A1086">
        <f>Skills!A3</f>
        <v/>
      </c>
      <c r="B1086">
        <f>Skills!B3</f>
        <v/>
      </c>
      <c r="C1086">
        <f>Inputs!$B$3&gt;=50</f>
        <v/>
      </c>
      <c r="D1086">
        <f>IF(Skills!C3=1,60+Inputs!$B$25+Inputs!$B$29,IF(Skills!C3=2,90+Inputs!$B$26+Inputs!$B$29,IF(Skills!C3=3,120+Inputs!$B$27+Inputs!$B$29,MAX(0,(Inputs!$B$3-100)*3)+Inputs!$B$28+Inputs!$B$29)))</f>
        <v/>
      </c>
      <c r="E1086">
        <f>INDEX(FactorTable!$B$2:$Y$301, MATCH(ROUND(MIN(300,MAX(1,D1086)),0), FactorTable!$A$2:$A$301,0), Skills!M3+1)</f>
        <v/>
      </c>
      <c r="F1086">
        <f>IF(Skills!N3=TRUE,(Skills!L3/10)*(E1086/1000),Skills!L3/10)+Skills!O3</f>
        <v/>
      </c>
      <c r="G1086" t="inlineStr"/>
      <c r="H1086" t="inlineStr"/>
      <c r="I1086" t="inlineStr">
        <is>
          <t>1</t>
        </is>
      </c>
      <c r="J1086" t="inlineStr"/>
      <c r="K1086" t="inlineStr"/>
      <c r="L1086" t="inlineStr"/>
      <c r="M1086" t="inlineStr"/>
      <c r="N1086" t="inlineStr"/>
      <c r="O1086" t="inlineStr"/>
      <c r="P1086" t="inlineStr"/>
      <c r="Q1086" t="inlineStr"/>
      <c r="R1086" t="inlineStr"/>
      <c r="S1086" t="inlineStr"/>
      <c r="U1086">
        <f>INDEX(FactorTable!$B$2:$Y$301, MATCH(ROUND(MIN(300,MAX(1,U1085)),0), FactorTable!$A$2:$A$301,0), 22)</f>
        <v/>
      </c>
    </row>
    <row r="1087">
      <c r="A1087">
        <f>Skills!A4</f>
        <v/>
      </c>
      <c r="B1087">
        <f>Skills!B4</f>
        <v/>
      </c>
      <c r="C1087">
        <f>Inputs!$B$3&gt;=105</f>
        <v/>
      </c>
      <c r="D1087">
        <f>IF(Skills!C4=1,60+Inputs!$B$25+Inputs!$B$29,IF(Skills!C4=2,90+Inputs!$B$26+Inputs!$B$29,IF(Skills!C4=3,120+Inputs!$B$27+Inputs!$B$29,MAX(0,(Inputs!$B$3-100)*3)+Inputs!$B$28+Inputs!$B$29)))</f>
        <v/>
      </c>
      <c r="E1087">
        <f>INDEX(FactorTable!$B$2:$Y$301, MATCH(ROUND(MIN(300,MAX(1,D1087)),0), FactorTable!$A$2:$A$301,0), Skills!M4+1)</f>
        <v/>
      </c>
      <c r="F1087">
        <f>IF(Skills!N4=TRUE,(Skills!L4/10)*(E1087/1000),Skills!L4/10)+Skills!O4</f>
        <v/>
      </c>
      <c r="G1087" t="inlineStr"/>
      <c r="H1087" t="inlineStr"/>
      <c r="I1087" t="inlineStr">
        <is>
          <t>1</t>
        </is>
      </c>
      <c r="J1087" t="inlineStr"/>
      <c r="K1087" t="inlineStr"/>
      <c r="L1087" t="inlineStr"/>
      <c r="M1087" t="inlineStr"/>
      <c r="N1087" t="inlineStr"/>
      <c r="O1087" t="inlineStr"/>
      <c r="P1087" t="inlineStr"/>
      <c r="Q1087" t="inlineStr"/>
      <c r="R1087" t="inlineStr"/>
      <c r="S1087" t="inlineStr"/>
      <c r="U1087">
        <f>290*U1086/1000</f>
        <v/>
      </c>
    </row>
    <row r="1088">
      <c r="A1088">
        <f>Skills!A5</f>
        <v/>
      </c>
      <c r="B1088">
        <f>Skills!B5</f>
        <v/>
      </c>
      <c r="C1088">
        <f>Inputs!$B$3&gt;=103</f>
        <v/>
      </c>
      <c r="D1088">
        <f>IF(Skills!C5=1,60+Inputs!$B$25+Inputs!$B$29,IF(Skills!C5=2,90+Inputs!$B$26+Inputs!$B$29,IF(Skills!C5=3,120+Inputs!$B$27+Inputs!$B$29,MAX(0,(Inputs!$B$3-100)*3)+Inputs!$B$28+Inputs!$B$29)))</f>
        <v/>
      </c>
      <c r="E1088">
        <f>INDEX(FactorTable!$B$2:$Y$301, MATCH(ROUND(MIN(300,MAX(1,D1088)),0), FactorTable!$A$2:$A$301,0), Skills!M5+1)</f>
        <v/>
      </c>
      <c r="F1088">
        <f>IF(Skills!N5=TRUE,(Skills!L5/10)*(E1088/1000),Skills!L5/10)+Skills!O5</f>
        <v/>
      </c>
      <c r="G1088">
        <f>Skills!G5*IF(Skills!H5&gt;0,Skills!I5/Skills!H5,1)</f>
        <v/>
      </c>
      <c r="H1088">
        <f>1-(1-Skills!J5/100)^Skills!K5</f>
        <v/>
      </c>
      <c r="I1088" t="inlineStr">
        <is>
          <t>1</t>
        </is>
      </c>
      <c r="J1088">
        <f>((Inputs!$B$6*(1+Inputs!$B$7/100))+(((Inputs!$B$12*(1+Inputs!$B$13/100))-(Inputs!$B$12*(1+Inputs!$B$13/100)))+0.25*(Inputs!$B$14-Inputs!$B$14))*(1+Inputs!$B$7/100))*(F1088/100)</f>
        <v/>
      </c>
      <c r="K1088">
        <f>J1088*(1+((Inputs!$B$12*(1+Inputs!$B$13/100))*0.01+Inputs!$B$14*0.0025)/100)*(1+Inputs!$B$15/100)*(1+Inputs!$B$16/100)*(5000/(6000+Inputs!$B$42*(1-(Inputs!$B$19+0)/100)))*(1+(Inputs!$B$24+((C1108=TRUE)*(F1108-Calc!F25))+B1118)/100)*(1+IF(Skills!A5="ENHANCED_RAGING_BLOW",IF(Inputs!$B$3&gt;=134,MAX(0,IF(Inputs!$B$3&gt;=110,7,5)-5)*50,0),0)/100)*(1+(IF(Skills!A5="RAGING_BLOW",Inputs!$B$17+((C1104=TRUE)*(F1104-Calc!F21)),Inputs!$B$18+((C1106=TRUE)*(F1106-Calc!F23))))/100)*((1+(((C1096=TRUE)*F1096*IF(Inputs!$B$3&gt;=110,7,5))+((C1098=TRUE)*F1098*IF(AND(Inputs!$B$38&lt;&gt;"pvp",Inputs!$B$43&gt;0),(((R1098-1)*(Skills!T15*(1+(Inputs!$B$34+1)/100))+MIN((Skills!T15*(1+(Inputs!$B$34+1)/100)),MAX(0,Inputs!$B$43-((R1098-1)*Skills!D15))))/Inputs!$B$43),IF(Inputs!$B$38="pvp",MIN((Skills!T15*(1+(Inputs!$B$34+1)/100)),15)/15,(Skills!T15*(1+(Inputs!$B$34+1)/100))/Skills!D15)))+0)/100)*I1088)</f>
        <v/>
      </c>
      <c r="L1088">
        <f>K1088*(MIN(Inputs!$B$22+((C1105=TRUE)*(F1105-Calc!F22)),Inputs!$B$23+((C1107=TRUE)*(F1107-Calc!F24)))/100+(Inputs!$B$23+((C1107=TRUE)*(F1107-Calc!F24)))/100)/2</f>
        <v/>
      </c>
      <c r="M1088">
        <f>L1088*(1+(Inputs!$B$10+0+B1117)/100)</f>
        <v/>
      </c>
      <c r="N1088">
        <f>L1088*(1-MIN((Inputs!$B$9+((C1109=TRUE)*(F1109-Calc!F26))+B1112),100)/100)+M1088*(MIN((Inputs!$B$9+((C1109=TRUE)*(F1109-Calc!F26))+B1112),100)/100)</f>
        <v/>
      </c>
      <c r="O1088">
        <f>(1-Summary!$B$55)*T1088+Summary!$B$55*V1088</f>
        <v/>
      </c>
      <c r="P1088">
        <f>IF(B1122=0,0,O1088/B1122)</f>
        <v/>
      </c>
      <c r="Q1088">
        <f>IFERROR(1/IF(Inputs!$B$38="pvp",15,MAX(0.1,Skills!D5-IF(Skills!E5=TRUE,Inputs!$B$32,0))),0)</f>
        <v/>
      </c>
      <c r="R1088">
        <f>IF(AND(Inputs!$B$38&lt;&gt;"pvp",Inputs!$B$43&gt;0),IF(MAX(0,Inputs!$B$43-B1119)&lt;=0,0,(INT(MAX(0,Inputs!$B$43-B1119)/IF(Inputs!$B$38="pvp",15,MAX(0.1,Skills!D5-IF(Skills!E5=TRUE,Inputs!$B$32,0))))+1)),0)</f>
        <v/>
      </c>
      <c r="S1088">
        <f>IFERROR(O1088/N1088,0)</f>
        <v/>
      </c>
      <c r="T1088">
        <f>IF(C1088,(H1088*N1088*IF(AND(Inputs!$B$38&lt;&gt;"pvp",Inputs!$B$43&gt;0),((Skills!G5*((R1088-1)*IF(Skills!H5&gt;0,Skills!I5/Skills!H5,1)+IF(Skills!H5&gt;0,MIN(Skills!I5,MAX(0,MAX(0,Inputs!$B$43-B1119)-((R1088-1)*IF(Inputs!$B$38="pvp",15,MAX(0.1,Skills!D5-IF(Skills!E5=TRUE,Inputs!$B$32,0))))))/Skills!H5,1)))/Inputs!$B$43),G1088*Q1088))*IF(Inputs!$B$38="pvp",1,1+(Inputs!$B$20+0+Skills!P5+Summary!$B$59)/100),0)</f>
        <v/>
      </c>
      <c r="V1088">
        <f>IF(C1088,(H1088*N1088*IF(AND(Inputs!$B$38&lt;&gt;"pvp",Inputs!$B$43&gt;0),((Skills!G5*((R1088-1)*IF(Skills!H5&gt;0,Skills!I5/Skills!H5,1)+IF(Skills!H5&gt;0,MIN(Skills!I5,MAX(0,MAX(0,Inputs!$B$43-B1119)-((R1088-1)*IF(Inputs!$B$38="pvp",15,MAX(0.1,Skills!D5-IF(Skills!E5=TRUE,Inputs!$B$32,0))))))/Skills!H5,1)))/Inputs!$B$43),G1088*Q1088))*IF(Inputs!$B$38="pvp",1,(1+(Inputs!$B$21+Skills!Q5+Summary!$B$59)/100)*(MIN(Skills!R5,Inputs!$B$37))),0)</f>
        <v/>
      </c>
    </row>
    <row r="1089">
      <c r="A1089">
        <f>Skills!A6</f>
        <v/>
      </c>
      <c r="B1089">
        <f>Skills!B6</f>
        <v/>
      </c>
      <c r="C1089">
        <f>Inputs!$B$3&gt;=103</f>
        <v/>
      </c>
      <c r="D1089">
        <f>IF(Skills!C6=1,60+Inputs!$B$25+Inputs!$B$29,IF(Skills!C6=2,90+Inputs!$B$26+Inputs!$B$29,IF(Skills!C6=3,120+Inputs!$B$27+Inputs!$B$29,MAX(0,(Inputs!$B$3-100)*3)+Inputs!$B$28+Inputs!$B$29)))</f>
        <v/>
      </c>
      <c r="E1089">
        <f>INDEX(FactorTable!$B$2:$Y$301, MATCH(ROUND(MIN(300,MAX(1,D1089)),0), FactorTable!$A$2:$A$301,0), Skills!M6+1)</f>
        <v/>
      </c>
      <c r="F1089">
        <f>IF(Skills!N6=TRUE,(Skills!L6/10)*(E1089/1000),Skills!L6/10)+Skills!O6</f>
        <v/>
      </c>
      <c r="G1089">
        <f>Skills!G6*IF(Skills!H6&gt;0,Skills!I6/Skills!H6,1)</f>
        <v/>
      </c>
      <c r="H1089">
        <f>1-(1-Skills!J6/100)^Skills!K6</f>
        <v/>
      </c>
      <c r="I1089" t="inlineStr">
        <is>
          <t>1</t>
        </is>
      </c>
      <c r="J1089">
        <f>((Inputs!$B$6*(1+Inputs!$B$7/100))+(((Inputs!$B$12*(1+Inputs!$B$13/100))-(Inputs!$B$12*(1+Inputs!$B$13/100)))+0.25*(Inputs!$B$14-Inputs!$B$14))*(1+Inputs!$B$7/100))*(F1089/100)</f>
        <v/>
      </c>
      <c r="K1089">
        <f>J1089*(1+((Inputs!$B$12*(1+Inputs!$B$13/100))*0.01+Inputs!$B$14*0.0025)/100)*(1+Inputs!$B$15/100)*(1+Inputs!$B$16/100)*(5000/(6000+Inputs!$B$42*(1-(Inputs!$B$19+0)/100)))*(1+(Inputs!$B$24+((C1108=TRUE)*(F1108-Calc!F25))+B1118)/100)*(1+IF(Skills!A6="ENHANCED_RAGING_BLOW",IF(Inputs!$B$3&gt;=134,MAX(0,IF(Inputs!$B$3&gt;=110,7,5)-5)*50,0),0)/100)*(1+(IF(Skills!A6="RAGING_BLOW",Inputs!$B$17+((C1104=TRUE)*(F1104-Calc!F21)),Inputs!$B$18+((C1106=TRUE)*(F1106-Calc!F23))))/100)*((1+(((C1096=TRUE)*F1096*IF(Inputs!$B$3&gt;=110,7,5))+((C1098=TRUE)*F1098*IF(AND(Inputs!$B$38&lt;&gt;"pvp",Inputs!$B$43&gt;0),(((R1098-1)*(Skills!T15*(1+(Inputs!$B$34+1)/100))+MIN((Skills!T15*(1+(Inputs!$B$34+1)/100)),MAX(0,Inputs!$B$43-((R1098-1)*Skills!D15))))/Inputs!$B$43),IF(Inputs!$B$38="pvp",MIN((Skills!T15*(1+(Inputs!$B$34+1)/100)),15)/15,(Skills!T15*(1+(Inputs!$B$34+1)/100))/Skills!D15)))+0)/100)*I1089)</f>
        <v/>
      </c>
      <c r="L1089">
        <f>K1089*(MIN(Inputs!$B$22+((C1105=TRUE)*(F1105-Calc!F22)),Inputs!$B$23+((C1107=TRUE)*(F1107-Calc!F24)))/100+(Inputs!$B$23+((C1107=TRUE)*(F1107-Calc!F24)))/100)/2</f>
        <v/>
      </c>
      <c r="M1089">
        <f>L1089*(1+(Inputs!$B$10+0+B1117)/100)</f>
        <v/>
      </c>
      <c r="N1089">
        <f>L1089*(1-MIN((Inputs!$B$9+((C1109=TRUE)*(F1109-Calc!F26))+B1112),100)/100)+M1089*(MIN((Inputs!$B$9+((C1109=TRUE)*(F1109-Calc!F26))+B1112),100)/100)</f>
        <v/>
      </c>
      <c r="O1089">
        <f>(1-Summary!$B$55)*T1089+Summary!$B$55*V1089</f>
        <v/>
      </c>
      <c r="P1089">
        <f>IF(B1122=0,0,O1089/B1122)</f>
        <v/>
      </c>
      <c r="Q1089">
        <f>IFERROR(1/IF(Inputs!$B$38="pvp",15,MAX(0.1,Skills!D6-IF(Skills!E6=TRUE,Inputs!$B$32,0))),0)</f>
        <v/>
      </c>
      <c r="R1089">
        <f>IF(AND(Inputs!$B$38&lt;&gt;"pvp",Inputs!$B$43&gt;0),IF(MAX(0,Inputs!$B$43-B1119)&lt;=0,0,(INT(MAX(0,Inputs!$B$43-B1119)/IF(Inputs!$B$38="pvp",15,MAX(0.1,Skills!D6-IF(Skills!E6=TRUE,Inputs!$B$32,0))))+1)),0)</f>
        <v/>
      </c>
      <c r="S1089">
        <f>IFERROR(O1089/N1089,0)</f>
        <v/>
      </c>
      <c r="T1089">
        <f>IF(C1089,(H1089*N1089*IF(AND(Inputs!$B$38&lt;&gt;"pvp",Inputs!$B$43&gt;0),((Skills!G6*((R1089-1)*IF(Skills!H6&gt;0,Skills!I6/Skills!H6,1)+IF(Skills!H6&gt;0,MIN(Skills!I6,MAX(0,MAX(0,Inputs!$B$43-B1119)-((R1089-1)*IF(Inputs!$B$38="pvp",15,MAX(0.1,Skills!D6-IF(Skills!E6=TRUE,Inputs!$B$32,0))))))/Skills!H6,1)))/Inputs!$B$43),G1089*Q1089))*IF(Inputs!$B$38="pvp",1,1+(Inputs!$B$20+0+Skills!P6+Summary!$B$59)/100),0)</f>
        <v/>
      </c>
      <c r="V1089">
        <f>IF(C1089,(H1089*N1089*IF(AND(Inputs!$B$38&lt;&gt;"pvp",Inputs!$B$43&gt;0),((Skills!G6*((R1089-1)*IF(Skills!H6&gt;0,Skills!I6/Skills!H6,1)+IF(Skills!H6&gt;0,MIN(Skills!I6,MAX(0,MAX(0,Inputs!$B$43-B1119)-((R1089-1)*IF(Inputs!$B$38="pvp",15,MAX(0.1,Skills!D6-IF(Skills!E6=TRUE,Inputs!$B$32,0))))))/Skills!H6,1)))/Inputs!$B$43),G1089*Q1089))*IF(Inputs!$B$38="pvp",1,(1+(Inputs!$B$21+Skills!Q6+Summary!$B$59)/100)*(MIN(Skills!R6,Inputs!$B$37))),0)</f>
        <v/>
      </c>
    </row>
    <row r="1090">
      <c r="A1090">
        <f>Skills!A7</f>
        <v/>
      </c>
      <c r="B1090">
        <f>Skills!B7</f>
        <v/>
      </c>
      <c r="C1090">
        <f>Inputs!$B$3&gt;=107</f>
        <v/>
      </c>
      <c r="D1090">
        <f>IF(Skills!C7=1,60+Inputs!$B$25+Inputs!$B$29,IF(Skills!C7=2,90+Inputs!$B$26+Inputs!$B$29,IF(Skills!C7=3,120+Inputs!$B$27+Inputs!$B$29,MAX(0,(Inputs!$B$3-100)*3)+Inputs!$B$28+Inputs!$B$29)))</f>
        <v/>
      </c>
      <c r="E1090">
        <f>INDEX(FactorTable!$B$2:$Y$301, MATCH(ROUND(MIN(300,MAX(1,D1090)),0), FactorTable!$A$2:$A$301,0), Skills!M7+1)</f>
        <v/>
      </c>
      <c r="F1090">
        <f>IF(Skills!N7=TRUE,(Skills!L7/10)*(E1090/1000),Skills!L7/10)+Skills!O7</f>
        <v/>
      </c>
      <c r="G1090">
        <f>Skills!G7*IF(Skills!H7&gt;0,Skills!I7/Skills!H7,1)</f>
        <v/>
      </c>
      <c r="H1090">
        <f>1-(1-Skills!J7/100)^Skills!K7</f>
        <v/>
      </c>
      <c r="I1090" t="inlineStr">
        <is>
          <t>1</t>
        </is>
      </c>
      <c r="J1090">
        <f>((Inputs!$B$6*(1+Inputs!$B$7/100))+(((Inputs!$B$12*(1+Inputs!$B$13/100))-(Inputs!$B$12*(1+Inputs!$B$13/100)))+0.25*(Inputs!$B$14-Inputs!$B$14))*(1+Inputs!$B$7/100))*(F1090/100)</f>
        <v/>
      </c>
      <c r="K1090">
        <f>J1090*(1+((Inputs!$B$12*(1+Inputs!$B$13/100))*0.01+Inputs!$B$14*0.0025)/100)*(1+Inputs!$B$15/100)*(1+Inputs!$B$16/100)*(5000/(6000+Inputs!$B$42*(1-(Inputs!$B$19+0)/100)))*(1+(Inputs!$B$24+((C1108=TRUE)*(F1108-Calc!F25))+B1118)/100)*(1+IF(Skills!A7="ENHANCED_RAGING_BLOW",IF(Inputs!$B$3&gt;=134,MAX(0,IF(Inputs!$B$3&gt;=110,7,5)-5)*50,0),0)/100)*(1+(IF(Skills!A7="RAGING_BLOW",Inputs!$B$17+((C1104=TRUE)*(F1104-Calc!F21)),Inputs!$B$18+((C1106=TRUE)*(F1106-Calc!F23))))/100)*((1+(((C1096=TRUE)*F1096*IF(Inputs!$B$3&gt;=110,7,5))+((C1098=TRUE)*F1098*IF(AND(Inputs!$B$38&lt;&gt;"pvp",Inputs!$B$43&gt;0),(((R1098-1)*(Skills!T15*(1+(Inputs!$B$34+1)/100))+MIN((Skills!T15*(1+(Inputs!$B$34+1)/100)),MAX(0,Inputs!$B$43-((R1098-1)*Skills!D15))))/Inputs!$B$43),IF(Inputs!$B$38="pvp",MIN((Skills!T15*(1+(Inputs!$B$34+1)/100)),15)/15,(Skills!T15*(1+(Inputs!$B$34+1)/100))/Skills!D15)))+0)/100)*I1090)</f>
        <v/>
      </c>
      <c r="L1090">
        <f>K1090*(MIN(Inputs!$B$22+((C1105=TRUE)*(F1105-Calc!F22)),Inputs!$B$23+((C1107=TRUE)*(F1107-Calc!F24)))/100+(Inputs!$B$23+((C1107=TRUE)*(F1107-Calc!F24)))/100)/2</f>
        <v/>
      </c>
      <c r="M1090">
        <f>L1090*(1+(Inputs!$B$10+0+B1117)/100)</f>
        <v/>
      </c>
      <c r="N1090">
        <f>L1090*(1-MIN((Inputs!$B$9+((C1109=TRUE)*(F1109-Calc!F26))+B1112),100)/100)+M1090*(MIN((Inputs!$B$9+((C1109=TRUE)*(F1109-Calc!F26))+B1112),100)/100)</f>
        <v/>
      </c>
      <c r="O1090">
        <f>(1-Summary!$B$55)*T1090+Summary!$B$55*V1090</f>
        <v/>
      </c>
      <c r="P1090">
        <f>IF(B1122=0,0,O1090/B1122)</f>
        <v/>
      </c>
      <c r="Q1090">
        <f>IFERROR(1/IF(Inputs!$B$38="pvp",15,MAX(0.1,Skills!D7-IF(Skills!E7=TRUE,Inputs!$B$32,0))),0)</f>
        <v/>
      </c>
      <c r="R1090">
        <f>IF(AND(Inputs!$B$38&lt;&gt;"pvp",Inputs!$B$43&gt;0),IF(MAX(0,Inputs!$B$43-B1119)&lt;=0,0,(INT(MAX(0,Inputs!$B$43-B1119)/IF(Inputs!$B$38="pvp",15,MAX(0.1,Skills!D7-IF(Skills!E7=TRUE,Inputs!$B$32,0))))+1)),0)</f>
        <v/>
      </c>
      <c r="S1090">
        <f>IFERROR(O1090/N1090,0)</f>
        <v/>
      </c>
      <c r="T1090">
        <f>IF(C1090,(H1090*N1090*IF(AND(Inputs!$B$38&lt;&gt;"pvp",Inputs!$B$43&gt;0),((Skills!G7*((R1090-1)*IF(Skills!H7&gt;0,Skills!I7/Skills!H7,1)+IF(Skills!H7&gt;0,MIN(Skills!I7,MAX(0,MAX(0,Inputs!$B$43-B1119)-((R1090-1)*IF(Inputs!$B$38="pvp",15,MAX(0.1,Skills!D7-IF(Skills!E7=TRUE,Inputs!$B$32,0))))))/Skills!H7,1)))/Inputs!$B$43),G1090*Q1090))*IF(Inputs!$B$38="pvp",1,1+(Inputs!$B$20+0+Skills!P7+Summary!$B$59)/100),0)</f>
        <v/>
      </c>
      <c r="V1090">
        <f>IF(C1090,(H1090*N1090*IF(AND(Inputs!$B$38&lt;&gt;"pvp",Inputs!$B$43&gt;0),((Skills!G7*((R1090-1)*IF(Skills!H7&gt;0,Skills!I7/Skills!H7,1)+IF(Skills!H7&gt;0,MIN(Skills!I7,MAX(0,MAX(0,Inputs!$B$43-B1119)-((R1090-1)*IF(Inputs!$B$38="pvp",15,MAX(0.1,Skills!D7-IF(Skills!E7=TRUE,Inputs!$B$32,0))))))/Skills!H7,1)))/Inputs!$B$43),G1090*Q1090))*IF(Inputs!$B$38="pvp",1,(1+(Inputs!$B$21+Skills!Q7+Summary!$B$59)/100)*(MIN(Skills!R7,Inputs!$B$37))),0)</f>
        <v/>
      </c>
    </row>
    <row r="1091">
      <c r="A1091">
        <f>Skills!A8</f>
        <v/>
      </c>
      <c r="B1091">
        <f>Skills!B8</f>
        <v/>
      </c>
      <c r="C1091">
        <f>Inputs!$B$3&gt;=117</f>
        <v/>
      </c>
      <c r="D1091">
        <f>IF(Skills!C8=1,60+Inputs!$B$25+Inputs!$B$29,IF(Skills!C8=2,90+Inputs!$B$26+Inputs!$B$29,IF(Skills!C8=3,120+Inputs!$B$27+Inputs!$B$29,MAX(0,(Inputs!$B$3-100)*3)+Inputs!$B$28+Inputs!$B$29)))</f>
        <v/>
      </c>
      <c r="E1091">
        <f>INDEX(FactorTable!$B$2:$Y$301, MATCH(ROUND(MIN(300,MAX(1,D1091)),0), FactorTable!$A$2:$A$301,0), Skills!M8+1)</f>
        <v/>
      </c>
      <c r="F1091">
        <f>IF(Skills!N8=TRUE,(Skills!L8/10)*(E1091/1000),Skills!L8/10)+Skills!O8</f>
        <v/>
      </c>
      <c r="G1091">
        <f>Skills!G8*IF(Skills!H8&gt;0,Skills!I8/Skills!H8,1)</f>
        <v/>
      </c>
      <c r="H1091">
        <f>1-(1-Skills!J8/100)^Skills!K8</f>
        <v/>
      </c>
      <c r="I1091" t="inlineStr">
        <is>
          <t>1</t>
        </is>
      </c>
      <c r="J1091">
        <f>((Inputs!$B$6*(1+Inputs!$B$7/100))+(((Inputs!$B$12*(1+Inputs!$B$13/100))-(Inputs!$B$12*(1+Inputs!$B$13/100)))+0.25*(Inputs!$B$14-Inputs!$B$14))*(1+Inputs!$B$7/100))*(F1091/100)</f>
        <v/>
      </c>
      <c r="K1091">
        <f>J1091*(1+((Inputs!$B$12*(1+Inputs!$B$13/100))*0.01+Inputs!$B$14*0.0025)/100)*(1+Inputs!$B$15/100)*(1+Inputs!$B$16/100)*(5000/(6000+Inputs!$B$42*(1-(Inputs!$B$19+0)/100)))*(1+(Inputs!$B$24+((C1108=TRUE)*(F1108-Calc!F25))+B1118)/100)*(1+IF(Skills!A8="ENHANCED_RAGING_BLOW",IF(Inputs!$B$3&gt;=134,MAX(0,IF(Inputs!$B$3&gt;=110,7,5)-5)*50,0),0)/100)*(1+(IF(Skills!A8="RAGING_BLOW",Inputs!$B$17+((C1104=TRUE)*(F1104-Calc!F21)),Inputs!$B$18+((C1106=TRUE)*(F1106-Calc!F23))))/100)*((1+(((C1096=TRUE)*F1096*IF(Inputs!$B$3&gt;=110,7,5))+((C1098=TRUE)*F1098*IF(AND(Inputs!$B$38&lt;&gt;"pvp",Inputs!$B$43&gt;0),(((R1098-1)*(Skills!T15*(1+(Inputs!$B$34+1)/100))+MIN((Skills!T15*(1+(Inputs!$B$34+1)/100)),MAX(0,Inputs!$B$43-((R1098-1)*Skills!D15))))/Inputs!$B$43),IF(Inputs!$B$38="pvp",MIN((Skills!T15*(1+(Inputs!$B$34+1)/100)),15)/15,(Skills!T15*(1+(Inputs!$B$34+1)/100))/Skills!D15)))+0)/100)*I1091)</f>
        <v/>
      </c>
      <c r="L1091">
        <f>K1091*(MIN(Inputs!$B$22+((C1105=TRUE)*(F1105-Calc!F22)),Inputs!$B$23+((C1107=TRUE)*(F1107-Calc!F24)))/100+(Inputs!$B$23+((C1107=TRUE)*(F1107-Calc!F24)))/100)/2</f>
        <v/>
      </c>
      <c r="M1091">
        <f>L1091*(1+(Inputs!$B$10+0+B1117)/100)</f>
        <v/>
      </c>
      <c r="N1091">
        <f>L1091*(1-MIN((Inputs!$B$9+((C1109=TRUE)*(F1109-Calc!F26))+B1112),100)/100)+M1091*(MIN((Inputs!$B$9+((C1109=TRUE)*(F1109-Calc!F26))+B1112),100)/100)</f>
        <v/>
      </c>
      <c r="O1091">
        <f>(1-Summary!$B$55)*T1091+Summary!$B$55*V1091</f>
        <v/>
      </c>
      <c r="P1091">
        <f>IF(B1122=0,0,O1091/B1122)</f>
        <v/>
      </c>
      <c r="Q1091">
        <f>IFERROR(1/IF(Inputs!$B$38="pvp",15,MAX(0.1,Skills!D8-IF(Skills!E8=TRUE,Inputs!$B$32,0))),0)</f>
        <v/>
      </c>
      <c r="R1091">
        <f>IF(AND(Inputs!$B$38&lt;&gt;"pvp",Inputs!$B$43&gt;0),IF(MAX(0,Inputs!$B$43-B1119)&lt;=0,0,(INT(MAX(0,Inputs!$B$43-B1119)/IF(Inputs!$B$38="pvp",15,MAX(0.1,Skills!D8-IF(Skills!E8=TRUE,Inputs!$B$32,0))))+1)),0)</f>
        <v/>
      </c>
      <c r="S1091">
        <f>IFERROR(O1091/N1091,0)</f>
        <v/>
      </c>
      <c r="T1091">
        <f>IF(C1091,(H1091*N1091*IF(AND(Inputs!$B$38&lt;&gt;"pvp",Inputs!$B$43&gt;0),((Skills!G8*((R1091-1)*IF(Skills!H8&gt;0,Skills!I8/Skills!H8,1)+IF(Skills!H8&gt;0,MIN(Skills!I8,MAX(0,MAX(0,Inputs!$B$43-B1119)-((R1091-1)*IF(Inputs!$B$38="pvp",15,MAX(0.1,Skills!D8-IF(Skills!E8=TRUE,Inputs!$B$32,0))))))/Skills!H8,1)))/Inputs!$B$43),G1091*Q1091))*IF(Inputs!$B$38="pvp",1,1+(Inputs!$B$20+0+Skills!P8+Summary!$B$59)/100),0)</f>
        <v/>
      </c>
      <c r="V1091">
        <f>IF(C1091,(H1091*N1091*IF(AND(Inputs!$B$38&lt;&gt;"pvp",Inputs!$B$43&gt;0),((Skills!G8*((R1091-1)*IF(Skills!H8&gt;0,Skills!I8/Skills!H8,1)+IF(Skills!H8&gt;0,MIN(Skills!I8,MAX(0,MAX(0,Inputs!$B$43-B1119)-((R1091-1)*IF(Inputs!$B$38="pvp",15,MAX(0.1,Skills!D8-IF(Skills!E8=TRUE,Inputs!$B$32,0))))))/Skills!H8,1)))/Inputs!$B$43),G1091*Q1091))*IF(Inputs!$B$38="pvp",1,(1+(Inputs!$B$21+Skills!Q8+Summary!$B$59)/100)*(MIN(Skills!R8,Inputs!$B$37))),0)</f>
        <v/>
      </c>
    </row>
    <row r="1092">
      <c r="A1092">
        <f>Skills!A9</f>
        <v/>
      </c>
      <c r="B1092">
        <f>Skills!B9</f>
        <v/>
      </c>
      <c r="C1092">
        <f>Inputs!$B$3&gt;=69</f>
        <v/>
      </c>
      <c r="D1092">
        <f>IF(Skills!C9=1,60+Inputs!$B$25+Inputs!$B$29,IF(Skills!C9=2,90+Inputs!$B$26+Inputs!$B$29,IF(Skills!C9=3,120+Inputs!$B$27+Inputs!$B$29,MAX(0,(Inputs!$B$3-100)*3)+Inputs!$B$28+Inputs!$B$29)))</f>
        <v/>
      </c>
      <c r="E1092">
        <f>INDEX(FactorTable!$B$2:$Y$301, MATCH(ROUND(MIN(300,MAX(1,D1092)),0), FactorTable!$A$2:$A$301,0), Skills!M9+1)</f>
        <v/>
      </c>
      <c r="F1092">
        <f>IF(Skills!N9=TRUE,(Skills!L9/10)*(E1092/1000),Skills!L9/10)+Skills!O9</f>
        <v/>
      </c>
      <c r="G1092">
        <f>Skills!G9*IF(Skills!H9&gt;0,Skills!I9/Skills!H9,1)</f>
        <v/>
      </c>
      <c r="H1092">
        <f>1-(1-Skills!J9/100)^Skills!K9</f>
        <v/>
      </c>
      <c r="I1092" t="inlineStr">
        <is>
          <t>1</t>
        </is>
      </c>
      <c r="J1092">
        <f>((Inputs!$B$6*(1+Inputs!$B$7/100))+(((Inputs!$B$12*(1+Inputs!$B$13/100))-(Inputs!$B$12*(1+Inputs!$B$13/100)))+0.25*(Inputs!$B$14-Inputs!$B$14))*(1+Inputs!$B$7/100))*(F1092/100)</f>
        <v/>
      </c>
      <c r="K1092">
        <f>J1092*(1+((Inputs!$B$12*(1+Inputs!$B$13/100))*0.01+Inputs!$B$14*0.0025)/100)*(1+Inputs!$B$15/100)*(1+Inputs!$B$16/100)*(5000/(6000+Inputs!$B$42*(1-(Inputs!$B$19+0)/100)))*(1+(Inputs!$B$24+((C1108=TRUE)*(F1108-Calc!F25))+B1118)/100)*(1+1.0*IF(C1095=TRUE,F1095,0)/100)*(1+IF(Skills!A9="ENHANCED_RAGING_BLOW",IF(Inputs!$B$3&gt;=134,MAX(0,IF(Inputs!$B$3&gt;=110,7,5)-5)*50,0),0)/100)*(1+(IF(Skills!A9="RAGING_BLOW",Inputs!$B$17+((C1104=TRUE)*(F1104-Calc!F21)),Inputs!$B$18+((C1106=TRUE)*(F1106-Calc!F23))))/100)*((1+(((C1096=TRUE)*F1096*IF(Inputs!$B$3&gt;=110,7,5))+((C1098=TRUE)*F1098*IF(AND(Inputs!$B$38&lt;&gt;"pvp",Inputs!$B$43&gt;0),(((R1098-1)*(Skills!T15*(1+(Inputs!$B$34+1)/100))+MIN((Skills!T15*(1+(Inputs!$B$34+1)/100)),MAX(0,Inputs!$B$43-((R1098-1)*Skills!D15))))/Inputs!$B$43),IF(Inputs!$B$38="pvp",MIN((Skills!T15*(1+(Inputs!$B$34+1)/100)),15)/15,(Skills!T15*(1+(Inputs!$B$34+1)/100))/Skills!D15)))+0)/100)*I1092)</f>
        <v/>
      </c>
      <c r="L1092">
        <f>K1092*(MIN(Inputs!$B$22+((C1105=TRUE)*(F1105-Calc!F22)),Inputs!$B$23+((C1107=TRUE)*(F1107-Calc!F24)))/100+(Inputs!$B$23+((C1107=TRUE)*(F1107-Calc!F24)))/100)/2</f>
        <v/>
      </c>
      <c r="M1092">
        <f>L1092*(1+(Inputs!$B$10+0+B1117)/100)</f>
        <v/>
      </c>
      <c r="N1092">
        <f>L1092*(1-MIN((Inputs!$B$9+((C1109=TRUE)*(F1109-Calc!F26))+B1112),100)/100)+M1092*(MIN((Inputs!$B$9+((C1109=TRUE)*(F1109-Calc!F26))+B1112),100)/100)</f>
        <v/>
      </c>
      <c r="O1092">
        <f>(1-Summary!$B$55)*T1092+Summary!$B$55*V1092</f>
        <v/>
      </c>
      <c r="P1092">
        <f>IF(B1122=0,0,O1092/B1122)</f>
        <v/>
      </c>
      <c r="Q1092">
        <f>IFERROR(1/IF(Inputs!$B$38="pvp",15,MAX(0.1,Skills!D9-IF(Skills!E9=TRUE,Inputs!$B$32,0))),0)</f>
        <v/>
      </c>
      <c r="R1092">
        <f>IF(AND(Inputs!$B$38&lt;&gt;"pvp",Inputs!$B$43&gt;0),IF(MAX(0,Inputs!$B$43-B1119)&lt;=0,0,(INT(MAX(0,Inputs!$B$43-B1119)/IF(Inputs!$B$38="pvp",15,MAX(0.1,Skills!D9-IF(Skills!E9=TRUE,Inputs!$B$32,0))))+1)),0)</f>
        <v/>
      </c>
      <c r="S1092">
        <f>IFERROR(O1092/N1092,0)</f>
        <v/>
      </c>
      <c r="T1092">
        <f>IF(C1092,(H1092*N1092*IF(AND(Inputs!$B$38&lt;&gt;"pvp",Inputs!$B$43&gt;0),((Skills!G9*((R1092-1)*IF(Skills!H9&gt;0,Skills!I9/Skills!H9,1)+IF(Skills!H9&gt;0,MIN(Skills!I9,MAX(0,MAX(0,Inputs!$B$43-B1119)-((R1092-1)*IF(Inputs!$B$38="pvp",15,MAX(0.1,Skills!D9-IF(Skills!E9=TRUE,Inputs!$B$32,0))))))/Skills!H9,1)))/Inputs!$B$43),G1092*Q1092))*IF(Inputs!$B$38="pvp",1,1+(Inputs!$B$20+0+Skills!P9+Summary!$B$59)/100),0)</f>
        <v/>
      </c>
      <c r="V1092">
        <f>IF(C1092,(H1092*N1092*IF(AND(Inputs!$B$38&lt;&gt;"pvp",Inputs!$B$43&gt;0),((Skills!G9*((R1092-1)*IF(Skills!H9&gt;0,Skills!I9/Skills!H9,1)+IF(Skills!H9&gt;0,MIN(Skills!I9,MAX(0,MAX(0,Inputs!$B$43-B1119)-((R1092-1)*IF(Inputs!$B$38="pvp",15,MAX(0.1,Skills!D9-IF(Skills!E9=TRUE,Inputs!$B$32,0))))))/Skills!H9,1)))/Inputs!$B$43),G1092*Q1092))*IF(Inputs!$B$38="pvp",1,(1+(Inputs!$B$21+Skills!Q9+Summary!$B$59)/100)*(MIN(Skills!R9,Inputs!$B$37))),0)</f>
        <v/>
      </c>
    </row>
    <row r="1093">
      <c r="A1093">
        <f>Skills!A10</f>
        <v/>
      </c>
      <c r="B1093">
        <f>Skills!B10</f>
        <v/>
      </c>
      <c r="C1093">
        <f>Inputs!$B$3&gt;=63</f>
        <v/>
      </c>
      <c r="D1093">
        <f>IF(Skills!C10=1,60+Inputs!$B$25+Inputs!$B$29,IF(Skills!C10=2,90+Inputs!$B$26+Inputs!$B$29,IF(Skills!C10=3,120+Inputs!$B$27+Inputs!$B$29,MAX(0,(Inputs!$B$3-100)*3)+Inputs!$B$28+Inputs!$B$29)))</f>
        <v/>
      </c>
      <c r="E1093">
        <f>INDEX(FactorTable!$B$2:$Y$301, MATCH(ROUND(MIN(300,MAX(1,D1093)),0), FactorTable!$A$2:$A$301,0), Skills!M10+1)</f>
        <v/>
      </c>
      <c r="F1093">
        <f>IF(Skills!N10=TRUE,(Skills!L10/10)*(E1093/1000),Skills!L10/10)+Skills!O10</f>
        <v/>
      </c>
      <c r="G1093">
        <f>Skills!G10*IF(Skills!H10&gt;0,Skills!I10/Skills!H10,1)</f>
        <v/>
      </c>
      <c r="H1093">
        <f>1-(1-Skills!J10/100)^Skills!K10</f>
        <v/>
      </c>
      <c r="I1093" t="inlineStr">
        <is>
          <t>1</t>
        </is>
      </c>
      <c r="J1093">
        <f>((Inputs!$B$6*(1+Inputs!$B$7/100))+(((Inputs!$B$12*(1+Inputs!$B$13/100))-(Inputs!$B$12*(1+Inputs!$B$13/100)))+0.25*(Inputs!$B$14-Inputs!$B$14))*(1+Inputs!$B$7/100))*(F1093/100)</f>
        <v/>
      </c>
      <c r="K1093">
        <f>J1093*(1+((Inputs!$B$12*(1+Inputs!$B$13/100))*0.01+Inputs!$B$14*0.0025)/100)*(1+Inputs!$B$15/100)*(1+Inputs!$B$16/100)*(5000/(6000+Inputs!$B$42*(1-(Inputs!$B$19+0)/100)))*(1+(Inputs!$B$24+((C1108=TRUE)*(F1108-Calc!F25))+B1118)/100)*(1+1.5*IF(C1095=TRUE,F1095,0)/100)*(1+IF(Skills!A10="ENHANCED_RAGING_BLOW",IF(Inputs!$B$3&gt;=134,MAX(0,IF(Inputs!$B$3&gt;=110,7,5)-5)*50,0),0)/100)*(1+(IF(Skills!A10="RAGING_BLOW",Inputs!$B$17+((C1104=TRUE)*(F1104-Calc!F21)),Inputs!$B$18+((C1106=TRUE)*(F1106-Calc!F23))))/100)*((1+(((C1096=TRUE)*F1096*IF(Inputs!$B$3&gt;=110,7,5))+((C1098=TRUE)*F1098*IF(AND(Inputs!$B$38&lt;&gt;"pvp",Inputs!$B$43&gt;0),(((R1098-1)*(Skills!T15*(1+(Inputs!$B$34+1)/100))+MIN((Skills!T15*(1+(Inputs!$B$34+1)/100)),MAX(0,Inputs!$B$43-((R1098-1)*Skills!D15))))/Inputs!$B$43),IF(Inputs!$B$38="pvp",MIN((Skills!T15*(1+(Inputs!$B$34+1)/100)),15)/15,(Skills!T15*(1+(Inputs!$B$34+1)/100))/Skills!D15)))+0)/100)*I1093)</f>
        <v/>
      </c>
      <c r="L1093">
        <f>K1093*(MIN(Inputs!$B$22+((C1105=TRUE)*(F1105-Calc!F22)),Inputs!$B$23+((C1107=TRUE)*(F1107-Calc!F24)))/100+(Inputs!$B$23+((C1107=TRUE)*(F1107-Calc!F24)))/100)/2</f>
        <v/>
      </c>
      <c r="M1093">
        <f>L1093*(1+(Inputs!$B$10+0+B1117)/100)</f>
        <v/>
      </c>
      <c r="N1093">
        <f>L1093*(1-MIN((Inputs!$B$9+((C1109=TRUE)*(F1109-Calc!F26))+B1112),100)/100)+M1093*(MIN((Inputs!$B$9+((C1109=TRUE)*(F1109-Calc!F26))+B1112),100)/100)</f>
        <v/>
      </c>
      <c r="O1093">
        <f>(1-Summary!$B$55)*T1093+Summary!$B$55*V1093</f>
        <v/>
      </c>
      <c r="P1093">
        <f>IF(B1122=0,0,O1093/B1122)</f>
        <v/>
      </c>
      <c r="Q1093">
        <f>IFERROR(1/IF(Inputs!$B$38="pvp",15,MAX(0.1,Skills!D10-IF(Skills!E10=TRUE,Inputs!$B$32,0))),0)</f>
        <v/>
      </c>
      <c r="R1093">
        <f>IF(AND(Inputs!$B$38&lt;&gt;"pvp",Inputs!$B$43&gt;0),IF(MAX(0,Inputs!$B$43-B1119)&lt;=0,0,(INT(MAX(0,Inputs!$B$43-B1119)/IF(Inputs!$B$38="pvp",15,MAX(0.1,Skills!D10-IF(Skills!E10=TRUE,Inputs!$B$32,0))))+1)),0)</f>
        <v/>
      </c>
      <c r="S1093">
        <f>IFERROR(O1093/N1093,0)</f>
        <v/>
      </c>
      <c r="T1093">
        <f>IF(C1093,(H1093*N1093*IF(AND(Inputs!$B$38&lt;&gt;"pvp",Inputs!$B$43&gt;0),((Skills!G10*((R1093-1)*IF(Skills!H10&gt;0,Skills!I10/Skills!H10,1)+IF(Skills!H10&gt;0,MIN(Skills!I10,MAX(0,MAX(0,Inputs!$B$43-B1119)-((R1093-1)*IF(Inputs!$B$38="pvp",15,MAX(0.1,Skills!D10-IF(Skills!E10=TRUE,Inputs!$B$32,0))))))/Skills!H10,1)))/Inputs!$B$43),G1093*Q1093))*IF(Inputs!$B$38="pvp",1,1+(Inputs!$B$20+0+Skills!P10+Summary!$B$59)/100),0)</f>
        <v/>
      </c>
      <c r="V1093">
        <f>IF(C1093,(H1093*N1093*IF(AND(Inputs!$B$38&lt;&gt;"pvp",Inputs!$B$43&gt;0),((Skills!G10*((R1093-1)*IF(Skills!H10&gt;0,Skills!I10/Skills!H10,1)+IF(Skills!H10&gt;0,MIN(Skills!I10,MAX(0,MAX(0,Inputs!$B$43-B1119)-((R1093-1)*IF(Inputs!$B$38="pvp",15,MAX(0.1,Skills!D10-IF(Skills!E10=TRUE,Inputs!$B$32,0))))))/Skills!H10,1)))/Inputs!$B$43),G1093*Q1093))*IF(Inputs!$B$38="pvp",1,(1+(Inputs!$B$21+Skills!Q10+Summary!$B$59)/100)*(MIN(Skills!R10,Inputs!$B$37))),0)</f>
        <v/>
      </c>
    </row>
    <row r="1094">
      <c r="A1094">
        <f>Skills!A11</f>
        <v/>
      </c>
      <c r="B1094">
        <f>Skills!B11</f>
        <v/>
      </c>
      <c r="C1094">
        <f>Inputs!$B$3&gt;=35</f>
        <v/>
      </c>
      <c r="D1094">
        <f>IF(Skills!C11=1,60+Inputs!$B$25+Inputs!$B$29,IF(Skills!C11=2,90+Inputs!$B$26+Inputs!$B$29,IF(Skills!C11=3,120+Inputs!$B$27+Inputs!$B$29,MAX(0,(Inputs!$B$3-100)*3)+Inputs!$B$28+Inputs!$B$29)))</f>
        <v/>
      </c>
      <c r="E1094">
        <f>INDEX(FactorTable!$B$2:$Y$301, MATCH(ROUND(MIN(300,MAX(1,D1094)),0), FactorTable!$A$2:$A$301,0), Skills!M11+1)</f>
        <v/>
      </c>
      <c r="F1094">
        <f>IF(Skills!N11=TRUE,(Skills!L11/10)*(E1094/1000),Skills!L11/10)+Skills!O11</f>
        <v/>
      </c>
      <c r="G1094">
        <f>Skills!G11*IF(Skills!H11&gt;0,Skills!I11/Skills!H11,1)</f>
        <v/>
      </c>
      <c r="H1094">
        <f>1-(1-Skills!J11/100)^Skills!K11</f>
        <v/>
      </c>
      <c r="I1094" t="inlineStr">
        <is>
          <t>1</t>
        </is>
      </c>
      <c r="J1094">
        <f>((Inputs!$B$6*(1+Inputs!$B$7/100))+(((Inputs!$B$12*(1+Inputs!$B$13/100))-(Inputs!$B$12*(1+Inputs!$B$13/100)))+0.25*(Inputs!$B$14-Inputs!$B$14))*(1+Inputs!$B$7/100))*(F1094/100)</f>
        <v/>
      </c>
      <c r="K1094">
        <f>J1094*(1+((Inputs!$B$12*(1+Inputs!$B$13/100))*0.01+Inputs!$B$14*0.0025)/100)*(1+Inputs!$B$15/100)*(1+Inputs!$B$16/100)*(5000/(6000+Inputs!$B$42*(1-(Inputs!$B$19+0)/100)))*(1+(Inputs!$B$24+((C1108=TRUE)*(F1108-Calc!F25))+B1118)/100)*(1+4.0*IF(C1095=TRUE,F1095,0)/100)*(1+IF(Skills!A11="ENHANCED_RAGING_BLOW",IF(Inputs!$B$3&gt;=134,MAX(0,IF(Inputs!$B$3&gt;=110,7,5)-5)*50,0),0)/100)*(1+(IF(Skills!A11="RAGING_BLOW",Inputs!$B$17+((C1104=TRUE)*(F1104-Calc!F21)),Inputs!$B$18+((C1106=TRUE)*(F1106-Calc!F23))))/100)*((1+(((C1096=TRUE)*F1096*IF(Inputs!$B$3&gt;=110,7,5))+((C1098=TRUE)*F1098*IF(AND(Inputs!$B$38&lt;&gt;"pvp",Inputs!$B$43&gt;0),(((R1098-1)*(Skills!T15*(1+(Inputs!$B$34+1)/100))+MIN((Skills!T15*(1+(Inputs!$B$34+1)/100)),MAX(0,Inputs!$B$43-((R1098-1)*Skills!D15))))/Inputs!$B$43),IF(Inputs!$B$38="pvp",MIN((Skills!T15*(1+(Inputs!$B$34+1)/100)),15)/15,(Skills!T15*(1+(Inputs!$B$34+1)/100))/Skills!D15)))+0)/100)*I1094)</f>
        <v/>
      </c>
      <c r="L1094">
        <f>K1094*(MIN(Inputs!$B$22+((C1105=TRUE)*(F1105-Calc!F22)),Inputs!$B$23+((C1107=TRUE)*(F1107-Calc!F24)))/100+(Inputs!$B$23+((C1107=TRUE)*(F1107-Calc!F24)))/100)/2</f>
        <v/>
      </c>
      <c r="M1094">
        <f>L1094*(1+(Inputs!$B$10+0+B1117)/100)</f>
        <v/>
      </c>
      <c r="N1094">
        <f>L1094*(1-MIN((Inputs!$B$9+((C1109=TRUE)*(F1109-Calc!F26))+B1112),100)/100)+M1094*(MIN((Inputs!$B$9+((C1109=TRUE)*(F1109-Calc!F26))+B1112),100)/100)</f>
        <v/>
      </c>
      <c r="O1094">
        <f>(1-Summary!$B$55)*T1094+Summary!$B$55*V1094</f>
        <v/>
      </c>
      <c r="P1094">
        <f>IF(B1122=0,0,O1094/B1122)</f>
        <v/>
      </c>
      <c r="Q1094">
        <f>IFERROR(1/IF(Inputs!$B$38="pvp",15,MAX(0.1,Skills!D11-IF(Skills!E11=TRUE,Inputs!$B$32,0))),0)</f>
        <v/>
      </c>
      <c r="R1094">
        <f>IF(AND(Inputs!$B$38&lt;&gt;"pvp",Inputs!$B$43&gt;0),IF(MAX(0,Inputs!$B$43-B1119)&lt;=0,0,(INT(MAX(0,Inputs!$B$43-B1119)/IF(Inputs!$B$38="pvp",15,MAX(0.1,Skills!D11-IF(Skills!E11=TRUE,Inputs!$B$32,0))))+1)),0)</f>
        <v/>
      </c>
      <c r="S1094">
        <f>IFERROR(O1094/N1094,0)</f>
        <v/>
      </c>
      <c r="T1094">
        <f>IF(C1094,(H1094*N1094*IF(AND(Inputs!$B$38&lt;&gt;"pvp",Inputs!$B$43&gt;0),((Skills!G11*((R1094-1)*IF(Skills!H11&gt;0,Skills!I11/Skills!H11,1)+IF(Skills!H11&gt;0,MIN(Skills!I11,MAX(0,MAX(0,Inputs!$B$43-B1119)-((R1094-1)*IF(Inputs!$B$38="pvp",15,MAX(0.1,Skills!D11-IF(Skills!E11=TRUE,Inputs!$B$32,0))))))/Skills!H11,1)))/Inputs!$B$43),G1094*Q1094))*IF(Inputs!$B$38="pvp",1,1+(Inputs!$B$20+0+Skills!P11+Summary!$B$59)/100),0)</f>
        <v/>
      </c>
      <c r="V1094">
        <f>IF(C1094,(H1094*N1094*IF(AND(Inputs!$B$38&lt;&gt;"pvp",Inputs!$B$43&gt;0),((Skills!G11*((R1094-1)*IF(Skills!H11&gt;0,Skills!I11/Skills!H11,1)+IF(Skills!H11&gt;0,MIN(Skills!I11,MAX(0,MAX(0,Inputs!$B$43-B1119)-((R1094-1)*IF(Inputs!$B$38="pvp",15,MAX(0.1,Skills!D11-IF(Skills!E11=TRUE,Inputs!$B$32,0))))))/Skills!H11,1)))/Inputs!$B$43),G1094*Q1094))*IF(Inputs!$B$38="pvp",1,(1+(Inputs!$B$21+Skills!Q11+Summary!$B$59)/100)*(MIN(Skills!R11,Inputs!$B$37))),0)</f>
        <v/>
      </c>
    </row>
    <row r="1095">
      <c r="A1095">
        <f>Skills!A12</f>
        <v/>
      </c>
      <c r="B1095">
        <f>Skills!B12</f>
        <v/>
      </c>
      <c r="C1095">
        <f>Inputs!$B$3&gt;=100</f>
        <v/>
      </c>
      <c r="D1095">
        <f>IF(Skills!C12=1,60+Inputs!$B$25+Inputs!$B$29,IF(Skills!C12=2,90+Inputs!$B$26+Inputs!$B$29,IF(Skills!C12=3,120+Inputs!$B$27+Inputs!$B$29,MAX(0,(Inputs!$B$3-100)*3)+Inputs!$B$28+Inputs!$B$29)))</f>
        <v/>
      </c>
      <c r="E1095">
        <f>INDEX(FactorTable!$B$2:$Y$301, MATCH(ROUND(MIN(300,MAX(1,D1095)),0), FactorTable!$A$2:$A$301,0), Skills!M12+1)</f>
        <v/>
      </c>
      <c r="F1095">
        <f>IF(Skills!N12=TRUE,(Skills!L12/10)*(E1095/1000),Skills!L12/10)+Skills!O12</f>
        <v/>
      </c>
      <c r="G1095" t="inlineStr"/>
      <c r="H1095" t="inlineStr"/>
      <c r="I1095" t="inlineStr">
        <is>
          <t>1</t>
        </is>
      </c>
      <c r="J1095" t="inlineStr"/>
      <c r="K1095" t="inlineStr"/>
      <c r="L1095" t="inlineStr"/>
      <c r="M1095" t="inlineStr"/>
      <c r="N1095" t="inlineStr"/>
      <c r="O1095" t="inlineStr"/>
      <c r="P1095" t="inlineStr"/>
      <c r="Q1095" t="inlineStr"/>
      <c r="R1095" t="inlineStr"/>
      <c r="S1095" t="inlineStr"/>
    </row>
    <row r="1096">
      <c r="A1096">
        <f>Skills!A13</f>
        <v/>
      </c>
      <c r="B1096">
        <f>Skills!B13</f>
        <v/>
      </c>
      <c r="C1096">
        <f>Inputs!$B$3&gt;=45</f>
        <v/>
      </c>
      <c r="D1096">
        <f>IF(Skills!C13=1,60+Inputs!$B$25+Inputs!$B$29,IF(Skills!C13=2,90+Inputs!$B$26+Inputs!$B$29,IF(Skills!C13=3,120+Inputs!$B$27+Inputs!$B$29,MAX(0,(Inputs!$B$3-100)*3)+Inputs!$B$28+Inputs!$B$29)))</f>
        <v/>
      </c>
      <c r="E1096">
        <f>INDEX(FactorTable!$B$2:$Y$301, MATCH(ROUND(MIN(300,MAX(1,D1096)),0), FactorTable!$A$2:$A$301,0), Skills!M13+1)</f>
        <v/>
      </c>
      <c r="F1096">
        <f>IF(Skills!N13=TRUE,(Skills!L13/10)*(E1096/1000),Skills!L13/10)+Skills!O13</f>
        <v/>
      </c>
      <c r="G1096">
        <f>Skills!G13*IF(Skills!H13&gt;0,Skills!I13/Skills!H13,1)</f>
        <v/>
      </c>
      <c r="H1096">
        <f>1-(1-Skills!J13/100)^Skills!K13</f>
        <v/>
      </c>
      <c r="I1096" t="inlineStr">
        <is>
          <t>1</t>
        </is>
      </c>
      <c r="J1096" t="inlineStr"/>
      <c r="K1096" t="inlineStr"/>
      <c r="L1096" t="inlineStr"/>
      <c r="M1096" t="inlineStr"/>
      <c r="N1096" t="inlineStr"/>
      <c r="O1096">
        <f>(1-Summary!$B$55)*T1096+Summary!$B$55*V1096</f>
        <v/>
      </c>
      <c r="P1096">
        <f>IF(B1122=0,0,O1096/B1122)</f>
        <v/>
      </c>
      <c r="Q1096" t="n">
        <v>0</v>
      </c>
      <c r="R1096" t="n">
        <v>0</v>
      </c>
      <c r="S1096">
        <f>IFERROR(O1096/N1096,0)</f>
        <v/>
      </c>
      <c r="T1096" t="n">
        <v>0</v>
      </c>
      <c r="V1096" t="n">
        <v>0</v>
      </c>
    </row>
    <row r="1097">
      <c r="A1097">
        <f>Skills!A14</f>
        <v/>
      </c>
      <c r="B1097">
        <f>Skills!B14</f>
        <v/>
      </c>
      <c r="C1097">
        <f>Inputs!$B$3&gt;=75</f>
        <v/>
      </c>
      <c r="D1097">
        <f>IF(Skills!C14=1,60+Inputs!$B$25+Inputs!$B$29,IF(Skills!C14=2,90+Inputs!$B$26+Inputs!$B$29,IF(Skills!C14=3,120+Inputs!$B$27+Inputs!$B$29,MAX(0,(Inputs!$B$3-100)*3)+Inputs!$B$28+Inputs!$B$29)))</f>
        <v/>
      </c>
      <c r="E1097">
        <f>INDEX(FactorTable!$B$2:$Y$301, MATCH(ROUND(MIN(300,MAX(1,D1097)),0), FactorTable!$A$2:$A$301,0), Skills!M14+1)</f>
        <v/>
      </c>
      <c r="F1097">
        <f>IF(Skills!N14=TRUE,(Skills!L14/10)*(E1097/1000),Skills!L14/10)+Skills!O14</f>
        <v/>
      </c>
      <c r="G1097">
        <f>Skills!G14*IF(Skills!H14&gt;0,Skills!I14/Skills!H14,1)</f>
        <v/>
      </c>
      <c r="H1097">
        <f>1-(1-Skills!J14/100)^Skills!K14</f>
        <v/>
      </c>
      <c r="I1097" t="inlineStr">
        <is>
          <t>1</t>
        </is>
      </c>
      <c r="J1097" t="inlineStr"/>
      <c r="K1097" t="inlineStr"/>
      <c r="L1097" t="inlineStr"/>
      <c r="M1097" t="inlineStr"/>
      <c r="N1097" t="inlineStr"/>
      <c r="O1097">
        <f>(1-Summary!$B$55)*T1097+Summary!$B$55*V1097</f>
        <v/>
      </c>
      <c r="P1097">
        <f>IF(B1122=0,0,O1097/B1122)</f>
        <v/>
      </c>
      <c r="Q1097" t="n">
        <v>0</v>
      </c>
      <c r="R1097" t="n">
        <v>0</v>
      </c>
      <c r="S1097">
        <f>IFERROR(O1097/N1097,0)</f>
        <v/>
      </c>
      <c r="T1097" t="n">
        <v>0</v>
      </c>
      <c r="V1097" t="n">
        <v>0</v>
      </c>
    </row>
    <row r="1098">
      <c r="A1098">
        <f>Skills!A15</f>
        <v/>
      </c>
      <c r="B1098">
        <f>Skills!B15</f>
        <v/>
      </c>
      <c r="C1098">
        <f>Inputs!$B$3&gt;=40</f>
        <v/>
      </c>
      <c r="D1098">
        <f>IF(Skills!C15=1,60+Inputs!$B$25+Inputs!$B$29,IF(Skills!C15=2,90+Inputs!$B$26+Inputs!$B$29,IF(Skills!C15=3,120+Inputs!$B$27+Inputs!$B$29,MAX(0,(Inputs!$B$3-100)*3)+Inputs!$B$28+Inputs!$B$29)))</f>
        <v/>
      </c>
      <c r="E1098">
        <f>INDEX(FactorTable!$B$2:$Y$301, MATCH(ROUND(MIN(300,MAX(1,D1098)),0), FactorTable!$A$2:$A$301,0), Skills!M15+1)</f>
        <v/>
      </c>
      <c r="F1098">
        <f>IF(Skills!N15=TRUE,(Skills!L15/10)*(E1098/1000),Skills!L15/10)+Skills!O15</f>
        <v/>
      </c>
      <c r="G1098">
        <f>Skills!G15*IF(Skills!H15&gt;0,Skills!I15/Skills!H15,1)</f>
        <v/>
      </c>
      <c r="H1098">
        <f>1-(1-Skills!J15/100)^Skills!K15</f>
        <v/>
      </c>
      <c r="I1098" t="inlineStr">
        <is>
          <t>1</t>
        </is>
      </c>
      <c r="J1098" t="inlineStr"/>
      <c r="K1098" t="inlineStr"/>
      <c r="L1098" t="inlineStr"/>
      <c r="M1098" t="inlineStr"/>
      <c r="N1098" t="inlineStr"/>
      <c r="O1098">
        <f>(1-Summary!$B$55)*T1098+Summary!$B$55*V1098</f>
        <v/>
      </c>
      <c r="P1098">
        <f>IF(B1122=0,0,O1098/B1122)</f>
        <v/>
      </c>
      <c r="Q1098">
        <f>IFERROR(1/IF(Inputs!$B$38="pvp",15,MAX(0.1,Skills!D15-IF(Skills!E15=TRUE,Inputs!$B$32,0))),0)</f>
        <v/>
      </c>
      <c r="R1098">
        <f>IF(AND(Inputs!$B$38&lt;&gt;"pvp",Inputs!$B$43&gt;0),IF(Inputs!$B$43&lt;=0,0,(INT(Inputs!$B$43/IF(Inputs!$B$38="pvp",15,MAX(0.1,Skills!D15-IF(Skills!E15=TRUE,Inputs!$B$32,0))))+1)),0)</f>
        <v/>
      </c>
      <c r="S1098">
        <f>IFERROR(O1098/N1098,0)</f>
        <v/>
      </c>
      <c r="T1098" t="n">
        <v>0</v>
      </c>
      <c r="V1098" t="n">
        <v>0</v>
      </c>
    </row>
    <row r="1099">
      <c r="A1099">
        <f>Skills!A16</f>
        <v/>
      </c>
      <c r="B1099">
        <f>Skills!B16</f>
        <v/>
      </c>
      <c r="C1099">
        <f>Inputs!$B$3&gt;=66</f>
        <v/>
      </c>
      <c r="D1099">
        <f>IF(Skills!C16=1,60+Inputs!$B$25+Inputs!$B$29,IF(Skills!C16=2,90+Inputs!$B$26+Inputs!$B$29,IF(Skills!C16=3,120+Inputs!$B$27+Inputs!$B$29,MAX(0,(Inputs!$B$3-100)*3)+Inputs!$B$28+Inputs!$B$29)))</f>
        <v/>
      </c>
      <c r="E1099">
        <f>INDEX(FactorTable!$B$2:$Y$301, MATCH(ROUND(MIN(300,MAX(1,D1099)),0), FactorTable!$A$2:$A$301,0), Skills!M16+1)</f>
        <v/>
      </c>
      <c r="F1099">
        <f>IF(Skills!N16=TRUE,(Skills!L16/10)*(E1099/1000),Skills!L16/10)+Skills!O16</f>
        <v/>
      </c>
      <c r="G1099">
        <f>Skills!G16*IF(Skills!H16&gt;0,Skills!I16/Skills!H16,1)</f>
        <v/>
      </c>
      <c r="H1099">
        <f>1-(1-Skills!J16/100)^Skills!K16</f>
        <v/>
      </c>
      <c r="I1099" t="inlineStr">
        <is>
          <t>1</t>
        </is>
      </c>
      <c r="J1099" t="inlineStr"/>
      <c r="K1099" t="inlineStr"/>
      <c r="L1099" t="inlineStr"/>
      <c r="M1099" t="inlineStr"/>
      <c r="N1099" t="inlineStr"/>
      <c r="O1099">
        <f>(1-Summary!$B$55)*T1099+Summary!$B$55*V1099</f>
        <v/>
      </c>
      <c r="P1099">
        <f>IF(B1122=0,0,O1099/B1122)</f>
        <v/>
      </c>
      <c r="Q1099">
        <f>IFERROR(1/IF(Inputs!$B$38="pvp",15,MAX(0.1,Skills!D16-IF(Skills!E16=TRUE,Inputs!$B$32,0))),0)</f>
        <v/>
      </c>
      <c r="R1099">
        <f>IF(AND(Inputs!$B$38&lt;&gt;"pvp",Inputs!$B$43&gt;0),IF(Inputs!$B$43&lt;=0,0,(INT(Inputs!$B$43/IF(Inputs!$B$38="pvp",15,MAX(0.1,Skills!D16-IF(Skills!E16=TRUE,Inputs!$B$32,0))))+1)),0)</f>
        <v/>
      </c>
      <c r="S1099">
        <f>IFERROR(O1099/N1099,0)</f>
        <v/>
      </c>
      <c r="T1099" t="n">
        <v>0</v>
      </c>
      <c r="V1099" t="n">
        <v>0</v>
      </c>
    </row>
    <row r="1100">
      <c r="A1100">
        <f>Skills!A17</f>
        <v/>
      </c>
      <c r="B1100">
        <f>Skills!B17</f>
        <v/>
      </c>
      <c r="C1100">
        <f>Inputs!$B$3&gt;=115</f>
        <v/>
      </c>
      <c r="D1100">
        <f>IF(Skills!C17=1,60+Inputs!$B$25+Inputs!$B$29,IF(Skills!C17=2,90+Inputs!$B$26+Inputs!$B$29,IF(Skills!C17=3,120+Inputs!$B$27+Inputs!$B$29,MAX(0,(Inputs!$B$3-100)*3)+Inputs!$B$28+Inputs!$B$29)))</f>
        <v/>
      </c>
      <c r="E1100">
        <f>INDEX(FactorTable!$B$2:$Y$301, MATCH(ROUND(MIN(300,MAX(1,D1100)),0), FactorTable!$A$2:$A$301,0), Skills!M17+1)</f>
        <v/>
      </c>
      <c r="F1100">
        <f>IF(Skills!N17=TRUE,(Skills!L17/10)*(E1100/1000),Skills!L17/10)+Skills!O17</f>
        <v/>
      </c>
      <c r="G1100">
        <f>Skills!G17*IF(Skills!H17&gt;0,Skills!I17/Skills!H17,1)</f>
        <v/>
      </c>
      <c r="H1100">
        <f>1-(1-Skills!J17/100)^Skills!K17</f>
        <v/>
      </c>
      <c r="I1100" t="inlineStr">
        <is>
          <t>1</t>
        </is>
      </c>
      <c r="J1100" t="inlineStr"/>
      <c r="K1100" t="inlineStr"/>
      <c r="L1100" t="inlineStr"/>
      <c r="M1100" t="inlineStr"/>
      <c r="N1100" t="inlineStr"/>
      <c r="O1100">
        <f>(1-Summary!$B$55)*T1100+Summary!$B$55*V1100</f>
        <v/>
      </c>
      <c r="P1100">
        <f>IF(B1122=0,0,O1100/B1122)</f>
        <v/>
      </c>
      <c r="Q1100">
        <f>IFERROR(1/IF(Inputs!$B$38="pvp",15,MAX(0.1,Skills!D17-IF(Skills!E17=TRUE,Inputs!$B$32,0))),0)</f>
        <v/>
      </c>
      <c r="R1100">
        <f>IF(AND(Inputs!$B$38&lt;&gt;"pvp",Inputs!$B$43&gt;0),IF(Inputs!$B$43&lt;=0,0,(INT(Inputs!$B$43/IF(Inputs!$B$38="pvp",15,MAX(0.1,Skills!D17-IF(Skills!E17=TRUE,Inputs!$B$32,0))))+1)),0)</f>
        <v/>
      </c>
      <c r="S1100">
        <f>IFERROR(O1100/N1100,0)</f>
        <v/>
      </c>
      <c r="T1100" t="n">
        <v>0</v>
      </c>
      <c r="V1100" t="n">
        <v>0</v>
      </c>
    </row>
    <row r="1101">
      <c r="A1101">
        <f>Skills!A18</f>
        <v/>
      </c>
      <c r="B1101">
        <f>Skills!B18</f>
        <v/>
      </c>
      <c r="C1101">
        <f>Inputs!$B$3&gt;=115</f>
        <v/>
      </c>
      <c r="D1101">
        <f>IF(Skills!C18=1,60+Inputs!$B$25+Inputs!$B$29,IF(Skills!C18=2,90+Inputs!$B$26+Inputs!$B$29,IF(Skills!C18=3,120+Inputs!$B$27+Inputs!$B$29,MAX(0,(Inputs!$B$3-100)*3)+Inputs!$B$28+Inputs!$B$29)))</f>
        <v/>
      </c>
      <c r="E1101">
        <f>INDEX(FactorTable!$B$2:$Y$301, MATCH(ROUND(MIN(300,MAX(1,D1101)),0), FactorTable!$A$2:$A$301,0), Skills!M18+1)</f>
        <v/>
      </c>
      <c r="F1101">
        <f>IF(Skills!N18=TRUE,(Skills!L18/10)*(E1101/1000),Skills!L18/10)+Skills!O18</f>
        <v/>
      </c>
      <c r="G1101">
        <f>Skills!G18*IF(Skills!H18&gt;0,Skills!I18/Skills!H18,1)</f>
        <v/>
      </c>
      <c r="H1101">
        <f>1-(1-Skills!J18/100)^Skills!K18</f>
        <v/>
      </c>
      <c r="I1101" t="inlineStr">
        <is>
          <t>1</t>
        </is>
      </c>
      <c r="J1101" t="inlineStr"/>
      <c r="K1101" t="inlineStr"/>
      <c r="L1101" t="inlineStr"/>
      <c r="M1101" t="inlineStr"/>
      <c r="N1101" t="inlineStr"/>
      <c r="O1101">
        <f>(1-Summary!$B$55)*T1101+Summary!$B$55*V1101</f>
        <v/>
      </c>
      <c r="P1101">
        <f>IF(B1122=0,0,O1101/B1122)</f>
        <v/>
      </c>
      <c r="Q1101">
        <f>IFERROR(1/IF(Inputs!$B$38="pvp",15,MAX(0.1,Skills!D18-IF(Skills!E18=TRUE,Inputs!$B$32,0))),0)</f>
        <v/>
      </c>
      <c r="R1101">
        <f>IF(AND(Inputs!$B$38&lt;&gt;"pvp",Inputs!$B$43&gt;0),IF(Inputs!$B$43&lt;=0,0,(INT(Inputs!$B$43/IF(Inputs!$B$38="pvp",15,MAX(0.1,Skills!D18-IF(Skills!E18=TRUE,Inputs!$B$32,0))))+1)),0)</f>
        <v/>
      </c>
      <c r="S1101">
        <f>IFERROR(O1101/N1101,0)</f>
        <v/>
      </c>
      <c r="T1101" t="n">
        <v>0</v>
      </c>
      <c r="V1101" t="n">
        <v>0</v>
      </c>
    </row>
    <row r="1102">
      <c r="A1102">
        <f>Skills!A19</f>
        <v/>
      </c>
      <c r="B1102">
        <f>Skills!B19</f>
        <v/>
      </c>
      <c r="C1102">
        <f>TRUE</f>
        <v/>
      </c>
      <c r="D1102">
        <f>IF(Skills!C19=1,60+Inputs!$B$25+Inputs!$B$29,IF(Skills!C19=2,90+Inputs!$B$26+Inputs!$B$29,IF(Skills!C19=3,120+Inputs!$B$27+Inputs!$B$29,MAX(0,(Inputs!$B$3-100)*3)+Inputs!$B$28+Inputs!$B$29)))</f>
        <v/>
      </c>
      <c r="E1102">
        <f>INDEX(FactorTable!$B$2:$Y$301, MATCH(ROUND(MIN(300,MAX(1,D1102)),0), FactorTable!$A$2:$A$301,0), Skills!M19+1)</f>
        <v/>
      </c>
      <c r="F1102">
        <f>IF(Skills!N19=TRUE,(Skills!L19/10)*(E1102/1000),Skills!L19/10)+Skills!O19</f>
        <v/>
      </c>
      <c r="G1102">
        <f>Skills!G19*IF(Skills!H19&gt;0,Skills!I19/Skills!H19,1)</f>
        <v/>
      </c>
      <c r="H1102">
        <f>1-(1-Skills!J19/100)^Skills!K19</f>
        <v/>
      </c>
      <c r="I1102" t="inlineStr">
        <is>
          <t>1</t>
        </is>
      </c>
      <c r="J1102" t="inlineStr"/>
      <c r="K1102" t="inlineStr"/>
      <c r="L1102" t="inlineStr"/>
      <c r="M1102" t="inlineStr"/>
      <c r="N1102" t="inlineStr"/>
      <c r="O1102">
        <f>(1-Summary!$B$55)*T1102+Summary!$B$55*V1102</f>
        <v/>
      </c>
      <c r="P1102">
        <f>IF(B1122=0,0,O1102/B1122)</f>
        <v/>
      </c>
      <c r="Q1102">
        <f>IFERROR(1/IF(Inputs!$B$38="pvp",15,MAX(0.1,Skills!D19-IF(Skills!E19=TRUE,Inputs!$B$32,0))),0)</f>
        <v/>
      </c>
      <c r="R1102">
        <f>IF(AND(Inputs!$B$38&lt;&gt;"pvp",Inputs!$B$43&gt;0),IF(Inputs!$B$43&lt;=0,0,(INT(Inputs!$B$43/IF(Inputs!$B$38="pvp",15,MAX(0.1,Skills!D19-IF(Skills!E19=TRUE,Inputs!$B$32,0))))+1)),0)</f>
        <v/>
      </c>
      <c r="S1102">
        <f>IFERROR(O1102/N1102,0)</f>
        <v/>
      </c>
      <c r="T1102" t="n">
        <v>0</v>
      </c>
      <c r="V1102" t="n">
        <v>0</v>
      </c>
    </row>
    <row r="1103">
      <c r="A1103">
        <f>Skills!A20</f>
        <v/>
      </c>
      <c r="B1103">
        <f>Skills!B20</f>
        <v/>
      </c>
      <c r="C1103">
        <f>Inputs!$B$3&gt;=33</f>
        <v/>
      </c>
      <c r="D1103">
        <f>IF(Skills!C20=1,60+Inputs!$B$25+Inputs!$B$29,IF(Skills!C20=2,90+Inputs!$B$26+Inputs!$B$29,IF(Skills!C20=3,120+Inputs!$B$27+Inputs!$B$29,MAX(0,(Inputs!$B$3-100)*3)+Inputs!$B$28+Inputs!$B$29)))</f>
        <v/>
      </c>
      <c r="E1103">
        <f>INDEX(FactorTable!$B$2:$Y$301, MATCH(ROUND(MIN(300,MAX(1,D1103)),0), FactorTable!$A$2:$A$301,0), Skills!M20+1)</f>
        <v/>
      </c>
      <c r="F1103">
        <f>IF(Skills!N20=TRUE,(Skills!L20/10)*(E1103/1000),Skills!L20/10)+Skills!O20</f>
        <v/>
      </c>
      <c r="G1103">
        <f>Skills!G20*IF(Skills!H20&gt;0,Skills!I20/Skills!H20,1)</f>
        <v/>
      </c>
      <c r="H1103">
        <f>1-(1-Skills!J20/100)^Skills!K20</f>
        <v/>
      </c>
      <c r="I1103" t="inlineStr">
        <is>
          <t>1</t>
        </is>
      </c>
      <c r="J1103" t="inlineStr"/>
      <c r="K1103" t="inlineStr"/>
      <c r="L1103" t="inlineStr"/>
      <c r="M1103" t="inlineStr"/>
      <c r="N1103" t="inlineStr"/>
      <c r="O1103">
        <f>(1-Summary!$B$55)*T1103+Summary!$B$55*V1103</f>
        <v/>
      </c>
      <c r="P1103">
        <f>IF(B1122=0,0,O1103/B1122)</f>
        <v/>
      </c>
      <c r="Q1103" t="n">
        <v>0</v>
      </c>
      <c r="R1103" t="n">
        <v>0</v>
      </c>
      <c r="S1103">
        <f>IFERROR(O1103/N1103,0)</f>
        <v/>
      </c>
      <c r="T1103" t="n">
        <v>0</v>
      </c>
      <c r="V1103" t="n">
        <v>0</v>
      </c>
    </row>
    <row r="1104">
      <c r="A1104">
        <f>Skills!A21</f>
        <v/>
      </c>
      <c r="B1104">
        <f>Skills!B21</f>
        <v/>
      </c>
      <c r="C1104">
        <f>Inputs!$B$3&gt;=38</f>
        <v/>
      </c>
      <c r="D1104">
        <f>IF(Skills!C21=1,60+Inputs!$B$25+Inputs!$B$29,IF(Skills!C21=2,90+Inputs!$B$26+Inputs!$B$29,IF(Skills!C21=3,120+Inputs!$B$27+Inputs!$B$29,MAX(0,(Inputs!$B$3-100)*3)+Inputs!$B$28+Inputs!$B$29)))</f>
        <v/>
      </c>
      <c r="E1104">
        <f>INDEX(FactorTable!$B$2:$Y$301, MATCH(ROUND(MIN(300,MAX(1,D1104)),0), FactorTable!$A$2:$A$301,0), Skills!M21+1)</f>
        <v/>
      </c>
      <c r="F1104">
        <f>IF(Skills!N21=TRUE,(Skills!L21/10)*(E1104/1000),Skills!L21/10)+Skills!O21</f>
        <v/>
      </c>
      <c r="G1104">
        <f>Skills!G21*IF(Skills!H21&gt;0,Skills!I21/Skills!H21,1)</f>
        <v/>
      </c>
      <c r="H1104">
        <f>1-(1-Skills!J21/100)^Skills!K21</f>
        <v/>
      </c>
      <c r="I1104" t="inlineStr">
        <is>
          <t>1</t>
        </is>
      </c>
      <c r="J1104" t="inlineStr"/>
      <c r="K1104" t="inlineStr"/>
      <c r="L1104" t="inlineStr"/>
      <c r="M1104" t="inlineStr"/>
      <c r="N1104" t="inlineStr"/>
      <c r="O1104">
        <f>(1-Summary!$B$55)*T1104+Summary!$B$55*V1104</f>
        <v/>
      </c>
      <c r="P1104">
        <f>IF(B1122=0,0,O1104/B1122)</f>
        <v/>
      </c>
      <c r="Q1104" t="n">
        <v>0</v>
      </c>
      <c r="R1104" t="n">
        <v>0</v>
      </c>
      <c r="S1104">
        <f>IFERROR(O1104/N1104,0)</f>
        <v/>
      </c>
      <c r="T1104" t="n">
        <v>0</v>
      </c>
      <c r="V1104" t="n">
        <v>0</v>
      </c>
    </row>
    <row r="1105">
      <c r="A1105">
        <f>Skills!A22</f>
        <v/>
      </c>
      <c r="B1105">
        <f>Skills!B22</f>
        <v/>
      </c>
      <c r="C1105">
        <f>Inputs!$B$3&gt;=43</f>
        <v/>
      </c>
      <c r="D1105">
        <f>IF(Skills!C22=1,60+Inputs!$B$25+Inputs!$B$29,IF(Skills!C22=2,90+Inputs!$B$26+Inputs!$B$29,IF(Skills!C22=3,120+Inputs!$B$27+Inputs!$B$29,MAX(0,(Inputs!$B$3-100)*3)+Inputs!$B$28+Inputs!$B$29)))</f>
        <v/>
      </c>
      <c r="E1105">
        <f>INDEX(FactorTable!$B$2:$Y$301, MATCH(ROUND(MIN(300,MAX(1,D1105)),0), FactorTable!$A$2:$A$301,0), Skills!M22+1)</f>
        <v/>
      </c>
      <c r="F1105">
        <f>IF(Skills!N22=TRUE,(Skills!L22/10)*(E1105/1000),Skills!L22/10)+Skills!O22</f>
        <v/>
      </c>
      <c r="G1105">
        <f>Skills!G22*IF(Skills!H22&gt;0,Skills!I22/Skills!H22,1)</f>
        <v/>
      </c>
      <c r="H1105">
        <f>1-(1-Skills!J22/100)^Skills!K22</f>
        <v/>
      </c>
      <c r="I1105" t="inlineStr">
        <is>
          <t>1</t>
        </is>
      </c>
      <c r="J1105" t="inlineStr"/>
      <c r="K1105" t="inlineStr"/>
      <c r="L1105" t="inlineStr"/>
      <c r="M1105" t="inlineStr"/>
      <c r="N1105" t="inlineStr"/>
      <c r="O1105">
        <f>(1-Summary!$B$55)*T1105+Summary!$B$55*V1105</f>
        <v/>
      </c>
      <c r="P1105">
        <f>IF(B1122=0,0,O1105/B1122)</f>
        <v/>
      </c>
      <c r="Q1105" t="n">
        <v>0</v>
      </c>
      <c r="R1105" t="n">
        <v>0</v>
      </c>
      <c r="S1105">
        <f>IFERROR(O1105/N1105,0)</f>
        <v/>
      </c>
      <c r="T1105" t="n">
        <v>0</v>
      </c>
      <c r="V1105" t="n">
        <v>0</v>
      </c>
    </row>
    <row r="1106">
      <c r="A1106">
        <f>Skills!A23</f>
        <v/>
      </c>
      <c r="B1106">
        <f>Skills!B23</f>
        <v/>
      </c>
      <c r="C1106">
        <f>Inputs!$B$3&gt;=120</f>
        <v/>
      </c>
      <c r="D1106">
        <f>IF(Skills!C23=1,60+Inputs!$B$25+Inputs!$B$29,IF(Skills!C23=2,90+Inputs!$B$26+Inputs!$B$29,IF(Skills!C23=3,120+Inputs!$B$27+Inputs!$B$29,MAX(0,(Inputs!$B$3-100)*3)+Inputs!$B$28+Inputs!$B$29)))</f>
        <v/>
      </c>
      <c r="E1106">
        <f>INDEX(FactorTable!$B$2:$Y$301, MATCH(ROUND(MIN(300,MAX(1,D1106)),0), FactorTable!$A$2:$A$301,0), Skills!M23+1)</f>
        <v/>
      </c>
      <c r="F1106">
        <f>IF(Skills!N23=TRUE,(Skills!L23/10)*(E1106/1000),Skills!L23/10)+Skills!O23</f>
        <v/>
      </c>
      <c r="G1106">
        <f>Skills!G23*IF(Skills!H23&gt;0,Skills!I23/Skills!H23,1)</f>
        <v/>
      </c>
      <c r="H1106">
        <f>1-(1-Skills!J23/100)^Skills!K23</f>
        <v/>
      </c>
      <c r="I1106" t="inlineStr">
        <is>
          <t>1</t>
        </is>
      </c>
      <c r="J1106" t="inlineStr"/>
      <c r="K1106" t="inlineStr"/>
      <c r="L1106" t="inlineStr"/>
      <c r="M1106" t="inlineStr"/>
      <c r="N1106" t="inlineStr"/>
      <c r="O1106">
        <f>(1-Summary!$B$55)*T1106+Summary!$B$55*V1106</f>
        <v/>
      </c>
      <c r="P1106">
        <f>IF(B1122=0,0,O1106/B1122)</f>
        <v/>
      </c>
      <c r="Q1106" t="n">
        <v>0</v>
      </c>
      <c r="R1106" t="n">
        <v>0</v>
      </c>
      <c r="S1106">
        <f>IFERROR(O1106/N1106,0)</f>
        <v/>
      </c>
      <c r="T1106" t="n">
        <v>0</v>
      </c>
      <c r="V1106" t="n">
        <v>0</v>
      </c>
    </row>
    <row r="1107">
      <c r="A1107">
        <f>Skills!A24</f>
        <v/>
      </c>
      <c r="B1107">
        <f>Skills!B24</f>
        <v/>
      </c>
      <c r="C1107">
        <f>Inputs!$B$3&gt;=120</f>
        <v/>
      </c>
      <c r="D1107">
        <f>IF(Skills!C24=1,60+Inputs!$B$25+Inputs!$B$29,IF(Skills!C24=2,90+Inputs!$B$26+Inputs!$B$29,IF(Skills!C24=3,120+Inputs!$B$27+Inputs!$B$29,MAX(0,(Inputs!$B$3-100)*3)+Inputs!$B$28+Inputs!$B$29)))</f>
        <v/>
      </c>
      <c r="E1107">
        <f>INDEX(FactorTable!$B$2:$Y$301, MATCH(ROUND(MIN(300,MAX(1,D1107)),0), FactorTable!$A$2:$A$301,0), Skills!M24+1)</f>
        <v/>
      </c>
      <c r="F1107">
        <f>IF(Skills!N24=TRUE,(Skills!L24/10)*(E1107/1000),Skills!L24/10)+Skills!O24</f>
        <v/>
      </c>
      <c r="G1107">
        <f>Skills!G24*IF(Skills!H24&gt;0,Skills!I24/Skills!H24,1)</f>
        <v/>
      </c>
      <c r="H1107">
        <f>1-(1-Skills!J24/100)^Skills!K24</f>
        <v/>
      </c>
      <c r="I1107" t="inlineStr">
        <is>
          <t>1</t>
        </is>
      </c>
      <c r="J1107" t="inlineStr"/>
      <c r="K1107" t="inlineStr"/>
      <c r="L1107" t="inlineStr"/>
      <c r="M1107" t="inlineStr"/>
      <c r="N1107" t="inlineStr"/>
      <c r="O1107">
        <f>(1-Summary!$B$55)*T1107+Summary!$B$55*V1107</f>
        <v/>
      </c>
      <c r="P1107">
        <f>IF(B1122=0,0,O1107/B1122)</f>
        <v/>
      </c>
      <c r="Q1107" t="n">
        <v>0</v>
      </c>
      <c r="R1107" t="n">
        <v>0</v>
      </c>
      <c r="S1107">
        <f>IFERROR(O1107/N1107,0)</f>
        <v/>
      </c>
      <c r="T1107" t="n">
        <v>0</v>
      </c>
      <c r="V1107" t="n">
        <v>0</v>
      </c>
    </row>
    <row r="1108">
      <c r="A1108">
        <f>Skills!A25</f>
        <v/>
      </c>
      <c r="B1108">
        <f>Skills!B25</f>
        <v/>
      </c>
      <c r="C1108">
        <f>Inputs!$B$3&gt;=125</f>
        <v/>
      </c>
      <c r="D1108">
        <f>IF(Skills!C25=1,60+Inputs!$B$25+Inputs!$B$29,IF(Skills!C25=2,90+Inputs!$B$26+Inputs!$B$29,IF(Skills!C25=3,120+Inputs!$B$27+Inputs!$B$29,MAX(0,(Inputs!$B$3-100)*3)+Inputs!$B$28+Inputs!$B$29)))</f>
        <v/>
      </c>
      <c r="E1108">
        <f>INDEX(FactorTable!$B$2:$Y$301, MATCH(ROUND(MIN(300,MAX(1,D1108)),0), FactorTable!$A$2:$A$301,0), Skills!M25+1)</f>
        <v/>
      </c>
      <c r="F1108">
        <f>IF(Skills!N25=TRUE,(Skills!L25/10)*(E1108/1000),Skills!L25/10)+Skills!O25</f>
        <v/>
      </c>
      <c r="G1108">
        <f>Skills!G25*IF(Skills!H25&gt;0,Skills!I25/Skills!H25,1)</f>
        <v/>
      </c>
      <c r="H1108">
        <f>1-(1-Skills!J25/100)^Skills!K25</f>
        <v/>
      </c>
      <c r="I1108" t="inlineStr">
        <is>
          <t>1</t>
        </is>
      </c>
      <c r="J1108" t="inlineStr"/>
      <c r="K1108" t="inlineStr"/>
      <c r="L1108" t="inlineStr"/>
      <c r="M1108" t="inlineStr"/>
      <c r="N1108" t="inlineStr"/>
      <c r="O1108">
        <f>(1-Summary!$B$55)*T1108+Summary!$B$55*V1108</f>
        <v/>
      </c>
      <c r="P1108">
        <f>IF(B1122=0,0,O1108/B1122)</f>
        <v/>
      </c>
      <c r="Q1108" t="n">
        <v>0</v>
      </c>
      <c r="R1108" t="n">
        <v>0</v>
      </c>
      <c r="S1108">
        <f>IFERROR(O1108/N1108,0)</f>
        <v/>
      </c>
      <c r="T1108" t="n">
        <v>0</v>
      </c>
      <c r="V1108" t="n">
        <v>0</v>
      </c>
    </row>
    <row r="1109">
      <c r="A1109">
        <f>Skills!A26</f>
        <v/>
      </c>
      <c r="B1109">
        <f>Skills!B26</f>
        <v/>
      </c>
      <c r="C1109">
        <f>Inputs!$B$3&gt;=72</f>
        <v/>
      </c>
      <c r="D1109">
        <f>IF(Skills!C26=1,60+Inputs!$B$25+Inputs!$B$29,IF(Skills!C26=2,90+Inputs!$B$26+Inputs!$B$29,IF(Skills!C26=3,120+Inputs!$B$27+Inputs!$B$29,MAX(0,(Inputs!$B$3-100)*3)+Inputs!$B$28+Inputs!$B$29)))</f>
        <v/>
      </c>
      <c r="E1109">
        <f>INDEX(FactorTable!$B$2:$Y$301, MATCH(ROUND(MIN(300,MAX(1,D1109)),0), FactorTable!$A$2:$A$301,0), Skills!M26+1)</f>
        <v/>
      </c>
      <c r="F1109">
        <f>IF(Skills!N26=TRUE,(Skills!L26/10)*(E1109/1000),Skills!L26/10)+Skills!O26</f>
        <v/>
      </c>
      <c r="G1109">
        <f>Skills!G26*IF(Skills!H26&gt;0,Skills!I26/Skills!H26,1)</f>
        <v/>
      </c>
      <c r="H1109">
        <f>1-(1-Skills!J26/100)^Skills!K26</f>
        <v/>
      </c>
      <c r="I1109" t="inlineStr">
        <is>
          <t>1</t>
        </is>
      </c>
      <c r="J1109" t="inlineStr"/>
      <c r="K1109" t="inlineStr"/>
      <c r="L1109" t="inlineStr"/>
      <c r="M1109" t="inlineStr"/>
      <c r="N1109" t="inlineStr"/>
      <c r="O1109">
        <f>(1-Summary!$B$55)*T1109+Summary!$B$55*V1109</f>
        <v/>
      </c>
      <c r="P1109">
        <f>IF(B1122=0,0,O1109/B1122)</f>
        <v/>
      </c>
      <c r="Q1109" t="n">
        <v>0</v>
      </c>
      <c r="R1109" t="n">
        <v>0</v>
      </c>
      <c r="S1109">
        <f>IFERROR(O1109/N1109,0)</f>
        <v/>
      </c>
      <c r="T1109" t="n">
        <v>0</v>
      </c>
      <c r="V1109" t="n">
        <v>0</v>
      </c>
    </row>
    <row r="1111">
      <c r="A1111" t="inlineStr">
        <is>
          <t>Attack% Bucket Multiplier</t>
        </is>
      </c>
      <c r="B1111">
        <f>(1+(((C1096=TRUE)*F1096*IF(Inputs!$B$3&gt;=110,7,5))+((C1098=TRUE)*F1098*IF(AND(Inputs!$B$38&lt;&gt;"pvp",Inputs!$B$43&gt;0),(((R1098-1)*(Skills!T15*(1+(Inputs!$B$34+1)/100))+MIN((Skills!T15*(1+(Inputs!$B$34+1)/100)),MAX(0,Inputs!$B$43-((R1098-1)*Skills!D15))))/Inputs!$B$43),IF(Inputs!$B$38="pvp",MIN((Skills!T15*(1+(Inputs!$B$34+1)/100)),15)/15,(Skills!T15*(1+(Inputs!$B$34+1)/100))/Skills!D15)))+0)/100)</f>
        <v/>
      </c>
    </row>
    <row r="1112">
      <c r="A1112" t="inlineStr">
        <is>
          <t>Global Crit Rate Bonus %</t>
        </is>
      </c>
      <c r="B1112" t="n">
        <v>0</v>
      </c>
    </row>
    <row r="1113">
      <c r="A1113" t="inlineStr">
        <is>
          <t>Attack Speed Buff Bonus %</t>
        </is>
      </c>
      <c r="B1113">
        <f>((C1102=TRUE)*F1102*IF(AND(Inputs!$B$38&lt;&gt;"pvp",Inputs!$B$43&gt;0),(((R1102-1)*(Skills!T19*(1+(Inputs!$B$34+1)/100))+MIN((Skills!T19*(1+(Inputs!$B$34+1)/100)),MAX(0,Inputs!$B$43-((R1102-1)*Skills!D19))))/Inputs!$B$43),IF(Inputs!$B$38="pvp",MIN((Skills!T19*(1+(Inputs!$B$34+1)/100)),15)/15,(Skills!T19*(1+(Inputs!$B$34+1)/100))/Skills!D19)))</f>
        <v/>
      </c>
    </row>
    <row r="1114">
      <c r="A1114" t="inlineStr">
        <is>
          <t>Actions Per Second</t>
        </is>
      </c>
      <c r="B1114">
        <f>1+MIN(150,150*(1-(1-(Inputs!$B$11+((C1103=TRUE)*(F1103-Calc!F20)))/150)*(1-B1113/150)))/100</f>
        <v/>
      </c>
    </row>
    <row r="1115">
      <c r="A1115" t="inlineStr">
        <is>
          <t>Skill + Buff Cast Rate</t>
        </is>
      </c>
      <c r="B1115">
        <f>IF(AND(Inputs!$B$38&lt;&gt;"pvp",Inputs!$B$43&gt;0),SUMPRODUCT((Skills!E2:E26=TRUE)*(C1085:C1109=TRUE)*R1085:R1109*Skills!F2:F26)/Inputs!$B$43,SUMPRODUCT((Skills!E2:E26=TRUE)*(C1085:C1109=TRUE)*Q1085:Q1109*Skills!F2:F26))</f>
        <v/>
      </c>
    </row>
    <row r="1116">
      <c r="A1116" t="inlineStr">
        <is>
          <t>Raging Blow Casts Per Second</t>
        </is>
      </c>
      <c r="B1116">
        <f>MAX(0,B1114-B1115)</f>
        <v/>
      </c>
    </row>
    <row r="1117">
      <c r="A1117" t="inlineStr">
        <is>
          <t>Global Critical Damage Bonus % (Enrage)</t>
        </is>
      </c>
      <c r="B1117">
        <f>((C1101=TRUE)*F1101*IF(AND(Inputs!$B$38&lt;&gt;"pvp",Inputs!$B$43&gt;0),(((R1101-1)*(Skills!T18*(1+(Inputs!$B$34+1)/100))+MIN((Skills!T18*(1+(Inputs!$B$34+1)/100)),MAX(0,Inputs!$B$43-((R1101-1)*Skills!D18))))/Inputs!$B$43),IF(Inputs!$B$38="pvp",MIN((Skills!T18*(1+(Inputs!$B$34+1)/100)),15)/15,(Skills!T18*(1+(Inputs!$B$34+1)/100))/Skills!D18)))</f>
        <v/>
      </c>
    </row>
    <row r="1118">
      <c r="A1118" t="inlineStr">
        <is>
          <t>Global Final Damage Bonus % (Enrage + Combo Synergy)</t>
        </is>
      </c>
      <c r="B1118">
        <f>((C1100=TRUE)*F1100*IF(AND(Inputs!$B$38&lt;&gt;"pvp",Inputs!$B$43&gt;0),(((R1100-1)*(Skills!T17*(1+(Inputs!$B$34+1)/100))+MIN((Skills!T17*(1+(Inputs!$B$34+1)/100)),MAX(0,Inputs!$B$43-((R1100-1)*Skills!D17))))/Inputs!$B$43),IF(Inputs!$B$38="pvp",MIN((Skills!T17*(1+(Inputs!$B$34+1)/100)),15)/15,(Skills!T17*(1+(Inputs!$B$34+1)/100))/Skills!D17)))+((C1097=TRUE)*F1097*IF(Inputs!$B$3&gt;=110,7,5))</f>
        <v/>
      </c>
    </row>
    <row r="1119">
      <c r="A1119" t="inlineStr">
        <is>
          <t>Buff-Casting Startup Delay (s, fixed-duration only)</t>
        </is>
      </c>
      <c r="B1119">
        <f>IF(AND(Inputs!$B$38&lt;&gt;"pvp",Inputs!$B$43&gt;0),SUMPRODUCT((Skills!T2:T26&gt;0)*(Skills!E2:E26=TRUE)*(C1085:C1109=TRUE))/B1114,0)</f>
        <v/>
      </c>
    </row>
    <row r="1120">
      <c r="A1120" t="inlineStr">
        <is>
          <t>Boss-Only Total DPS (this block's swept value)</t>
        </is>
      </c>
      <c r="B1120">
        <f>SUM(T1085:T1109)</f>
        <v/>
      </c>
    </row>
    <row r="1121">
      <c r="A1121" t="inlineStr">
        <is>
          <t>Normal-Only Total DPS (this block's swept value)</t>
        </is>
      </c>
      <c r="B1121">
        <f>SUM(V1085:V1109)</f>
        <v/>
      </c>
    </row>
    <row r="1122">
      <c r="A1122" s="5" t="inlineStr">
        <is>
          <t>TOTAL DPS</t>
        </is>
      </c>
      <c r="B1122" s="5">
        <f>SUM(O1085:O1109)</f>
        <v/>
      </c>
    </row>
    <row r="1125">
      <c r="A1125" s="7" t="inlineStr">
        <is>
          <t>Cooldown Reduction Milestone Sweep (absolute CDR seconds, fixed-duration content only)</t>
        </is>
      </c>
    </row>
    <row r="1126">
      <c r="A1126" s="9" t="inlineStr">
        <is>
          <t>CDR (s)</t>
        </is>
      </c>
      <c r="B1126" s="9" t="inlineStr">
        <is>
          <t>Total DPS</t>
        </is>
      </c>
      <c r="C1126" s="9" t="inlineStr">
        <is>
          <t>DPS Gain (vs prior step)</t>
        </is>
      </c>
      <c r="D1126" s="9" t="inlineStr">
        <is>
          <t>% Gain (vs current CDR)</t>
        </is>
      </c>
    </row>
    <row r="1127">
      <c r="A1127" t="n">
        <v>0.5</v>
      </c>
      <c r="B1127">
        <f>B1178</f>
        <v/>
      </c>
      <c r="C1127" t="n">
        <v>0</v>
      </c>
      <c r="D1127">
        <f>IF(Summary!$B$3=0,0,(B1127-Summary!$B$3)/Summary!$B$3*100)</f>
        <v/>
      </c>
    </row>
    <row r="1128">
      <c r="A1128" t="n">
        <v>1</v>
      </c>
      <c r="B1128">
        <f>B1220</f>
        <v/>
      </c>
      <c r="C1128">
        <f>B1128-B1127</f>
        <v/>
      </c>
      <c r="D1128">
        <f>IF(Summary!$B$3=0,0,(B1128-Summary!$B$3)/Summary!$B$3*100)</f>
        <v/>
      </c>
    </row>
    <row r="1129">
      <c r="A1129" t="n">
        <v>1.5</v>
      </c>
      <c r="B1129">
        <f>B1262</f>
        <v/>
      </c>
      <c r="C1129">
        <f>B1129-B1128</f>
        <v/>
      </c>
      <c r="D1129">
        <f>IF(Summary!$B$3=0,0,(B1129-Summary!$B$3)/Summary!$B$3*100)</f>
        <v/>
      </c>
    </row>
    <row r="1130">
      <c r="A1130" t="n">
        <v>2</v>
      </c>
      <c r="B1130">
        <f>B1304</f>
        <v/>
      </c>
      <c r="C1130">
        <f>B1130-B1129</f>
        <v/>
      </c>
      <c r="D1130">
        <f>IF(Summary!$B$3=0,0,(B1130-Summary!$B$3)/Summary!$B$3*100)</f>
        <v/>
      </c>
    </row>
    <row r="1131">
      <c r="A1131" t="n">
        <v>2.5</v>
      </c>
      <c r="B1131">
        <f>B1346</f>
        <v/>
      </c>
      <c r="C1131">
        <f>B1131-B1130</f>
        <v/>
      </c>
      <c r="D1131">
        <f>IF(Summary!$B$3=0,0,(B1131-Summary!$B$3)/Summary!$B$3*100)</f>
        <v/>
      </c>
    </row>
    <row r="1132">
      <c r="A1132" t="n">
        <v>3</v>
      </c>
      <c r="B1132">
        <f>B1388</f>
        <v/>
      </c>
      <c r="C1132">
        <f>B1132-B1131</f>
        <v/>
      </c>
      <c r="D1132">
        <f>IF(Summary!$B$3=0,0,(B1132-Summary!$B$3)/Summary!$B$3*100)</f>
        <v/>
      </c>
    </row>
    <row r="1133">
      <c r="A1133" t="n">
        <v>3.5</v>
      </c>
      <c r="B1133">
        <f>B1430</f>
        <v/>
      </c>
      <c r="C1133">
        <f>B1133-B1132</f>
        <v/>
      </c>
      <c r="D1133">
        <f>IF(Summary!$B$3=0,0,(B1133-Summary!$B$3)/Summary!$B$3*100)</f>
        <v/>
      </c>
    </row>
    <row r="1134">
      <c r="A1134" t="n">
        <v>4</v>
      </c>
      <c r="B1134">
        <f>B1472</f>
        <v/>
      </c>
      <c r="C1134">
        <f>B1134-B1133</f>
        <v/>
      </c>
      <c r="D1134">
        <f>IF(Summary!$B$3=0,0,(B1134-Summary!$B$3)/Summary!$B$3*100)</f>
        <v/>
      </c>
    </row>
    <row r="1135">
      <c r="A1135" t="n">
        <v>4.5</v>
      </c>
      <c r="B1135">
        <f>B1514</f>
        <v/>
      </c>
      <c r="C1135">
        <f>B1135-B1134</f>
        <v/>
      </c>
      <c r="D1135">
        <f>IF(Summary!$B$3=0,0,(B1135-Summary!$B$3)/Summary!$B$3*100)</f>
        <v/>
      </c>
    </row>
    <row r="1136">
      <c r="A1136" t="n">
        <v>5</v>
      </c>
      <c r="B1136">
        <f>B1556</f>
        <v/>
      </c>
      <c r="C1136">
        <f>B1136-B1135</f>
        <v/>
      </c>
      <c r="D1136">
        <f>IF(Summary!$B$3=0,0,(B1136-Summary!$B$3)/Summary!$B$3*100)</f>
        <v/>
      </c>
    </row>
    <row r="1139">
      <c r="A1139" s="5" t="inlineStr">
        <is>
          <t>Stat: CDR = 0.5s</t>
        </is>
      </c>
    </row>
    <row r="1140">
      <c r="A1140" s="9" t="inlineStr">
        <is>
          <t>Key</t>
        </is>
      </c>
      <c r="B1140" s="9" t="inlineStr">
        <is>
          <t>Name</t>
        </is>
      </c>
      <c r="C1140" s="9" t="inlineStr">
        <is>
          <t>Unlocked</t>
        </is>
      </c>
      <c r="D1140" s="9" t="inlineStr">
        <is>
          <t>InputLevel</t>
        </is>
      </c>
      <c r="E1140" s="9" t="inlineStr">
        <is>
          <t>Factor</t>
        </is>
      </c>
      <c r="F1140" s="9" t="inlineStr">
        <is>
          <t>CoefficientPercent</t>
        </is>
      </c>
      <c r="G1140" s="9" t="inlineStr">
        <is>
          <t>EffectiveHits</t>
        </is>
      </c>
      <c r="H1140" s="9" t="inlineStr">
        <is>
          <t>ProcProbability</t>
        </is>
      </c>
      <c r="I1140" s="9" t="inlineStr">
        <is>
          <t>MapleHeroMultiplier</t>
        </is>
      </c>
      <c r="J1140" s="9" t="inlineStr">
        <is>
          <t>BaseDamage</t>
        </is>
      </c>
      <c r="K1140" s="9" t="inlineStr">
        <is>
          <t>BaseHitDamage</t>
        </is>
      </c>
      <c r="L1140" s="9" t="inlineStr">
        <is>
          <t>NonCritAvg</t>
        </is>
      </c>
      <c r="M1140" s="9" t="inlineStr">
        <is>
          <t>CritAvg</t>
        </is>
      </c>
      <c r="N1140" s="9" t="inlineStr">
        <is>
          <t>ExpectedDamage(perHit)</t>
        </is>
      </c>
      <c r="O1140" s="9" t="inlineStr">
        <is>
          <t>DPS</t>
        </is>
      </c>
      <c r="P1140" s="9" t="inlineStr">
        <is>
          <t>% of Total</t>
        </is>
      </c>
      <c r="Q1140" s="9" t="inlineStr">
        <is>
          <t>InvCooldown</t>
        </is>
      </c>
      <c r="R1140" s="9" t="inlineStr">
        <is>
          <t>CastsInFight</t>
        </is>
      </c>
      <c r="S1140" s="9" t="inlineStr">
        <is>
          <t>HitRate(perSec)</t>
        </is>
      </c>
      <c r="U1140" t="inlineStr">
        <is>
          <t>helpers</t>
        </is>
      </c>
    </row>
    <row r="1141">
      <c r="A1141">
        <f>Skills!A2</f>
        <v/>
      </c>
      <c r="B1141">
        <f>Skills!B2</f>
        <v/>
      </c>
      <c r="C1141">
        <f>Inputs!$B$3&gt;=100</f>
        <v/>
      </c>
      <c r="D1141" t="inlineStr"/>
      <c r="E1141" t="inlineStr"/>
      <c r="F1141">
        <f>U1143+Skills!O2</f>
        <v/>
      </c>
      <c r="G1141">
        <f>Skills!G2*IF(Skills!H2&gt;0,Skills!I2/Skills!H2,1)</f>
        <v/>
      </c>
      <c r="H1141">
        <f>1-(1-Skills!J2/100)^Skills!K2</f>
        <v/>
      </c>
      <c r="I1141" t="inlineStr">
        <is>
          <t>1</t>
        </is>
      </c>
      <c r="J1141">
        <f>((Inputs!$B$6*(1+Inputs!$B$7/100))+(((Inputs!$B$12*(1+Inputs!$B$13/100))-(Inputs!$B$12*(1+Inputs!$B$13/100)))+0.25*(Inputs!$B$14-Inputs!$B$14))*(1+Inputs!$B$7/100))*(F1141/100)</f>
        <v/>
      </c>
      <c r="K1141">
        <f>J1141*(1+((Inputs!$B$12*(1+Inputs!$B$13/100))*0.01+Inputs!$B$14*0.0025)/100)*(1+Inputs!$B$15/100)*(1+Inputs!$B$16/100)*(5000/(6000+Inputs!$B$42*(1-(Inputs!$B$19+0)/100)))*(1+(Inputs!$B$24+((C1164=TRUE)*(F1164-Calc!F25))+B1174)/100)*(1+IF(Skills!A2="ENHANCED_RAGING_BLOW",IF(Inputs!$B$3&gt;=134,MAX(0,IF(Inputs!$B$3&gt;=110,7,5)-5)*50,0),0)/100)*(1+(IF(Skills!A2="RAGING_BLOW",Inputs!$B$17+((C1160=TRUE)*(F1160-Calc!F21)),Inputs!$B$18+((C1162=TRUE)*(F1162-Calc!F23))))/100)*((1+(((C1152=TRUE)*F1152*IF(Inputs!$B$3&gt;=110,7,5))+((C1154=TRUE)*F1154*IF(AND(Inputs!$B$38&lt;&gt;"pvp",Inputs!$B$43&gt;0),(((R1154-1)*(Skills!T15*(1+Inputs!$B$34/100))+MIN((Skills!T15*(1+Inputs!$B$34/100)),MAX(0,Inputs!$B$43-((R1154-1)*Skills!D15))))/Inputs!$B$43),IF(Inputs!$B$38="pvp",MIN((Skills!T15*(1+Inputs!$B$34/100)),15)/15,(Skills!T15*(1+Inputs!$B$34/100))/Skills!D15)))+0)/100)*I1141)</f>
        <v/>
      </c>
      <c r="L1141">
        <f>K1141*(MIN(Inputs!$B$22+((C1161=TRUE)*(F1161-Calc!F22)),Inputs!$B$23+((C1163=TRUE)*(F1163-Calc!F24)))/100+(Inputs!$B$23+((C1163=TRUE)*(F1163-Calc!F24)))/100)/2</f>
        <v/>
      </c>
      <c r="M1141">
        <f>L1141*(1+(Inputs!$B$10+0+B1173)/100)</f>
        <v/>
      </c>
      <c r="N1141">
        <f>L1141*(1-MIN((Inputs!$B$9+((C1165=TRUE)*(F1165-Calc!F26))+B1168),100)/100)+M1141*(MIN((Inputs!$B$9+((C1165=TRUE)*(F1165-Calc!F26))+B1168),100)/100)</f>
        <v/>
      </c>
      <c r="O1141">
        <f>(1-Summary!$B$55)*T1141+Summary!$B$55*V1141</f>
        <v/>
      </c>
      <c r="P1141">
        <f>IF(B1178=0,0,O1141/B1178)</f>
        <v/>
      </c>
      <c r="Q1141" t="n">
        <v>0</v>
      </c>
      <c r="R1141" t="n">
        <v>0</v>
      </c>
      <c r="S1141">
        <f>IFERROR(O1141/N1141,0)</f>
        <v/>
      </c>
      <c r="T1141">
        <f>IF(C1141,(Skills!G2*N1141*B1172)*IF(Inputs!$B$38="pvp",1,1+(Inputs!$B$20+0+Skills!P2+Summary!$B$59)/100),0)</f>
        <v/>
      </c>
      <c r="U1141">
        <f>MAX(0,(Inputs!$B$3-100)*3)+Inputs!$B$28+Inputs!$B$29</f>
        <v/>
      </c>
      <c r="V1141">
        <f>IF(C1141,(Skills!G2*N1141*B1172)*IF(Inputs!$B$38="pvp",1,(1+(Inputs!$B$21+Skills!Q2+Summary!$B$59)/100)*(MIN((6+Inputs!$B$33),Inputs!$B$37))),0)</f>
        <v/>
      </c>
    </row>
    <row r="1142">
      <c r="A1142">
        <f>Skills!A3</f>
        <v/>
      </c>
      <c r="B1142">
        <f>Skills!B3</f>
        <v/>
      </c>
      <c r="C1142">
        <f>Inputs!$B$3&gt;=50</f>
        <v/>
      </c>
      <c r="D1142">
        <f>IF(Skills!C3=1,60+Inputs!$B$25+Inputs!$B$29,IF(Skills!C3=2,90+Inputs!$B$26+Inputs!$B$29,IF(Skills!C3=3,120+Inputs!$B$27+Inputs!$B$29,MAX(0,(Inputs!$B$3-100)*3)+Inputs!$B$28+Inputs!$B$29)))</f>
        <v/>
      </c>
      <c r="E1142">
        <f>INDEX(FactorTable!$B$2:$Y$301, MATCH(ROUND(MIN(300,MAX(1,D1142)),0), FactorTable!$A$2:$A$301,0), Skills!M3+1)</f>
        <v/>
      </c>
      <c r="F1142">
        <f>IF(Skills!N3=TRUE,(Skills!L3/10)*(E1142/1000),Skills!L3/10)+Skills!O3</f>
        <v/>
      </c>
      <c r="G1142" t="inlineStr"/>
      <c r="H1142" t="inlineStr"/>
      <c r="I1142" t="inlineStr">
        <is>
          <t>1</t>
        </is>
      </c>
      <c r="J1142" t="inlineStr"/>
      <c r="K1142" t="inlineStr"/>
      <c r="L1142" t="inlineStr"/>
      <c r="M1142" t="inlineStr"/>
      <c r="N1142" t="inlineStr"/>
      <c r="O1142" t="inlineStr"/>
      <c r="P1142" t="inlineStr"/>
      <c r="Q1142" t="inlineStr"/>
      <c r="R1142" t="inlineStr"/>
      <c r="S1142" t="inlineStr"/>
      <c r="U1142">
        <f>INDEX(FactorTable!$B$2:$Y$301, MATCH(ROUND(MIN(300,MAX(1,U1141)),0), FactorTable!$A$2:$A$301,0), 22)</f>
        <v/>
      </c>
    </row>
    <row r="1143">
      <c r="A1143">
        <f>Skills!A4</f>
        <v/>
      </c>
      <c r="B1143">
        <f>Skills!B4</f>
        <v/>
      </c>
      <c r="C1143">
        <f>Inputs!$B$3&gt;=105</f>
        <v/>
      </c>
      <c r="D1143">
        <f>IF(Skills!C4=1,60+Inputs!$B$25+Inputs!$B$29,IF(Skills!C4=2,90+Inputs!$B$26+Inputs!$B$29,IF(Skills!C4=3,120+Inputs!$B$27+Inputs!$B$29,MAX(0,(Inputs!$B$3-100)*3)+Inputs!$B$28+Inputs!$B$29)))</f>
        <v/>
      </c>
      <c r="E1143">
        <f>INDEX(FactorTable!$B$2:$Y$301, MATCH(ROUND(MIN(300,MAX(1,D1143)),0), FactorTable!$A$2:$A$301,0), Skills!M4+1)</f>
        <v/>
      </c>
      <c r="F1143">
        <f>IF(Skills!N4=TRUE,(Skills!L4/10)*(E1143/1000),Skills!L4/10)+Skills!O4</f>
        <v/>
      </c>
      <c r="G1143" t="inlineStr"/>
      <c r="H1143" t="inlineStr"/>
      <c r="I1143" t="inlineStr">
        <is>
          <t>1</t>
        </is>
      </c>
      <c r="J1143" t="inlineStr"/>
      <c r="K1143" t="inlineStr"/>
      <c r="L1143" t="inlineStr"/>
      <c r="M1143" t="inlineStr"/>
      <c r="N1143" t="inlineStr"/>
      <c r="O1143" t="inlineStr"/>
      <c r="P1143" t="inlineStr"/>
      <c r="Q1143" t="inlineStr"/>
      <c r="R1143" t="inlineStr"/>
      <c r="S1143" t="inlineStr"/>
      <c r="U1143">
        <f>290*U1142/1000</f>
        <v/>
      </c>
    </row>
    <row r="1144">
      <c r="A1144">
        <f>Skills!A5</f>
        <v/>
      </c>
      <c r="B1144">
        <f>Skills!B5</f>
        <v/>
      </c>
      <c r="C1144">
        <f>Inputs!$B$3&gt;=103</f>
        <v/>
      </c>
      <c r="D1144">
        <f>IF(Skills!C5=1,60+Inputs!$B$25+Inputs!$B$29,IF(Skills!C5=2,90+Inputs!$B$26+Inputs!$B$29,IF(Skills!C5=3,120+Inputs!$B$27+Inputs!$B$29,MAX(0,(Inputs!$B$3-100)*3)+Inputs!$B$28+Inputs!$B$29)))</f>
        <v/>
      </c>
      <c r="E1144">
        <f>INDEX(FactorTable!$B$2:$Y$301, MATCH(ROUND(MIN(300,MAX(1,D1144)),0), FactorTable!$A$2:$A$301,0), Skills!M5+1)</f>
        <v/>
      </c>
      <c r="F1144">
        <f>IF(Skills!N5=TRUE,(Skills!L5/10)*(E1144/1000),Skills!L5/10)+Skills!O5</f>
        <v/>
      </c>
      <c r="G1144">
        <f>Skills!G5*IF(Skills!H5&gt;0,Skills!I5/Skills!H5,1)</f>
        <v/>
      </c>
      <c r="H1144">
        <f>1-(1-Skills!J5/100)^Skills!K5</f>
        <v/>
      </c>
      <c r="I1144" t="inlineStr">
        <is>
          <t>1</t>
        </is>
      </c>
      <c r="J1144">
        <f>((Inputs!$B$6*(1+Inputs!$B$7/100))+(((Inputs!$B$12*(1+Inputs!$B$13/100))-(Inputs!$B$12*(1+Inputs!$B$13/100)))+0.25*(Inputs!$B$14-Inputs!$B$14))*(1+Inputs!$B$7/100))*(F1144/100)</f>
        <v/>
      </c>
      <c r="K1144">
        <f>J1144*(1+((Inputs!$B$12*(1+Inputs!$B$13/100))*0.01+Inputs!$B$14*0.0025)/100)*(1+Inputs!$B$15/100)*(1+Inputs!$B$16/100)*(5000/(6000+Inputs!$B$42*(1-(Inputs!$B$19+0)/100)))*(1+(Inputs!$B$24+((C1164=TRUE)*(F1164-Calc!F25))+B1174)/100)*(1+IF(Skills!A5="ENHANCED_RAGING_BLOW",IF(Inputs!$B$3&gt;=134,MAX(0,IF(Inputs!$B$3&gt;=110,7,5)-5)*50,0),0)/100)*(1+(IF(Skills!A5="RAGING_BLOW",Inputs!$B$17+((C1160=TRUE)*(F1160-Calc!F21)),Inputs!$B$18+((C1162=TRUE)*(F1162-Calc!F23))))/100)*((1+(((C1152=TRUE)*F1152*IF(Inputs!$B$3&gt;=110,7,5))+((C1154=TRUE)*F1154*IF(AND(Inputs!$B$38&lt;&gt;"pvp",Inputs!$B$43&gt;0),(((R1154-1)*(Skills!T15*(1+Inputs!$B$34/100))+MIN((Skills!T15*(1+Inputs!$B$34/100)),MAX(0,Inputs!$B$43-((R1154-1)*Skills!D15))))/Inputs!$B$43),IF(Inputs!$B$38="pvp",MIN((Skills!T15*(1+Inputs!$B$34/100)),15)/15,(Skills!T15*(1+Inputs!$B$34/100))/Skills!D15)))+0)/100)*I1144)</f>
        <v/>
      </c>
      <c r="L1144">
        <f>K1144*(MIN(Inputs!$B$22+((C1161=TRUE)*(F1161-Calc!F22)),Inputs!$B$23+((C1163=TRUE)*(F1163-Calc!F24)))/100+(Inputs!$B$23+((C1163=TRUE)*(F1163-Calc!F24)))/100)/2</f>
        <v/>
      </c>
      <c r="M1144">
        <f>L1144*(1+(Inputs!$B$10+0+B1173)/100)</f>
        <v/>
      </c>
      <c r="N1144">
        <f>L1144*(1-MIN((Inputs!$B$9+((C1165=TRUE)*(F1165-Calc!F26))+B1168),100)/100)+M1144*(MIN((Inputs!$B$9+((C1165=TRUE)*(F1165-Calc!F26))+B1168),100)/100)</f>
        <v/>
      </c>
      <c r="O1144">
        <f>(1-Summary!$B$55)*T1144+Summary!$B$55*V1144</f>
        <v/>
      </c>
      <c r="P1144">
        <f>IF(B1178=0,0,O1144/B1178)</f>
        <v/>
      </c>
      <c r="Q1144">
        <f>IFERROR(1/IF(Inputs!$B$38="pvp",15,MAX(0.1,Skills!D5-IF(Skills!E5=TRUE,0.5,0))),0)</f>
        <v/>
      </c>
      <c r="R1144">
        <f>IF(AND(Inputs!$B$38&lt;&gt;"pvp",Inputs!$B$43&gt;0),IF(MAX(0,Inputs!$B$43-B1175)&lt;=0,0,(INT(MAX(0,Inputs!$B$43-B1175)/IF(Inputs!$B$38="pvp",15,MAX(0.1,Skills!D5-IF(Skills!E5=TRUE,0.5,0))))+1)),0)</f>
        <v/>
      </c>
      <c r="S1144">
        <f>IFERROR(O1144/N1144,0)</f>
        <v/>
      </c>
      <c r="T1144">
        <f>IF(C1144,(H1144*N1144*IF(AND(Inputs!$B$38&lt;&gt;"pvp",Inputs!$B$43&gt;0),((Skills!G5*((R1144-1)*IF(Skills!H5&gt;0,Skills!I5/Skills!H5,1)+IF(Skills!H5&gt;0,MIN(Skills!I5,MAX(0,MAX(0,Inputs!$B$43-B1175)-((R1144-1)*IF(Inputs!$B$38="pvp",15,MAX(0.1,Skills!D5-IF(Skills!E5=TRUE,0.5,0))))))/Skills!H5,1)))/Inputs!$B$43),G1144*Q1144))*IF(Inputs!$B$38="pvp",1,1+(Inputs!$B$20+0+Skills!P5+Summary!$B$59)/100),0)</f>
        <v/>
      </c>
      <c r="V1144">
        <f>IF(C1144,(H1144*N1144*IF(AND(Inputs!$B$38&lt;&gt;"pvp",Inputs!$B$43&gt;0),((Skills!G5*((R1144-1)*IF(Skills!H5&gt;0,Skills!I5/Skills!H5,1)+IF(Skills!H5&gt;0,MIN(Skills!I5,MAX(0,MAX(0,Inputs!$B$43-B1175)-((R1144-1)*IF(Inputs!$B$38="pvp",15,MAX(0.1,Skills!D5-IF(Skills!E5=TRUE,0.5,0))))))/Skills!H5,1)))/Inputs!$B$43),G1144*Q1144))*IF(Inputs!$B$38="pvp",1,(1+(Inputs!$B$21+Skills!Q5+Summary!$B$59)/100)*(MIN(Skills!R5,Inputs!$B$37))),0)</f>
        <v/>
      </c>
    </row>
    <row r="1145">
      <c r="A1145">
        <f>Skills!A6</f>
        <v/>
      </c>
      <c r="B1145">
        <f>Skills!B6</f>
        <v/>
      </c>
      <c r="C1145">
        <f>Inputs!$B$3&gt;=103</f>
        <v/>
      </c>
      <c r="D1145">
        <f>IF(Skills!C6=1,60+Inputs!$B$25+Inputs!$B$29,IF(Skills!C6=2,90+Inputs!$B$26+Inputs!$B$29,IF(Skills!C6=3,120+Inputs!$B$27+Inputs!$B$29,MAX(0,(Inputs!$B$3-100)*3)+Inputs!$B$28+Inputs!$B$29)))</f>
        <v/>
      </c>
      <c r="E1145">
        <f>INDEX(FactorTable!$B$2:$Y$301, MATCH(ROUND(MIN(300,MAX(1,D1145)),0), FactorTable!$A$2:$A$301,0), Skills!M6+1)</f>
        <v/>
      </c>
      <c r="F1145">
        <f>IF(Skills!N6=TRUE,(Skills!L6/10)*(E1145/1000),Skills!L6/10)+Skills!O6</f>
        <v/>
      </c>
      <c r="G1145">
        <f>Skills!G6*IF(Skills!H6&gt;0,Skills!I6/Skills!H6,1)</f>
        <v/>
      </c>
      <c r="H1145">
        <f>1-(1-Skills!J6/100)^Skills!K6</f>
        <v/>
      </c>
      <c r="I1145" t="inlineStr">
        <is>
          <t>1</t>
        </is>
      </c>
      <c r="J1145">
        <f>((Inputs!$B$6*(1+Inputs!$B$7/100))+(((Inputs!$B$12*(1+Inputs!$B$13/100))-(Inputs!$B$12*(1+Inputs!$B$13/100)))+0.25*(Inputs!$B$14-Inputs!$B$14))*(1+Inputs!$B$7/100))*(F1145/100)</f>
        <v/>
      </c>
      <c r="K1145">
        <f>J1145*(1+((Inputs!$B$12*(1+Inputs!$B$13/100))*0.01+Inputs!$B$14*0.0025)/100)*(1+Inputs!$B$15/100)*(1+Inputs!$B$16/100)*(5000/(6000+Inputs!$B$42*(1-(Inputs!$B$19+0)/100)))*(1+(Inputs!$B$24+((C1164=TRUE)*(F1164-Calc!F25))+B1174)/100)*(1+IF(Skills!A6="ENHANCED_RAGING_BLOW",IF(Inputs!$B$3&gt;=134,MAX(0,IF(Inputs!$B$3&gt;=110,7,5)-5)*50,0),0)/100)*(1+(IF(Skills!A6="RAGING_BLOW",Inputs!$B$17+((C1160=TRUE)*(F1160-Calc!F21)),Inputs!$B$18+((C1162=TRUE)*(F1162-Calc!F23))))/100)*((1+(((C1152=TRUE)*F1152*IF(Inputs!$B$3&gt;=110,7,5))+((C1154=TRUE)*F1154*IF(AND(Inputs!$B$38&lt;&gt;"pvp",Inputs!$B$43&gt;0),(((R1154-1)*(Skills!T15*(1+Inputs!$B$34/100))+MIN((Skills!T15*(1+Inputs!$B$34/100)),MAX(0,Inputs!$B$43-((R1154-1)*Skills!D15))))/Inputs!$B$43),IF(Inputs!$B$38="pvp",MIN((Skills!T15*(1+Inputs!$B$34/100)),15)/15,(Skills!T15*(1+Inputs!$B$34/100))/Skills!D15)))+0)/100)*I1145)</f>
        <v/>
      </c>
      <c r="L1145">
        <f>K1145*(MIN(Inputs!$B$22+((C1161=TRUE)*(F1161-Calc!F22)),Inputs!$B$23+((C1163=TRUE)*(F1163-Calc!F24)))/100+(Inputs!$B$23+((C1163=TRUE)*(F1163-Calc!F24)))/100)/2</f>
        <v/>
      </c>
      <c r="M1145">
        <f>L1145*(1+(Inputs!$B$10+0+B1173)/100)</f>
        <v/>
      </c>
      <c r="N1145">
        <f>L1145*(1-MIN((Inputs!$B$9+((C1165=TRUE)*(F1165-Calc!F26))+B1168),100)/100)+M1145*(MIN((Inputs!$B$9+((C1165=TRUE)*(F1165-Calc!F26))+B1168),100)/100)</f>
        <v/>
      </c>
      <c r="O1145">
        <f>(1-Summary!$B$55)*T1145+Summary!$B$55*V1145</f>
        <v/>
      </c>
      <c r="P1145">
        <f>IF(B1178=0,0,O1145/B1178)</f>
        <v/>
      </c>
      <c r="Q1145">
        <f>IFERROR(1/IF(Inputs!$B$38="pvp",15,MAX(0.1,Skills!D6-IF(Skills!E6=TRUE,0.5,0))),0)</f>
        <v/>
      </c>
      <c r="R1145">
        <f>IF(AND(Inputs!$B$38&lt;&gt;"pvp",Inputs!$B$43&gt;0),IF(MAX(0,Inputs!$B$43-B1175)&lt;=0,0,(INT(MAX(0,Inputs!$B$43-B1175)/IF(Inputs!$B$38="pvp",15,MAX(0.1,Skills!D6-IF(Skills!E6=TRUE,0.5,0))))+1)),0)</f>
        <v/>
      </c>
      <c r="S1145">
        <f>IFERROR(O1145/N1145,0)</f>
        <v/>
      </c>
      <c r="T1145">
        <f>IF(C1145,(H1145*N1145*IF(AND(Inputs!$B$38&lt;&gt;"pvp",Inputs!$B$43&gt;0),((Skills!G6*((R1145-1)*IF(Skills!H6&gt;0,Skills!I6/Skills!H6,1)+IF(Skills!H6&gt;0,MIN(Skills!I6,MAX(0,MAX(0,Inputs!$B$43-B1175)-((R1145-1)*IF(Inputs!$B$38="pvp",15,MAX(0.1,Skills!D6-IF(Skills!E6=TRUE,0.5,0))))))/Skills!H6,1)))/Inputs!$B$43),G1145*Q1145))*IF(Inputs!$B$38="pvp",1,1+(Inputs!$B$20+0+Skills!P6+Summary!$B$59)/100),0)</f>
        <v/>
      </c>
      <c r="V1145">
        <f>IF(C1145,(H1145*N1145*IF(AND(Inputs!$B$38&lt;&gt;"pvp",Inputs!$B$43&gt;0),((Skills!G6*((R1145-1)*IF(Skills!H6&gt;0,Skills!I6/Skills!H6,1)+IF(Skills!H6&gt;0,MIN(Skills!I6,MAX(0,MAX(0,Inputs!$B$43-B1175)-((R1145-1)*IF(Inputs!$B$38="pvp",15,MAX(0.1,Skills!D6-IF(Skills!E6=TRUE,0.5,0))))))/Skills!H6,1)))/Inputs!$B$43),G1145*Q1145))*IF(Inputs!$B$38="pvp",1,(1+(Inputs!$B$21+Skills!Q6+Summary!$B$59)/100)*(MIN(Skills!R6,Inputs!$B$37))),0)</f>
        <v/>
      </c>
    </row>
    <row r="1146">
      <c r="A1146">
        <f>Skills!A7</f>
        <v/>
      </c>
      <c r="B1146">
        <f>Skills!B7</f>
        <v/>
      </c>
      <c r="C1146">
        <f>Inputs!$B$3&gt;=107</f>
        <v/>
      </c>
      <c r="D1146">
        <f>IF(Skills!C7=1,60+Inputs!$B$25+Inputs!$B$29,IF(Skills!C7=2,90+Inputs!$B$26+Inputs!$B$29,IF(Skills!C7=3,120+Inputs!$B$27+Inputs!$B$29,MAX(0,(Inputs!$B$3-100)*3)+Inputs!$B$28+Inputs!$B$29)))</f>
        <v/>
      </c>
      <c r="E1146">
        <f>INDEX(FactorTable!$B$2:$Y$301, MATCH(ROUND(MIN(300,MAX(1,D1146)),0), FactorTable!$A$2:$A$301,0), Skills!M7+1)</f>
        <v/>
      </c>
      <c r="F1146">
        <f>IF(Skills!N7=TRUE,(Skills!L7/10)*(E1146/1000),Skills!L7/10)+Skills!O7</f>
        <v/>
      </c>
      <c r="G1146">
        <f>Skills!G7*IF(Skills!H7&gt;0,Skills!I7/Skills!H7,1)</f>
        <v/>
      </c>
      <c r="H1146">
        <f>1-(1-Skills!J7/100)^Skills!K7</f>
        <v/>
      </c>
      <c r="I1146" t="inlineStr">
        <is>
          <t>1</t>
        </is>
      </c>
      <c r="J1146">
        <f>((Inputs!$B$6*(1+Inputs!$B$7/100))+(((Inputs!$B$12*(1+Inputs!$B$13/100))-(Inputs!$B$12*(1+Inputs!$B$13/100)))+0.25*(Inputs!$B$14-Inputs!$B$14))*(1+Inputs!$B$7/100))*(F1146/100)</f>
        <v/>
      </c>
      <c r="K1146">
        <f>J1146*(1+((Inputs!$B$12*(1+Inputs!$B$13/100))*0.01+Inputs!$B$14*0.0025)/100)*(1+Inputs!$B$15/100)*(1+Inputs!$B$16/100)*(5000/(6000+Inputs!$B$42*(1-(Inputs!$B$19+0)/100)))*(1+(Inputs!$B$24+((C1164=TRUE)*(F1164-Calc!F25))+B1174)/100)*(1+IF(Skills!A7="ENHANCED_RAGING_BLOW",IF(Inputs!$B$3&gt;=134,MAX(0,IF(Inputs!$B$3&gt;=110,7,5)-5)*50,0),0)/100)*(1+(IF(Skills!A7="RAGING_BLOW",Inputs!$B$17+((C1160=TRUE)*(F1160-Calc!F21)),Inputs!$B$18+((C1162=TRUE)*(F1162-Calc!F23))))/100)*((1+(((C1152=TRUE)*F1152*IF(Inputs!$B$3&gt;=110,7,5))+((C1154=TRUE)*F1154*IF(AND(Inputs!$B$38&lt;&gt;"pvp",Inputs!$B$43&gt;0),(((R1154-1)*(Skills!T15*(1+Inputs!$B$34/100))+MIN((Skills!T15*(1+Inputs!$B$34/100)),MAX(0,Inputs!$B$43-((R1154-1)*Skills!D15))))/Inputs!$B$43),IF(Inputs!$B$38="pvp",MIN((Skills!T15*(1+Inputs!$B$34/100)),15)/15,(Skills!T15*(1+Inputs!$B$34/100))/Skills!D15)))+0)/100)*I1146)</f>
        <v/>
      </c>
      <c r="L1146">
        <f>K1146*(MIN(Inputs!$B$22+((C1161=TRUE)*(F1161-Calc!F22)),Inputs!$B$23+((C1163=TRUE)*(F1163-Calc!F24)))/100+(Inputs!$B$23+((C1163=TRUE)*(F1163-Calc!F24)))/100)/2</f>
        <v/>
      </c>
      <c r="M1146">
        <f>L1146*(1+(Inputs!$B$10+0+B1173)/100)</f>
        <v/>
      </c>
      <c r="N1146">
        <f>L1146*(1-MIN((Inputs!$B$9+((C1165=TRUE)*(F1165-Calc!F26))+B1168),100)/100)+M1146*(MIN((Inputs!$B$9+((C1165=TRUE)*(F1165-Calc!F26))+B1168),100)/100)</f>
        <v/>
      </c>
      <c r="O1146">
        <f>(1-Summary!$B$55)*T1146+Summary!$B$55*V1146</f>
        <v/>
      </c>
      <c r="P1146">
        <f>IF(B1178=0,0,O1146/B1178)</f>
        <v/>
      </c>
      <c r="Q1146">
        <f>IFERROR(1/IF(Inputs!$B$38="pvp",15,MAX(0.1,Skills!D7-IF(Skills!E7=TRUE,0.5,0))),0)</f>
        <v/>
      </c>
      <c r="R1146">
        <f>IF(AND(Inputs!$B$38&lt;&gt;"pvp",Inputs!$B$43&gt;0),IF(MAX(0,Inputs!$B$43-B1175)&lt;=0,0,(INT(MAX(0,Inputs!$B$43-B1175)/IF(Inputs!$B$38="pvp",15,MAX(0.1,Skills!D7-IF(Skills!E7=TRUE,0.5,0))))+1)),0)</f>
        <v/>
      </c>
      <c r="S1146">
        <f>IFERROR(O1146/N1146,0)</f>
        <v/>
      </c>
      <c r="T1146">
        <f>IF(C1146,(H1146*N1146*IF(AND(Inputs!$B$38&lt;&gt;"pvp",Inputs!$B$43&gt;0),((Skills!G7*((R1146-1)*IF(Skills!H7&gt;0,Skills!I7/Skills!H7,1)+IF(Skills!H7&gt;0,MIN(Skills!I7,MAX(0,MAX(0,Inputs!$B$43-B1175)-((R1146-1)*IF(Inputs!$B$38="pvp",15,MAX(0.1,Skills!D7-IF(Skills!E7=TRUE,0.5,0))))))/Skills!H7,1)))/Inputs!$B$43),G1146*Q1146))*IF(Inputs!$B$38="pvp",1,1+(Inputs!$B$20+0+Skills!P7+Summary!$B$59)/100),0)</f>
        <v/>
      </c>
      <c r="V1146">
        <f>IF(C1146,(H1146*N1146*IF(AND(Inputs!$B$38&lt;&gt;"pvp",Inputs!$B$43&gt;0),((Skills!G7*((R1146-1)*IF(Skills!H7&gt;0,Skills!I7/Skills!H7,1)+IF(Skills!H7&gt;0,MIN(Skills!I7,MAX(0,MAX(0,Inputs!$B$43-B1175)-((R1146-1)*IF(Inputs!$B$38="pvp",15,MAX(0.1,Skills!D7-IF(Skills!E7=TRUE,0.5,0))))))/Skills!H7,1)))/Inputs!$B$43),G1146*Q1146))*IF(Inputs!$B$38="pvp",1,(1+(Inputs!$B$21+Skills!Q7+Summary!$B$59)/100)*(MIN(Skills!R7,Inputs!$B$37))),0)</f>
        <v/>
      </c>
    </row>
    <row r="1147">
      <c r="A1147">
        <f>Skills!A8</f>
        <v/>
      </c>
      <c r="B1147">
        <f>Skills!B8</f>
        <v/>
      </c>
      <c r="C1147">
        <f>Inputs!$B$3&gt;=117</f>
        <v/>
      </c>
      <c r="D1147">
        <f>IF(Skills!C8=1,60+Inputs!$B$25+Inputs!$B$29,IF(Skills!C8=2,90+Inputs!$B$26+Inputs!$B$29,IF(Skills!C8=3,120+Inputs!$B$27+Inputs!$B$29,MAX(0,(Inputs!$B$3-100)*3)+Inputs!$B$28+Inputs!$B$29)))</f>
        <v/>
      </c>
      <c r="E1147">
        <f>INDEX(FactorTable!$B$2:$Y$301, MATCH(ROUND(MIN(300,MAX(1,D1147)),0), FactorTable!$A$2:$A$301,0), Skills!M8+1)</f>
        <v/>
      </c>
      <c r="F1147">
        <f>IF(Skills!N8=TRUE,(Skills!L8/10)*(E1147/1000),Skills!L8/10)+Skills!O8</f>
        <v/>
      </c>
      <c r="G1147">
        <f>Skills!G8*IF(Skills!H8&gt;0,Skills!I8/Skills!H8,1)</f>
        <v/>
      </c>
      <c r="H1147">
        <f>1-(1-Skills!J8/100)^Skills!K8</f>
        <v/>
      </c>
      <c r="I1147" t="inlineStr">
        <is>
          <t>1</t>
        </is>
      </c>
      <c r="J1147">
        <f>((Inputs!$B$6*(1+Inputs!$B$7/100))+(((Inputs!$B$12*(1+Inputs!$B$13/100))-(Inputs!$B$12*(1+Inputs!$B$13/100)))+0.25*(Inputs!$B$14-Inputs!$B$14))*(1+Inputs!$B$7/100))*(F1147/100)</f>
        <v/>
      </c>
      <c r="K1147">
        <f>J1147*(1+((Inputs!$B$12*(1+Inputs!$B$13/100))*0.01+Inputs!$B$14*0.0025)/100)*(1+Inputs!$B$15/100)*(1+Inputs!$B$16/100)*(5000/(6000+Inputs!$B$42*(1-(Inputs!$B$19+0)/100)))*(1+(Inputs!$B$24+((C1164=TRUE)*(F1164-Calc!F25))+B1174)/100)*(1+IF(Skills!A8="ENHANCED_RAGING_BLOW",IF(Inputs!$B$3&gt;=134,MAX(0,IF(Inputs!$B$3&gt;=110,7,5)-5)*50,0),0)/100)*(1+(IF(Skills!A8="RAGING_BLOW",Inputs!$B$17+((C1160=TRUE)*(F1160-Calc!F21)),Inputs!$B$18+((C1162=TRUE)*(F1162-Calc!F23))))/100)*((1+(((C1152=TRUE)*F1152*IF(Inputs!$B$3&gt;=110,7,5))+((C1154=TRUE)*F1154*IF(AND(Inputs!$B$38&lt;&gt;"pvp",Inputs!$B$43&gt;0),(((R1154-1)*(Skills!T15*(1+Inputs!$B$34/100))+MIN((Skills!T15*(1+Inputs!$B$34/100)),MAX(0,Inputs!$B$43-((R1154-1)*Skills!D15))))/Inputs!$B$43),IF(Inputs!$B$38="pvp",MIN((Skills!T15*(1+Inputs!$B$34/100)),15)/15,(Skills!T15*(1+Inputs!$B$34/100))/Skills!D15)))+0)/100)*I1147)</f>
        <v/>
      </c>
      <c r="L1147">
        <f>K1147*(MIN(Inputs!$B$22+((C1161=TRUE)*(F1161-Calc!F22)),Inputs!$B$23+((C1163=TRUE)*(F1163-Calc!F24)))/100+(Inputs!$B$23+((C1163=TRUE)*(F1163-Calc!F24)))/100)/2</f>
        <v/>
      </c>
      <c r="M1147">
        <f>L1147*(1+(Inputs!$B$10+0+B1173)/100)</f>
        <v/>
      </c>
      <c r="N1147">
        <f>L1147*(1-MIN((Inputs!$B$9+((C1165=TRUE)*(F1165-Calc!F26))+B1168),100)/100)+M1147*(MIN((Inputs!$B$9+((C1165=TRUE)*(F1165-Calc!F26))+B1168),100)/100)</f>
        <v/>
      </c>
      <c r="O1147">
        <f>(1-Summary!$B$55)*T1147+Summary!$B$55*V1147</f>
        <v/>
      </c>
      <c r="P1147">
        <f>IF(B1178=0,0,O1147/B1178)</f>
        <v/>
      </c>
      <c r="Q1147">
        <f>IFERROR(1/IF(Inputs!$B$38="pvp",15,MAX(0.1,Skills!D8-IF(Skills!E8=TRUE,0.5,0))),0)</f>
        <v/>
      </c>
      <c r="R1147">
        <f>IF(AND(Inputs!$B$38&lt;&gt;"pvp",Inputs!$B$43&gt;0),IF(MAX(0,Inputs!$B$43-B1175)&lt;=0,0,(INT(MAX(0,Inputs!$B$43-B1175)/IF(Inputs!$B$38="pvp",15,MAX(0.1,Skills!D8-IF(Skills!E8=TRUE,0.5,0))))+1)),0)</f>
        <v/>
      </c>
      <c r="S1147">
        <f>IFERROR(O1147/N1147,0)</f>
        <v/>
      </c>
      <c r="T1147">
        <f>IF(C1147,(H1147*N1147*IF(AND(Inputs!$B$38&lt;&gt;"pvp",Inputs!$B$43&gt;0),((Skills!G8*((R1147-1)*IF(Skills!H8&gt;0,Skills!I8/Skills!H8,1)+IF(Skills!H8&gt;0,MIN(Skills!I8,MAX(0,MAX(0,Inputs!$B$43-B1175)-((R1147-1)*IF(Inputs!$B$38="pvp",15,MAX(0.1,Skills!D8-IF(Skills!E8=TRUE,0.5,0))))))/Skills!H8,1)))/Inputs!$B$43),G1147*Q1147))*IF(Inputs!$B$38="pvp",1,1+(Inputs!$B$20+0+Skills!P8+Summary!$B$59)/100),0)</f>
        <v/>
      </c>
      <c r="V1147">
        <f>IF(C1147,(H1147*N1147*IF(AND(Inputs!$B$38&lt;&gt;"pvp",Inputs!$B$43&gt;0),((Skills!G8*((R1147-1)*IF(Skills!H8&gt;0,Skills!I8/Skills!H8,1)+IF(Skills!H8&gt;0,MIN(Skills!I8,MAX(0,MAX(0,Inputs!$B$43-B1175)-((R1147-1)*IF(Inputs!$B$38="pvp",15,MAX(0.1,Skills!D8-IF(Skills!E8=TRUE,0.5,0))))))/Skills!H8,1)))/Inputs!$B$43),G1147*Q1147))*IF(Inputs!$B$38="pvp",1,(1+(Inputs!$B$21+Skills!Q8+Summary!$B$59)/100)*(MIN(Skills!R8,Inputs!$B$37))),0)</f>
        <v/>
      </c>
    </row>
    <row r="1148">
      <c r="A1148">
        <f>Skills!A9</f>
        <v/>
      </c>
      <c r="B1148">
        <f>Skills!B9</f>
        <v/>
      </c>
      <c r="C1148">
        <f>Inputs!$B$3&gt;=69</f>
        <v/>
      </c>
      <c r="D1148">
        <f>IF(Skills!C9=1,60+Inputs!$B$25+Inputs!$B$29,IF(Skills!C9=2,90+Inputs!$B$26+Inputs!$B$29,IF(Skills!C9=3,120+Inputs!$B$27+Inputs!$B$29,MAX(0,(Inputs!$B$3-100)*3)+Inputs!$B$28+Inputs!$B$29)))</f>
        <v/>
      </c>
      <c r="E1148">
        <f>INDEX(FactorTable!$B$2:$Y$301, MATCH(ROUND(MIN(300,MAX(1,D1148)),0), FactorTable!$A$2:$A$301,0), Skills!M9+1)</f>
        <v/>
      </c>
      <c r="F1148">
        <f>IF(Skills!N9=TRUE,(Skills!L9/10)*(E1148/1000),Skills!L9/10)+Skills!O9</f>
        <v/>
      </c>
      <c r="G1148">
        <f>Skills!G9*IF(Skills!H9&gt;0,Skills!I9/Skills!H9,1)</f>
        <v/>
      </c>
      <c r="H1148">
        <f>1-(1-Skills!J9/100)^Skills!K9</f>
        <v/>
      </c>
      <c r="I1148" t="inlineStr">
        <is>
          <t>1</t>
        </is>
      </c>
      <c r="J1148">
        <f>((Inputs!$B$6*(1+Inputs!$B$7/100))+(((Inputs!$B$12*(1+Inputs!$B$13/100))-(Inputs!$B$12*(1+Inputs!$B$13/100)))+0.25*(Inputs!$B$14-Inputs!$B$14))*(1+Inputs!$B$7/100))*(F1148/100)</f>
        <v/>
      </c>
      <c r="K1148">
        <f>J1148*(1+((Inputs!$B$12*(1+Inputs!$B$13/100))*0.01+Inputs!$B$14*0.0025)/100)*(1+Inputs!$B$15/100)*(1+Inputs!$B$16/100)*(5000/(6000+Inputs!$B$42*(1-(Inputs!$B$19+0)/100)))*(1+(Inputs!$B$24+((C1164=TRUE)*(F1164-Calc!F25))+B1174)/100)*(1+1.0*IF(C1151=TRUE,F1151,0)/100)*(1+IF(Skills!A9="ENHANCED_RAGING_BLOW",IF(Inputs!$B$3&gt;=134,MAX(0,IF(Inputs!$B$3&gt;=110,7,5)-5)*50,0),0)/100)*(1+(IF(Skills!A9="RAGING_BLOW",Inputs!$B$17+((C1160=TRUE)*(F1160-Calc!F21)),Inputs!$B$18+((C1162=TRUE)*(F1162-Calc!F23))))/100)*((1+(((C1152=TRUE)*F1152*IF(Inputs!$B$3&gt;=110,7,5))+((C1154=TRUE)*F1154*IF(AND(Inputs!$B$38&lt;&gt;"pvp",Inputs!$B$43&gt;0),(((R1154-1)*(Skills!T15*(1+Inputs!$B$34/100))+MIN((Skills!T15*(1+Inputs!$B$34/100)),MAX(0,Inputs!$B$43-((R1154-1)*Skills!D15))))/Inputs!$B$43),IF(Inputs!$B$38="pvp",MIN((Skills!T15*(1+Inputs!$B$34/100)),15)/15,(Skills!T15*(1+Inputs!$B$34/100))/Skills!D15)))+0)/100)*I1148)</f>
        <v/>
      </c>
      <c r="L1148">
        <f>K1148*(MIN(Inputs!$B$22+((C1161=TRUE)*(F1161-Calc!F22)),Inputs!$B$23+((C1163=TRUE)*(F1163-Calc!F24)))/100+(Inputs!$B$23+((C1163=TRUE)*(F1163-Calc!F24)))/100)/2</f>
        <v/>
      </c>
      <c r="M1148">
        <f>L1148*(1+(Inputs!$B$10+0+B1173)/100)</f>
        <v/>
      </c>
      <c r="N1148">
        <f>L1148*(1-MIN((Inputs!$B$9+((C1165=TRUE)*(F1165-Calc!F26))+B1168),100)/100)+M1148*(MIN((Inputs!$B$9+((C1165=TRUE)*(F1165-Calc!F26))+B1168),100)/100)</f>
        <v/>
      </c>
      <c r="O1148">
        <f>(1-Summary!$B$55)*T1148+Summary!$B$55*V1148</f>
        <v/>
      </c>
      <c r="P1148">
        <f>IF(B1178=0,0,O1148/B1178)</f>
        <v/>
      </c>
      <c r="Q1148">
        <f>IFERROR(1/IF(Inputs!$B$38="pvp",15,MAX(0.1,Skills!D9-IF(Skills!E9=TRUE,0.5,0))),0)</f>
        <v/>
      </c>
      <c r="R1148">
        <f>IF(AND(Inputs!$B$38&lt;&gt;"pvp",Inputs!$B$43&gt;0),IF(MAX(0,Inputs!$B$43-B1175)&lt;=0,0,(INT(MAX(0,Inputs!$B$43-B1175)/IF(Inputs!$B$38="pvp",15,MAX(0.1,Skills!D9-IF(Skills!E9=TRUE,0.5,0))))+1)),0)</f>
        <v/>
      </c>
      <c r="S1148">
        <f>IFERROR(O1148/N1148,0)</f>
        <v/>
      </c>
      <c r="T1148">
        <f>IF(C1148,(H1148*N1148*IF(AND(Inputs!$B$38&lt;&gt;"pvp",Inputs!$B$43&gt;0),((Skills!G9*((R1148-1)*IF(Skills!H9&gt;0,Skills!I9/Skills!H9,1)+IF(Skills!H9&gt;0,MIN(Skills!I9,MAX(0,MAX(0,Inputs!$B$43-B1175)-((R1148-1)*IF(Inputs!$B$38="pvp",15,MAX(0.1,Skills!D9-IF(Skills!E9=TRUE,0.5,0))))))/Skills!H9,1)))/Inputs!$B$43),G1148*Q1148))*IF(Inputs!$B$38="pvp",1,1+(Inputs!$B$20+0+Skills!P9+Summary!$B$59)/100),0)</f>
        <v/>
      </c>
      <c r="V1148">
        <f>IF(C1148,(H1148*N1148*IF(AND(Inputs!$B$38&lt;&gt;"pvp",Inputs!$B$43&gt;0),((Skills!G9*((R1148-1)*IF(Skills!H9&gt;0,Skills!I9/Skills!H9,1)+IF(Skills!H9&gt;0,MIN(Skills!I9,MAX(0,MAX(0,Inputs!$B$43-B1175)-((R1148-1)*IF(Inputs!$B$38="pvp",15,MAX(0.1,Skills!D9-IF(Skills!E9=TRUE,0.5,0))))))/Skills!H9,1)))/Inputs!$B$43),G1148*Q1148))*IF(Inputs!$B$38="pvp",1,(1+(Inputs!$B$21+Skills!Q9+Summary!$B$59)/100)*(MIN(Skills!R9,Inputs!$B$37))),0)</f>
        <v/>
      </c>
    </row>
    <row r="1149">
      <c r="A1149">
        <f>Skills!A10</f>
        <v/>
      </c>
      <c r="B1149">
        <f>Skills!B10</f>
        <v/>
      </c>
      <c r="C1149">
        <f>Inputs!$B$3&gt;=63</f>
        <v/>
      </c>
      <c r="D1149">
        <f>IF(Skills!C10=1,60+Inputs!$B$25+Inputs!$B$29,IF(Skills!C10=2,90+Inputs!$B$26+Inputs!$B$29,IF(Skills!C10=3,120+Inputs!$B$27+Inputs!$B$29,MAX(0,(Inputs!$B$3-100)*3)+Inputs!$B$28+Inputs!$B$29)))</f>
        <v/>
      </c>
      <c r="E1149">
        <f>INDEX(FactorTable!$B$2:$Y$301, MATCH(ROUND(MIN(300,MAX(1,D1149)),0), FactorTable!$A$2:$A$301,0), Skills!M10+1)</f>
        <v/>
      </c>
      <c r="F1149">
        <f>IF(Skills!N10=TRUE,(Skills!L10/10)*(E1149/1000),Skills!L10/10)+Skills!O10</f>
        <v/>
      </c>
      <c r="G1149">
        <f>Skills!G10*IF(Skills!H10&gt;0,Skills!I10/Skills!H10,1)</f>
        <v/>
      </c>
      <c r="H1149">
        <f>1-(1-Skills!J10/100)^Skills!K10</f>
        <v/>
      </c>
      <c r="I1149" t="inlineStr">
        <is>
          <t>1</t>
        </is>
      </c>
      <c r="J1149">
        <f>((Inputs!$B$6*(1+Inputs!$B$7/100))+(((Inputs!$B$12*(1+Inputs!$B$13/100))-(Inputs!$B$12*(1+Inputs!$B$13/100)))+0.25*(Inputs!$B$14-Inputs!$B$14))*(1+Inputs!$B$7/100))*(F1149/100)</f>
        <v/>
      </c>
      <c r="K1149">
        <f>J1149*(1+((Inputs!$B$12*(1+Inputs!$B$13/100))*0.01+Inputs!$B$14*0.0025)/100)*(1+Inputs!$B$15/100)*(1+Inputs!$B$16/100)*(5000/(6000+Inputs!$B$42*(1-(Inputs!$B$19+0)/100)))*(1+(Inputs!$B$24+((C1164=TRUE)*(F1164-Calc!F25))+B1174)/100)*(1+1.5*IF(C1151=TRUE,F1151,0)/100)*(1+IF(Skills!A10="ENHANCED_RAGING_BLOW",IF(Inputs!$B$3&gt;=134,MAX(0,IF(Inputs!$B$3&gt;=110,7,5)-5)*50,0),0)/100)*(1+(IF(Skills!A10="RAGING_BLOW",Inputs!$B$17+((C1160=TRUE)*(F1160-Calc!F21)),Inputs!$B$18+((C1162=TRUE)*(F1162-Calc!F23))))/100)*((1+(((C1152=TRUE)*F1152*IF(Inputs!$B$3&gt;=110,7,5))+((C1154=TRUE)*F1154*IF(AND(Inputs!$B$38&lt;&gt;"pvp",Inputs!$B$43&gt;0),(((R1154-1)*(Skills!T15*(1+Inputs!$B$34/100))+MIN((Skills!T15*(1+Inputs!$B$34/100)),MAX(0,Inputs!$B$43-((R1154-1)*Skills!D15))))/Inputs!$B$43),IF(Inputs!$B$38="pvp",MIN((Skills!T15*(1+Inputs!$B$34/100)),15)/15,(Skills!T15*(1+Inputs!$B$34/100))/Skills!D15)))+0)/100)*I1149)</f>
        <v/>
      </c>
      <c r="L1149">
        <f>K1149*(MIN(Inputs!$B$22+((C1161=TRUE)*(F1161-Calc!F22)),Inputs!$B$23+((C1163=TRUE)*(F1163-Calc!F24)))/100+(Inputs!$B$23+((C1163=TRUE)*(F1163-Calc!F24)))/100)/2</f>
        <v/>
      </c>
      <c r="M1149">
        <f>L1149*(1+(Inputs!$B$10+0+B1173)/100)</f>
        <v/>
      </c>
      <c r="N1149">
        <f>L1149*(1-MIN((Inputs!$B$9+((C1165=TRUE)*(F1165-Calc!F26))+B1168),100)/100)+M1149*(MIN((Inputs!$B$9+((C1165=TRUE)*(F1165-Calc!F26))+B1168),100)/100)</f>
        <v/>
      </c>
      <c r="O1149">
        <f>(1-Summary!$B$55)*T1149+Summary!$B$55*V1149</f>
        <v/>
      </c>
      <c r="P1149">
        <f>IF(B1178=0,0,O1149/B1178)</f>
        <v/>
      </c>
      <c r="Q1149">
        <f>IFERROR(1/IF(Inputs!$B$38="pvp",15,MAX(0.1,Skills!D10-IF(Skills!E10=TRUE,0.5,0))),0)</f>
        <v/>
      </c>
      <c r="R1149">
        <f>IF(AND(Inputs!$B$38&lt;&gt;"pvp",Inputs!$B$43&gt;0),IF(MAX(0,Inputs!$B$43-B1175)&lt;=0,0,(INT(MAX(0,Inputs!$B$43-B1175)/IF(Inputs!$B$38="pvp",15,MAX(0.1,Skills!D10-IF(Skills!E10=TRUE,0.5,0))))+1)),0)</f>
        <v/>
      </c>
      <c r="S1149">
        <f>IFERROR(O1149/N1149,0)</f>
        <v/>
      </c>
      <c r="T1149">
        <f>IF(C1149,(H1149*N1149*IF(AND(Inputs!$B$38&lt;&gt;"pvp",Inputs!$B$43&gt;0),((Skills!G10*((R1149-1)*IF(Skills!H10&gt;0,Skills!I10/Skills!H10,1)+IF(Skills!H10&gt;0,MIN(Skills!I10,MAX(0,MAX(0,Inputs!$B$43-B1175)-((R1149-1)*IF(Inputs!$B$38="pvp",15,MAX(0.1,Skills!D10-IF(Skills!E10=TRUE,0.5,0))))))/Skills!H10,1)))/Inputs!$B$43),G1149*Q1149))*IF(Inputs!$B$38="pvp",1,1+(Inputs!$B$20+0+Skills!P10+Summary!$B$59)/100),0)</f>
        <v/>
      </c>
      <c r="V1149">
        <f>IF(C1149,(H1149*N1149*IF(AND(Inputs!$B$38&lt;&gt;"pvp",Inputs!$B$43&gt;0),((Skills!G10*((R1149-1)*IF(Skills!H10&gt;0,Skills!I10/Skills!H10,1)+IF(Skills!H10&gt;0,MIN(Skills!I10,MAX(0,MAX(0,Inputs!$B$43-B1175)-((R1149-1)*IF(Inputs!$B$38="pvp",15,MAX(0.1,Skills!D10-IF(Skills!E10=TRUE,0.5,0))))))/Skills!H10,1)))/Inputs!$B$43),G1149*Q1149))*IF(Inputs!$B$38="pvp",1,(1+(Inputs!$B$21+Skills!Q10+Summary!$B$59)/100)*(MIN(Skills!R10,Inputs!$B$37))),0)</f>
        <v/>
      </c>
    </row>
    <row r="1150">
      <c r="A1150">
        <f>Skills!A11</f>
        <v/>
      </c>
      <c r="B1150">
        <f>Skills!B11</f>
        <v/>
      </c>
      <c r="C1150">
        <f>Inputs!$B$3&gt;=35</f>
        <v/>
      </c>
      <c r="D1150">
        <f>IF(Skills!C11=1,60+Inputs!$B$25+Inputs!$B$29,IF(Skills!C11=2,90+Inputs!$B$26+Inputs!$B$29,IF(Skills!C11=3,120+Inputs!$B$27+Inputs!$B$29,MAX(0,(Inputs!$B$3-100)*3)+Inputs!$B$28+Inputs!$B$29)))</f>
        <v/>
      </c>
      <c r="E1150">
        <f>INDEX(FactorTable!$B$2:$Y$301, MATCH(ROUND(MIN(300,MAX(1,D1150)),0), FactorTable!$A$2:$A$301,0), Skills!M11+1)</f>
        <v/>
      </c>
      <c r="F1150">
        <f>IF(Skills!N11=TRUE,(Skills!L11/10)*(E1150/1000),Skills!L11/10)+Skills!O11</f>
        <v/>
      </c>
      <c r="G1150">
        <f>Skills!G11*IF(Skills!H11&gt;0,Skills!I11/Skills!H11,1)</f>
        <v/>
      </c>
      <c r="H1150">
        <f>1-(1-Skills!J11/100)^Skills!K11</f>
        <v/>
      </c>
      <c r="I1150" t="inlineStr">
        <is>
          <t>1</t>
        </is>
      </c>
      <c r="J1150">
        <f>((Inputs!$B$6*(1+Inputs!$B$7/100))+(((Inputs!$B$12*(1+Inputs!$B$13/100))-(Inputs!$B$12*(1+Inputs!$B$13/100)))+0.25*(Inputs!$B$14-Inputs!$B$14))*(1+Inputs!$B$7/100))*(F1150/100)</f>
        <v/>
      </c>
      <c r="K1150">
        <f>J1150*(1+((Inputs!$B$12*(1+Inputs!$B$13/100))*0.01+Inputs!$B$14*0.0025)/100)*(1+Inputs!$B$15/100)*(1+Inputs!$B$16/100)*(5000/(6000+Inputs!$B$42*(1-(Inputs!$B$19+0)/100)))*(1+(Inputs!$B$24+((C1164=TRUE)*(F1164-Calc!F25))+B1174)/100)*(1+4.0*IF(C1151=TRUE,F1151,0)/100)*(1+IF(Skills!A11="ENHANCED_RAGING_BLOW",IF(Inputs!$B$3&gt;=134,MAX(0,IF(Inputs!$B$3&gt;=110,7,5)-5)*50,0),0)/100)*(1+(IF(Skills!A11="RAGING_BLOW",Inputs!$B$17+((C1160=TRUE)*(F1160-Calc!F21)),Inputs!$B$18+((C1162=TRUE)*(F1162-Calc!F23))))/100)*((1+(((C1152=TRUE)*F1152*IF(Inputs!$B$3&gt;=110,7,5))+((C1154=TRUE)*F1154*IF(AND(Inputs!$B$38&lt;&gt;"pvp",Inputs!$B$43&gt;0),(((R1154-1)*(Skills!T15*(1+Inputs!$B$34/100))+MIN((Skills!T15*(1+Inputs!$B$34/100)),MAX(0,Inputs!$B$43-((R1154-1)*Skills!D15))))/Inputs!$B$43),IF(Inputs!$B$38="pvp",MIN((Skills!T15*(1+Inputs!$B$34/100)),15)/15,(Skills!T15*(1+Inputs!$B$34/100))/Skills!D15)))+0)/100)*I1150)</f>
        <v/>
      </c>
      <c r="L1150">
        <f>K1150*(MIN(Inputs!$B$22+((C1161=TRUE)*(F1161-Calc!F22)),Inputs!$B$23+((C1163=TRUE)*(F1163-Calc!F24)))/100+(Inputs!$B$23+((C1163=TRUE)*(F1163-Calc!F24)))/100)/2</f>
        <v/>
      </c>
      <c r="M1150">
        <f>L1150*(1+(Inputs!$B$10+0+B1173)/100)</f>
        <v/>
      </c>
      <c r="N1150">
        <f>L1150*(1-MIN((Inputs!$B$9+((C1165=TRUE)*(F1165-Calc!F26))+B1168),100)/100)+M1150*(MIN((Inputs!$B$9+((C1165=TRUE)*(F1165-Calc!F26))+B1168),100)/100)</f>
        <v/>
      </c>
      <c r="O1150">
        <f>(1-Summary!$B$55)*T1150+Summary!$B$55*V1150</f>
        <v/>
      </c>
      <c r="P1150">
        <f>IF(B1178=0,0,O1150/B1178)</f>
        <v/>
      </c>
      <c r="Q1150">
        <f>IFERROR(1/IF(Inputs!$B$38="pvp",15,MAX(0.1,Skills!D11-IF(Skills!E11=TRUE,0.5,0))),0)</f>
        <v/>
      </c>
      <c r="R1150">
        <f>IF(AND(Inputs!$B$38&lt;&gt;"pvp",Inputs!$B$43&gt;0),IF(MAX(0,Inputs!$B$43-B1175)&lt;=0,0,(INT(MAX(0,Inputs!$B$43-B1175)/IF(Inputs!$B$38="pvp",15,MAX(0.1,Skills!D11-IF(Skills!E11=TRUE,0.5,0))))+1)),0)</f>
        <v/>
      </c>
      <c r="S1150">
        <f>IFERROR(O1150/N1150,0)</f>
        <v/>
      </c>
      <c r="T1150">
        <f>IF(C1150,(H1150*N1150*IF(AND(Inputs!$B$38&lt;&gt;"pvp",Inputs!$B$43&gt;0),((Skills!G11*((R1150-1)*IF(Skills!H11&gt;0,Skills!I11/Skills!H11,1)+IF(Skills!H11&gt;0,MIN(Skills!I11,MAX(0,MAX(0,Inputs!$B$43-B1175)-((R1150-1)*IF(Inputs!$B$38="pvp",15,MAX(0.1,Skills!D11-IF(Skills!E11=TRUE,0.5,0))))))/Skills!H11,1)))/Inputs!$B$43),G1150*Q1150))*IF(Inputs!$B$38="pvp",1,1+(Inputs!$B$20+0+Skills!P11+Summary!$B$59)/100),0)</f>
        <v/>
      </c>
      <c r="V1150">
        <f>IF(C1150,(H1150*N1150*IF(AND(Inputs!$B$38&lt;&gt;"pvp",Inputs!$B$43&gt;0),((Skills!G11*((R1150-1)*IF(Skills!H11&gt;0,Skills!I11/Skills!H11,1)+IF(Skills!H11&gt;0,MIN(Skills!I11,MAX(0,MAX(0,Inputs!$B$43-B1175)-((R1150-1)*IF(Inputs!$B$38="pvp",15,MAX(0.1,Skills!D11-IF(Skills!E11=TRUE,0.5,0))))))/Skills!H11,1)))/Inputs!$B$43),G1150*Q1150))*IF(Inputs!$B$38="pvp",1,(1+(Inputs!$B$21+Skills!Q11+Summary!$B$59)/100)*(MIN(Skills!R11,Inputs!$B$37))),0)</f>
        <v/>
      </c>
    </row>
    <row r="1151">
      <c r="A1151">
        <f>Skills!A12</f>
        <v/>
      </c>
      <c r="B1151">
        <f>Skills!B12</f>
        <v/>
      </c>
      <c r="C1151">
        <f>Inputs!$B$3&gt;=100</f>
        <v/>
      </c>
      <c r="D1151">
        <f>IF(Skills!C12=1,60+Inputs!$B$25+Inputs!$B$29,IF(Skills!C12=2,90+Inputs!$B$26+Inputs!$B$29,IF(Skills!C12=3,120+Inputs!$B$27+Inputs!$B$29,MAX(0,(Inputs!$B$3-100)*3)+Inputs!$B$28+Inputs!$B$29)))</f>
        <v/>
      </c>
      <c r="E1151">
        <f>INDEX(FactorTable!$B$2:$Y$301, MATCH(ROUND(MIN(300,MAX(1,D1151)),0), FactorTable!$A$2:$A$301,0), Skills!M12+1)</f>
        <v/>
      </c>
      <c r="F1151">
        <f>IF(Skills!N12=TRUE,(Skills!L12/10)*(E1151/1000),Skills!L12/10)+Skills!O12</f>
        <v/>
      </c>
      <c r="G1151" t="inlineStr"/>
      <c r="H1151" t="inlineStr"/>
      <c r="I1151" t="inlineStr">
        <is>
          <t>1</t>
        </is>
      </c>
      <c r="J1151" t="inlineStr"/>
      <c r="K1151" t="inlineStr"/>
      <c r="L1151" t="inlineStr"/>
      <c r="M1151" t="inlineStr"/>
      <c r="N1151" t="inlineStr"/>
      <c r="O1151" t="inlineStr"/>
      <c r="P1151" t="inlineStr"/>
      <c r="Q1151" t="inlineStr"/>
      <c r="R1151" t="inlineStr"/>
      <c r="S1151" t="inlineStr"/>
    </row>
    <row r="1152">
      <c r="A1152">
        <f>Skills!A13</f>
        <v/>
      </c>
      <c r="B1152">
        <f>Skills!B13</f>
        <v/>
      </c>
      <c r="C1152">
        <f>Inputs!$B$3&gt;=45</f>
        <v/>
      </c>
      <c r="D1152">
        <f>IF(Skills!C13=1,60+Inputs!$B$25+Inputs!$B$29,IF(Skills!C13=2,90+Inputs!$B$26+Inputs!$B$29,IF(Skills!C13=3,120+Inputs!$B$27+Inputs!$B$29,MAX(0,(Inputs!$B$3-100)*3)+Inputs!$B$28+Inputs!$B$29)))</f>
        <v/>
      </c>
      <c r="E1152">
        <f>INDEX(FactorTable!$B$2:$Y$301, MATCH(ROUND(MIN(300,MAX(1,D1152)),0), FactorTable!$A$2:$A$301,0), Skills!M13+1)</f>
        <v/>
      </c>
      <c r="F1152">
        <f>IF(Skills!N13=TRUE,(Skills!L13/10)*(E1152/1000),Skills!L13/10)+Skills!O13</f>
        <v/>
      </c>
      <c r="G1152">
        <f>Skills!G13*IF(Skills!H13&gt;0,Skills!I13/Skills!H13,1)</f>
        <v/>
      </c>
      <c r="H1152">
        <f>1-(1-Skills!J13/100)^Skills!K13</f>
        <v/>
      </c>
      <c r="I1152" t="inlineStr">
        <is>
          <t>1</t>
        </is>
      </c>
      <c r="J1152" t="inlineStr"/>
      <c r="K1152" t="inlineStr"/>
      <c r="L1152" t="inlineStr"/>
      <c r="M1152" t="inlineStr"/>
      <c r="N1152" t="inlineStr"/>
      <c r="O1152">
        <f>(1-Summary!$B$55)*T1152+Summary!$B$55*V1152</f>
        <v/>
      </c>
      <c r="P1152">
        <f>IF(B1178=0,0,O1152/B1178)</f>
        <v/>
      </c>
      <c r="Q1152" t="n">
        <v>0</v>
      </c>
      <c r="R1152" t="n">
        <v>0</v>
      </c>
      <c r="S1152">
        <f>IFERROR(O1152/N1152,0)</f>
        <v/>
      </c>
      <c r="T1152" t="n">
        <v>0</v>
      </c>
      <c r="V1152" t="n">
        <v>0</v>
      </c>
    </row>
    <row r="1153">
      <c r="A1153">
        <f>Skills!A14</f>
        <v/>
      </c>
      <c r="B1153">
        <f>Skills!B14</f>
        <v/>
      </c>
      <c r="C1153">
        <f>Inputs!$B$3&gt;=75</f>
        <v/>
      </c>
      <c r="D1153">
        <f>IF(Skills!C14=1,60+Inputs!$B$25+Inputs!$B$29,IF(Skills!C14=2,90+Inputs!$B$26+Inputs!$B$29,IF(Skills!C14=3,120+Inputs!$B$27+Inputs!$B$29,MAX(0,(Inputs!$B$3-100)*3)+Inputs!$B$28+Inputs!$B$29)))</f>
        <v/>
      </c>
      <c r="E1153">
        <f>INDEX(FactorTable!$B$2:$Y$301, MATCH(ROUND(MIN(300,MAX(1,D1153)),0), FactorTable!$A$2:$A$301,0), Skills!M14+1)</f>
        <v/>
      </c>
      <c r="F1153">
        <f>IF(Skills!N14=TRUE,(Skills!L14/10)*(E1153/1000),Skills!L14/10)+Skills!O14</f>
        <v/>
      </c>
      <c r="G1153">
        <f>Skills!G14*IF(Skills!H14&gt;0,Skills!I14/Skills!H14,1)</f>
        <v/>
      </c>
      <c r="H1153">
        <f>1-(1-Skills!J14/100)^Skills!K14</f>
        <v/>
      </c>
      <c r="I1153" t="inlineStr">
        <is>
          <t>1</t>
        </is>
      </c>
      <c r="J1153" t="inlineStr"/>
      <c r="K1153" t="inlineStr"/>
      <c r="L1153" t="inlineStr"/>
      <c r="M1153" t="inlineStr"/>
      <c r="N1153" t="inlineStr"/>
      <c r="O1153">
        <f>(1-Summary!$B$55)*T1153+Summary!$B$55*V1153</f>
        <v/>
      </c>
      <c r="P1153">
        <f>IF(B1178=0,0,O1153/B1178)</f>
        <v/>
      </c>
      <c r="Q1153" t="n">
        <v>0</v>
      </c>
      <c r="R1153" t="n">
        <v>0</v>
      </c>
      <c r="S1153">
        <f>IFERROR(O1153/N1153,0)</f>
        <v/>
      </c>
      <c r="T1153" t="n">
        <v>0</v>
      </c>
      <c r="V1153" t="n">
        <v>0</v>
      </c>
    </row>
    <row r="1154">
      <c r="A1154">
        <f>Skills!A15</f>
        <v/>
      </c>
      <c r="B1154">
        <f>Skills!B15</f>
        <v/>
      </c>
      <c r="C1154">
        <f>Inputs!$B$3&gt;=40</f>
        <v/>
      </c>
      <c r="D1154">
        <f>IF(Skills!C15=1,60+Inputs!$B$25+Inputs!$B$29,IF(Skills!C15=2,90+Inputs!$B$26+Inputs!$B$29,IF(Skills!C15=3,120+Inputs!$B$27+Inputs!$B$29,MAX(0,(Inputs!$B$3-100)*3)+Inputs!$B$28+Inputs!$B$29)))</f>
        <v/>
      </c>
      <c r="E1154">
        <f>INDEX(FactorTable!$B$2:$Y$301, MATCH(ROUND(MIN(300,MAX(1,D1154)),0), FactorTable!$A$2:$A$301,0), Skills!M15+1)</f>
        <v/>
      </c>
      <c r="F1154">
        <f>IF(Skills!N15=TRUE,(Skills!L15/10)*(E1154/1000),Skills!L15/10)+Skills!O15</f>
        <v/>
      </c>
      <c r="G1154">
        <f>Skills!G15*IF(Skills!H15&gt;0,Skills!I15/Skills!H15,1)</f>
        <v/>
      </c>
      <c r="H1154">
        <f>1-(1-Skills!J15/100)^Skills!K15</f>
        <v/>
      </c>
      <c r="I1154" t="inlineStr">
        <is>
          <t>1</t>
        </is>
      </c>
      <c r="J1154" t="inlineStr"/>
      <c r="K1154" t="inlineStr"/>
      <c r="L1154" t="inlineStr"/>
      <c r="M1154" t="inlineStr"/>
      <c r="N1154" t="inlineStr"/>
      <c r="O1154">
        <f>(1-Summary!$B$55)*T1154+Summary!$B$55*V1154</f>
        <v/>
      </c>
      <c r="P1154">
        <f>IF(B1178=0,0,O1154/B1178)</f>
        <v/>
      </c>
      <c r="Q1154">
        <f>IFERROR(1/IF(Inputs!$B$38="pvp",15,MAX(0.1,Skills!D15-IF(Skills!E15=TRUE,0.5,0))),0)</f>
        <v/>
      </c>
      <c r="R1154">
        <f>IF(AND(Inputs!$B$38&lt;&gt;"pvp",Inputs!$B$43&gt;0),IF(Inputs!$B$43&lt;=0,0,(INT(Inputs!$B$43/IF(Inputs!$B$38="pvp",15,MAX(0.1,Skills!D15-IF(Skills!E15=TRUE,0.5,0))))+1)),0)</f>
        <v/>
      </c>
      <c r="S1154">
        <f>IFERROR(O1154/N1154,0)</f>
        <v/>
      </c>
      <c r="T1154" t="n">
        <v>0</v>
      </c>
      <c r="V1154" t="n">
        <v>0</v>
      </c>
    </row>
    <row r="1155">
      <c r="A1155">
        <f>Skills!A16</f>
        <v/>
      </c>
      <c r="B1155">
        <f>Skills!B16</f>
        <v/>
      </c>
      <c r="C1155">
        <f>Inputs!$B$3&gt;=66</f>
        <v/>
      </c>
      <c r="D1155">
        <f>IF(Skills!C16=1,60+Inputs!$B$25+Inputs!$B$29,IF(Skills!C16=2,90+Inputs!$B$26+Inputs!$B$29,IF(Skills!C16=3,120+Inputs!$B$27+Inputs!$B$29,MAX(0,(Inputs!$B$3-100)*3)+Inputs!$B$28+Inputs!$B$29)))</f>
        <v/>
      </c>
      <c r="E1155">
        <f>INDEX(FactorTable!$B$2:$Y$301, MATCH(ROUND(MIN(300,MAX(1,D1155)),0), FactorTable!$A$2:$A$301,0), Skills!M16+1)</f>
        <v/>
      </c>
      <c r="F1155">
        <f>IF(Skills!N16=TRUE,(Skills!L16/10)*(E1155/1000),Skills!L16/10)+Skills!O16</f>
        <v/>
      </c>
      <c r="G1155">
        <f>Skills!G16*IF(Skills!H16&gt;0,Skills!I16/Skills!H16,1)</f>
        <v/>
      </c>
      <c r="H1155">
        <f>1-(1-Skills!J16/100)^Skills!K16</f>
        <v/>
      </c>
      <c r="I1155" t="inlineStr">
        <is>
          <t>1</t>
        </is>
      </c>
      <c r="J1155" t="inlineStr"/>
      <c r="K1155" t="inlineStr"/>
      <c r="L1155" t="inlineStr"/>
      <c r="M1155" t="inlineStr"/>
      <c r="N1155" t="inlineStr"/>
      <c r="O1155">
        <f>(1-Summary!$B$55)*T1155+Summary!$B$55*V1155</f>
        <v/>
      </c>
      <c r="P1155">
        <f>IF(B1178=0,0,O1155/B1178)</f>
        <v/>
      </c>
      <c r="Q1155">
        <f>IFERROR(1/IF(Inputs!$B$38="pvp",15,MAX(0.1,Skills!D16-IF(Skills!E16=TRUE,0.5,0))),0)</f>
        <v/>
      </c>
      <c r="R1155">
        <f>IF(AND(Inputs!$B$38&lt;&gt;"pvp",Inputs!$B$43&gt;0),IF(Inputs!$B$43&lt;=0,0,(INT(Inputs!$B$43/IF(Inputs!$B$38="pvp",15,MAX(0.1,Skills!D16-IF(Skills!E16=TRUE,0.5,0))))+1)),0)</f>
        <v/>
      </c>
      <c r="S1155">
        <f>IFERROR(O1155/N1155,0)</f>
        <v/>
      </c>
      <c r="T1155" t="n">
        <v>0</v>
      </c>
      <c r="V1155" t="n">
        <v>0</v>
      </c>
    </row>
    <row r="1156">
      <c r="A1156">
        <f>Skills!A17</f>
        <v/>
      </c>
      <c r="B1156">
        <f>Skills!B17</f>
        <v/>
      </c>
      <c r="C1156">
        <f>Inputs!$B$3&gt;=115</f>
        <v/>
      </c>
      <c r="D1156">
        <f>IF(Skills!C17=1,60+Inputs!$B$25+Inputs!$B$29,IF(Skills!C17=2,90+Inputs!$B$26+Inputs!$B$29,IF(Skills!C17=3,120+Inputs!$B$27+Inputs!$B$29,MAX(0,(Inputs!$B$3-100)*3)+Inputs!$B$28+Inputs!$B$29)))</f>
        <v/>
      </c>
      <c r="E1156">
        <f>INDEX(FactorTable!$B$2:$Y$301, MATCH(ROUND(MIN(300,MAX(1,D1156)),0), FactorTable!$A$2:$A$301,0), Skills!M17+1)</f>
        <v/>
      </c>
      <c r="F1156">
        <f>IF(Skills!N17=TRUE,(Skills!L17/10)*(E1156/1000),Skills!L17/10)+Skills!O17</f>
        <v/>
      </c>
      <c r="G1156">
        <f>Skills!G17*IF(Skills!H17&gt;0,Skills!I17/Skills!H17,1)</f>
        <v/>
      </c>
      <c r="H1156">
        <f>1-(1-Skills!J17/100)^Skills!K17</f>
        <v/>
      </c>
      <c r="I1156" t="inlineStr">
        <is>
          <t>1</t>
        </is>
      </c>
      <c r="J1156" t="inlineStr"/>
      <c r="K1156" t="inlineStr"/>
      <c r="L1156" t="inlineStr"/>
      <c r="M1156" t="inlineStr"/>
      <c r="N1156" t="inlineStr"/>
      <c r="O1156">
        <f>(1-Summary!$B$55)*T1156+Summary!$B$55*V1156</f>
        <v/>
      </c>
      <c r="P1156">
        <f>IF(B1178=0,0,O1156/B1178)</f>
        <v/>
      </c>
      <c r="Q1156">
        <f>IFERROR(1/IF(Inputs!$B$38="pvp",15,MAX(0.1,Skills!D17-IF(Skills!E17=TRUE,0.5,0))),0)</f>
        <v/>
      </c>
      <c r="R1156">
        <f>IF(AND(Inputs!$B$38&lt;&gt;"pvp",Inputs!$B$43&gt;0),IF(Inputs!$B$43&lt;=0,0,(INT(Inputs!$B$43/IF(Inputs!$B$38="pvp",15,MAX(0.1,Skills!D17-IF(Skills!E17=TRUE,0.5,0))))+1)),0)</f>
        <v/>
      </c>
      <c r="S1156">
        <f>IFERROR(O1156/N1156,0)</f>
        <v/>
      </c>
      <c r="T1156" t="n">
        <v>0</v>
      </c>
      <c r="V1156" t="n">
        <v>0</v>
      </c>
    </row>
    <row r="1157">
      <c r="A1157">
        <f>Skills!A18</f>
        <v/>
      </c>
      <c r="B1157">
        <f>Skills!B18</f>
        <v/>
      </c>
      <c r="C1157">
        <f>Inputs!$B$3&gt;=115</f>
        <v/>
      </c>
      <c r="D1157">
        <f>IF(Skills!C18=1,60+Inputs!$B$25+Inputs!$B$29,IF(Skills!C18=2,90+Inputs!$B$26+Inputs!$B$29,IF(Skills!C18=3,120+Inputs!$B$27+Inputs!$B$29,MAX(0,(Inputs!$B$3-100)*3)+Inputs!$B$28+Inputs!$B$29)))</f>
        <v/>
      </c>
      <c r="E1157">
        <f>INDEX(FactorTable!$B$2:$Y$301, MATCH(ROUND(MIN(300,MAX(1,D1157)),0), FactorTable!$A$2:$A$301,0), Skills!M18+1)</f>
        <v/>
      </c>
      <c r="F1157">
        <f>IF(Skills!N18=TRUE,(Skills!L18/10)*(E1157/1000),Skills!L18/10)+Skills!O18</f>
        <v/>
      </c>
      <c r="G1157">
        <f>Skills!G18*IF(Skills!H18&gt;0,Skills!I18/Skills!H18,1)</f>
        <v/>
      </c>
      <c r="H1157">
        <f>1-(1-Skills!J18/100)^Skills!K18</f>
        <v/>
      </c>
      <c r="I1157" t="inlineStr">
        <is>
          <t>1</t>
        </is>
      </c>
      <c r="J1157" t="inlineStr"/>
      <c r="K1157" t="inlineStr"/>
      <c r="L1157" t="inlineStr"/>
      <c r="M1157" t="inlineStr"/>
      <c r="N1157" t="inlineStr"/>
      <c r="O1157">
        <f>(1-Summary!$B$55)*T1157+Summary!$B$55*V1157</f>
        <v/>
      </c>
      <c r="P1157">
        <f>IF(B1178=0,0,O1157/B1178)</f>
        <v/>
      </c>
      <c r="Q1157">
        <f>IFERROR(1/IF(Inputs!$B$38="pvp",15,MAX(0.1,Skills!D18-IF(Skills!E18=TRUE,0.5,0))),0)</f>
        <v/>
      </c>
      <c r="R1157">
        <f>IF(AND(Inputs!$B$38&lt;&gt;"pvp",Inputs!$B$43&gt;0),IF(Inputs!$B$43&lt;=0,0,(INT(Inputs!$B$43/IF(Inputs!$B$38="pvp",15,MAX(0.1,Skills!D18-IF(Skills!E18=TRUE,0.5,0))))+1)),0)</f>
        <v/>
      </c>
      <c r="S1157">
        <f>IFERROR(O1157/N1157,0)</f>
        <v/>
      </c>
      <c r="T1157" t="n">
        <v>0</v>
      </c>
      <c r="V1157" t="n">
        <v>0</v>
      </c>
    </row>
    <row r="1158">
      <c r="A1158">
        <f>Skills!A19</f>
        <v/>
      </c>
      <c r="B1158">
        <f>Skills!B19</f>
        <v/>
      </c>
      <c r="C1158">
        <f>TRUE</f>
        <v/>
      </c>
      <c r="D1158">
        <f>IF(Skills!C19=1,60+Inputs!$B$25+Inputs!$B$29,IF(Skills!C19=2,90+Inputs!$B$26+Inputs!$B$29,IF(Skills!C19=3,120+Inputs!$B$27+Inputs!$B$29,MAX(0,(Inputs!$B$3-100)*3)+Inputs!$B$28+Inputs!$B$29)))</f>
        <v/>
      </c>
      <c r="E1158">
        <f>INDEX(FactorTable!$B$2:$Y$301, MATCH(ROUND(MIN(300,MAX(1,D1158)),0), FactorTable!$A$2:$A$301,0), Skills!M19+1)</f>
        <v/>
      </c>
      <c r="F1158">
        <f>IF(Skills!N19=TRUE,(Skills!L19/10)*(E1158/1000),Skills!L19/10)+Skills!O19</f>
        <v/>
      </c>
      <c r="G1158">
        <f>Skills!G19*IF(Skills!H19&gt;0,Skills!I19/Skills!H19,1)</f>
        <v/>
      </c>
      <c r="H1158">
        <f>1-(1-Skills!J19/100)^Skills!K19</f>
        <v/>
      </c>
      <c r="I1158" t="inlineStr">
        <is>
          <t>1</t>
        </is>
      </c>
      <c r="J1158" t="inlineStr"/>
      <c r="K1158" t="inlineStr"/>
      <c r="L1158" t="inlineStr"/>
      <c r="M1158" t="inlineStr"/>
      <c r="N1158" t="inlineStr"/>
      <c r="O1158">
        <f>(1-Summary!$B$55)*T1158+Summary!$B$55*V1158</f>
        <v/>
      </c>
      <c r="P1158">
        <f>IF(B1178=0,0,O1158/B1178)</f>
        <v/>
      </c>
      <c r="Q1158">
        <f>IFERROR(1/IF(Inputs!$B$38="pvp",15,MAX(0.1,Skills!D19-IF(Skills!E19=TRUE,0.5,0))),0)</f>
        <v/>
      </c>
      <c r="R1158">
        <f>IF(AND(Inputs!$B$38&lt;&gt;"pvp",Inputs!$B$43&gt;0),IF(Inputs!$B$43&lt;=0,0,(INT(Inputs!$B$43/IF(Inputs!$B$38="pvp",15,MAX(0.1,Skills!D19-IF(Skills!E19=TRUE,0.5,0))))+1)),0)</f>
        <v/>
      </c>
      <c r="S1158">
        <f>IFERROR(O1158/N1158,0)</f>
        <v/>
      </c>
      <c r="T1158" t="n">
        <v>0</v>
      </c>
      <c r="V1158" t="n">
        <v>0</v>
      </c>
    </row>
    <row r="1159">
      <c r="A1159">
        <f>Skills!A20</f>
        <v/>
      </c>
      <c r="B1159">
        <f>Skills!B20</f>
        <v/>
      </c>
      <c r="C1159">
        <f>Inputs!$B$3&gt;=33</f>
        <v/>
      </c>
      <c r="D1159">
        <f>IF(Skills!C20=1,60+Inputs!$B$25+Inputs!$B$29,IF(Skills!C20=2,90+Inputs!$B$26+Inputs!$B$29,IF(Skills!C20=3,120+Inputs!$B$27+Inputs!$B$29,MAX(0,(Inputs!$B$3-100)*3)+Inputs!$B$28+Inputs!$B$29)))</f>
        <v/>
      </c>
      <c r="E1159">
        <f>INDEX(FactorTable!$B$2:$Y$301, MATCH(ROUND(MIN(300,MAX(1,D1159)),0), FactorTable!$A$2:$A$301,0), Skills!M20+1)</f>
        <v/>
      </c>
      <c r="F1159">
        <f>IF(Skills!N20=TRUE,(Skills!L20/10)*(E1159/1000),Skills!L20/10)+Skills!O20</f>
        <v/>
      </c>
      <c r="G1159">
        <f>Skills!G20*IF(Skills!H20&gt;0,Skills!I20/Skills!H20,1)</f>
        <v/>
      </c>
      <c r="H1159">
        <f>1-(1-Skills!J20/100)^Skills!K20</f>
        <v/>
      </c>
      <c r="I1159" t="inlineStr">
        <is>
          <t>1</t>
        </is>
      </c>
      <c r="J1159" t="inlineStr"/>
      <c r="K1159" t="inlineStr"/>
      <c r="L1159" t="inlineStr"/>
      <c r="M1159" t="inlineStr"/>
      <c r="N1159" t="inlineStr"/>
      <c r="O1159">
        <f>(1-Summary!$B$55)*T1159+Summary!$B$55*V1159</f>
        <v/>
      </c>
      <c r="P1159">
        <f>IF(B1178=0,0,O1159/B1178)</f>
        <v/>
      </c>
      <c r="Q1159" t="n">
        <v>0</v>
      </c>
      <c r="R1159" t="n">
        <v>0</v>
      </c>
      <c r="S1159">
        <f>IFERROR(O1159/N1159,0)</f>
        <v/>
      </c>
      <c r="T1159" t="n">
        <v>0</v>
      </c>
      <c r="V1159" t="n">
        <v>0</v>
      </c>
    </row>
    <row r="1160">
      <c r="A1160">
        <f>Skills!A21</f>
        <v/>
      </c>
      <c r="B1160">
        <f>Skills!B21</f>
        <v/>
      </c>
      <c r="C1160">
        <f>Inputs!$B$3&gt;=38</f>
        <v/>
      </c>
      <c r="D1160">
        <f>IF(Skills!C21=1,60+Inputs!$B$25+Inputs!$B$29,IF(Skills!C21=2,90+Inputs!$B$26+Inputs!$B$29,IF(Skills!C21=3,120+Inputs!$B$27+Inputs!$B$29,MAX(0,(Inputs!$B$3-100)*3)+Inputs!$B$28+Inputs!$B$29)))</f>
        <v/>
      </c>
      <c r="E1160">
        <f>INDEX(FactorTable!$B$2:$Y$301, MATCH(ROUND(MIN(300,MAX(1,D1160)),0), FactorTable!$A$2:$A$301,0), Skills!M21+1)</f>
        <v/>
      </c>
      <c r="F1160">
        <f>IF(Skills!N21=TRUE,(Skills!L21/10)*(E1160/1000),Skills!L21/10)+Skills!O21</f>
        <v/>
      </c>
      <c r="G1160">
        <f>Skills!G21*IF(Skills!H21&gt;0,Skills!I21/Skills!H21,1)</f>
        <v/>
      </c>
      <c r="H1160">
        <f>1-(1-Skills!J21/100)^Skills!K21</f>
        <v/>
      </c>
      <c r="I1160" t="inlineStr">
        <is>
          <t>1</t>
        </is>
      </c>
      <c r="J1160" t="inlineStr"/>
      <c r="K1160" t="inlineStr"/>
      <c r="L1160" t="inlineStr"/>
      <c r="M1160" t="inlineStr"/>
      <c r="N1160" t="inlineStr"/>
      <c r="O1160">
        <f>(1-Summary!$B$55)*T1160+Summary!$B$55*V1160</f>
        <v/>
      </c>
      <c r="P1160">
        <f>IF(B1178=0,0,O1160/B1178)</f>
        <v/>
      </c>
      <c r="Q1160" t="n">
        <v>0</v>
      </c>
      <c r="R1160" t="n">
        <v>0</v>
      </c>
      <c r="S1160">
        <f>IFERROR(O1160/N1160,0)</f>
        <v/>
      </c>
      <c r="T1160" t="n">
        <v>0</v>
      </c>
      <c r="V1160" t="n">
        <v>0</v>
      </c>
    </row>
    <row r="1161">
      <c r="A1161">
        <f>Skills!A22</f>
        <v/>
      </c>
      <c r="B1161">
        <f>Skills!B22</f>
        <v/>
      </c>
      <c r="C1161">
        <f>Inputs!$B$3&gt;=43</f>
        <v/>
      </c>
      <c r="D1161">
        <f>IF(Skills!C22=1,60+Inputs!$B$25+Inputs!$B$29,IF(Skills!C22=2,90+Inputs!$B$26+Inputs!$B$29,IF(Skills!C22=3,120+Inputs!$B$27+Inputs!$B$29,MAX(0,(Inputs!$B$3-100)*3)+Inputs!$B$28+Inputs!$B$29)))</f>
        <v/>
      </c>
      <c r="E1161">
        <f>INDEX(FactorTable!$B$2:$Y$301, MATCH(ROUND(MIN(300,MAX(1,D1161)),0), FactorTable!$A$2:$A$301,0), Skills!M22+1)</f>
        <v/>
      </c>
      <c r="F1161">
        <f>IF(Skills!N22=TRUE,(Skills!L22/10)*(E1161/1000),Skills!L22/10)+Skills!O22</f>
        <v/>
      </c>
      <c r="G1161">
        <f>Skills!G22*IF(Skills!H22&gt;0,Skills!I22/Skills!H22,1)</f>
        <v/>
      </c>
      <c r="H1161">
        <f>1-(1-Skills!J22/100)^Skills!K22</f>
        <v/>
      </c>
      <c r="I1161" t="inlineStr">
        <is>
          <t>1</t>
        </is>
      </c>
      <c r="J1161" t="inlineStr"/>
      <c r="K1161" t="inlineStr"/>
      <c r="L1161" t="inlineStr"/>
      <c r="M1161" t="inlineStr"/>
      <c r="N1161" t="inlineStr"/>
      <c r="O1161">
        <f>(1-Summary!$B$55)*T1161+Summary!$B$55*V1161</f>
        <v/>
      </c>
      <c r="P1161">
        <f>IF(B1178=0,0,O1161/B1178)</f>
        <v/>
      </c>
      <c r="Q1161" t="n">
        <v>0</v>
      </c>
      <c r="R1161" t="n">
        <v>0</v>
      </c>
      <c r="S1161">
        <f>IFERROR(O1161/N1161,0)</f>
        <v/>
      </c>
      <c r="T1161" t="n">
        <v>0</v>
      </c>
      <c r="V1161" t="n">
        <v>0</v>
      </c>
    </row>
    <row r="1162">
      <c r="A1162">
        <f>Skills!A23</f>
        <v/>
      </c>
      <c r="B1162">
        <f>Skills!B23</f>
        <v/>
      </c>
      <c r="C1162">
        <f>Inputs!$B$3&gt;=120</f>
        <v/>
      </c>
      <c r="D1162">
        <f>IF(Skills!C23=1,60+Inputs!$B$25+Inputs!$B$29,IF(Skills!C23=2,90+Inputs!$B$26+Inputs!$B$29,IF(Skills!C23=3,120+Inputs!$B$27+Inputs!$B$29,MAX(0,(Inputs!$B$3-100)*3)+Inputs!$B$28+Inputs!$B$29)))</f>
        <v/>
      </c>
      <c r="E1162">
        <f>INDEX(FactorTable!$B$2:$Y$301, MATCH(ROUND(MIN(300,MAX(1,D1162)),0), FactorTable!$A$2:$A$301,0), Skills!M23+1)</f>
        <v/>
      </c>
      <c r="F1162">
        <f>IF(Skills!N23=TRUE,(Skills!L23/10)*(E1162/1000),Skills!L23/10)+Skills!O23</f>
        <v/>
      </c>
      <c r="G1162">
        <f>Skills!G23*IF(Skills!H23&gt;0,Skills!I23/Skills!H23,1)</f>
        <v/>
      </c>
      <c r="H1162">
        <f>1-(1-Skills!J23/100)^Skills!K23</f>
        <v/>
      </c>
      <c r="I1162" t="inlineStr">
        <is>
          <t>1</t>
        </is>
      </c>
      <c r="J1162" t="inlineStr"/>
      <c r="K1162" t="inlineStr"/>
      <c r="L1162" t="inlineStr"/>
      <c r="M1162" t="inlineStr"/>
      <c r="N1162" t="inlineStr"/>
      <c r="O1162">
        <f>(1-Summary!$B$55)*T1162+Summary!$B$55*V1162</f>
        <v/>
      </c>
      <c r="P1162">
        <f>IF(B1178=0,0,O1162/B1178)</f>
        <v/>
      </c>
      <c r="Q1162" t="n">
        <v>0</v>
      </c>
      <c r="R1162" t="n">
        <v>0</v>
      </c>
      <c r="S1162">
        <f>IFERROR(O1162/N1162,0)</f>
        <v/>
      </c>
      <c r="T1162" t="n">
        <v>0</v>
      </c>
      <c r="V1162" t="n">
        <v>0</v>
      </c>
    </row>
    <row r="1163">
      <c r="A1163">
        <f>Skills!A24</f>
        <v/>
      </c>
      <c r="B1163">
        <f>Skills!B24</f>
        <v/>
      </c>
      <c r="C1163">
        <f>Inputs!$B$3&gt;=120</f>
        <v/>
      </c>
      <c r="D1163">
        <f>IF(Skills!C24=1,60+Inputs!$B$25+Inputs!$B$29,IF(Skills!C24=2,90+Inputs!$B$26+Inputs!$B$29,IF(Skills!C24=3,120+Inputs!$B$27+Inputs!$B$29,MAX(0,(Inputs!$B$3-100)*3)+Inputs!$B$28+Inputs!$B$29)))</f>
        <v/>
      </c>
      <c r="E1163">
        <f>INDEX(FactorTable!$B$2:$Y$301, MATCH(ROUND(MIN(300,MAX(1,D1163)),0), FactorTable!$A$2:$A$301,0), Skills!M24+1)</f>
        <v/>
      </c>
      <c r="F1163">
        <f>IF(Skills!N24=TRUE,(Skills!L24/10)*(E1163/1000),Skills!L24/10)+Skills!O24</f>
        <v/>
      </c>
      <c r="G1163">
        <f>Skills!G24*IF(Skills!H24&gt;0,Skills!I24/Skills!H24,1)</f>
        <v/>
      </c>
      <c r="H1163">
        <f>1-(1-Skills!J24/100)^Skills!K24</f>
        <v/>
      </c>
      <c r="I1163" t="inlineStr">
        <is>
          <t>1</t>
        </is>
      </c>
      <c r="J1163" t="inlineStr"/>
      <c r="K1163" t="inlineStr"/>
      <c r="L1163" t="inlineStr"/>
      <c r="M1163" t="inlineStr"/>
      <c r="N1163" t="inlineStr"/>
      <c r="O1163">
        <f>(1-Summary!$B$55)*T1163+Summary!$B$55*V1163</f>
        <v/>
      </c>
      <c r="P1163">
        <f>IF(B1178=0,0,O1163/B1178)</f>
        <v/>
      </c>
      <c r="Q1163" t="n">
        <v>0</v>
      </c>
      <c r="R1163" t="n">
        <v>0</v>
      </c>
      <c r="S1163">
        <f>IFERROR(O1163/N1163,0)</f>
        <v/>
      </c>
      <c r="T1163" t="n">
        <v>0</v>
      </c>
      <c r="V1163" t="n">
        <v>0</v>
      </c>
    </row>
    <row r="1164">
      <c r="A1164">
        <f>Skills!A25</f>
        <v/>
      </c>
      <c r="B1164">
        <f>Skills!B25</f>
        <v/>
      </c>
      <c r="C1164">
        <f>Inputs!$B$3&gt;=125</f>
        <v/>
      </c>
      <c r="D1164">
        <f>IF(Skills!C25=1,60+Inputs!$B$25+Inputs!$B$29,IF(Skills!C25=2,90+Inputs!$B$26+Inputs!$B$29,IF(Skills!C25=3,120+Inputs!$B$27+Inputs!$B$29,MAX(0,(Inputs!$B$3-100)*3)+Inputs!$B$28+Inputs!$B$29)))</f>
        <v/>
      </c>
      <c r="E1164">
        <f>INDEX(FactorTable!$B$2:$Y$301, MATCH(ROUND(MIN(300,MAX(1,D1164)),0), FactorTable!$A$2:$A$301,0), Skills!M25+1)</f>
        <v/>
      </c>
      <c r="F1164">
        <f>IF(Skills!N25=TRUE,(Skills!L25/10)*(E1164/1000),Skills!L25/10)+Skills!O25</f>
        <v/>
      </c>
      <c r="G1164">
        <f>Skills!G25*IF(Skills!H25&gt;0,Skills!I25/Skills!H25,1)</f>
        <v/>
      </c>
      <c r="H1164">
        <f>1-(1-Skills!J25/100)^Skills!K25</f>
        <v/>
      </c>
      <c r="I1164" t="inlineStr">
        <is>
          <t>1</t>
        </is>
      </c>
      <c r="J1164" t="inlineStr"/>
      <c r="K1164" t="inlineStr"/>
      <c r="L1164" t="inlineStr"/>
      <c r="M1164" t="inlineStr"/>
      <c r="N1164" t="inlineStr"/>
      <c r="O1164">
        <f>(1-Summary!$B$55)*T1164+Summary!$B$55*V1164</f>
        <v/>
      </c>
      <c r="P1164">
        <f>IF(B1178=0,0,O1164/B1178)</f>
        <v/>
      </c>
      <c r="Q1164" t="n">
        <v>0</v>
      </c>
      <c r="R1164" t="n">
        <v>0</v>
      </c>
      <c r="S1164">
        <f>IFERROR(O1164/N1164,0)</f>
        <v/>
      </c>
      <c r="T1164" t="n">
        <v>0</v>
      </c>
      <c r="V1164" t="n">
        <v>0</v>
      </c>
    </row>
    <row r="1165">
      <c r="A1165">
        <f>Skills!A26</f>
        <v/>
      </c>
      <c r="B1165">
        <f>Skills!B26</f>
        <v/>
      </c>
      <c r="C1165">
        <f>Inputs!$B$3&gt;=72</f>
        <v/>
      </c>
      <c r="D1165">
        <f>IF(Skills!C26=1,60+Inputs!$B$25+Inputs!$B$29,IF(Skills!C26=2,90+Inputs!$B$26+Inputs!$B$29,IF(Skills!C26=3,120+Inputs!$B$27+Inputs!$B$29,MAX(0,(Inputs!$B$3-100)*3)+Inputs!$B$28+Inputs!$B$29)))</f>
        <v/>
      </c>
      <c r="E1165">
        <f>INDEX(FactorTable!$B$2:$Y$301, MATCH(ROUND(MIN(300,MAX(1,D1165)),0), FactorTable!$A$2:$A$301,0), Skills!M26+1)</f>
        <v/>
      </c>
      <c r="F1165">
        <f>IF(Skills!N26=TRUE,(Skills!L26/10)*(E1165/1000),Skills!L26/10)+Skills!O26</f>
        <v/>
      </c>
      <c r="G1165">
        <f>Skills!G26*IF(Skills!H26&gt;0,Skills!I26/Skills!H26,1)</f>
        <v/>
      </c>
      <c r="H1165">
        <f>1-(1-Skills!J26/100)^Skills!K26</f>
        <v/>
      </c>
      <c r="I1165" t="inlineStr">
        <is>
          <t>1</t>
        </is>
      </c>
      <c r="J1165" t="inlineStr"/>
      <c r="K1165" t="inlineStr"/>
      <c r="L1165" t="inlineStr"/>
      <c r="M1165" t="inlineStr"/>
      <c r="N1165" t="inlineStr"/>
      <c r="O1165">
        <f>(1-Summary!$B$55)*T1165+Summary!$B$55*V1165</f>
        <v/>
      </c>
      <c r="P1165">
        <f>IF(B1178=0,0,O1165/B1178)</f>
        <v/>
      </c>
      <c r="Q1165" t="n">
        <v>0</v>
      </c>
      <c r="R1165" t="n">
        <v>0</v>
      </c>
      <c r="S1165">
        <f>IFERROR(O1165/N1165,0)</f>
        <v/>
      </c>
      <c r="T1165" t="n">
        <v>0</v>
      </c>
      <c r="V1165" t="n">
        <v>0</v>
      </c>
    </row>
    <row r="1167">
      <c r="A1167" t="inlineStr">
        <is>
          <t>Attack% Bucket Multiplier</t>
        </is>
      </c>
      <c r="B1167">
        <f>(1+(((C1152=TRUE)*F1152*IF(Inputs!$B$3&gt;=110,7,5))+((C1154=TRUE)*F1154*IF(AND(Inputs!$B$38&lt;&gt;"pvp",Inputs!$B$43&gt;0),(((R1154-1)*(Skills!T15*(1+Inputs!$B$34/100))+MIN((Skills!T15*(1+Inputs!$B$34/100)),MAX(0,Inputs!$B$43-((R1154-1)*Skills!D15))))/Inputs!$B$43),IF(Inputs!$B$38="pvp",MIN((Skills!T15*(1+Inputs!$B$34/100)),15)/15,(Skills!T15*(1+Inputs!$B$34/100))/Skills!D15)))+0)/100)</f>
        <v/>
      </c>
    </row>
    <row r="1168">
      <c r="A1168" t="inlineStr">
        <is>
          <t>Global Crit Rate Bonus %</t>
        </is>
      </c>
      <c r="B1168" t="n">
        <v>0</v>
      </c>
    </row>
    <row r="1169">
      <c r="A1169" t="inlineStr">
        <is>
          <t>Attack Speed Buff Bonus %</t>
        </is>
      </c>
      <c r="B1169">
        <f>((C1158=TRUE)*F1158*IF(AND(Inputs!$B$38&lt;&gt;"pvp",Inputs!$B$43&gt;0),(((R1158-1)*(Skills!T19*(1+Inputs!$B$34/100))+MIN((Skills!T19*(1+Inputs!$B$34/100)),MAX(0,Inputs!$B$43-((R1158-1)*Skills!D19))))/Inputs!$B$43),IF(Inputs!$B$38="pvp",MIN((Skills!T19*(1+Inputs!$B$34/100)),15)/15,(Skills!T19*(1+Inputs!$B$34/100))/Skills!D19)))</f>
        <v/>
      </c>
    </row>
    <row r="1170">
      <c r="A1170" t="inlineStr">
        <is>
          <t>Actions Per Second</t>
        </is>
      </c>
      <c r="B1170">
        <f>1+MIN(150,150*(1-(1-(Inputs!$B$11+((C1159=TRUE)*(F1159-Calc!F20)))/150)*(1-B1169/150)))/100</f>
        <v/>
      </c>
    </row>
    <row r="1171">
      <c r="A1171" t="inlineStr">
        <is>
          <t>Skill + Buff Cast Rate</t>
        </is>
      </c>
      <c r="B1171">
        <f>IF(AND(Inputs!$B$38&lt;&gt;"pvp",Inputs!$B$43&gt;0),SUMPRODUCT((Skills!E2:E26=TRUE)*(C1141:C1165=TRUE)*R1141:R1165*Skills!F2:F26)/Inputs!$B$43,SUMPRODUCT((Skills!E2:E26=TRUE)*(C1141:C1165=TRUE)*Q1141:Q1165*Skills!F2:F26))</f>
        <v/>
      </c>
    </row>
    <row r="1172">
      <c r="A1172" t="inlineStr">
        <is>
          <t>Raging Blow Casts Per Second</t>
        </is>
      </c>
      <c r="B1172">
        <f>MAX(0,B1170-B1171)</f>
        <v/>
      </c>
    </row>
    <row r="1173">
      <c r="A1173" t="inlineStr">
        <is>
          <t>Global Critical Damage Bonus % (Enrage)</t>
        </is>
      </c>
      <c r="B1173">
        <f>((C1157=TRUE)*F1157*IF(AND(Inputs!$B$38&lt;&gt;"pvp",Inputs!$B$43&gt;0),(((R1157-1)*(Skills!T18*(1+Inputs!$B$34/100))+MIN((Skills!T18*(1+Inputs!$B$34/100)),MAX(0,Inputs!$B$43-((R1157-1)*Skills!D18))))/Inputs!$B$43),IF(Inputs!$B$38="pvp",MIN((Skills!T18*(1+Inputs!$B$34/100)),15)/15,(Skills!T18*(1+Inputs!$B$34/100))/Skills!D18)))</f>
        <v/>
      </c>
    </row>
    <row r="1174">
      <c r="A1174" t="inlineStr">
        <is>
          <t>Global Final Damage Bonus % (Enrage + Combo Synergy)</t>
        </is>
      </c>
      <c r="B1174">
        <f>((C1156=TRUE)*F1156*IF(AND(Inputs!$B$38&lt;&gt;"pvp",Inputs!$B$43&gt;0),(((R1156-1)*(Skills!T17*(1+Inputs!$B$34/100))+MIN((Skills!T17*(1+Inputs!$B$34/100)),MAX(0,Inputs!$B$43-((R1156-1)*Skills!D17))))/Inputs!$B$43),IF(Inputs!$B$38="pvp",MIN((Skills!T17*(1+Inputs!$B$34/100)),15)/15,(Skills!T17*(1+Inputs!$B$34/100))/Skills!D17)))+((C1153=TRUE)*F1153*IF(Inputs!$B$3&gt;=110,7,5))</f>
        <v/>
      </c>
    </row>
    <row r="1175">
      <c r="A1175" t="inlineStr">
        <is>
          <t>Buff-Casting Startup Delay (s, fixed-duration only)</t>
        </is>
      </c>
      <c r="B1175">
        <f>IF(AND(Inputs!$B$38&lt;&gt;"pvp",Inputs!$B$43&gt;0),SUMPRODUCT((Skills!T2:T26&gt;0)*(Skills!E2:E26=TRUE)*(C1141:C1165=TRUE))/B1170,0)</f>
        <v/>
      </c>
    </row>
    <row r="1176">
      <c r="A1176" t="inlineStr">
        <is>
          <t>Boss-Only Total DPS (this block's swept value)</t>
        </is>
      </c>
      <c r="B1176">
        <f>SUM(T1141:T1165)</f>
        <v/>
      </c>
    </row>
    <row r="1177">
      <c r="A1177" t="inlineStr">
        <is>
          <t>Normal-Only Total DPS (this block's swept value)</t>
        </is>
      </c>
      <c r="B1177">
        <f>SUM(V1141:V1165)</f>
        <v/>
      </c>
    </row>
    <row r="1178">
      <c r="A1178" s="5" t="inlineStr">
        <is>
          <t>TOTAL DPS</t>
        </is>
      </c>
      <c r="B1178" s="5">
        <f>SUM(O1141:O1165)</f>
        <v/>
      </c>
    </row>
    <row r="1181">
      <c r="A1181" s="5" t="inlineStr">
        <is>
          <t>Stat: CDR = 1.0s</t>
        </is>
      </c>
    </row>
    <row r="1182">
      <c r="A1182" s="9" t="inlineStr">
        <is>
          <t>Key</t>
        </is>
      </c>
      <c r="B1182" s="9" t="inlineStr">
        <is>
          <t>Name</t>
        </is>
      </c>
      <c r="C1182" s="9" t="inlineStr">
        <is>
          <t>Unlocked</t>
        </is>
      </c>
      <c r="D1182" s="9" t="inlineStr">
        <is>
          <t>InputLevel</t>
        </is>
      </c>
      <c r="E1182" s="9" t="inlineStr">
        <is>
          <t>Factor</t>
        </is>
      </c>
      <c r="F1182" s="9" t="inlineStr">
        <is>
          <t>CoefficientPercent</t>
        </is>
      </c>
      <c r="G1182" s="9" t="inlineStr">
        <is>
          <t>EffectiveHits</t>
        </is>
      </c>
      <c r="H1182" s="9" t="inlineStr">
        <is>
          <t>ProcProbability</t>
        </is>
      </c>
      <c r="I1182" s="9" t="inlineStr">
        <is>
          <t>MapleHeroMultiplier</t>
        </is>
      </c>
      <c r="J1182" s="9" t="inlineStr">
        <is>
          <t>BaseDamage</t>
        </is>
      </c>
      <c r="K1182" s="9" t="inlineStr">
        <is>
          <t>BaseHitDamage</t>
        </is>
      </c>
      <c r="L1182" s="9" t="inlineStr">
        <is>
          <t>NonCritAvg</t>
        </is>
      </c>
      <c r="M1182" s="9" t="inlineStr">
        <is>
          <t>CritAvg</t>
        </is>
      </c>
      <c r="N1182" s="9" t="inlineStr">
        <is>
          <t>ExpectedDamage(perHit)</t>
        </is>
      </c>
      <c r="O1182" s="9" t="inlineStr">
        <is>
          <t>DPS</t>
        </is>
      </c>
      <c r="P1182" s="9" t="inlineStr">
        <is>
          <t>% of Total</t>
        </is>
      </c>
      <c r="Q1182" s="9" t="inlineStr">
        <is>
          <t>InvCooldown</t>
        </is>
      </c>
      <c r="R1182" s="9" t="inlineStr">
        <is>
          <t>CastsInFight</t>
        </is>
      </c>
      <c r="S1182" s="9" t="inlineStr">
        <is>
          <t>HitRate(perSec)</t>
        </is>
      </c>
      <c r="U1182" t="inlineStr">
        <is>
          <t>helpers</t>
        </is>
      </c>
    </row>
    <row r="1183">
      <c r="A1183">
        <f>Skills!A2</f>
        <v/>
      </c>
      <c r="B1183">
        <f>Skills!B2</f>
        <v/>
      </c>
      <c r="C1183">
        <f>Inputs!$B$3&gt;=100</f>
        <v/>
      </c>
      <c r="D1183" t="inlineStr"/>
      <c r="E1183" t="inlineStr"/>
      <c r="F1183">
        <f>U1185+Skills!O2</f>
        <v/>
      </c>
      <c r="G1183">
        <f>Skills!G2*IF(Skills!H2&gt;0,Skills!I2/Skills!H2,1)</f>
        <v/>
      </c>
      <c r="H1183">
        <f>1-(1-Skills!J2/100)^Skills!K2</f>
        <v/>
      </c>
      <c r="I1183" t="inlineStr">
        <is>
          <t>1</t>
        </is>
      </c>
      <c r="J1183">
        <f>((Inputs!$B$6*(1+Inputs!$B$7/100))+(((Inputs!$B$12*(1+Inputs!$B$13/100))-(Inputs!$B$12*(1+Inputs!$B$13/100)))+0.25*(Inputs!$B$14-Inputs!$B$14))*(1+Inputs!$B$7/100))*(F1183/100)</f>
        <v/>
      </c>
      <c r="K1183">
        <f>J1183*(1+((Inputs!$B$12*(1+Inputs!$B$13/100))*0.01+Inputs!$B$14*0.0025)/100)*(1+Inputs!$B$15/100)*(1+Inputs!$B$16/100)*(5000/(6000+Inputs!$B$42*(1-(Inputs!$B$19+0)/100)))*(1+(Inputs!$B$24+((C1206=TRUE)*(F1206-Calc!F25))+B1216)/100)*(1+IF(Skills!A2="ENHANCED_RAGING_BLOW",IF(Inputs!$B$3&gt;=134,MAX(0,IF(Inputs!$B$3&gt;=110,7,5)-5)*50,0),0)/100)*(1+(IF(Skills!A2="RAGING_BLOW",Inputs!$B$17+((C1202=TRUE)*(F1202-Calc!F21)),Inputs!$B$18+((C1204=TRUE)*(F1204-Calc!F23))))/100)*((1+(((C1194=TRUE)*F1194*IF(Inputs!$B$3&gt;=110,7,5))+((C1196=TRUE)*F1196*IF(AND(Inputs!$B$38&lt;&gt;"pvp",Inputs!$B$43&gt;0),(((R1196-1)*(Skills!T15*(1+Inputs!$B$34/100))+MIN((Skills!T15*(1+Inputs!$B$34/100)),MAX(0,Inputs!$B$43-((R1196-1)*Skills!D15))))/Inputs!$B$43),IF(Inputs!$B$38="pvp",MIN((Skills!T15*(1+Inputs!$B$34/100)),15)/15,(Skills!T15*(1+Inputs!$B$34/100))/Skills!D15)))+0)/100)*I1183)</f>
        <v/>
      </c>
      <c r="L1183">
        <f>K1183*(MIN(Inputs!$B$22+((C1203=TRUE)*(F1203-Calc!F22)),Inputs!$B$23+((C1205=TRUE)*(F1205-Calc!F24)))/100+(Inputs!$B$23+((C1205=TRUE)*(F1205-Calc!F24)))/100)/2</f>
        <v/>
      </c>
      <c r="M1183">
        <f>L1183*(1+(Inputs!$B$10+0+B1215)/100)</f>
        <v/>
      </c>
      <c r="N1183">
        <f>L1183*(1-MIN((Inputs!$B$9+((C1207=TRUE)*(F1207-Calc!F26))+B1210),100)/100)+M1183*(MIN((Inputs!$B$9+((C1207=TRUE)*(F1207-Calc!F26))+B1210),100)/100)</f>
        <v/>
      </c>
      <c r="O1183">
        <f>(1-Summary!$B$55)*T1183+Summary!$B$55*V1183</f>
        <v/>
      </c>
      <c r="P1183">
        <f>IF(B1220=0,0,O1183/B1220)</f>
        <v/>
      </c>
      <c r="Q1183" t="n">
        <v>0</v>
      </c>
      <c r="R1183" t="n">
        <v>0</v>
      </c>
      <c r="S1183">
        <f>IFERROR(O1183/N1183,0)</f>
        <v/>
      </c>
      <c r="T1183">
        <f>IF(C1183,(Skills!G2*N1183*B1214)*IF(Inputs!$B$38="pvp",1,1+(Inputs!$B$20+0+Skills!P2+Summary!$B$59)/100),0)</f>
        <v/>
      </c>
      <c r="U1183">
        <f>MAX(0,(Inputs!$B$3-100)*3)+Inputs!$B$28+Inputs!$B$29</f>
        <v/>
      </c>
      <c r="V1183">
        <f>IF(C1183,(Skills!G2*N1183*B1214)*IF(Inputs!$B$38="pvp",1,(1+(Inputs!$B$21+Skills!Q2+Summary!$B$59)/100)*(MIN((6+Inputs!$B$33),Inputs!$B$37))),0)</f>
        <v/>
      </c>
    </row>
    <row r="1184">
      <c r="A1184">
        <f>Skills!A3</f>
        <v/>
      </c>
      <c r="B1184">
        <f>Skills!B3</f>
        <v/>
      </c>
      <c r="C1184">
        <f>Inputs!$B$3&gt;=50</f>
        <v/>
      </c>
      <c r="D1184">
        <f>IF(Skills!C3=1,60+Inputs!$B$25+Inputs!$B$29,IF(Skills!C3=2,90+Inputs!$B$26+Inputs!$B$29,IF(Skills!C3=3,120+Inputs!$B$27+Inputs!$B$29,MAX(0,(Inputs!$B$3-100)*3)+Inputs!$B$28+Inputs!$B$29)))</f>
        <v/>
      </c>
      <c r="E1184">
        <f>INDEX(FactorTable!$B$2:$Y$301, MATCH(ROUND(MIN(300,MAX(1,D1184)),0), FactorTable!$A$2:$A$301,0), Skills!M3+1)</f>
        <v/>
      </c>
      <c r="F1184">
        <f>IF(Skills!N3=TRUE,(Skills!L3/10)*(E1184/1000),Skills!L3/10)+Skills!O3</f>
        <v/>
      </c>
      <c r="G1184" t="inlineStr"/>
      <c r="H1184" t="inlineStr"/>
      <c r="I1184" t="inlineStr">
        <is>
          <t>1</t>
        </is>
      </c>
      <c r="J1184" t="inlineStr"/>
      <c r="K1184" t="inlineStr"/>
      <c r="L1184" t="inlineStr"/>
      <c r="M1184" t="inlineStr"/>
      <c r="N1184" t="inlineStr"/>
      <c r="O1184" t="inlineStr"/>
      <c r="P1184" t="inlineStr"/>
      <c r="Q1184" t="inlineStr"/>
      <c r="R1184" t="inlineStr"/>
      <c r="S1184" t="inlineStr"/>
      <c r="U1184">
        <f>INDEX(FactorTable!$B$2:$Y$301, MATCH(ROUND(MIN(300,MAX(1,U1183)),0), FactorTable!$A$2:$A$301,0), 22)</f>
        <v/>
      </c>
    </row>
    <row r="1185">
      <c r="A1185">
        <f>Skills!A4</f>
        <v/>
      </c>
      <c r="B1185">
        <f>Skills!B4</f>
        <v/>
      </c>
      <c r="C1185">
        <f>Inputs!$B$3&gt;=105</f>
        <v/>
      </c>
      <c r="D1185">
        <f>IF(Skills!C4=1,60+Inputs!$B$25+Inputs!$B$29,IF(Skills!C4=2,90+Inputs!$B$26+Inputs!$B$29,IF(Skills!C4=3,120+Inputs!$B$27+Inputs!$B$29,MAX(0,(Inputs!$B$3-100)*3)+Inputs!$B$28+Inputs!$B$29)))</f>
        <v/>
      </c>
      <c r="E1185">
        <f>INDEX(FactorTable!$B$2:$Y$301, MATCH(ROUND(MIN(300,MAX(1,D1185)),0), FactorTable!$A$2:$A$301,0), Skills!M4+1)</f>
        <v/>
      </c>
      <c r="F1185">
        <f>IF(Skills!N4=TRUE,(Skills!L4/10)*(E1185/1000),Skills!L4/10)+Skills!O4</f>
        <v/>
      </c>
      <c r="G1185" t="inlineStr"/>
      <c r="H1185" t="inlineStr"/>
      <c r="I1185" t="inlineStr">
        <is>
          <t>1</t>
        </is>
      </c>
      <c r="J1185" t="inlineStr"/>
      <c r="K1185" t="inlineStr"/>
      <c r="L1185" t="inlineStr"/>
      <c r="M1185" t="inlineStr"/>
      <c r="N1185" t="inlineStr"/>
      <c r="O1185" t="inlineStr"/>
      <c r="P1185" t="inlineStr"/>
      <c r="Q1185" t="inlineStr"/>
      <c r="R1185" t="inlineStr"/>
      <c r="S1185" t="inlineStr"/>
      <c r="U1185">
        <f>290*U1184/1000</f>
        <v/>
      </c>
    </row>
    <row r="1186">
      <c r="A1186">
        <f>Skills!A5</f>
        <v/>
      </c>
      <c r="B1186">
        <f>Skills!B5</f>
        <v/>
      </c>
      <c r="C1186">
        <f>Inputs!$B$3&gt;=103</f>
        <v/>
      </c>
      <c r="D1186">
        <f>IF(Skills!C5=1,60+Inputs!$B$25+Inputs!$B$29,IF(Skills!C5=2,90+Inputs!$B$26+Inputs!$B$29,IF(Skills!C5=3,120+Inputs!$B$27+Inputs!$B$29,MAX(0,(Inputs!$B$3-100)*3)+Inputs!$B$28+Inputs!$B$29)))</f>
        <v/>
      </c>
      <c r="E1186">
        <f>INDEX(FactorTable!$B$2:$Y$301, MATCH(ROUND(MIN(300,MAX(1,D1186)),0), FactorTable!$A$2:$A$301,0), Skills!M5+1)</f>
        <v/>
      </c>
      <c r="F1186">
        <f>IF(Skills!N5=TRUE,(Skills!L5/10)*(E1186/1000),Skills!L5/10)+Skills!O5</f>
        <v/>
      </c>
      <c r="G1186">
        <f>Skills!G5*IF(Skills!H5&gt;0,Skills!I5/Skills!H5,1)</f>
        <v/>
      </c>
      <c r="H1186">
        <f>1-(1-Skills!J5/100)^Skills!K5</f>
        <v/>
      </c>
      <c r="I1186" t="inlineStr">
        <is>
          <t>1</t>
        </is>
      </c>
      <c r="J1186">
        <f>((Inputs!$B$6*(1+Inputs!$B$7/100))+(((Inputs!$B$12*(1+Inputs!$B$13/100))-(Inputs!$B$12*(1+Inputs!$B$13/100)))+0.25*(Inputs!$B$14-Inputs!$B$14))*(1+Inputs!$B$7/100))*(F1186/100)</f>
        <v/>
      </c>
      <c r="K1186">
        <f>J1186*(1+((Inputs!$B$12*(1+Inputs!$B$13/100))*0.01+Inputs!$B$14*0.0025)/100)*(1+Inputs!$B$15/100)*(1+Inputs!$B$16/100)*(5000/(6000+Inputs!$B$42*(1-(Inputs!$B$19+0)/100)))*(1+(Inputs!$B$24+((C1206=TRUE)*(F1206-Calc!F25))+B1216)/100)*(1+IF(Skills!A5="ENHANCED_RAGING_BLOW",IF(Inputs!$B$3&gt;=134,MAX(0,IF(Inputs!$B$3&gt;=110,7,5)-5)*50,0),0)/100)*(1+(IF(Skills!A5="RAGING_BLOW",Inputs!$B$17+((C1202=TRUE)*(F1202-Calc!F21)),Inputs!$B$18+((C1204=TRUE)*(F1204-Calc!F23))))/100)*((1+(((C1194=TRUE)*F1194*IF(Inputs!$B$3&gt;=110,7,5))+((C1196=TRUE)*F1196*IF(AND(Inputs!$B$38&lt;&gt;"pvp",Inputs!$B$43&gt;0),(((R1196-1)*(Skills!T15*(1+Inputs!$B$34/100))+MIN((Skills!T15*(1+Inputs!$B$34/100)),MAX(0,Inputs!$B$43-((R1196-1)*Skills!D15))))/Inputs!$B$43),IF(Inputs!$B$38="pvp",MIN((Skills!T15*(1+Inputs!$B$34/100)),15)/15,(Skills!T15*(1+Inputs!$B$34/100))/Skills!D15)))+0)/100)*I1186)</f>
        <v/>
      </c>
      <c r="L1186">
        <f>K1186*(MIN(Inputs!$B$22+((C1203=TRUE)*(F1203-Calc!F22)),Inputs!$B$23+((C1205=TRUE)*(F1205-Calc!F24)))/100+(Inputs!$B$23+((C1205=TRUE)*(F1205-Calc!F24)))/100)/2</f>
        <v/>
      </c>
      <c r="M1186">
        <f>L1186*(1+(Inputs!$B$10+0+B1215)/100)</f>
        <v/>
      </c>
      <c r="N1186">
        <f>L1186*(1-MIN((Inputs!$B$9+((C1207=TRUE)*(F1207-Calc!F26))+B1210),100)/100)+M1186*(MIN((Inputs!$B$9+((C1207=TRUE)*(F1207-Calc!F26))+B1210),100)/100)</f>
        <v/>
      </c>
      <c r="O1186">
        <f>(1-Summary!$B$55)*T1186+Summary!$B$55*V1186</f>
        <v/>
      </c>
      <c r="P1186">
        <f>IF(B1220=0,0,O1186/B1220)</f>
        <v/>
      </c>
      <c r="Q1186">
        <f>IFERROR(1/IF(Inputs!$B$38="pvp",15,MAX(0.1,Skills!D5-IF(Skills!E5=TRUE,1.0,0))),0)</f>
        <v/>
      </c>
      <c r="R1186">
        <f>IF(AND(Inputs!$B$38&lt;&gt;"pvp",Inputs!$B$43&gt;0),IF(MAX(0,Inputs!$B$43-B1217)&lt;=0,0,(INT(MAX(0,Inputs!$B$43-B1217)/IF(Inputs!$B$38="pvp",15,MAX(0.1,Skills!D5-IF(Skills!E5=TRUE,1.0,0))))+1)),0)</f>
        <v/>
      </c>
      <c r="S1186">
        <f>IFERROR(O1186/N1186,0)</f>
        <v/>
      </c>
      <c r="T1186">
        <f>IF(C1186,(H1186*N1186*IF(AND(Inputs!$B$38&lt;&gt;"pvp",Inputs!$B$43&gt;0),((Skills!G5*((R1186-1)*IF(Skills!H5&gt;0,Skills!I5/Skills!H5,1)+IF(Skills!H5&gt;0,MIN(Skills!I5,MAX(0,MAX(0,Inputs!$B$43-B1217)-((R1186-1)*IF(Inputs!$B$38="pvp",15,MAX(0.1,Skills!D5-IF(Skills!E5=TRUE,1.0,0))))))/Skills!H5,1)))/Inputs!$B$43),G1186*Q1186))*IF(Inputs!$B$38="pvp",1,1+(Inputs!$B$20+0+Skills!P5+Summary!$B$59)/100),0)</f>
        <v/>
      </c>
      <c r="V1186">
        <f>IF(C1186,(H1186*N1186*IF(AND(Inputs!$B$38&lt;&gt;"pvp",Inputs!$B$43&gt;0),((Skills!G5*((R1186-1)*IF(Skills!H5&gt;0,Skills!I5/Skills!H5,1)+IF(Skills!H5&gt;0,MIN(Skills!I5,MAX(0,MAX(0,Inputs!$B$43-B1217)-((R1186-1)*IF(Inputs!$B$38="pvp",15,MAX(0.1,Skills!D5-IF(Skills!E5=TRUE,1.0,0))))))/Skills!H5,1)))/Inputs!$B$43),G1186*Q1186))*IF(Inputs!$B$38="pvp",1,(1+(Inputs!$B$21+Skills!Q5+Summary!$B$59)/100)*(MIN(Skills!R5,Inputs!$B$37))),0)</f>
        <v/>
      </c>
    </row>
    <row r="1187">
      <c r="A1187">
        <f>Skills!A6</f>
        <v/>
      </c>
      <c r="B1187">
        <f>Skills!B6</f>
        <v/>
      </c>
      <c r="C1187">
        <f>Inputs!$B$3&gt;=103</f>
        <v/>
      </c>
      <c r="D1187">
        <f>IF(Skills!C6=1,60+Inputs!$B$25+Inputs!$B$29,IF(Skills!C6=2,90+Inputs!$B$26+Inputs!$B$29,IF(Skills!C6=3,120+Inputs!$B$27+Inputs!$B$29,MAX(0,(Inputs!$B$3-100)*3)+Inputs!$B$28+Inputs!$B$29)))</f>
        <v/>
      </c>
      <c r="E1187">
        <f>INDEX(FactorTable!$B$2:$Y$301, MATCH(ROUND(MIN(300,MAX(1,D1187)),0), FactorTable!$A$2:$A$301,0), Skills!M6+1)</f>
        <v/>
      </c>
      <c r="F1187">
        <f>IF(Skills!N6=TRUE,(Skills!L6/10)*(E1187/1000),Skills!L6/10)+Skills!O6</f>
        <v/>
      </c>
      <c r="G1187">
        <f>Skills!G6*IF(Skills!H6&gt;0,Skills!I6/Skills!H6,1)</f>
        <v/>
      </c>
      <c r="H1187">
        <f>1-(1-Skills!J6/100)^Skills!K6</f>
        <v/>
      </c>
      <c r="I1187" t="inlineStr">
        <is>
          <t>1</t>
        </is>
      </c>
      <c r="J1187">
        <f>((Inputs!$B$6*(1+Inputs!$B$7/100))+(((Inputs!$B$12*(1+Inputs!$B$13/100))-(Inputs!$B$12*(1+Inputs!$B$13/100)))+0.25*(Inputs!$B$14-Inputs!$B$14))*(1+Inputs!$B$7/100))*(F1187/100)</f>
        <v/>
      </c>
      <c r="K1187">
        <f>J1187*(1+((Inputs!$B$12*(1+Inputs!$B$13/100))*0.01+Inputs!$B$14*0.0025)/100)*(1+Inputs!$B$15/100)*(1+Inputs!$B$16/100)*(5000/(6000+Inputs!$B$42*(1-(Inputs!$B$19+0)/100)))*(1+(Inputs!$B$24+((C1206=TRUE)*(F1206-Calc!F25))+B1216)/100)*(1+IF(Skills!A6="ENHANCED_RAGING_BLOW",IF(Inputs!$B$3&gt;=134,MAX(0,IF(Inputs!$B$3&gt;=110,7,5)-5)*50,0),0)/100)*(1+(IF(Skills!A6="RAGING_BLOW",Inputs!$B$17+((C1202=TRUE)*(F1202-Calc!F21)),Inputs!$B$18+((C1204=TRUE)*(F1204-Calc!F23))))/100)*((1+(((C1194=TRUE)*F1194*IF(Inputs!$B$3&gt;=110,7,5))+((C1196=TRUE)*F1196*IF(AND(Inputs!$B$38&lt;&gt;"pvp",Inputs!$B$43&gt;0),(((R1196-1)*(Skills!T15*(1+Inputs!$B$34/100))+MIN((Skills!T15*(1+Inputs!$B$34/100)),MAX(0,Inputs!$B$43-((R1196-1)*Skills!D15))))/Inputs!$B$43),IF(Inputs!$B$38="pvp",MIN((Skills!T15*(1+Inputs!$B$34/100)),15)/15,(Skills!T15*(1+Inputs!$B$34/100))/Skills!D15)))+0)/100)*I1187)</f>
        <v/>
      </c>
      <c r="L1187">
        <f>K1187*(MIN(Inputs!$B$22+((C1203=TRUE)*(F1203-Calc!F22)),Inputs!$B$23+((C1205=TRUE)*(F1205-Calc!F24)))/100+(Inputs!$B$23+((C1205=TRUE)*(F1205-Calc!F24)))/100)/2</f>
        <v/>
      </c>
      <c r="M1187">
        <f>L1187*(1+(Inputs!$B$10+0+B1215)/100)</f>
        <v/>
      </c>
      <c r="N1187">
        <f>L1187*(1-MIN((Inputs!$B$9+((C1207=TRUE)*(F1207-Calc!F26))+B1210),100)/100)+M1187*(MIN((Inputs!$B$9+((C1207=TRUE)*(F1207-Calc!F26))+B1210),100)/100)</f>
        <v/>
      </c>
      <c r="O1187">
        <f>(1-Summary!$B$55)*T1187+Summary!$B$55*V1187</f>
        <v/>
      </c>
      <c r="P1187">
        <f>IF(B1220=0,0,O1187/B1220)</f>
        <v/>
      </c>
      <c r="Q1187">
        <f>IFERROR(1/IF(Inputs!$B$38="pvp",15,MAX(0.1,Skills!D6-IF(Skills!E6=TRUE,1.0,0))),0)</f>
        <v/>
      </c>
      <c r="R1187">
        <f>IF(AND(Inputs!$B$38&lt;&gt;"pvp",Inputs!$B$43&gt;0),IF(MAX(0,Inputs!$B$43-B1217)&lt;=0,0,(INT(MAX(0,Inputs!$B$43-B1217)/IF(Inputs!$B$38="pvp",15,MAX(0.1,Skills!D6-IF(Skills!E6=TRUE,1.0,0))))+1)),0)</f>
        <v/>
      </c>
      <c r="S1187">
        <f>IFERROR(O1187/N1187,0)</f>
        <v/>
      </c>
      <c r="T1187">
        <f>IF(C1187,(H1187*N1187*IF(AND(Inputs!$B$38&lt;&gt;"pvp",Inputs!$B$43&gt;0),((Skills!G6*((R1187-1)*IF(Skills!H6&gt;0,Skills!I6/Skills!H6,1)+IF(Skills!H6&gt;0,MIN(Skills!I6,MAX(0,MAX(0,Inputs!$B$43-B1217)-((R1187-1)*IF(Inputs!$B$38="pvp",15,MAX(0.1,Skills!D6-IF(Skills!E6=TRUE,1.0,0))))))/Skills!H6,1)))/Inputs!$B$43),G1187*Q1187))*IF(Inputs!$B$38="pvp",1,1+(Inputs!$B$20+0+Skills!P6+Summary!$B$59)/100),0)</f>
        <v/>
      </c>
      <c r="V1187">
        <f>IF(C1187,(H1187*N1187*IF(AND(Inputs!$B$38&lt;&gt;"pvp",Inputs!$B$43&gt;0),((Skills!G6*((R1187-1)*IF(Skills!H6&gt;0,Skills!I6/Skills!H6,1)+IF(Skills!H6&gt;0,MIN(Skills!I6,MAX(0,MAX(0,Inputs!$B$43-B1217)-((R1187-1)*IF(Inputs!$B$38="pvp",15,MAX(0.1,Skills!D6-IF(Skills!E6=TRUE,1.0,0))))))/Skills!H6,1)))/Inputs!$B$43),G1187*Q1187))*IF(Inputs!$B$38="pvp",1,(1+(Inputs!$B$21+Skills!Q6+Summary!$B$59)/100)*(MIN(Skills!R6,Inputs!$B$37))),0)</f>
        <v/>
      </c>
    </row>
    <row r="1188">
      <c r="A1188">
        <f>Skills!A7</f>
        <v/>
      </c>
      <c r="B1188">
        <f>Skills!B7</f>
        <v/>
      </c>
      <c r="C1188">
        <f>Inputs!$B$3&gt;=107</f>
        <v/>
      </c>
      <c r="D1188">
        <f>IF(Skills!C7=1,60+Inputs!$B$25+Inputs!$B$29,IF(Skills!C7=2,90+Inputs!$B$26+Inputs!$B$29,IF(Skills!C7=3,120+Inputs!$B$27+Inputs!$B$29,MAX(0,(Inputs!$B$3-100)*3)+Inputs!$B$28+Inputs!$B$29)))</f>
        <v/>
      </c>
      <c r="E1188">
        <f>INDEX(FactorTable!$B$2:$Y$301, MATCH(ROUND(MIN(300,MAX(1,D1188)),0), FactorTable!$A$2:$A$301,0), Skills!M7+1)</f>
        <v/>
      </c>
      <c r="F1188">
        <f>IF(Skills!N7=TRUE,(Skills!L7/10)*(E1188/1000),Skills!L7/10)+Skills!O7</f>
        <v/>
      </c>
      <c r="G1188">
        <f>Skills!G7*IF(Skills!H7&gt;0,Skills!I7/Skills!H7,1)</f>
        <v/>
      </c>
      <c r="H1188">
        <f>1-(1-Skills!J7/100)^Skills!K7</f>
        <v/>
      </c>
      <c r="I1188" t="inlineStr">
        <is>
          <t>1</t>
        </is>
      </c>
      <c r="J1188">
        <f>((Inputs!$B$6*(1+Inputs!$B$7/100))+(((Inputs!$B$12*(1+Inputs!$B$13/100))-(Inputs!$B$12*(1+Inputs!$B$13/100)))+0.25*(Inputs!$B$14-Inputs!$B$14))*(1+Inputs!$B$7/100))*(F1188/100)</f>
        <v/>
      </c>
      <c r="K1188">
        <f>J1188*(1+((Inputs!$B$12*(1+Inputs!$B$13/100))*0.01+Inputs!$B$14*0.0025)/100)*(1+Inputs!$B$15/100)*(1+Inputs!$B$16/100)*(5000/(6000+Inputs!$B$42*(1-(Inputs!$B$19+0)/100)))*(1+(Inputs!$B$24+((C1206=TRUE)*(F1206-Calc!F25))+B1216)/100)*(1+IF(Skills!A7="ENHANCED_RAGING_BLOW",IF(Inputs!$B$3&gt;=134,MAX(0,IF(Inputs!$B$3&gt;=110,7,5)-5)*50,0),0)/100)*(1+(IF(Skills!A7="RAGING_BLOW",Inputs!$B$17+((C1202=TRUE)*(F1202-Calc!F21)),Inputs!$B$18+((C1204=TRUE)*(F1204-Calc!F23))))/100)*((1+(((C1194=TRUE)*F1194*IF(Inputs!$B$3&gt;=110,7,5))+((C1196=TRUE)*F1196*IF(AND(Inputs!$B$38&lt;&gt;"pvp",Inputs!$B$43&gt;0),(((R1196-1)*(Skills!T15*(1+Inputs!$B$34/100))+MIN((Skills!T15*(1+Inputs!$B$34/100)),MAX(0,Inputs!$B$43-((R1196-1)*Skills!D15))))/Inputs!$B$43),IF(Inputs!$B$38="pvp",MIN((Skills!T15*(1+Inputs!$B$34/100)),15)/15,(Skills!T15*(1+Inputs!$B$34/100))/Skills!D15)))+0)/100)*I1188)</f>
        <v/>
      </c>
      <c r="L1188">
        <f>K1188*(MIN(Inputs!$B$22+((C1203=TRUE)*(F1203-Calc!F22)),Inputs!$B$23+((C1205=TRUE)*(F1205-Calc!F24)))/100+(Inputs!$B$23+((C1205=TRUE)*(F1205-Calc!F24)))/100)/2</f>
        <v/>
      </c>
      <c r="M1188">
        <f>L1188*(1+(Inputs!$B$10+0+B1215)/100)</f>
        <v/>
      </c>
      <c r="N1188">
        <f>L1188*(1-MIN((Inputs!$B$9+((C1207=TRUE)*(F1207-Calc!F26))+B1210),100)/100)+M1188*(MIN((Inputs!$B$9+((C1207=TRUE)*(F1207-Calc!F26))+B1210),100)/100)</f>
        <v/>
      </c>
      <c r="O1188">
        <f>(1-Summary!$B$55)*T1188+Summary!$B$55*V1188</f>
        <v/>
      </c>
      <c r="P1188">
        <f>IF(B1220=0,0,O1188/B1220)</f>
        <v/>
      </c>
      <c r="Q1188">
        <f>IFERROR(1/IF(Inputs!$B$38="pvp",15,MAX(0.1,Skills!D7-IF(Skills!E7=TRUE,1.0,0))),0)</f>
        <v/>
      </c>
      <c r="R1188">
        <f>IF(AND(Inputs!$B$38&lt;&gt;"pvp",Inputs!$B$43&gt;0),IF(MAX(0,Inputs!$B$43-B1217)&lt;=0,0,(INT(MAX(0,Inputs!$B$43-B1217)/IF(Inputs!$B$38="pvp",15,MAX(0.1,Skills!D7-IF(Skills!E7=TRUE,1.0,0))))+1)),0)</f>
        <v/>
      </c>
      <c r="S1188">
        <f>IFERROR(O1188/N1188,0)</f>
        <v/>
      </c>
      <c r="T1188">
        <f>IF(C1188,(H1188*N1188*IF(AND(Inputs!$B$38&lt;&gt;"pvp",Inputs!$B$43&gt;0),((Skills!G7*((R1188-1)*IF(Skills!H7&gt;0,Skills!I7/Skills!H7,1)+IF(Skills!H7&gt;0,MIN(Skills!I7,MAX(0,MAX(0,Inputs!$B$43-B1217)-((R1188-1)*IF(Inputs!$B$38="pvp",15,MAX(0.1,Skills!D7-IF(Skills!E7=TRUE,1.0,0))))))/Skills!H7,1)))/Inputs!$B$43),G1188*Q1188))*IF(Inputs!$B$38="pvp",1,1+(Inputs!$B$20+0+Skills!P7+Summary!$B$59)/100),0)</f>
        <v/>
      </c>
      <c r="V1188">
        <f>IF(C1188,(H1188*N1188*IF(AND(Inputs!$B$38&lt;&gt;"pvp",Inputs!$B$43&gt;0),((Skills!G7*((R1188-1)*IF(Skills!H7&gt;0,Skills!I7/Skills!H7,1)+IF(Skills!H7&gt;0,MIN(Skills!I7,MAX(0,MAX(0,Inputs!$B$43-B1217)-((R1188-1)*IF(Inputs!$B$38="pvp",15,MAX(0.1,Skills!D7-IF(Skills!E7=TRUE,1.0,0))))))/Skills!H7,1)))/Inputs!$B$43),G1188*Q1188))*IF(Inputs!$B$38="pvp",1,(1+(Inputs!$B$21+Skills!Q7+Summary!$B$59)/100)*(MIN(Skills!R7,Inputs!$B$37))),0)</f>
        <v/>
      </c>
    </row>
    <row r="1189">
      <c r="A1189">
        <f>Skills!A8</f>
        <v/>
      </c>
      <c r="B1189">
        <f>Skills!B8</f>
        <v/>
      </c>
      <c r="C1189">
        <f>Inputs!$B$3&gt;=117</f>
        <v/>
      </c>
      <c r="D1189">
        <f>IF(Skills!C8=1,60+Inputs!$B$25+Inputs!$B$29,IF(Skills!C8=2,90+Inputs!$B$26+Inputs!$B$29,IF(Skills!C8=3,120+Inputs!$B$27+Inputs!$B$29,MAX(0,(Inputs!$B$3-100)*3)+Inputs!$B$28+Inputs!$B$29)))</f>
        <v/>
      </c>
      <c r="E1189">
        <f>INDEX(FactorTable!$B$2:$Y$301, MATCH(ROUND(MIN(300,MAX(1,D1189)),0), FactorTable!$A$2:$A$301,0), Skills!M8+1)</f>
        <v/>
      </c>
      <c r="F1189">
        <f>IF(Skills!N8=TRUE,(Skills!L8/10)*(E1189/1000),Skills!L8/10)+Skills!O8</f>
        <v/>
      </c>
      <c r="G1189">
        <f>Skills!G8*IF(Skills!H8&gt;0,Skills!I8/Skills!H8,1)</f>
        <v/>
      </c>
      <c r="H1189">
        <f>1-(1-Skills!J8/100)^Skills!K8</f>
        <v/>
      </c>
      <c r="I1189" t="inlineStr">
        <is>
          <t>1</t>
        </is>
      </c>
      <c r="J1189">
        <f>((Inputs!$B$6*(1+Inputs!$B$7/100))+(((Inputs!$B$12*(1+Inputs!$B$13/100))-(Inputs!$B$12*(1+Inputs!$B$13/100)))+0.25*(Inputs!$B$14-Inputs!$B$14))*(1+Inputs!$B$7/100))*(F1189/100)</f>
        <v/>
      </c>
      <c r="K1189">
        <f>J1189*(1+((Inputs!$B$12*(1+Inputs!$B$13/100))*0.01+Inputs!$B$14*0.0025)/100)*(1+Inputs!$B$15/100)*(1+Inputs!$B$16/100)*(5000/(6000+Inputs!$B$42*(1-(Inputs!$B$19+0)/100)))*(1+(Inputs!$B$24+((C1206=TRUE)*(F1206-Calc!F25))+B1216)/100)*(1+IF(Skills!A8="ENHANCED_RAGING_BLOW",IF(Inputs!$B$3&gt;=134,MAX(0,IF(Inputs!$B$3&gt;=110,7,5)-5)*50,0),0)/100)*(1+(IF(Skills!A8="RAGING_BLOW",Inputs!$B$17+((C1202=TRUE)*(F1202-Calc!F21)),Inputs!$B$18+((C1204=TRUE)*(F1204-Calc!F23))))/100)*((1+(((C1194=TRUE)*F1194*IF(Inputs!$B$3&gt;=110,7,5))+((C1196=TRUE)*F1196*IF(AND(Inputs!$B$38&lt;&gt;"pvp",Inputs!$B$43&gt;0),(((R1196-1)*(Skills!T15*(1+Inputs!$B$34/100))+MIN((Skills!T15*(1+Inputs!$B$34/100)),MAX(0,Inputs!$B$43-((R1196-1)*Skills!D15))))/Inputs!$B$43),IF(Inputs!$B$38="pvp",MIN((Skills!T15*(1+Inputs!$B$34/100)),15)/15,(Skills!T15*(1+Inputs!$B$34/100))/Skills!D15)))+0)/100)*I1189)</f>
        <v/>
      </c>
      <c r="L1189">
        <f>K1189*(MIN(Inputs!$B$22+((C1203=TRUE)*(F1203-Calc!F22)),Inputs!$B$23+((C1205=TRUE)*(F1205-Calc!F24)))/100+(Inputs!$B$23+((C1205=TRUE)*(F1205-Calc!F24)))/100)/2</f>
        <v/>
      </c>
      <c r="M1189">
        <f>L1189*(1+(Inputs!$B$10+0+B1215)/100)</f>
        <v/>
      </c>
      <c r="N1189">
        <f>L1189*(1-MIN((Inputs!$B$9+((C1207=TRUE)*(F1207-Calc!F26))+B1210),100)/100)+M1189*(MIN((Inputs!$B$9+((C1207=TRUE)*(F1207-Calc!F26))+B1210),100)/100)</f>
        <v/>
      </c>
      <c r="O1189">
        <f>(1-Summary!$B$55)*T1189+Summary!$B$55*V1189</f>
        <v/>
      </c>
      <c r="P1189">
        <f>IF(B1220=0,0,O1189/B1220)</f>
        <v/>
      </c>
      <c r="Q1189">
        <f>IFERROR(1/IF(Inputs!$B$38="pvp",15,MAX(0.1,Skills!D8-IF(Skills!E8=TRUE,1.0,0))),0)</f>
        <v/>
      </c>
      <c r="R1189">
        <f>IF(AND(Inputs!$B$38&lt;&gt;"pvp",Inputs!$B$43&gt;0),IF(MAX(0,Inputs!$B$43-B1217)&lt;=0,0,(INT(MAX(0,Inputs!$B$43-B1217)/IF(Inputs!$B$38="pvp",15,MAX(0.1,Skills!D8-IF(Skills!E8=TRUE,1.0,0))))+1)),0)</f>
        <v/>
      </c>
      <c r="S1189">
        <f>IFERROR(O1189/N1189,0)</f>
        <v/>
      </c>
      <c r="T1189">
        <f>IF(C1189,(H1189*N1189*IF(AND(Inputs!$B$38&lt;&gt;"pvp",Inputs!$B$43&gt;0),((Skills!G8*((R1189-1)*IF(Skills!H8&gt;0,Skills!I8/Skills!H8,1)+IF(Skills!H8&gt;0,MIN(Skills!I8,MAX(0,MAX(0,Inputs!$B$43-B1217)-((R1189-1)*IF(Inputs!$B$38="pvp",15,MAX(0.1,Skills!D8-IF(Skills!E8=TRUE,1.0,0))))))/Skills!H8,1)))/Inputs!$B$43),G1189*Q1189))*IF(Inputs!$B$38="pvp",1,1+(Inputs!$B$20+0+Skills!P8+Summary!$B$59)/100),0)</f>
        <v/>
      </c>
      <c r="V1189">
        <f>IF(C1189,(H1189*N1189*IF(AND(Inputs!$B$38&lt;&gt;"pvp",Inputs!$B$43&gt;0),((Skills!G8*((R1189-1)*IF(Skills!H8&gt;0,Skills!I8/Skills!H8,1)+IF(Skills!H8&gt;0,MIN(Skills!I8,MAX(0,MAX(0,Inputs!$B$43-B1217)-((R1189-1)*IF(Inputs!$B$38="pvp",15,MAX(0.1,Skills!D8-IF(Skills!E8=TRUE,1.0,0))))))/Skills!H8,1)))/Inputs!$B$43),G1189*Q1189))*IF(Inputs!$B$38="pvp",1,(1+(Inputs!$B$21+Skills!Q8+Summary!$B$59)/100)*(MIN(Skills!R8,Inputs!$B$37))),0)</f>
        <v/>
      </c>
    </row>
    <row r="1190">
      <c r="A1190">
        <f>Skills!A9</f>
        <v/>
      </c>
      <c r="B1190">
        <f>Skills!B9</f>
        <v/>
      </c>
      <c r="C1190">
        <f>Inputs!$B$3&gt;=69</f>
        <v/>
      </c>
      <c r="D1190">
        <f>IF(Skills!C9=1,60+Inputs!$B$25+Inputs!$B$29,IF(Skills!C9=2,90+Inputs!$B$26+Inputs!$B$29,IF(Skills!C9=3,120+Inputs!$B$27+Inputs!$B$29,MAX(0,(Inputs!$B$3-100)*3)+Inputs!$B$28+Inputs!$B$29)))</f>
        <v/>
      </c>
      <c r="E1190">
        <f>INDEX(FactorTable!$B$2:$Y$301, MATCH(ROUND(MIN(300,MAX(1,D1190)),0), FactorTable!$A$2:$A$301,0), Skills!M9+1)</f>
        <v/>
      </c>
      <c r="F1190">
        <f>IF(Skills!N9=TRUE,(Skills!L9/10)*(E1190/1000),Skills!L9/10)+Skills!O9</f>
        <v/>
      </c>
      <c r="G1190">
        <f>Skills!G9*IF(Skills!H9&gt;0,Skills!I9/Skills!H9,1)</f>
        <v/>
      </c>
      <c r="H1190">
        <f>1-(1-Skills!J9/100)^Skills!K9</f>
        <v/>
      </c>
      <c r="I1190" t="inlineStr">
        <is>
          <t>1</t>
        </is>
      </c>
      <c r="J1190">
        <f>((Inputs!$B$6*(1+Inputs!$B$7/100))+(((Inputs!$B$12*(1+Inputs!$B$13/100))-(Inputs!$B$12*(1+Inputs!$B$13/100)))+0.25*(Inputs!$B$14-Inputs!$B$14))*(1+Inputs!$B$7/100))*(F1190/100)</f>
        <v/>
      </c>
      <c r="K1190">
        <f>J1190*(1+((Inputs!$B$12*(1+Inputs!$B$13/100))*0.01+Inputs!$B$14*0.0025)/100)*(1+Inputs!$B$15/100)*(1+Inputs!$B$16/100)*(5000/(6000+Inputs!$B$42*(1-(Inputs!$B$19+0)/100)))*(1+(Inputs!$B$24+((C1206=TRUE)*(F1206-Calc!F25))+B1216)/100)*(1+1.0*IF(C1193=TRUE,F1193,0)/100)*(1+IF(Skills!A9="ENHANCED_RAGING_BLOW",IF(Inputs!$B$3&gt;=134,MAX(0,IF(Inputs!$B$3&gt;=110,7,5)-5)*50,0),0)/100)*(1+(IF(Skills!A9="RAGING_BLOW",Inputs!$B$17+((C1202=TRUE)*(F1202-Calc!F21)),Inputs!$B$18+((C1204=TRUE)*(F1204-Calc!F23))))/100)*((1+(((C1194=TRUE)*F1194*IF(Inputs!$B$3&gt;=110,7,5))+((C1196=TRUE)*F1196*IF(AND(Inputs!$B$38&lt;&gt;"pvp",Inputs!$B$43&gt;0),(((R1196-1)*(Skills!T15*(1+Inputs!$B$34/100))+MIN((Skills!T15*(1+Inputs!$B$34/100)),MAX(0,Inputs!$B$43-((R1196-1)*Skills!D15))))/Inputs!$B$43),IF(Inputs!$B$38="pvp",MIN((Skills!T15*(1+Inputs!$B$34/100)),15)/15,(Skills!T15*(1+Inputs!$B$34/100))/Skills!D15)))+0)/100)*I1190)</f>
        <v/>
      </c>
      <c r="L1190">
        <f>K1190*(MIN(Inputs!$B$22+((C1203=TRUE)*(F1203-Calc!F22)),Inputs!$B$23+((C1205=TRUE)*(F1205-Calc!F24)))/100+(Inputs!$B$23+((C1205=TRUE)*(F1205-Calc!F24)))/100)/2</f>
        <v/>
      </c>
      <c r="M1190">
        <f>L1190*(1+(Inputs!$B$10+0+B1215)/100)</f>
        <v/>
      </c>
      <c r="N1190">
        <f>L1190*(1-MIN((Inputs!$B$9+((C1207=TRUE)*(F1207-Calc!F26))+B1210),100)/100)+M1190*(MIN((Inputs!$B$9+((C1207=TRUE)*(F1207-Calc!F26))+B1210),100)/100)</f>
        <v/>
      </c>
      <c r="O1190">
        <f>(1-Summary!$B$55)*T1190+Summary!$B$55*V1190</f>
        <v/>
      </c>
      <c r="P1190">
        <f>IF(B1220=0,0,O1190/B1220)</f>
        <v/>
      </c>
      <c r="Q1190">
        <f>IFERROR(1/IF(Inputs!$B$38="pvp",15,MAX(0.1,Skills!D9-IF(Skills!E9=TRUE,1.0,0))),0)</f>
        <v/>
      </c>
      <c r="R1190">
        <f>IF(AND(Inputs!$B$38&lt;&gt;"pvp",Inputs!$B$43&gt;0),IF(MAX(0,Inputs!$B$43-B1217)&lt;=0,0,(INT(MAX(0,Inputs!$B$43-B1217)/IF(Inputs!$B$38="pvp",15,MAX(0.1,Skills!D9-IF(Skills!E9=TRUE,1.0,0))))+1)),0)</f>
        <v/>
      </c>
      <c r="S1190">
        <f>IFERROR(O1190/N1190,0)</f>
        <v/>
      </c>
      <c r="T1190">
        <f>IF(C1190,(H1190*N1190*IF(AND(Inputs!$B$38&lt;&gt;"pvp",Inputs!$B$43&gt;0),((Skills!G9*((R1190-1)*IF(Skills!H9&gt;0,Skills!I9/Skills!H9,1)+IF(Skills!H9&gt;0,MIN(Skills!I9,MAX(0,MAX(0,Inputs!$B$43-B1217)-((R1190-1)*IF(Inputs!$B$38="pvp",15,MAX(0.1,Skills!D9-IF(Skills!E9=TRUE,1.0,0))))))/Skills!H9,1)))/Inputs!$B$43),G1190*Q1190))*IF(Inputs!$B$38="pvp",1,1+(Inputs!$B$20+0+Skills!P9+Summary!$B$59)/100),0)</f>
        <v/>
      </c>
      <c r="V1190">
        <f>IF(C1190,(H1190*N1190*IF(AND(Inputs!$B$38&lt;&gt;"pvp",Inputs!$B$43&gt;0),((Skills!G9*((R1190-1)*IF(Skills!H9&gt;0,Skills!I9/Skills!H9,1)+IF(Skills!H9&gt;0,MIN(Skills!I9,MAX(0,MAX(0,Inputs!$B$43-B1217)-((R1190-1)*IF(Inputs!$B$38="pvp",15,MAX(0.1,Skills!D9-IF(Skills!E9=TRUE,1.0,0))))))/Skills!H9,1)))/Inputs!$B$43),G1190*Q1190))*IF(Inputs!$B$38="pvp",1,(1+(Inputs!$B$21+Skills!Q9+Summary!$B$59)/100)*(MIN(Skills!R9,Inputs!$B$37))),0)</f>
        <v/>
      </c>
    </row>
    <row r="1191">
      <c r="A1191">
        <f>Skills!A10</f>
        <v/>
      </c>
      <c r="B1191">
        <f>Skills!B10</f>
        <v/>
      </c>
      <c r="C1191">
        <f>Inputs!$B$3&gt;=63</f>
        <v/>
      </c>
      <c r="D1191">
        <f>IF(Skills!C10=1,60+Inputs!$B$25+Inputs!$B$29,IF(Skills!C10=2,90+Inputs!$B$26+Inputs!$B$29,IF(Skills!C10=3,120+Inputs!$B$27+Inputs!$B$29,MAX(0,(Inputs!$B$3-100)*3)+Inputs!$B$28+Inputs!$B$29)))</f>
        <v/>
      </c>
      <c r="E1191">
        <f>INDEX(FactorTable!$B$2:$Y$301, MATCH(ROUND(MIN(300,MAX(1,D1191)),0), FactorTable!$A$2:$A$301,0), Skills!M10+1)</f>
        <v/>
      </c>
      <c r="F1191">
        <f>IF(Skills!N10=TRUE,(Skills!L10/10)*(E1191/1000),Skills!L10/10)+Skills!O10</f>
        <v/>
      </c>
      <c r="G1191">
        <f>Skills!G10*IF(Skills!H10&gt;0,Skills!I10/Skills!H10,1)</f>
        <v/>
      </c>
      <c r="H1191">
        <f>1-(1-Skills!J10/100)^Skills!K10</f>
        <v/>
      </c>
      <c r="I1191" t="inlineStr">
        <is>
          <t>1</t>
        </is>
      </c>
      <c r="J1191">
        <f>((Inputs!$B$6*(1+Inputs!$B$7/100))+(((Inputs!$B$12*(1+Inputs!$B$13/100))-(Inputs!$B$12*(1+Inputs!$B$13/100)))+0.25*(Inputs!$B$14-Inputs!$B$14))*(1+Inputs!$B$7/100))*(F1191/100)</f>
        <v/>
      </c>
      <c r="K1191">
        <f>J1191*(1+((Inputs!$B$12*(1+Inputs!$B$13/100))*0.01+Inputs!$B$14*0.0025)/100)*(1+Inputs!$B$15/100)*(1+Inputs!$B$16/100)*(5000/(6000+Inputs!$B$42*(1-(Inputs!$B$19+0)/100)))*(1+(Inputs!$B$24+((C1206=TRUE)*(F1206-Calc!F25))+B1216)/100)*(1+1.5*IF(C1193=TRUE,F1193,0)/100)*(1+IF(Skills!A10="ENHANCED_RAGING_BLOW",IF(Inputs!$B$3&gt;=134,MAX(0,IF(Inputs!$B$3&gt;=110,7,5)-5)*50,0),0)/100)*(1+(IF(Skills!A10="RAGING_BLOW",Inputs!$B$17+((C1202=TRUE)*(F1202-Calc!F21)),Inputs!$B$18+((C1204=TRUE)*(F1204-Calc!F23))))/100)*((1+(((C1194=TRUE)*F1194*IF(Inputs!$B$3&gt;=110,7,5))+((C1196=TRUE)*F1196*IF(AND(Inputs!$B$38&lt;&gt;"pvp",Inputs!$B$43&gt;0),(((R1196-1)*(Skills!T15*(1+Inputs!$B$34/100))+MIN((Skills!T15*(1+Inputs!$B$34/100)),MAX(0,Inputs!$B$43-((R1196-1)*Skills!D15))))/Inputs!$B$43),IF(Inputs!$B$38="pvp",MIN((Skills!T15*(1+Inputs!$B$34/100)),15)/15,(Skills!T15*(1+Inputs!$B$34/100))/Skills!D15)))+0)/100)*I1191)</f>
        <v/>
      </c>
      <c r="L1191">
        <f>K1191*(MIN(Inputs!$B$22+((C1203=TRUE)*(F1203-Calc!F22)),Inputs!$B$23+((C1205=TRUE)*(F1205-Calc!F24)))/100+(Inputs!$B$23+((C1205=TRUE)*(F1205-Calc!F24)))/100)/2</f>
        <v/>
      </c>
      <c r="M1191">
        <f>L1191*(1+(Inputs!$B$10+0+B1215)/100)</f>
        <v/>
      </c>
      <c r="N1191">
        <f>L1191*(1-MIN((Inputs!$B$9+((C1207=TRUE)*(F1207-Calc!F26))+B1210),100)/100)+M1191*(MIN((Inputs!$B$9+((C1207=TRUE)*(F1207-Calc!F26))+B1210),100)/100)</f>
        <v/>
      </c>
      <c r="O1191">
        <f>(1-Summary!$B$55)*T1191+Summary!$B$55*V1191</f>
        <v/>
      </c>
      <c r="P1191">
        <f>IF(B1220=0,0,O1191/B1220)</f>
        <v/>
      </c>
      <c r="Q1191">
        <f>IFERROR(1/IF(Inputs!$B$38="pvp",15,MAX(0.1,Skills!D10-IF(Skills!E10=TRUE,1.0,0))),0)</f>
        <v/>
      </c>
      <c r="R1191">
        <f>IF(AND(Inputs!$B$38&lt;&gt;"pvp",Inputs!$B$43&gt;0),IF(MAX(0,Inputs!$B$43-B1217)&lt;=0,0,(INT(MAX(0,Inputs!$B$43-B1217)/IF(Inputs!$B$38="pvp",15,MAX(0.1,Skills!D10-IF(Skills!E10=TRUE,1.0,0))))+1)),0)</f>
        <v/>
      </c>
      <c r="S1191">
        <f>IFERROR(O1191/N1191,0)</f>
        <v/>
      </c>
      <c r="T1191">
        <f>IF(C1191,(H1191*N1191*IF(AND(Inputs!$B$38&lt;&gt;"pvp",Inputs!$B$43&gt;0),((Skills!G10*((R1191-1)*IF(Skills!H10&gt;0,Skills!I10/Skills!H10,1)+IF(Skills!H10&gt;0,MIN(Skills!I10,MAX(0,MAX(0,Inputs!$B$43-B1217)-((R1191-1)*IF(Inputs!$B$38="pvp",15,MAX(0.1,Skills!D10-IF(Skills!E10=TRUE,1.0,0))))))/Skills!H10,1)))/Inputs!$B$43),G1191*Q1191))*IF(Inputs!$B$38="pvp",1,1+(Inputs!$B$20+0+Skills!P10+Summary!$B$59)/100),0)</f>
        <v/>
      </c>
      <c r="V1191">
        <f>IF(C1191,(H1191*N1191*IF(AND(Inputs!$B$38&lt;&gt;"pvp",Inputs!$B$43&gt;0),((Skills!G10*((R1191-1)*IF(Skills!H10&gt;0,Skills!I10/Skills!H10,1)+IF(Skills!H10&gt;0,MIN(Skills!I10,MAX(0,MAX(0,Inputs!$B$43-B1217)-((R1191-1)*IF(Inputs!$B$38="pvp",15,MAX(0.1,Skills!D10-IF(Skills!E10=TRUE,1.0,0))))))/Skills!H10,1)))/Inputs!$B$43),G1191*Q1191))*IF(Inputs!$B$38="pvp",1,(1+(Inputs!$B$21+Skills!Q10+Summary!$B$59)/100)*(MIN(Skills!R10,Inputs!$B$37))),0)</f>
        <v/>
      </c>
    </row>
    <row r="1192">
      <c r="A1192">
        <f>Skills!A11</f>
        <v/>
      </c>
      <c r="B1192">
        <f>Skills!B11</f>
        <v/>
      </c>
      <c r="C1192">
        <f>Inputs!$B$3&gt;=35</f>
        <v/>
      </c>
      <c r="D1192">
        <f>IF(Skills!C11=1,60+Inputs!$B$25+Inputs!$B$29,IF(Skills!C11=2,90+Inputs!$B$26+Inputs!$B$29,IF(Skills!C11=3,120+Inputs!$B$27+Inputs!$B$29,MAX(0,(Inputs!$B$3-100)*3)+Inputs!$B$28+Inputs!$B$29)))</f>
        <v/>
      </c>
      <c r="E1192">
        <f>INDEX(FactorTable!$B$2:$Y$301, MATCH(ROUND(MIN(300,MAX(1,D1192)),0), FactorTable!$A$2:$A$301,0), Skills!M11+1)</f>
        <v/>
      </c>
      <c r="F1192">
        <f>IF(Skills!N11=TRUE,(Skills!L11/10)*(E1192/1000),Skills!L11/10)+Skills!O11</f>
        <v/>
      </c>
      <c r="G1192">
        <f>Skills!G11*IF(Skills!H11&gt;0,Skills!I11/Skills!H11,1)</f>
        <v/>
      </c>
      <c r="H1192">
        <f>1-(1-Skills!J11/100)^Skills!K11</f>
        <v/>
      </c>
      <c r="I1192" t="inlineStr">
        <is>
          <t>1</t>
        </is>
      </c>
      <c r="J1192">
        <f>((Inputs!$B$6*(1+Inputs!$B$7/100))+(((Inputs!$B$12*(1+Inputs!$B$13/100))-(Inputs!$B$12*(1+Inputs!$B$13/100)))+0.25*(Inputs!$B$14-Inputs!$B$14))*(1+Inputs!$B$7/100))*(F1192/100)</f>
        <v/>
      </c>
      <c r="K1192">
        <f>J1192*(1+((Inputs!$B$12*(1+Inputs!$B$13/100))*0.01+Inputs!$B$14*0.0025)/100)*(1+Inputs!$B$15/100)*(1+Inputs!$B$16/100)*(5000/(6000+Inputs!$B$42*(1-(Inputs!$B$19+0)/100)))*(1+(Inputs!$B$24+((C1206=TRUE)*(F1206-Calc!F25))+B1216)/100)*(1+4.0*IF(C1193=TRUE,F1193,0)/100)*(1+IF(Skills!A11="ENHANCED_RAGING_BLOW",IF(Inputs!$B$3&gt;=134,MAX(0,IF(Inputs!$B$3&gt;=110,7,5)-5)*50,0),0)/100)*(1+(IF(Skills!A11="RAGING_BLOW",Inputs!$B$17+((C1202=TRUE)*(F1202-Calc!F21)),Inputs!$B$18+((C1204=TRUE)*(F1204-Calc!F23))))/100)*((1+(((C1194=TRUE)*F1194*IF(Inputs!$B$3&gt;=110,7,5))+((C1196=TRUE)*F1196*IF(AND(Inputs!$B$38&lt;&gt;"pvp",Inputs!$B$43&gt;0),(((R1196-1)*(Skills!T15*(1+Inputs!$B$34/100))+MIN((Skills!T15*(1+Inputs!$B$34/100)),MAX(0,Inputs!$B$43-((R1196-1)*Skills!D15))))/Inputs!$B$43),IF(Inputs!$B$38="pvp",MIN((Skills!T15*(1+Inputs!$B$34/100)),15)/15,(Skills!T15*(1+Inputs!$B$34/100))/Skills!D15)))+0)/100)*I1192)</f>
        <v/>
      </c>
      <c r="L1192">
        <f>K1192*(MIN(Inputs!$B$22+((C1203=TRUE)*(F1203-Calc!F22)),Inputs!$B$23+((C1205=TRUE)*(F1205-Calc!F24)))/100+(Inputs!$B$23+((C1205=TRUE)*(F1205-Calc!F24)))/100)/2</f>
        <v/>
      </c>
      <c r="M1192">
        <f>L1192*(1+(Inputs!$B$10+0+B1215)/100)</f>
        <v/>
      </c>
      <c r="N1192">
        <f>L1192*(1-MIN((Inputs!$B$9+((C1207=TRUE)*(F1207-Calc!F26))+B1210),100)/100)+M1192*(MIN((Inputs!$B$9+((C1207=TRUE)*(F1207-Calc!F26))+B1210),100)/100)</f>
        <v/>
      </c>
      <c r="O1192">
        <f>(1-Summary!$B$55)*T1192+Summary!$B$55*V1192</f>
        <v/>
      </c>
      <c r="P1192">
        <f>IF(B1220=0,0,O1192/B1220)</f>
        <v/>
      </c>
      <c r="Q1192">
        <f>IFERROR(1/IF(Inputs!$B$38="pvp",15,MAX(0.1,Skills!D11-IF(Skills!E11=TRUE,1.0,0))),0)</f>
        <v/>
      </c>
      <c r="R1192">
        <f>IF(AND(Inputs!$B$38&lt;&gt;"pvp",Inputs!$B$43&gt;0),IF(MAX(0,Inputs!$B$43-B1217)&lt;=0,0,(INT(MAX(0,Inputs!$B$43-B1217)/IF(Inputs!$B$38="pvp",15,MAX(0.1,Skills!D11-IF(Skills!E11=TRUE,1.0,0))))+1)),0)</f>
        <v/>
      </c>
      <c r="S1192">
        <f>IFERROR(O1192/N1192,0)</f>
        <v/>
      </c>
      <c r="T1192">
        <f>IF(C1192,(H1192*N1192*IF(AND(Inputs!$B$38&lt;&gt;"pvp",Inputs!$B$43&gt;0),((Skills!G11*((R1192-1)*IF(Skills!H11&gt;0,Skills!I11/Skills!H11,1)+IF(Skills!H11&gt;0,MIN(Skills!I11,MAX(0,MAX(0,Inputs!$B$43-B1217)-((R1192-1)*IF(Inputs!$B$38="pvp",15,MAX(0.1,Skills!D11-IF(Skills!E11=TRUE,1.0,0))))))/Skills!H11,1)))/Inputs!$B$43),G1192*Q1192))*IF(Inputs!$B$38="pvp",1,1+(Inputs!$B$20+0+Skills!P11+Summary!$B$59)/100),0)</f>
        <v/>
      </c>
      <c r="V1192">
        <f>IF(C1192,(H1192*N1192*IF(AND(Inputs!$B$38&lt;&gt;"pvp",Inputs!$B$43&gt;0),((Skills!G11*((R1192-1)*IF(Skills!H11&gt;0,Skills!I11/Skills!H11,1)+IF(Skills!H11&gt;0,MIN(Skills!I11,MAX(0,MAX(0,Inputs!$B$43-B1217)-((R1192-1)*IF(Inputs!$B$38="pvp",15,MAX(0.1,Skills!D11-IF(Skills!E11=TRUE,1.0,0))))))/Skills!H11,1)))/Inputs!$B$43),G1192*Q1192))*IF(Inputs!$B$38="pvp",1,(1+(Inputs!$B$21+Skills!Q11+Summary!$B$59)/100)*(MIN(Skills!R11,Inputs!$B$37))),0)</f>
        <v/>
      </c>
    </row>
    <row r="1193">
      <c r="A1193">
        <f>Skills!A12</f>
        <v/>
      </c>
      <c r="B1193">
        <f>Skills!B12</f>
        <v/>
      </c>
      <c r="C1193">
        <f>Inputs!$B$3&gt;=100</f>
        <v/>
      </c>
      <c r="D1193">
        <f>IF(Skills!C12=1,60+Inputs!$B$25+Inputs!$B$29,IF(Skills!C12=2,90+Inputs!$B$26+Inputs!$B$29,IF(Skills!C12=3,120+Inputs!$B$27+Inputs!$B$29,MAX(0,(Inputs!$B$3-100)*3)+Inputs!$B$28+Inputs!$B$29)))</f>
        <v/>
      </c>
      <c r="E1193">
        <f>INDEX(FactorTable!$B$2:$Y$301, MATCH(ROUND(MIN(300,MAX(1,D1193)),0), FactorTable!$A$2:$A$301,0), Skills!M12+1)</f>
        <v/>
      </c>
      <c r="F1193">
        <f>IF(Skills!N12=TRUE,(Skills!L12/10)*(E1193/1000),Skills!L12/10)+Skills!O12</f>
        <v/>
      </c>
      <c r="G1193" t="inlineStr"/>
      <c r="H1193" t="inlineStr"/>
      <c r="I1193" t="inlineStr">
        <is>
          <t>1</t>
        </is>
      </c>
      <c r="J1193" t="inlineStr"/>
      <c r="K1193" t="inlineStr"/>
      <c r="L1193" t="inlineStr"/>
      <c r="M1193" t="inlineStr"/>
      <c r="N1193" t="inlineStr"/>
      <c r="O1193" t="inlineStr"/>
      <c r="P1193" t="inlineStr"/>
      <c r="Q1193" t="inlineStr"/>
      <c r="R1193" t="inlineStr"/>
      <c r="S1193" t="inlineStr"/>
    </row>
    <row r="1194">
      <c r="A1194">
        <f>Skills!A13</f>
        <v/>
      </c>
      <c r="B1194">
        <f>Skills!B13</f>
        <v/>
      </c>
      <c r="C1194">
        <f>Inputs!$B$3&gt;=45</f>
        <v/>
      </c>
      <c r="D1194">
        <f>IF(Skills!C13=1,60+Inputs!$B$25+Inputs!$B$29,IF(Skills!C13=2,90+Inputs!$B$26+Inputs!$B$29,IF(Skills!C13=3,120+Inputs!$B$27+Inputs!$B$29,MAX(0,(Inputs!$B$3-100)*3)+Inputs!$B$28+Inputs!$B$29)))</f>
        <v/>
      </c>
      <c r="E1194">
        <f>INDEX(FactorTable!$B$2:$Y$301, MATCH(ROUND(MIN(300,MAX(1,D1194)),0), FactorTable!$A$2:$A$301,0), Skills!M13+1)</f>
        <v/>
      </c>
      <c r="F1194">
        <f>IF(Skills!N13=TRUE,(Skills!L13/10)*(E1194/1000),Skills!L13/10)+Skills!O13</f>
        <v/>
      </c>
      <c r="G1194">
        <f>Skills!G13*IF(Skills!H13&gt;0,Skills!I13/Skills!H13,1)</f>
        <v/>
      </c>
      <c r="H1194">
        <f>1-(1-Skills!J13/100)^Skills!K13</f>
        <v/>
      </c>
      <c r="I1194" t="inlineStr">
        <is>
          <t>1</t>
        </is>
      </c>
      <c r="J1194" t="inlineStr"/>
      <c r="K1194" t="inlineStr"/>
      <c r="L1194" t="inlineStr"/>
      <c r="M1194" t="inlineStr"/>
      <c r="N1194" t="inlineStr"/>
      <c r="O1194">
        <f>(1-Summary!$B$55)*T1194+Summary!$B$55*V1194</f>
        <v/>
      </c>
      <c r="P1194">
        <f>IF(B1220=0,0,O1194/B1220)</f>
        <v/>
      </c>
      <c r="Q1194" t="n">
        <v>0</v>
      </c>
      <c r="R1194" t="n">
        <v>0</v>
      </c>
      <c r="S1194">
        <f>IFERROR(O1194/N1194,0)</f>
        <v/>
      </c>
      <c r="T1194" t="n">
        <v>0</v>
      </c>
      <c r="V1194" t="n">
        <v>0</v>
      </c>
    </row>
    <row r="1195">
      <c r="A1195">
        <f>Skills!A14</f>
        <v/>
      </c>
      <c r="B1195">
        <f>Skills!B14</f>
        <v/>
      </c>
      <c r="C1195">
        <f>Inputs!$B$3&gt;=75</f>
        <v/>
      </c>
      <c r="D1195">
        <f>IF(Skills!C14=1,60+Inputs!$B$25+Inputs!$B$29,IF(Skills!C14=2,90+Inputs!$B$26+Inputs!$B$29,IF(Skills!C14=3,120+Inputs!$B$27+Inputs!$B$29,MAX(0,(Inputs!$B$3-100)*3)+Inputs!$B$28+Inputs!$B$29)))</f>
        <v/>
      </c>
      <c r="E1195">
        <f>INDEX(FactorTable!$B$2:$Y$301, MATCH(ROUND(MIN(300,MAX(1,D1195)),0), FactorTable!$A$2:$A$301,0), Skills!M14+1)</f>
        <v/>
      </c>
      <c r="F1195">
        <f>IF(Skills!N14=TRUE,(Skills!L14/10)*(E1195/1000),Skills!L14/10)+Skills!O14</f>
        <v/>
      </c>
      <c r="G1195">
        <f>Skills!G14*IF(Skills!H14&gt;0,Skills!I14/Skills!H14,1)</f>
        <v/>
      </c>
      <c r="H1195">
        <f>1-(1-Skills!J14/100)^Skills!K14</f>
        <v/>
      </c>
      <c r="I1195" t="inlineStr">
        <is>
          <t>1</t>
        </is>
      </c>
      <c r="J1195" t="inlineStr"/>
      <c r="K1195" t="inlineStr"/>
      <c r="L1195" t="inlineStr"/>
      <c r="M1195" t="inlineStr"/>
      <c r="N1195" t="inlineStr"/>
      <c r="O1195">
        <f>(1-Summary!$B$55)*T1195+Summary!$B$55*V1195</f>
        <v/>
      </c>
      <c r="P1195">
        <f>IF(B1220=0,0,O1195/B1220)</f>
        <v/>
      </c>
      <c r="Q1195" t="n">
        <v>0</v>
      </c>
      <c r="R1195" t="n">
        <v>0</v>
      </c>
      <c r="S1195">
        <f>IFERROR(O1195/N1195,0)</f>
        <v/>
      </c>
      <c r="T1195" t="n">
        <v>0</v>
      </c>
      <c r="V1195" t="n">
        <v>0</v>
      </c>
    </row>
    <row r="1196">
      <c r="A1196">
        <f>Skills!A15</f>
        <v/>
      </c>
      <c r="B1196">
        <f>Skills!B15</f>
        <v/>
      </c>
      <c r="C1196">
        <f>Inputs!$B$3&gt;=40</f>
        <v/>
      </c>
      <c r="D1196">
        <f>IF(Skills!C15=1,60+Inputs!$B$25+Inputs!$B$29,IF(Skills!C15=2,90+Inputs!$B$26+Inputs!$B$29,IF(Skills!C15=3,120+Inputs!$B$27+Inputs!$B$29,MAX(0,(Inputs!$B$3-100)*3)+Inputs!$B$28+Inputs!$B$29)))</f>
        <v/>
      </c>
      <c r="E1196">
        <f>INDEX(FactorTable!$B$2:$Y$301, MATCH(ROUND(MIN(300,MAX(1,D1196)),0), FactorTable!$A$2:$A$301,0), Skills!M15+1)</f>
        <v/>
      </c>
      <c r="F1196">
        <f>IF(Skills!N15=TRUE,(Skills!L15/10)*(E1196/1000),Skills!L15/10)+Skills!O15</f>
        <v/>
      </c>
      <c r="G1196">
        <f>Skills!G15*IF(Skills!H15&gt;0,Skills!I15/Skills!H15,1)</f>
        <v/>
      </c>
      <c r="H1196">
        <f>1-(1-Skills!J15/100)^Skills!K15</f>
        <v/>
      </c>
      <c r="I1196" t="inlineStr">
        <is>
          <t>1</t>
        </is>
      </c>
      <c r="J1196" t="inlineStr"/>
      <c r="K1196" t="inlineStr"/>
      <c r="L1196" t="inlineStr"/>
      <c r="M1196" t="inlineStr"/>
      <c r="N1196" t="inlineStr"/>
      <c r="O1196">
        <f>(1-Summary!$B$55)*T1196+Summary!$B$55*V1196</f>
        <v/>
      </c>
      <c r="P1196">
        <f>IF(B1220=0,0,O1196/B1220)</f>
        <v/>
      </c>
      <c r="Q1196">
        <f>IFERROR(1/IF(Inputs!$B$38="pvp",15,MAX(0.1,Skills!D15-IF(Skills!E15=TRUE,1.0,0))),0)</f>
        <v/>
      </c>
      <c r="R1196">
        <f>IF(AND(Inputs!$B$38&lt;&gt;"pvp",Inputs!$B$43&gt;0),IF(Inputs!$B$43&lt;=0,0,(INT(Inputs!$B$43/IF(Inputs!$B$38="pvp",15,MAX(0.1,Skills!D15-IF(Skills!E15=TRUE,1.0,0))))+1)),0)</f>
        <v/>
      </c>
      <c r="S1196">
        <f>IFERROR(O1196/N1196,0)</f>
        <v/>
      </c>
      <c r="T1196" t="n">
        <v>0</v>
      </c>
      <c r="V1196" t="n">
        <v>0</v>
      </c>
    </row>
    <row r="1197">
      <c r="A1197">
        <f>Skills!A16</f>
        <v/>
      </c>
      <c r="B1197">
        <f>Skills!B16</f>
        <v/>
      </c>
      <c r="C1197">
        <f>Inputs!$B$3&gt;=66</f>
        <v/>
      </c>
      <c r="D1197">
        <f>IF(Skills!C16=1,60+Inputs!$B$25+Inputs!$B$29,IF(Skills!C16=2,90+Inputs!$B$26+Inputs!$B$29,IF(Skills!C16=3,120+Inputs!$B$27+Inputs!$B$29,MAX(0,(Inputs!$B$3-100)*3)+Inputs!$B$28+Inputs!$B$29)))</f>
        <v/>
      </c>
      <c r="E1197">
        <f>INDEX(FactorTable!$B$2:$Y$301, MATCH(ROUND(MIN(300,MAX(1,D1197)),0), FactorTable!$A$2:$A$301,0), Skills!M16+1)</f>
        <v/>
      </c>
      <c r="F1197">
        <f>IF(Skills!N16=TRUE,(Skills!L16/10)*(E1197/1000),Skills!L16/10)+Skills!O16</f>
        <v/>
      </c>
      <c r="G1197">
        <f>Skills!G16*IF(Skills!H16&gt;0,Skills!I16/Skills!H16,1)</f>
        <v/>
      </c>
      <c r="H1197">
        <f>1-(1-Skills!J16/100)^Skills!K16</f>
        <v/>
      </c>
      <c r="I1197" t="inlineStr">
        <is>
          <t>1</t>
        </is>
      </c>
      <c r="J1197" t="inlineStr"/>
      <c r="K1197" t="inlineStr"/>
      <c r="L1197" t="inlineStr"/>
      <c r="M1197" t="inlineStr"/>
      <c r="N1197" t="inlineStr"/>
      <c r="O1197">
        <f>(1-Summary!$B$55)*T1197+Summary!$B$55*V1197</f>
        <v/>
      </c>
      <c r="P1197">
        <f>IF(B1220=0,0,O1197/B1220)</f>
        <v/>
      </c>
      <c r="Q1197">
        <f>IFERROR(1/IF(Inputs!$B$38="pvp",15,MAX(0.1,Skills!D16-IF(Skills!E16=TRUE,1.0,0))),0)</f>
        <v/>
      </c>
      <c r="R1197">
        <f>IF(AND(Inputs!$B$38&lt;&gt;"pvp",Inputs!$B$43&gt;0),IF(Inputs!$B$43&lt;=0,0,(INT(Inputs!$B$43/IF(Inputs!$B$38="pvp",15,MAX(0.1,Skills!D16-IF(Skills!E16=TRUE,1.0,0))))+1)),0)</f>
        <v/>
      </c>
      <c r="S1197">
        <f>IFERROR(O1197/N1197,0)</f>
        <v/>
      </c>
      <c r="T1197" t="n">
        <v>0</v>
      </c>
      <c r="V1197" t="n">
        <v>0</v>
      </c>
    </row>
    <row r="1198">
      <c r="A1198">
        <f>Skills!A17</f>
        <v/>
      </c>
      <c r="B1198">
        <f>Skills!B17</f>
        <v/>
      </c>
      <c r="C1198">
        <f>Inputs!$B$3&gt;=115</f>
        <v/>
      </c>
      <c r="D1198">
        <f>IF(Skills!C17=1,60+Inputs!$B$25+Inputs!$B$29,IF(Skills!C17=2,90+Inputs!$B$26+Inputs!$B$29,IF(Skills!C17=3,120+Inputs!$B$27+Inputs!$B$29,MAX(0,(Inputs!$B$3-100)*3)+Inputs!$B$28+Inputs!$B$29)))</f>
        <v/>
      </c>
      <c r="E1198">
        <f>INDEX(FactorTable!$B$2:$Y$301, MATCH(ROUND(MIN(300,MAX(1,D1198)),0), FactorTable!$A$2:$A$301,0), Skills!M17+1)</f>
        <v/>
      </c>
      <c r="F1198">
        <f>IF(Skills!N17=TRUE,(Skills!L17/10)*(E1198/1000),Skills!L17/10)+Skills!O17</f>
        <v/>
      </c>
      <c r="G1198">
        <f>Skills!G17*IF(Skills!H17&gt;0,Skills!I17/Skills!H17,1)</f>
        <v/>
      </c>
      <c r="H1198">
        <f>1-(1-Skills!J17/100)^Skills!K17</f>
        <v/>
      </c>
      <c r="I1198" t="inlineStr">
        <is>
          <t>1</t>
        </is>
      </c>
      <c r="J1198" t="inlineStr"/>
      <c r="K1198" t="inlineStr"/>
      <c r="L1198" t="inlineStr"/>
      <c r="M1198" t="inlineStr"/>
      <c r="N1198" t="inlineStr"/>
      <c r="O1198">
        <f>(1-Summary!$B$55)*T1198+Summary!$B$55*V1198</f>
        <v/>
      </c>
      <c r="P1198">
        <f>IF(B1220=0,0,O1198/B1220)</f>
        <v/>
      </c>
      <c r="Q1198">
        <f>IFERROR(1/IF(Inputs!$B$38="pvp",15,MAX(0.1,Skills!D17-IF(Skills!E17=TRUE,1.0,0))),0)</f>
        <v/>
      </c>
      <c r="R1198">
        <f>IF(AND(Inputs!$B$38&lt;&gt;"pvp",Inputs!$B$43&gt;0),IF(Inputs!$B$43&lt;=0,0,(INT(Inputs!$B$43/IF(Inputs!$B$38="pvp",15,MAX(0.1,Skills!D17-IF(Skills!E17=TRUE,1.0,0))))+1)),0)</f>
        <v/>
      </c>
      <c r="S1198">
        <f>IFERROR(O1198/N1198,0)</f>
        <v/>
      </c>
      <c r="T1198" t="n">
        <v>0</v>
      </c>
      <c r="V1198" t="n">
        <v>0</v>
      </c>
    </row>
    <row r="1199">
      <c r="A1199">
        <f>Skills!A18</f>
        <v/>
      </c>
      <c r="B1199">
        <f>Skills!B18</f>
        <v/>
      </c>
      <c r="C1199">
        <f>Inputs!$B$3&gt;=115</f>
        <v/>
      </c>
      <c r="D1199">
        <f>IF(Skills!C18=1,60+Inputs!$B$25+Inputs!$B$29,IF(Skills!C18=2,90+Inputs!$B$26+Inputs!$B$29,IF(Skills!C18=3,120+Inputs!$B$27+Inputs!$B$29,MAX(0,(Inputs!$B$3-100)*3)+Inputs!$B$28+Inputs!$B$29)))</f>
        <v/>
      </c>
      <c r="E1199">
        <f>INDEX(FactorTable!$B$2:$Y$301, MATCH(ROUND(MIN(300,MAX(1,D1199)),0), FactorTable!$A$2:$A$301,0), Skills!M18+1)</f>
        <v/>
      </c>
      <c r="F1199">
        <f>IF(Skills!N18=TRUE,(Skills!L18/10)*(E1199/1000),Skills!L18/10)+Skills!O18</f>
        <v/>
      </c>
      <c r="G1199">
        <f>Skills!G18*IF(Skills!H18&gt;0,Skills!I18/Skills!H18,1)</f>
        <v/>
      </c>
      <c r="H1199">
        <f>1-(1-Skills!J18/100)^Skills!K18</f>
        <v/>
      </c>
      <c r="I1199" t="inlineStr">
        <is>
          <t>1</t>
        </is>
      </c>
      <c r="J1199" t="inlineStr"/>
      <c r="K1199" t="inlineStr"/>
      <c r="L1199" t="inlineStr"/>
      <c r="M1199" t="inlineStr"/>
      <c r="N1199" t="inlineStr"/>
      <c r="O1199">
        <f>(1-Summary!$B$55)*T1199+Summary!$B$55*V1199</f>
        <v/>
      </c>
      <c r="P1199">
        <f>IF(B1220=0,0,O1199/B1220)</f>
        <v/>
      </c>
      <c r="Q1199">
        <f>IFERROR(1/IF(Inputs!$B$38="pvp",15,MAX(0.1,Skills!D18-IF(Skills!E18=TRUE,1.0,0))),0)</f>
        <v/>
      </c>
      <c r="R1199">
        <f>IF(AND(Inputs!$B$38&lt;&gt;"pvp",Inputs!$B$43&gt;0),IF(Inputs!$B$43&lt;=0,0,(INT(Inputs!$B$43/IF(Inputs!$B$38="pvp",15,MAX(0.1,Skills!D18-IF(Skills!E18=TRUE,1.0,0))))+1)),0)</f>
        <v/>
      </c>
      <c r="S1199">
        <f>IFERROR(O1199/N1199,0)</f>
        <v/>
      </c>
      <c r="T1199" t="n">
        <v>0</v>
      </c>
      <c r="V1199" t="n">
        <v>0</v>
      </c>
    </row>
    <row r="1200">
      <c r="A1200">
        <f>Skills!A19</f>
        <v/>
      </c>
      <c r="B1200">
        <f>Skills!B19</f>
        <v/>
      </c>
      <c r="C1200">
        <f>TRUE</f>
        <v/>
      </c>
      <c r="D1200">
        <f>IF(Skills!C19=1,60+Inputs!$B$25+Inputs!$B$29,IF(Skills!C19=2,90+Inputs!$B$26+Inputs!$B$29,IF(Skills!C19=3,120+Inputs!$B$27+Inputs!$B$29,MAX(0,(Inputs!$B$3-100)*3)+Inputs!$B$28+Inputs!$B$29)))</f>
        <v/>
      </c>
      <c r="E1200">
        <f>INDEX(FactorTable!$B$2:$Y$301, MATCH(ROUND(MIN(300,MAX(1,D1200)),0), FactorTable!$A$2:$A$301,0), Skills!M19+1)</f>
        <v/>
      </c>
      <c r="F1200">
        <f>IF(Skills!N19=TRUE,(Skills!L19/10)*(E1200/1000),Skills!L19/10)+Skills!O19</f>
        <v/>
      </c>
      <c r="G1200">
        <f>Skills!G19*IF(Skills!H19&gt;0,Skills!I19/Skills!H19,1)</f>
        <v/>
      </c>
      <c r="H1200">
        <f>1-(1-Skills!J19/100)^Skills!K19</f>
        <v/>
      </c>
      <c r="I1200" t="inlineStr">
        <is>
          <t>1</t>
        </is>
      </c>
      <c r="J1200" t="inlineStr"/>
      <c r="K1200" t="inlineStr"/>
      <c r="L1200" t="inlineStr"/>
      <c r="M1200" t="inlineStr"/>
      <c r="N1200" t="inlineStr"/>
      <c r="O1200">
        <f>(1-Summary!$B$55)*T1200+Summary!$B$55*V1200</f>
        <v/>
      </c>
      <c r="P1200">
        <f>IF(B1220=0,0,O1200/B1220)</f>
        <v/>
      </c>
      <c r="Q1200">
        <f>IFERROR(1/IF(Inputs!$B$38="pvp",15,MAX(0.1,Skills!D19-IF(Skills!E19=TRUE,1.0,0))),0)</f>
        <v/>
      </c>
      <c r="R1200">
        <f>IF(AND(Inputs!$B$38&lt;&gt;"pvp",Inputs!$B$43&gt;0),IF(Inputs!$B$43&lt;=0,0,(INT(Inputs!$B$43/IF(Inputs!$B$38="pvp",15,MAX(0.1,Skills!D19-IF(Skills!E19=TRUE,1.0,0))))+1)),0)</f>
        <v/>
      </c>
      <c r="S1200">
        <f>IFERROR(O1200/N1200,0)</f>
        <v/>
      </c>
      <c r="T1200" t="n">
        <v>0</v>
      </c>
      <c r="V1200" t="n">
        <v>0</v>
      </c>
    </row>
    <row r="1201">
      <c r="A1201">
        <f>Skills!A20</f>
        <v/>
      </c>
      <c r="B1201">
        <f>Skills!B20</f>
        <v/>
      </c>
      <c r="C1201">
        <f>Inputs!$B$3&gt;=33</f>
        <v/>
      </c>
      <c r="D1201">
        <f>IF(Skills!C20=1,60+Inputs!$B$25+Inputs!$B$29,IF(Skills!C20=2,90+Inputs!$B$26+Inputs!$B$29,IF(Skills!C20=3,120+Inputs!$B$27+Inputs!$B$29,MAX(0,(Inputs!$B$3-100)*3)+Inputs!$B$28+Inputs!$B$29)))</f>
        <v/>
      </c>
      <c r="E1201">
        <f>INDEX(FactorTable!$B$2:$Y$301, MATCH(ROUND(MIN(300,MAX(1,D1201)),0), FactorTable!$A$2:$A$301,0), Skills!M20+1)</f>
        <v/>
      </c>
      <c r="F1201">
        <f>IF(Skills!N20=TRUE,(Skills!L20/10)*(E1201/1000),Skills!L20/10)+Skills!O20</f>
        <v/>
      </c>
      <c r="G1201">
        <f>Skills!G20*IF(Skills!H20&gt;0,Skills!I20/Skills!H20,1)</f>
        <v/>
      </c>
      <c r="H1201">
        <f>1-(1-Skills!J20/100)^Skills!K20</f>
        <v/>
      </c>
      <c r="I1201" t="inlineStr">
        <is>
          <t>1</t>
        </is>
      </c>
      <c r="J1201" t="inlineStr"/>
      <c r="K1201" t="inlineStr"/>
      <c r="L1201" t="inlineStr"/>
      <c r="M1201" t="inlineStr"/>
      <c r="N1201" t="inlineStr"/>
      <c r="O1201">
        <f>(1-Summary!$B$55)*T1201+Summary!$B$55*V1201</f>
        <v/>
      </c>
      <c r="P1201">
        <f>IF(B1220=0,0,O1201/B1220)</f>
        <v/>
      </c>
      <c r="Q1201" t="n">
        <v>0</v>
      </c>
      <c r="R1201" t="n">
        <v>0</v>
      </c>
      <c r="S1201">
        <f>IFERROR(O1201/N1201,0)</f>
        <v/>
      </c>
      <c r="T1201" t="n">
        <v>0</v>
      </c>
      <c r="V1201" t="n">
        <v>0</v>
      </c>
    </row>
    <row r="1202">
      <c r="A1202">
        <f>Skills!A21</f>
        <v/>
      </c>
      <c r="B1202">
        <f>Skills!B21</f>
        <v/>
      </c>
      <c r="C1202">
        <f>Inputs!$B$3&gt;=38</f>
        <v/>
      </c>
      <c r="D1202">
        <f>IF(Skills!C21=1,60+Inputs!$B$25+Inputs!$B$29,IF(Skills!C21=2,90+Inputs!$B$26+Inputs!$B$29,IF(Skills!C21=3,120+Inputs!$B$27+Inputs!$B$29,MAX(0,(Inputs!$B$3-100)*3)+Inputs!$B$28+Inputs!$B$29)))</f>
        <v/>
      </c>
      <c r="E1202">
        <f>INDEX(FactorTable!$B$2:$Y$301, MATCH(ROUND(MIN(300,MAX(1,D1202)),0), FactorTable!$A$2:$A$301,0), Skills!M21+1)</f>
        <v/>
      </c>
      <c r="F1202">
        <f>IF(Skills!N21=TRUE,(Skills!L21/10)*(E1202/1000),Skills!L21/10)+Skills!O21</f>
        <v/>
      </c>
      <c r="G1202">
        <f>Skills!G21*IF(Skills!H21&gt;0,Skills!I21/Skills!H21,1)</f>
        <v/>
      </c>
      <c r="H1202">
        <f>1-(1-Skills!J21/100)^Skills!K21</f>
        <v/>
      </c>
      <c r="I1202" t="inlineStr">
        <is>
          <t>1</t>
        </is>
      </c>
      <c r="J1202" t="inlineStr"/>
      <c r="K1202" t="inlineStr"/>
      <c r="L1202" t="inlineStr"/>
      <c r="M1202" t="inlineStr"/>
      <c r="N1202" t="inlineStr"/>
      <c r="O1202">
        <f>(1-Summary!$B$55)*T1202+Summary!$B$55*V1202</f>
        <v/>
      </c>
      <c r="P1202">
        <f>IF(B1220=0,0,O1202/B1220)</f>
        <v/>
      </c>
      <c r="Q1202" t="n">
        <v>0</v>
      </c>
      <c r="R1202" t="n">
        <v>0</v>
      </c>
      <c r="S1202">
        <f>IFERROR(O1202/N1202,0)</f>
        <v/>
      </c>
      <c r="T1202" t="n">
        <v>0</v>
      </c>
      <c r="V1202" t="n">
        <v>0</v>
      </c>
    </row>
    <row r="1203">
      <c r="A1203">
        <f>Skills!A22</f>
        <v/>
      </c>
      <c r="B1203">
        <f>Skills!B22</f>
        <v/>
      </c>
      <c r="C1203">
        <f>Inputs!$B$3&gt;=43</f>
        <v/>
      </c>
      <c r="D1203">
        <f>IF(Skills!C22=1,60+Inputs!$B$25+Inputs!$B$29,IF(Skills!C22=2,90+Inputs!$B$26+Inputs!$B$29,IF(Skills!C22=3,120+Inputs!$B$27+Inputs!$B$29,MAX(0,(Inputs!$B$3-100)*3)+Inputs!$B$28+Inputs!$B$29)))</f>
        <v/>
      </c>
      <c r="E1203">
        <f>INDEX(FactorTable!$B$2:$Y$301, MATCH(ROUND(MIN(300,MAX(1,D1203)),0), FactorTable!$A$2:$A$301,0), Skills!M22+1)</f>
        <v/>
      </c>
      <c r="F1203">
        <f>IF(Skills!N22=TRUE,(Skills!L22/10)*(E1203/1000),Skills!L22/10)+Skills!O22</f>
        <v/>
      </c>
      <c r="G1203">
        <f>Skills!G22*IF(Skills!H22&gt;0,Skills!I22/Skills!H22,1)</f>
        <v/>
      </c>
      <c r="H1203">
        <f>1-(1-Skills!J22/100)^Skills!K22</f>
        <v/>
      </c>
      <c r="I1203" t="inlineStr">
        <is>
          <t>1</t>
        </is>
      </c>
      <c r="J1203" t="inlineStr"/>
      <c r="K1203" t="inlineStr"/>
      <c r="L1203" t="inlineStr"/>
      <c r="M1203" t="inlineStr"/>
      <c r="N1203" t="inlineStr"/>
      <c r="O1203">
        <f>(1-Summary!$B$55)*T1203+Summary!$B$55*V1203</f>
        <v/>
      </c>
      <c r="P1203">
        <f>IF(B1220=0,0,O1203/B1220)</f>
        <v/>
      </c>
      <c r="Q1203" t="n">
        <v>0</v>
      </c>
      <c r="R1203" t="n">
        <v>0</v>
      </c>
      <c r="S1203">
        <f>IFERROR(O1203/N1203,0)</f>
        <v/>
      </c>
      <c r="T1203" t="n">
        <v>0</v>
      </c>
      <c r="V1203" t="n">
        <v>0</v>
      </c>
    </row>
    <row r="1204">
      <c r="A1204">
        <f>Skills!A23</f>
        <v/>
      </c>
      <c r="B1204">
        <f>Skills!B23</f>
        <v/>
      </c>
      <c r="C1204">
        <f>Inputs!$B$3&gt;=120</f>
        <v/>
      </c>
      <c r="D1204">
        <f>IF(Skills!C23=1,60+Inputs!$B$25+Inputs!$B$29,IF(Skills!C23=2,90+Inputs!$B$26+Inputs!$B$29,IF(Skills!C23=3,120+Inputs!$B$27+Inputs!$B$29,MAX(0,(Inputs!$B$3-100)*3)+Inputs!$B$28+Inputs!$B$29)))</f>
        <v/>
      </c>
      <c r="E1204">
        <f>INDEX(FactorTable!$B$2:$Y$301, MATCH(ROUND(MIN(300,MAX(1,D1204)),0), FactorTable!$A$2:$A$301,0), Skills!M23+1)</f>
        <v/>
      </c>
      <c r="F1204">
        <f>IF(Skills!N23=TRUE,(Skills!L23/10)*(E1204/1000),Skills!L23/10)+Skills!O23</f>
        <v/>
      </c>
      <c r="G1204">
        <f>Skills!G23*IF(Skills!H23&gt;0,Skills!I23/Skills!H23,1)</f>
        <v/>
      </c>
      <c r="H1204">
        <f>1-(1-Skills!J23/100)^Skills!K23</f>
        <v/>
      </c>
      <c r="I1204" t="inlineStr">
        <is>
          <t>1</t>
        </is>
      </c>
      <c r="J1204" t="inlineStr"/>
      <c r="K1204" t="inlineStr"/>
      <c r="L1204" t="inlineStr"/>
      <c r="M1204" t="inlineStr"/>
      <c r="N1204" t="inlineStr"/>
      <c r="O1204">
        <f>(1-Summary!$B$55)*T1204+Summary!$B$55*V1204</f>
        <v/>
      </c>
      <c r="P1204">
        <f>IF(B1220=0,0,O1204/B1220)</f>
        <v/>
      </c>
      <c r="Q1204" t="n">
        <v>0</v>
      </c>
      <c r="R1204" t="n">
        <v>0</v>
      </c>
      <c r="S1204">
        <f>IFERROR(O1204/N1204,0)</f>
        <v/>
      </c>
      <c r="T1204" t="n">
        <v>0</v>
      </c>
      <c r="V1204" t="n">
        <v>0</v>
      </c>
    </row>
    <row r="1205">
      <c r="A1205">
        <f>Skills!A24</f>
        <v/>
      </c>
      <c r="B1205">
        <f>Skills!B24</f>
        <v/>
      </c>
      <c r="C1205">
        <f>Inputs!$B$3&gt;=120</f>
        <v/>
      </c>
      <c r="D1205">
        <f>IF(Skills!C24=1,60+Inputs!$B$25+Inputs!$B$29,IF(Skills!C24=2,90+Inputs!$B$26+Inputs!$B$29,IF(Skills!C24=3,120+Inputs!$B$27+Inputs!$B$29,MAX(0,(Inputs!$B$3-100)*3)+Inputs!$B$28+Inputs!$B$29)))</f>
        <v/>
      </c>
      <c r="E1205">
        <f>INDEX(FactorTable!$B$2:$Y$301, MATCH(ROUND(MIN(300,MAX(1,D1205)),0), FactorTable!$A$2:$A$301,0), Skills!M24+1)</f>
        <v/>
      </c>
      <c r="F1205">
        <f>IF(Skills!N24=TRUE,(Skills!L24/10)*(E1205/1000),Skills!L24/10)+Skills!O24</f>
        <v/>
      </c>
      <c r="G1205">
        <f>Skills!G24*IF(Skills!H24&gt;0,Skills!I24/Skills!H24,1)</f>
        <v/>
      </c>
      <c r="H1205">
        <f>1-(1-Skills!J24/100)^Skills!K24</f>
        <v/>
      </c>
      <c r="I1205" t="inlineStr">
        <is>
          <t>1</t>
        </is>
      </c>
      <c r="J1205" t="inlineStr"/>
      <c r="K1205" t="inlineStr"/>
      <c r="L1205" t="inlineStr"/>
      <c r="M1205" t="inlineStr"/>
      <c r="N1205" t="inlineStr"/>
      <c r="O1205">
        <f>(1-Summary!$B$55)*T1205+Summary!$B$55*V1205</f>
        <v/>
      </c>
      <c r="P1205">
        <f>IF(B1220=0,0,O1205/B1220)</f>
        <v/>
      </c>
      <c r="Q1205" t="n">
        <v>0</v>
      </c>
      <c r="R1205" t="n">
        <v>0</v>
      </c>
      <c r="S1205">
        <f>IFERROR(O1205/N1205,0)</f>
        <v/>
      </c>
      <c r="T1205" t="n">
        <v>0</v>
      </c>
      <c r="V1205" t="n">
        <v>0</v>
      </c>
    </row>
    <row r="1206">
      <c r="A1206">
        <f>Skills!A25</f>
        <v/>
      </c>
      <c r="B1206">
        <f>Skills!B25</f>
        <v/>
      </c>
      <c r="C1206">
        <f>Inputs!$B$3&gt;=125</f>
        <v/>
      </c>
      <c r="D1206">
        <f>IF(Skills!C25=1,60+Inputs!$B$25+Inputs!$B$29,IF(Skills!C25=2,90+Inputs!$B$26+Inputs!$B$29,IF(Skills!C25=3,120+Inputs!$B$27+Inputs!$B$29,MAX(0,(Inputs!$B$3-100)*3)+Inputs!$B$28+Inputs!$B$29)))</f>
        <v/>
      </c>
      <c r="E1206">
        <f>INDEX(FactorTable!$B$2:$Y$301, MATCH(ROUND(MIN(300,MAX(1,D1206)),0), FactorTable!$A$2:$A$301,0), Skills!M25+1)</f>
        <v/>
      </c>
      <c r="F1206">
        <f>IF(Skills!N25=TRUE,(Skills!L25/10)*(E1206/1000),Skills!L25/10)+Skills!O25</f>
        <v/>
      </c>
      <c r="G1206">
        <f>Skills!G25*IF(Skills!H25&gt;0,Skills!I25/Skills!H25,1)</f>
        <v/>
      </c>
      <c r="H1206">
        <f>1-(1-Skills!J25/100)^Skills!K25</f>
        <v/>
      </c>
      <c r="I1206" t="inlineStr">
        <is>
          <t>1</t>
        </is>
      </c>
      <c r="J1206" t="inlineStr"/>
      <c r="K1206" t="inlineStr"/>
      <c r="L1206" t="inlineStr"/>
      <c r="M1206" t="inlineStr"/>
      <c r="N1206" t="inlineStr"/>
      <c r="O1206">
        <f>(1-Summary!$B$55)*T1206+Summary!$B$55*V1206</f>
        <v/>
      </c>
      <c r="P1206">
        <f>IF(B1220=0,0,O1206/B1220)</f>
        <v/>
      </c>
      <c r="Q1206" t="n">
        <v>0</v>
      </c>
      <c r="R1206" t="n">
        <v>0</v>
      </c>
      <c r="S1206">
        <f>IFERROR(O1206/N1206,0)</f>
        <v/>
      </c>
      <c r="T1206" t="n">
        <v>0</v>
      </c>
      <c r="V1206" t="n">
        <v>0</v>
      </c>
    </row>
    <row r="1207">
      <c r="A1207">
        <f>Skills!A26</f>
        <v/>
      </c>
      <c r="B1207">
        <f>Skills!B26</f>
        <v/>
      </c>
      <c r="C1207">
        <f>Inputs!$B$3&gt;=72</f>
        <v/>
      </c>
      <c r="D1207">
        <f>IF(Skills!C26=1,60+Inputs!$B$25+Inputs!$B$29,IF(Skills!C26=2,90+Inputs!$B$26+Inputs!$B$29,IF(Skills!C26=3,120+Inputs!$B$27+Inputs!$B$29,MAX(0,(Inputs!$B$3-100)*3)+Inputs!$B$28+Inputs!$B$29)))</f>
        <v/>
      </c>
      <c r="E1207">
        <f>INDEX(FactorTable!$B$2:$Y$301, MATCH(ROUND(MIN(300,MAX(1,D1207)),0), FactorTable!$A$2:$A$301,0), Skills!M26+1)</f>
        <v/>
      </c>
      <c r="F1207">
        <f>IF(Skills!N26=TRUE,(Skills!L26/10)*(E1207/1000),Skills!L26/10)+Skills!O26</f>
        <v/>
      </c>
      <c r="G1207">
        <f>Skills!G26*IF(Skills!H26&gt;0,Skills!I26/Skills!H26,1)</f>
        <v/>
      </c>
      <c r="H1207">
        <f>1-(1-Skills!J26/100)^Skills!K26</f>
        <v/>
      </c>
      <c r="I1207" t="inlineStr">
        <is>
          <t>1</t>
        </is>
      </c>
      <c r="J1207" t="inlineStr"/>
      <c r="K1207" t="inlineStr"/>
      <c r="L1207" t="inlineStr"/>
      <c r="M1207" t="inlineStr"/>
      <c r="N1207" t="inlineStr"/>
      <c r="O1207">
        <f>(1-Summary!$B$55)*T1207+Summary!$B$55*V1207</f>
        <v/>
      </c>
      <c r="P1207">
        <f>IF(B1220=0,0,O1207/B1220)</f>
        <v/>
      </c>
      <c r="Q1207" t="n">
        <v>0</v>
      </c>
      <c r="R1207" t="n">
        <v>0</v>
      </c>
      <c r="S1207">
        <f>IFERROR(O1207/N1207,0)</f>
        <v/>
      </c>
      <c r="T1207" t="n">
        <v>0</v>
      </c>
      <c r="V1207" t="n">
        <v>0</v>
      </c>
    </row>
    <row r="1209">
      <c r="A1209" t="inlineStr">
        <is>
          <t>Attack% Bucket Multiplier</t>
        </is>
      </c>
      <c r="B1209">
        <f>(1+(((C1194=TRUE)*F1194*IF(Inputs!$B$3&gt;=110,7,5))+((C1196=TRUE)*F1196*IF(AND(Inputs!$B$38&lt;&gt;"pvp",Inputs!$B$43&gt;0),(((R1196-1)*(Skills!T15*(1+Inputs!$B$34/100))+MIN((Skills!T15*(1+Inputs!$B$34/100)),MAX(0,Inputs!$B$43-((R1196-1)*Skills!D15))))/Inputs!$B$43),IF(Inputs!$B$38="pvp",MIN((Skills!T15*(1+Inputs!$B$34/100)),15)/15,(Skills!T15*(1+Inputs!$B$34/100))/Skills!D15)))+0)/100)</f>
        <v/>
      </c>
    </row>
    <row r="1210">
      <c r="A1210" t="inlineStr">
        <is>
          <t>Global Crit Rate Bonus %</t>
        </is>
      </c>
      <c r="B1210" t="n">
        <v>0</v>
      </c>
    </row>
    <row r="1211">
      <c r="A1211" t="inlineStr">
        <is>
          <t>Attack Speed Buff Bonus %</t>
        </is>
      </c>
      <c r="B1211">
        <f>((C1200=TRUE)*F1200*IF(AND(Inputs!$B$38&lt;&gt;"pvp",Inputs!$B$43&gt;0),(((R1200-1)*(Skills!T19*(1+Inputs!$B$34/100))+MIN((Skills!T19*(1+Inputs!$B$34/100)),MAX(0,Inputs!$B$43-((R1200-1)*Skills!D19))))/Inputs!$B$43),IF(Inputs!$B$38="pvp",MIN((Skills!T19*(1+Inputs!$B$34/100)),15)/15,(Skills!T19*(1+Inputs!$B$34/100))/Skills!D19)))</f>
        <v/>
      </c>
    </row>
    <row r="1212">
      <c r="A1212" t="inlineStr">
        <is>
          <t>Actions Per Second</t>
        </is>
      </c>
      <c r="B1212">
        <f>1+MIN(150,150*(1-(1-(Inputs!$B$11+((C1201=TRUE)*(F1201-Calc!F20)))/150)*(1-B1211/150)))/100</f>
        <v/>
      </c>
    </row>
    <row r="1213">
      <c r="A1213" t="inlineStr">
        <is>
          <t>Skill + Buff Cast Rate</t>
        </is>
      </c>
      <c r="B1213">
        <f>IF(AND(Inputs!$B$38&lt;&gt;"pvp",Inputs!$B$43&gt;0),SUMPRODUCT((Skills!E2:E26=TRUE)*(C1183:C1207=TRUE)*R1183:R1207*Skills!F2:F26)/Inputs!$B$43,SUMPRODUCT((Skills!E2:E26=TRUE)*(C1183:C1207=TRUE)*Q1183:Q1207*Skills!F2:F26))</f>
        <v/>
      </c>
    </row>
    <row r="1214">
      <c r="A1214" t="inlineStr">
        <is>
          <t>Raging Blow Casts Per Second</t>
        </is>
      </c>
      <c r="B1214">
        <f>MAX(0,B1212-B1213)</f>
        <v/>
      </c>
    </row>
    <row r="1215">
      <c r="A1215" t="inlineStr">
        <is>
          <t>Global Critical Damage Bonus % (Enrage)</t>
        </is>
      </c>
      <c r="B1215">
        <f>((C1199=TRUE)*F1199*IF(AND(Inputs!$B$38&lt;&gt;"pvp",Inputs!$B$43&gt;0),(((R1199-1)*(Skills!T18*(1+Inputs!$B$34/100))+MIN((Skills!T18*(1+Inputs!$B$34/100)),MAX(0,Inputs!$B$43-((R1199-1)*Skills!D18))))/Inputs!$B$43),IF(Inputs!$B$38="pvp",MIN((Skills!T18*(1+Inputs!$B$34/100)),15)/15,(Skills!T18*(1+Inputs!$B$34/100))/Skills!D18)))</f>
        <v/>
      </c>
    </row>
    <row r="1216">
      <c r="A1216" t="inlineStr">
        <is>
          <t>Global Final Damage Bonus % (Enrage + Combo Synergy)</t>
        </is>
      </c>
      <c r="B1216">
        <f>((C1198=TRUE)*F1198*IF(AND(Inputs!$B$38&lt;&gt;"pvp",Inputs!$B$43&gt;0),(((R1198-1)*(Skills!T17*(1+Inputs!$B$34/100))+MIN((Skills!T17*(1+Inputs!$B$34/100)),MAX(0,Inputs!$B$43-((R1198-1)*Skills!D17))))/Inputs!$B$43),IF(Inputs!$B$38="pvp",MIN((Skills!T17*(1+Inputs!$B$34/100)),15)/15,(Skills!T17*(1+Inputs!$B$34/100))/Skills!D17)))+((C1195=TRUE)*F1195*IF(Inputs!$B$3&gt;=110,7,5))</f>
        <v/>
      </c>
    </row>
    <row r="1217">
      <c r="A1217" t="inlineStr">
        <is>
          <t>Buff-Casting Startup Delay (s, fixed-duration only)</t>
        </is>
      </c>
      <c r="B1217">
        <f>IF(AND(Inputs!$B$38&lt;&gt;"pvp",Inputs!$B$43&gt;0),SUMPRODUCT((Skills!T2:T26&gt;0)*(Skills!E2:E26=TRUE)*(C1183:C1207=TRUE))/B1212,0)</f>
        <v/>
      </c>
    </row>
    <row r="1218">
      <c r="A1218" t="inlineStr">
        <is>
          <t>Boss-Only Total DPS (this block's swept value)</t>
        </is>
      </c>
      <c r="B1218">
        <f>SUM(T1183:T1207)</f>
        <v/>
      </c>
    </row>
    <row r="1219">
      <c r="A1219" t="inlineStr">
        <is>
          <t>Normal-Only Total DPS (this block's swept value)</t>
        </is>
      </c>
      <c r="B1219">
        <f>SUM(V1183:V1207)</f>
        <v/>
      </c>
    </row>
    <row r="1220">
      <c r="A1220" s="5" t="inlineStr">
        <is>
          <t>TOTAL DPS</t>
        </is>
      </c>
      <c r="B1220" s="5">
        <f>SUM(O1183:O1207)</f>
        <v/>
      </c>
    </row>
    <row r="1223">
      <c r="A1223" s="5" t="inlineStr">
        <is>
          <t>Stat: CDR = 1.5s</t>
        </is>
      </c>
    </row>
    <row r="1224">
      <c r="A1224" s="9" t="inlineStr">
        <is>
          <t>Key</t>
        </is>
      </c>
      <c r="B1224" s="9" t="inlineStr">
        <is>
          <t>Name</t>
        </is>
      </c>
      <c r="C1224" s="9" t="inlineStr">
        <is>
          <t>Unlocked</t>
        </is>
      </c>
      <c r="D1224" s="9" t="inlineStr">
        <is>
          <t>InputLevel</t>
        </is>
      </c>
      <c r="E1224" s="9" t="inlineStr">
        <is>
          <t>Factor</t>
        </is>
      </c>
      <c r="F1224" s="9" t="inlineStr">
        <is>
          <t>CoefficientPercent</t>
        </is>
      </c>
      <c r="G1224" s="9" t="inlineStr">
        <is>
          <t>EffectiveHits</t>
        </is>
      </c>
      <c r="H1224" s="9" t="inlineStr">
        <is>
          <t>ProcProbability</t>
        </is>
      </c>
      <c r="I1224" s="9" t="inlineStr">
        <is>
          <t>MapleHeroMultiplier</t>
        </is>
      </c>
      <c r="J1224" s="9" t="inlineStr">
        <is>
          <t>BaseDamage</t>
        </is>
      </c>
      <c r="K1224" s="9" t="inlineStr">
        <is>
          <t>BaseHitDamage</t>
        </is>
      </c>
      <c r="L1224" s="9" t="inlineStr">
        <is>
          <t>NonCritAvg</t>
        </is>
      </c>
      <c r="M1224" s="9" t="inlineStr">
        <is>
          <t>CritAvg</t>
        </is>
      </c>
      <c r="N1224" s="9" t="inlineStr">
        <is>
          <t>ExpectedDamage(perHit)</t>
        </is>
      </c>
      <c r="O1224" s="9" t="inlineStr">
        <is>
          <t>DPS</t>
        </is>
      </c>
      <c r="P1224" s="9" t="inlineStr">
        <is>
          <t>% of Total</t>
        </is>
      </c>
      <c r="Q1224" s="9" t="inlineStr">
        <is>
          <t>InvCooldown</t>
        </is>
      </c>
      <c r="R1224" s="9" t="inlineStr">
        <is>
          <t>CastsInFight</t>
        </is>
      </c>
      <c r="S1224" s="9" t="inlineStr">
        <is>
          <t>HitRate(perSec)</t>
        </is>
      </c>
      <c r="U1224" t="inlineStr">
        <is>
          <t>helpers</t>
        </is>
      </c>
    </row>
    <row r="1225">
      <c r="A1225">
        <f>Skills!A2</f>
        <v/>
      </c>
      <c r="B1225">
        <f>Skills!B2</f>
        <v/>
      </c>
      <c r="C1225">
        <f>Inputs!$B$3&gt;=100</f>
        <v/>
      </c>
      <c r="D1225" t="inlineStr"/>
      <c r="E1225" t="inlineStr"/>
      <c r="F1225">
        <f>U1227+Skills!O2</f>
        <v/>
      </c>
      <c r="G1225">
        <f>Skills!G2*IF(Skills!H2&gt;0,Skills!I2/Skills!H2,1)</f>
        <v/>
      </c>
      <c r="H1225">
        <f>1-(1-Skills!J2/100)^Skills!K2</f>
        <v/>
      </c>
      <c r="I1225" t="inlineStr">
        <is>
          <t>1</t>
        </is>
      </c>
      <c r="J1225">
        <f>((Inputs!$B$6*(1+Inputs!$B$7/100))+(((Inputs!$B$12*(1+Inputs!$B$13/100))-(Inputs!$B$12*(1+Inputs!$B$13/100)))+0.25*(Inputs!$B$14-Inputs!$B$14))*(1+Inputs!$B$7/100))*(F1225/100)</f>
        <v/>
      </c>
      <c r="K1225">
        <f>J1225*(1+((Inputs!$B$12*(1+Inputs!$B$13/100))*0.01+Inputs!$B$14*0.0025)/100)*(1+Inputs!$B$15/100)*(1+Inputs!$B$16/100)*(5000/(6000+Inputs!$B$42*(1-(Inputs!$B$19+0)/100)))*(1+(Inputs!$B$24+((C1248=TRUE)*(F1248-Calc!F25))+B1258)/100)*(1+IF(Skills!A2="ENHANCED_RAGING_BLOW",IF(Inputs!$B$3&gt;=134,MAX(0,IF(Inputs!$B$3&gt;=110,7,5)-5)*50,0),0)/100)*(1+(IF(Skills!A2="RAGING_BLOW",Inputs!$B$17+((C1244=TRUE)*(F1244-Calc!F21)),Inputs!$B$18+((C1246=TRUE)*(F1246-Calc!F23))))/100)*((1+(((C1236=TRUE)*F1236*IF(Inputs!$B$3&gt;=110,7,5))+((C1238=TRUE)*F1238*IF(AND(Inputs!$B$38&lt;&gt;"pvp",Inputs!$B$43&gt;0),(((R1238-1)*(Skills!T15*(1+Inputs!$B$34/100))+MIN((Skills!T15*(1+Inputs!$B$34/100)),MAX(0,Inputs!$B$43-((R1238-1)*Skills!D15))))/Inputs!$B$43),IF(Inputs!$B$38="pvp",MIN((Skills!T15*(1+Inputs!$B$34/100)),15)/15,(Skills!T15*(1+Inputs!$B$34/100))/Skills!D15)))+0)/100)*I1225)</f>
        <v/>
      </c>
      <c r="L1225">
        <f>K1225*(MIN(Inputs!$B$22+((C1245=TRUE)*(F1245-Calc!F22)),Inputs!$B$23+((C1247=TRUE)*(F1247-Calc!F24)))/100+(Inputs!$B$23+((C1247=TRUE)*(F1247-Calc!F24)))/100)/2</f>
        <v/>
      </c>
      <c r="M1225">
        <f>L1225*(1+(Inputs!$B$10+0+B1257)/100)</f>
        <v/>
      </c>
      <c r="N1225">
        <f>L1225*(1-MIN((Inputs!$B$9+((C1249=TRUE)*(F1249-Calc!F26))+B1252),100)/100)+M1225*(MIN((Inputs!$B$9+((C1249=TRUE)*(F1249-Calc!F26))+B1252),100)/100)</f>
        <v/>
      </c>
      <c r="O1225">
        <f>(1-Summary!$B$55)*T1225+Summary!$B$55*V1225</f>
        <v/>
      </c>
      <c r="P1225">
        <f>IF(B1262=0,0,O1225/B1262)</f>
        <v/>
      </c>
      <c r="Q1225" t="n">
        <v>0</v>
      </c>
      <c r="R1225" t="n">
        <v>0</v>
      </c>
      <c r="S1225">
        <f>IFERROR(O1225/N1225,0)</f>
        <v/>
      </c>
      <c r="T1225">
        <f>IF(C1225,(Skills!G2*N1225*B1256)*IF(Inputs!$B$38="pvp",1,1+(Inputs!$B$20+0+Skills!P2+Summary!$B$59)/100),0)</f>
        <v/>
      </c>
      <c r="U1225">
        <f>MAX(0,(Inputs!$B$3-100)*3)+Inputs!$B$28+Inputs!$B$29</f>
        <v/>
      </c>
      <c r="V1225">
        <f>IF(C1225,(Skills!G2*N1225*B1256)*IF(Inputs!$B$38="pvp",1,(1+(Inputs!$B$21+Skills!Q2+Summary!$B$59)/100)*(MIN((6+Inputs!$B$33),Inputs!$B$37))),0)</f>
        <v/>
      </c>
    </row>
    <row r="1226">
      <c r="A1226">
        <f>Skills!A3</f>
        <v/>
      </c>
      <c r="B1226">
        <f>Skills!B3</f>
        <v/>
      </c>
      <c r="C1226">
        <f>Inputs!$B$3&gt;=50</f>
        <v/>
      </c>
      <c r="D1226">
        <f>IF(Skills!C3=1,60+Inputs!$B$25+Inputs!$B$29,IF(Skills!C3=2,90+Inputs!$B$26+Inputs!$B$29,IF(Skills!C3=3,120+Inputs!$B$27+Inputs!$B$29,MAX(0,(Inputs!$B$3-100)*3)+Inputs!$B$28+Inputs!$B$29)))</f>
        <v/>
      </c>
      <c r="E1226">
        <f>INDEX(FactorTable!$B$2:$Y$301, MATCH(ROUND(MIN(300,MAX(1,D1226)),0), FactorTable!$A$2:$A$301,0), Skills!M3+1)</f>
        <v/>
      </c>
      <c r="F1226">
        <f>IF(Skills!N3=TRUE,(Skills!L3/10)*(E1226/1000),Skills!L3/10)+Skills!O3</f>
        <v/>
      </c>
      <c r="G1226" t="inlineStr"/>
      <c r="H1226" t="inlineStr"/>
      <c r="I1226" t="inlineStr">
        <is>
          <t>1</t>
        </is>
      </c>
      <c r="J1226" t="inlineStr"/>
      <c r="K1226" t="inlineStr"/>
      <c r="L1226" t="inlineStr"/>
      <c r="M1226" t="inlineStr"/>
      <c r="N1226" t="inlineStr"/>
      <c r="O1226" t="inlineStr"/>
      <c r="P1226" t="inlineStr"/>
      <c r="Q1226" t="inlineStr"/>
      <c r="R1226" t="inlineStr"/>
      <c r="S1226" t="inlineStr"/>
      <c r="U1226">
        <f>INDEX(FactorTable!$B$2:$Y$301, MATCH(ROUND(MIN(300,MAX(1,U1225)),0), FactorTable!$A$2:$A$301,0), 22)</f>
        <v/>
      </c>
    </row>
    <row r="1227">
      <c r="A1227">
        <f>Skills!A4</f>
        <v/>
      </c>
      <c r="B1227">
        <f>Skills!B4</f>
        <v/>
      </c>
      <c r="C1227">
        <f>Inputs!$B$3&gt;=105</f>
        <v/>
      </c>
      <c r="D1227">
        <f>IF(Skills!C4=1,60+Inputs!$B$25+Inputs!$B$29,IF(Skills!C4=2,90+Inputs!$B$26+Inputs!$B$29,IF(Skills!C4=3,120+Inputs!$B$27+Inputs!$B$29,MAX(0,(Inputs!$B$3-100)*3)+Inputs!$B$28+Inputs!$B$29)))</f>
        <v/>
      </c>
      <c r="E1227">
        <f>INDEX(FactorTable!$B$2:$Y$301, MATCH(ROUND(MIN(300,MAX(1,D1227)),0), FactorTable!$A$2:$A$301,0), Skills!M4+1)</f>
        <v/>
      </c>
      <c r="F1227">
        <f>IF(Skills!N4=TRUE,(Skills!L4/10)*(E1227/1000),Skills!L4/10)+Skills!O4</f>
        <v/>
      </c>
      <c r="G1227" t="inlineStr"/>
      <c r="H1227" t="inlineStr"/>
      <c r="I1227" t="inlineStr">
        <is>
          <t>1</t>
        </is>
      </c>
      <c r="J1227" t="inlineStr"/>
      <c r="K1227" t="inlineStr"/>
      <c r="L1227" t="inlineStr"/>
      <c r="M1227" t="inlineStr"/>
      <c r="N1227" t="inlineStr"/>
      <c r="O1227" t="inlineStr"/>
      <c r="P1227" t="inlineStr"/>
      <c r="Q1227" t="inlineStr"/>
      <c r="R1227" t="inlineStr"/>
      <c r="S1227" t="inlineStr"/>
      <c r="U1227">
        <f>290*U1226/1000</f>
        <v/>
      </c>
    </row>
    <row r="1228">
      <c r="A1228">
        <f>Skills!A5</f>
        <v/>
      </c>
      <c r="B1228">
        <f>Skills!B5</f>
        <v/>
      </c>
      <c r="C1228">
        <f>Inputs!$B$3&gt;=103</f>
        <v/>
      </c>
      <c r="D1228">
        <f>IF(Skills!C5=1,60+Inputs!$B$25+Inputs!$B$29,IF(Skills!C5=2,90+Inputs!$B$26+Inputs!$B$29,IF(Skills!C5=3,120+Inputs!$B$27+Inputs!$B$29,MAX(0,(Inputs!$B$3-100)*3)+Inputs!$B$28+Inputs!$B$29)))</f>
        <v/>
      </c>
      <c r="E1228">
        <f>INDEX(FactorTable!$B$2:$Y$301, MATCH(ROUND(MIN(300,MAX(1,D1228)),0), FactorTable!$A$2:$A$301,0), Skills!M5+1)</f>
        <v/>
      </c>
      <c r="F1228">
        <f>IF(Skills!N5=TRUE,(Skills!L5/10)*(E1228/1000),Skills!L5/10)+Skills!O5</f>
        <v/>
      </c>
      <c r="G1228">
        <f>Skills!G5*IF(Skills!H5&gt;0,Skills!I5/Skills!H5,1)</f>
        <v/>
      </c>
      <c r="H1228">
        <f>1-(1-Skills!J5/100)^Skills!K5</f>
        <v/>
      </c>
      <c r="I1228" t="inlineStr">
        <is>
          <t>1</t>
        </is>
      </c>
      <c r="J1228">
        <f>((Inputs!$B$6*(1+Inputs!$B$7/100))+(((Inputs!$B$12*(1+Inputs!$B$13/100))-(Inputs!$B$12*(1+Inputs!$B$13/100)))+0.25*(Inputs!$B$14-Inputs!$B$14))*(1+Inputs!$B$7/100))*(F1228/100)</f>
        <v/>
      </c>
      <c r="K1228">
        <f>J1228*(1+((Inputs!$B$12*(1+Inputs!$B$13/100))*0.01+Inputs!$B$14*0.0025)/100)*(1+Inputs!$B$15/100)*(1+Inputs!$B$16/100)*(5000/(6000+Inputs!$B$42*(1-(Inputs!$B$19+0)/100)))*(1+(Inputs!$B$24+((C1248=TRUE)*(F1248-Calc!F25))+B1258)/100)*(1+IF(Skills!A5="ENHANCED_RAGING_BLOW",IF(Inputs!$B$3&gt;=134,MAX(0,IF(Inputs!$B$3&gt;=110,7,5)-5)*50,0),0)/100)*(1+(IF(Skills!A5="RAGING_BLOW",Inputs!$B$17+((C1244=TRUE)*(F1244-Calc!F21)),Inputs!$B$18+((C1246=TRUE)*(F1246-Calc!F23))))/100)*((1+(((C1236=TRUE)*F1236*IF(Inputs!$B$3&gt;=110,7,5))+((C1238=TRUE)*F1238*IF(AND(Inputs!$B$38&lt;&gt;"pvp",Inputs!$B$43&gt;0),(((R1238-1)*(Skills!T15*(1+Inputs!$B$34/100))+MIN((Skills!T15*(1+Inputs!$B$34/100)),MAX(0,Inputs!$B$43-((R1238-1)*Skills!D15))))/Inputs!$B$43),IF(Inputs!$B$38="pvp",MIN((Skills!T15*(1+Inputs!$B$34/100)),15)/15,(Skills!T15*(1+Inputs!$B$34/100))/Skills!D15)))+0)/100)*I1228)</f>
        <v/>
      </c>
      <c r="L1228">
        <f>K1228*(MIN(Inputs!$B$22+((C1245=TRUE)*(F1245-Calc!F22)),Inputs!$B$23+((C1247=TRUE)*(F1247-Calc!F24)))/100+(Inputs!$B$23+((C1247=TRUE)*(F1247-Calc!F24)))/100)/2</f>
        <v/>
      </c>
      <c r="M1228">
        <f>L1228*(1+(Inputs!$B$10+0+B1257)/100)</f>
        <v/>
      </c>
      <c r="N1228">
        <f>L1228*(1-MIN((Inputs!$B$9+((C1249=TRUE)*(F1249-Calc!F26))+B1252),100)/100)+M1228*(MIN((Inputs!$B$9+((C1249=TRUE)*(F1249-Calc!F26))+B1252),100)/100)</f>
        <v/>
      </c>
      <c r="O1228">
        <f>(1-Summary!$B$55)*T1228+Summary!$B$55*V1228</f>
        <v/>
      </c>
      <c r="P1228">
        <f>IF(B1262=0,0,O1228/B1262)</f>
        <v/>
      </c>
      <c r="Q1228">
        <f>IFERROR(1/IF(Inputs!$B$38="pvp",15,MAX(0.1,Skills!D5-IF(Skills!E5=TRUE,1.5,0))),0)</f>
        <v/>
      </c>
      <c r="R1228">
        <f>IF(AND(Inputs!$B$38&lt;&gt;"pvp",Inputs!$B$43&gt;0),IF(MAX(0,Inputs!$B$43-B1259)&lt;=0,0,(INT(MAX(0,Inputs!$B$43-B1259)/IF(Inputs!$B$38="pvp",15,MAX(0.1,Skills!D5-IF(Skills!E5=TRUE,1.5,0))))+1)),0)</f>
        <v/>
      </c>
      <c r="S1228">
        <f>IFERROR(O1228/N1228,0)</f>
        <v/>
      </c>
      <c r="T1228">
        <f>IF(C1228,(H1228*N1228*IF(AND(Inputs!$B$38&lt;&gt;"pvp",Inputs!$B$43&gt;0),((Skills!G5*((R1228-1)*IF(Skills!H5&gt;0,Skills!I5/Skills!H5,1)+IF(Skills!H5&gt;0,MIN(Skills!I5,MAX(0,MAX(0,Inputs!$B$43-B1259)-((R1228-1)*IF(Inputs!$B$38="pvp",15,MAX(0.1,Skills!D5-IF(Skills!E5=TRUE,1.5,0))))))/Skills!H5,1)))/Inputs!$B$43),G1228*Q1228))*IF(Inputs!$B$38="pvp",1,1+(Inputs!$B$20+0+Skills!P5+Summary!$B$59)/100),0)</f>
        <v/>
      </c>
      <c r="V1228">
        <f>IF(C1228,(H1228*N1228*IF(AND(Inputs!$B$38&lt;&gt;"pvp",Inputs!$B$43&gt;0),((Skills!G5*((R1228-1)*IF(Skills!H5&gt;0,Skills!I5/Skills!H5,1)+IF(Skills!H5&gt;0,MIN(Skills!I5,MAX(0,MAX(0,Inputs!$B$43-B1259)-((R1228-1)*IF(Inputs!$B$38="pvp",15,MAX(0.1,Skills!D5-IF(Skills!E5=TRUE,1.5,0))))))/Skills!H5,1)))/Inputs!$B$43),G1228*Q1228))*IF(Inputs!$B$38="pvp",1,(1+(Inputs!$B$21+Skills!Q5+Summary!$B$59)/100)*(MIN(Skills!R5,Inputs!$B$37))),0)</f>
        <v/>
      </c>
    </row>
    <row r="1229">
      <c r="A1229">
        <f>Skills!A6</f>
        <v/>
      </c>
      <c r="B1229">
        <f>Skills!B6</f>
        <v/>
      </c>
      <c r="C1229">
        <f>Inputs!$B$3&gt;=103</f>
        <v/>
      </c>
      <c r="D1229">
        <f>IF(Skills!C6=1,60+Inputs!$B$25+Inputs!$B$29,IF(Skills!C6=2,90+Inputs!$B$26+Inputs!$B$29,IF(Skills!C6=3,120+Inputs!$B$27+Inputs!$B$29,MAX(0,(Inputs!$B$3-100)*3)+Inputs!$B$28+Inputs!$B$29)))</f>
        <v/>
      </c>
      <c r="E1229">
        <f>INDEX(FactorTable!$B$2:$Y$301, MATCH(ROUND(MIN(300,MAX(1,D1229)),0), FactorTable!$A$2:$A$301,0), Skills!M6+1)</f>
        <v/>
      </c>
      <c r="F1229">
        <f>IF(Skills!N6=TRUE,(Skills!L6/10)*(E1229/1000),Skills!L6/10)+Skills!O6</f>
        <v/>
      </c>
      <c r="G1229">
        <f>Skills!G6*IF(Skills!H6&gt;0,Skills!I6/Skills!H6,1)</f>
        <v/>
      </c>
      <c r="H1229">
        <f>1-(1-Skills!J6/100)^Skills!K6</f>
        <v/>
      </c>
      <c r="I1229" t="inlineStr">
        <is>
          <t>1</t>
        </is>
      </c>
      <c r="J1229">
        <f>((Inputs!$B$6*(1+Inputs!$B$7/100))+(((Inputs!$B$12*(1+Inputs!$B$13/100))-(Inputs!$B$12*(1+Inputs!$B$13/100)))+0.25*(Inputs!$B$14-Inputs!$B$14))*(1+Inputs!$B$7/100))*(F1229/100)</f>
        <v/>
      </c>
      <c r="K1229">
        <f>J1229*(1+((Inputs!$B$12*(1+Inputs!$B$13/100))*0.01+Inputs!$B$14*0.0025)/100)*(1+Inputs!$B$15/100)*(1+Inputs!$B$16/100)*(5000/(6000+Inputs!$B$42*(1-(Inputs!$B$19+0)/100)))*(1+(Inputs!$B$24+((C1248=TRUE)*(F1248-Calc!F25))+B1258)/100)*(1+IF(Skills!A6="ENHANCED_RAGING_BLOW",IF(Inputs!$B$3&gt;=134,MAX(0,IF(Inputs!$B$3&gt;=110,7,5)-5)*50,0),0)/100)*(1+(IF(Skills!A6="RAGING_BLOW",Inputs!$B$17+((C1244=TRUE)*(F1244-Calc!F21)),Inputs!$B$18+((C1246=TRUE)*(F1246-Calc!F23))))/100)*((1+(((C1236=TRUE)*F1236*IF(Inputs!$B$3&gt;=110,7,5))+((C1238=TRUE)*F1238*IF(AND(Inputs!$B$38&lt;&gt;"pvp",Inputs!$B$43&gt;0),(((R1238-1)*(Skills!T15*(1+Inputs!$B$34/100))+MIN((Skills!T15*(1+Inputs!$B$34/100)),MAX(0,Inputs!$B$43-((R1238-1)*Skills!D15))))/Inputs!$B$43),IF(Inputs!$B$38="pvp",MIN((Skills!T15*(1+Inputs!$B$34/100)),15)/15,(Skills!T15*(1+Inputs!$B$34/100))/Skills!D15)))+0)/100)*I1229)</f>
        <v/>
      </c>
      <c r="L1229">
        <f>K1229*(MIN(Inputs!$B$22+((C1245=TRUE)*(F1245-Calc!F22)),Inputs!$B$23+((C1247=TRUE)*(F1247-Calc!F24)))/100+(Inputs!$B$23+((C1247=TRUE)*(F1247-Calc!F24)))/100)/2</f>
        <v/>
      </c>
      <c r="M1229">
        <f>L1229*(1+(Inputs!$B$10+0+B1257)/100)</f>
        <v/>
      </c>
      <c r="N1229">
        <f>L1229*(1-MIN((Inputs!$B$9+((C1249=TRUE)*(F1249-Calc!F26))+B1252),100)/100)+M1229*(MIN((Inputs!$B$9+((C1249=TRUE)*(F1249-Calc!F26))+B1252),100)/100)</f>
        <v/>
      </c>
      <c r="O1229">
        <f>(1-Summary!$B$55)*T1229+Summary!$B$55*V1229</f>
        <v/>
      </c>
      <c r="P1229">
        <f>IF(B1262=0,0,O1229/B1262)</f>
        <v/>
      </c>
      <c r="Q1229">
        <f>IFERROR(1/IF(Inputs!$B$38="pvp",15,MAX(0.1,Skills!D6-IF(Skills!E6=TRUE,1.5,0))),0)</f>
        <v/>
      </c>
      <c r="R1229">
        <f>IF(AND(Inputs!$B$38&lt;&gt;"pvp",Inputs!$B$43&gt;0),IF(MAX(0,Inputs!$B$43-B1259)&lt;=0,0,(INT(MAX(0,Inputs!$B$43-B1259)/IF(Inputs!$B$38="pvp",15,MAX(0.1,Skills!D6-IF(Skills!E6=TRUE,1.5,0))))+1)),0)</f>
        <v/>
      </c>
      <c r="S1229">
        <f>IFERROR(O1229/N1229,0)</f>
        <v/>
      </c>
      <c r="T1229">
        <f>IF(C1229,(H1229*N1229*IF(AND(Inputs!$B$38&lt;&gt;"pvp",Inputs!$B$43&gt;0),((Skills!G6*((R1229-1)*IF(Skills!H6&gt;0,Skills!I6/Skills!H6,1)+IF(Skills!H6&gt;0,MIN(Skills!I6,MAX(0,MAX(0,Inputs!$B$43-B1259)-((R1229-1)*IF(Inputs!$B$38="pvp",15,MAX(0.1,Skills!D6-IF(Skills!E6=TRUE,1.5,0))))))/Skills!H6,1)))/Inputs!$B$43),G1229*Q1229))*IF(Inputs!$B$38="pvp",1,1+(Inputs!$B$20+0+Skills!P6+Summary!$B$59)/100),0)</f>
        <v/>
      </c>
      <c r="V1229">
        <f>IF(C1229,(H1229*N1229*IF(AND(Inputs!$B$38&lt;&gt;"pvp",Inputs!$B$43&gt;0),((Skills!G6*((R1229-1)*IF(Skills!H6&gt;0,Skills!I6/Skills!H6,1)+IF(Skills!H6&gt;0,MIN(Skills!I6,MAX(0,MAX(0,Inputs!$B$43-B1259)-((R1229-1)*IF(Inputs!$B$38="pvp",15,MAX(0.1,Skills!D6-IF(Skills!E6=TRUE,1.5,0))))))/Skills!H6,1)))/Inputs!$B$43),G1229*Q1229))*IF(Inputs!$B$38="pvp",1,(1+(Inputs!$B$21+Skills!Q6+Summary!$B$59)/100)*(MIN(Skills!R6,Inputs!$B$37))),0)</f>
        <v/>
      </c>
    </row>
    <row r="1230">
      <c r="A1230">
        <f>Skills!A7</f>
        <v/>
      </c>
      <c r="B1230">
        <f>Skills!B7</f>
        <v/>
      </c>
      <c r="C1230">
        <f>Inputs!$B$3&gt;=107</f>
        <v/>
      </c>
      <c r="D1230">
        <f>IF(Skills!C7=1,60+Inputs!$B$25+Inputs!$B$29,IF(Skills!C7=2,90+Inputs!$B$26+Inputs!$B$29,IF(Skills!C7=3,120+Inputs!$B$27+Inputs!$B$29,MAX(0,(Inputs!$B$3-100)*3)+Inputs!$B$28+Inputs!$B$29)))</f>
        <v/>
      </c>
      <c r="E1230">
        <f>INDEX(FactorTable!$B$2:$Y$301, MATCH(ROUND(MIN(300,MAX(1,D1230)),0), FactorTable!$A$2:$A$301,0), Skills!M7+1)</f>
        <v/>
      </c>
      <c r="F1230">
        <f>IF(Skills!N7=TRUE,(Skills!L7/10)*(E1230/1000),Skills!L7/10)+Skills!O7</f>
        <v/>
      </c>
      <c r="G1230">
        <f>Skills!G7*IF(Skills!H7&gt;0,Skills!I7/Skills!H7,1)</f>
        <v/>
      </c>
      <c r="H1230">
        <f>1-(1-Skills!J7/100)^Skills!K7</f>
        <v/>
      </c>
      <c r="I1230" t="inlineStr">
        <is>
          <t>1</t>
        </is>
      </c>
      <c r="J1230">
        <f>((Inputs!$B$6*(1+Inputs!$B$7/100))+(((Inputs!$B$12*(1+Inputs!$B$13/100))-(Inputs!$B$12*(1+Inputs!$B$13/100)))+0.25*(Inputs!$B$14-Inputs!$B$14))*(1+Inputs!$B$7/100))*(F1230/100)</f>
        <v/>
      </c>
      <c r="K1230">
        <f>J1230*(1+((Inputs!$B$12*(1+Inputs!$B$13/100))*0.01+Inputs!$B$14*0.0025)/100)*(1+Inputs!$B$15/100)*(1+Inputs!$B$16/100)*(5000/(6000+Inputs!$B$42*(1-(Inputs!$B$19+0)/100)))*(1+(Inputs!$B$24+((C1248=TRUE)*(F1248-Calc!F25))+B1258)/100)*(1+IF(Skills!A7="ENHANCED_RAGING_BLOW",IF(Inputs!$B$3&gt;=134,MAX(0,IF(Inputs!$B$3&gt;=110,7,5)-5)*50,0),0)/100)*(1+(IF(Skills!A7="RAGING_BLOW",Inputs!$B$17+((C1244=TRUE)*(F1244-Calc!F21)),Inputs!$B$18+((C1246=TRUE)*(F1246-Calc!F23))))/100)*((1+(((C1236=TRUE)*F1236*IF(Inputs!$B$3&gt;=110,7,5))+((C1238=TRUE)*F1238*IF(AND(Inputs!$B$38&lt;&gt;"pvp",Inputs!$B$43&gt;0),(((R1238-1)*(Skills!T15*(1+Inputs!$B$34/100))+MIN((Skills!T15*(1+Inputs!$B$34/100)),MAX(0,Inputs!$B$43-((R1238-1)*Skills!D15))))/Inputs!$B$43),IF(Inputs!$B$38="pvp",MIN((Skills!T15*(1+Inputs!$B$34/100)),15)/15,(Skills!T15*(1+Inputs!$B$34/100))/Skills!D15)))+0)/100)*I1230)</f>
        <v/>
      </c>
      <c r="L1230">
        <f>K1230*(MIN(Inputs!$B$22+((C1245=TRUE)*(F1245-Calc!F22)),Inputs!$B$23+((C1247=TRUE)*(F1247-Calc!F24)))/100+(Inputs!$B$23+((C1247=TRUE)*(F1247-Calc!F24)))/100)/2</f>
        <v/>
      </c>
      <c r="M1230">
        <f>L1230*(1+(Inputs!$B$10+0+B1257)/100)</f>
        <v/>
      </c>
      <c r="N1230">
        <f>L1230*(1-MIN((Inputs!$B$9+((C1249=TRUE)*(F1249-Calc!F26))+B1252),100)/100)+M1230*(MIN((Inputs!$B$9+((C1249=TRUE)*(F1249-Calc!F26))+B1252),100)/100)</f>
        <v/>
      </c>
      <c r="O1230">
        <f>(1-Summary!$B$55)*T1230+Summary!$B$55*V1230</f>
        <v/>
      </c>
      <c r="P1230">
        <f>IF(B1262=0,0,O1230/B1262)</f>
        <v/>
      </c>
      <c r="Q1230">
        <f>IFERROR(1/IF(Inputs!$B$38="pvp",15,MAX(0.1,Skills!D7-IF(Skills!E7=TRUE,1.5,0))),0)</f>
        <v/>
      </c>
      <c r="R1230">
        <f>IF(AND(Inputs!$B$38&lt;&gt;"pvp",Inputs!$B$43&gt;0),IF(MAX(0,Inputs!$B$43-B1259)&lt;=0,0,(INT(MAX(0,Inputs!$B$43-B1259)/IF(Inputs!$B$38="pvp",15,MAX(0.1,Skills!D7-IF(Skills!E7=TRUE,1.5,0))))+1)),0)</f>
        <v/>
      </c>
      <c r="S1230">
        <f>IFERROR(O1230/N1230,0)</f>
        <v/>
      </c>
      <c r="T1230">
        <f>IF(C1230,(H1230*N1230*IF(AND(Inputs!$B$38&lt;&gt;"pvp",Inputs!$B$43&gt;0),((Skills!G7*((R1230-1)*IF(Skills!H7&gt;0,Skills!I7/Skills!H7,1)+IF(Skills!H7&gt;0,MIN(Skills!I7,MAX(0,MAX(0,Inputs!$B$43-B1259)-((R1230-1)*IF(Inputs!$B$38="pvp",15,MAX(0.1,Skills!D7-IF(Skills!E7=TRUE,1.5,0))))))/Skills!H7,1)))/Inputs!$B$43),G1230*Q1230))*IF(Inputs!$B$38="pvp",1,1+(Inputs!$B$20+0+Skills!P7+Summary!$B$59)/100),0)</f>
        <v/>
      </c>
      <c r="V1230">
        <f>IF(C1230,(H1230*N1230*IF(AND(Inputs!$B$38&lt;&gt;"pvp",Inputs!$B$43&gt;0),((Skills!G7*((R1230-1)*IF(Skills!H7&gt;0,Skills!I7/Skills!H7,1)+IF(Skills!H7&gt;0,MIN(Skills!I7,MAX(0,MAX(0,Inputs!$B$43-B1259)-((R1230-1)*IF(Inputs!$B$38="pvp",15,MAX(0.1,Skills!D7-IF(Skills!E7=TRUE,1.5,0))))))/Skills!H7,1)))/Inputs!$B$43),G1230*Q1230))*IF(Inputs!$B$38="pvp",1,(1+(Inputs!$B$21+Skills!Q7+Summary!$B$59)/100)*(MIN(Skills!R7,Inputs!$B$37))),0)</f>
        <v/>
      </c>
    </row>
    <row r="1231">
      <c r="A1231">
        <f>Skills!A8</f>
        <v/>
      </c>
      <c r="B1231">
        <f>Skills!B8</f>
        <v/>
      </c>
      <c r="C1231">
        <f>Inputs!$B$3&gt;=117</f>
        <v/>
      </c>
      <c r="D1231">
        <f>IF(Skills!C8=1,60+Inputs!$B$25+Inputs!$B$29,IF(Skills!C8=2,90+Inputs!$B$26+Inputs!$B$29,IF(Skills!C8=3,120+Inputs!$B$27+Inputs!$B$29,MAX(0,(Inputs!$B$3-100)*3)+Inputs!$B$28+Inputs!$B$29)))</f>
        <v/>
      </c>
      <c r="E1231">
        <f>INDEX(FactorTable!$B$2:$Y$301, MATCH(ROUND(MIN(300,MAX(1,D1231)),0), FactorTable!$A$2:$A$301,0), Skills!M8+1)</f>
        <v/>
      </c>
      <c r="F1231">
        <f>IF(Skills!N8=TRUE,(Skills!L8/10)*(E1231/1000),Skills!L8/10)+Skills!O8</f>
        <v/>
      </c>
      <c r="G1231">
        <f>Skills!G8*IF(Skills!H8&gt;0,Skills!I8/Skills!H8,1)</f>
        <v/>
      </c>
      <c r="H1231">
        <f>1-(1-Skills!J8/100)^Skills!K8</f>
        <v/>
      </c>
      <c r="I1231" t="inlineStr">
        <is>
          <t>1</t>
        </is>
      </c>
      <c r="J1231">
        <f>((Inputs!$B$6*(1+Inputs!$B$7/100))+(((Inputs!$B$12*(1+Inputs!$B$13/100))-(Inputs!$B$12*(1+Inputs!$B$13/100)))+0.25*(Inputs!$B$14-Inputs!$B$14))*(1+Inputs!$B$7/100))*(F1231/100)</f>
        <v/>
      </c>
      <c r="K1231">
        <f>J1231*(1+((Inputs!$B$12*(1+Inputs!$B$13/100))*0.01+Inputs!$B$14*0.0025)/100)*(1+Inputs!$B$15/100)*(1+Inputs!$B$16/100)*(5000/(6000+Inputs!$B$42*(1-(Inputs!$B$19+0)/100)))*(1+(Inputs!$B$24+((C1248=TRUE)*(F1248-Calc!F25))+B1258)/100)*(1+IF(Skills!A8="ENHANCED_RAGING_BLOW",IF(Inputs!$B$3&gt;=134,MAX(0,IF(Inputs!$B$3&gt;=110,7,5)-5)*50,0),0)/100)*(1+(IF(Skills!A8="RAGING_BLOW",Inputs!$B$17+((C1244=TRUE)*(F1244-Calc!F21)),Inputs!$B$18+((C1246=TRUE)*(F1246-Calc!F23))))/100)*((1+(((C1236=TRUE)*F1236*IF(Inputs!$B$3&gt;=110,7,5))+((C1238=TRUE)*F1238*IF(AND(Inputs!$B$38&lt;&gt;"pvp",Inputs!$B$43&gt;0),(((R1238-1)*(Skills!T15*(1+Inputs!$B$34/100))+MIN((Skills!T15*(1+Inputs!$B$34/100)),MAX(0,Inputs!$B$43-((R1238-1)*Skills!D15))))/Inputs!$B$43),IF(Inputs!$B$38="pvp",MIN((Skills!T15*(1+Inputs!$B$34/100)),15)/15,(Skills!T15*(1+Inputs!$B$34/100))/Skills!D15)))+0)/100)*I1231)</f>
        <v/>
      </c>
      <c r="L1231">
        <f>K1231*(MIN(Inputs!$B$22+((C1245=TRUE)*(F1245-Calc!F22)),Inputs!$B$23+((C1247=TRUE)*(F1247-Calc!F24)))/100+(Inputs!$B$23+((C1247=TRUE)*(F1247-Calc!F24)))/100)/2</f>
        <v/>
      </c>
      <c r="M1231">
        <f>L1231*(1+(Inputs!$B$10+0+B1257)/100)</f>
        <v/>
      </c>
      <c r="N1231">
        <f>L1231*(1-MIN((Inputs!$B$9+((C1249=TRUE)*(F1249-Calc!F26))+B1252),100)/100)+M1231*(MIN((Inputs!$B$9+((C1249=TRUE)*(F1249-Calc!F26))+B1252),100)/100)</f>
        <v/>
      </c>
      <c r="O1231">
        <f>(1-Summary!$B$55)*T1231+Summary!$B$55*V1231</f>
        <v/>
      </c>
      <c r="P1231">
        <f>IF(B1262=0,0,O1231/B1262)</f>
        <v/>
      </c>
      <c r="Q1231">
        <f>IFERROR(1/IF(Inputs!$B$38="pvp",15,MAX(0.1,Skills!D8-IF(Skills!E8=TRUE,1.5,0))),0)</f>
        <v/>
      </c>
      <c r="R1231">
        <f>IF(AND(Inputs!$B$38&lt;&gt;"pvp",Inputs!$B$43&gt;0),IF(MAX(0,Inputs!$B$43-B1259)&lt;=0,0,(INT(MAX(0,Inputs!$B$43-B1259)/IF(Inputs!$B$38="pvp",15,MAX(0.1,Skills!D8-IF(Skills!E8=TRUE,1.5,0))))+1)),0)</f>
        <v/>
      </c>
      <c r="S1231">
        <f>IFERROR(O1231/N1231,0)</f>
        <v/>
      </c>
      <c r="T1231">
        <f>IF(C1231,(H1231*N1231*IF(AND(Inputs!$B$38&lt;&gt;"pvp",Inputs!$B$43&gt;0),((Skills!G8*((R1231-1)*IF(Skills!H8&gt;0,Skills!I8/Skills!H8,1)+IF(Skills!H8&gt;0,MIN(Skills!I8,MAX(0,MAX(0,Inputs!$B$43-B1259)-((R1231-1)*IF(Inputs!$B$38="pvp",15,MAX(0.1,Skills!D8-IF(Skills!E8=TRUE,1.5,0))))))/Skills!H8,1)))/Inputs!$B$43),G1231*Q1231))*IF(Inputs!$B$38="pvp",1,1+(Inputs!$B$20+0+Skills!P8+Summary!$B$59)/100),0)</f>
        <v/>
      </c>
      <c r="V1231">
        <f>IF(C1231,(H1231*N1231*IF(AND(Inputs!$B$38&lt;&gt;"pvp",Inputs!$B$43&gt;0),((Skills!G8*((R1231-1)*IF(Skills!H8&gt;0,Skills!I8/Skills!H8,1)+IF(Skills!H8&gt;0,MIN(Skills!I8,MAX(0,MAX(0,Inputs!$B$43-B1259)-((R1231-1)*IF(Inputs!$B$38="pvp",15,MAX(0.1,Skills!D8-IF(Skills!E8=TRUE,1.5,0))))))/Skills!H8,1)))/Inputs!$B$43),G1231*Q1231))*IF(Inputs!$B$38="pvp",1,(1+(Inputs!$B$21+Skills!Q8+Summary!$B$59)/100)*(MIN(Skills!R8,Inputs!$B$37))),0)</f>
        <v/>
      </c>
    </row>
    <row r="1232">
      <c r="A1232">
        <f>Skills!A9</f>
        <v/>
      </c>
      <c r="B1232">
        <f>Skills!B9</f>
        <v/>
      </c>
      <c r="C1232">
        <f>Inputs!$B$3&gt;=69</f>
        <v/>
      </c>
      <c r="D1232">
        <f>IF(Skills!C9=1,60+Inputs!$B$25+Inputs!$B$29,IF(Skills!C9=2,90+Inputs!$B$26+Inputs!$B$29,IF(Skills!C9=3,120+Inputs!$B$27+Inputs!$B$29,MAX(0,(Inputs!$B$3-100)*3)+Inputs!$B$28+Inputs!$B$29)))</f>
        <v/>
      </c>
      <c r="E1232">
        <f>INDEX(FactorTable!$B$2:$Y$301, MATCH(ROUND(MIN(300,MAX(1,D1232)),0), FactorTable!$A$2:$A$301,0), Skills!M9+1)</f>
        <v/>
      </c>
      <c r="F1232">
        <f>IF(Skills!N9=TRUE,(Skills!L9/10)*(E1232/1000),Skills!L9/10)+Skills!O9</f>
        <v/>
      </c>
      <c r="G1232">
        <f>Skills!G9*IF(Skills!H9&gt;0,Skills!I9/Skills!H9,1)</f>
        <v/>
      </c>
      <c r="H1232">
        <f>1-(1-Skills!J9/100)^Skills!K9</f>
        <v/>
      </c>
      <c r="I1232" t="inlineStr">
        <is>
          <t>1</t>
        </is>
      </c>
      <c r="J1232">
        <f>((Inputs!$B$6*(1+Inputs!$B$7/100))+(((Inputs!$B$12*(1+Inputs!$B$13/100))-(Inputs!$B$12*(1+Inputs!$B$13/100)))+0.25*(Inputs!$B$14-Inputs!$B$14))*(1+Inputs!$B$7/100))*(F1232/100)</f>
        <v/>
      </c>
      <c r="K1232">
        <f>J1232*(1+((Inputs!$B$12*(1+Inputs!$B$13/100))*0.01+Inputs!$B$14*0.0025)/100)*(1+Inputs!$B$15/100)*(1+Inputs!$B$16/100)*(5000/(6000+Inputs!$B$42*(1-(Inputs!$B$19+0)/100)))*(1+(Inputs!$B$24+((C1248=TRUE)*(F1248-Calc!F25))+B1258)/100)*(1+1.0*IF(C1235=TRUE,F1235,0)/100)*(1+IF(Skills!A9="ENHANCED_RAGING_BLOW",IF(Inputs!$B$3&gt;=134,MAX(0,IF(Inputs!$B$3&gt;=110,7,5)-5)*50,0),0)/100)*(1+(IF(Skills!A9="RAGING_BLOW",Inputs!$B$17+((C1244=TRUE)*(F1244-Calc!F21)),Inputs!$B$18+((C1246=TRUE)*(F1246-Calc!F23))))/100)*((1+(((C1236=TRUE)*F1236*IF(Inputs!$B$3&gt;=110,7,5))+((C1238=TRUE)*F1238*IF(AND(Inputs!$B$38&lt;&gt;"pvp",Inputs!$B$43&gt;0),(((R1238-1)*(Skills!T15*(1+Inputs!$B$34/100))+MIN((Skills!T15*(1+Inputs!$B$34/100)),MAX(0,Inputs!$B$43-((R1238-1)*Skills!D15))))/Inputs!$B$43),IF(Inputs!$B$38="pvp",MIN((Skills!T15*(1+Inputs!$B$34/100)),15)/15,(Skills!T15*(1+Inputs!$B$34/100))/Skills!D15)))+0)/100)*I1232)</f>
        <v/>
      </c>
      <c r="L1232">
        <f>K1232*(MIN(Inputs!$B$22+((C1245=TRUE)*(F1245-Calc!F22)),Inputs!$B$23+((C1247=TRUE)*(F1247-Calc!F24)))/100+(Inputs!$B$23+((C1247=TRUE)*(F1247-Calc!F24)))/100)/2</f>
        <v/>
      </c>
      <c r="M1232">
        <f>L1232*(1+(Inputs!$B$10+0+B1257)/100)</f>
        <v/>
      </c>
      <c r="N1232">
        <f>L1232*(1-MIN((Inputs!$B$9+((C1249=TRUE)*(F1249-Calc!F26))+B1252),100)/100)+M1232*(MIN((Inputs!$B$9+((C1249=TRUE)*(F1249-Calc!F26))+B1252),100)/100)</f>
        <v/>
      </c>
      <c r="O1232">
        <f>(1-Summary!$B$55)*T1232+Summary!$B$55*V1232</f>
        <v/>
      </c>
      <c r="P1232">
        <f>IF(B1262=0,0,O1232/B1262)</f>
        <v/>
      </c>
      <c r="Q1232">
        <f>IFERROR(1/IF(Inputs!$B$38="pvp",15,MAX(0.1,Skills!D9-IF(Skills!E9=TRUE,1.5,0))),0)</f>
        <v/>
      </c>
      <c r="R1232">
        <f>IF(AND(Inputs!$B$38&lt;&gt;"pvp",Inputs!$B$43&gt;0),IF(MAX(0,Inputs!$B$43-B1259)&lt;=0,0,(INT(MAX(0,Inputs!$B$43-B1259)/IF(Inputs!$B$38="pvp",15,MAX(0.1,Skills!D9-IF(Skills!E9=TRUE,1.5,0))))+1)),0)</f>
        <v/>
      </c>
      <c r="S1232">
        <f>IFERROR(O1232/N1232,0)</f>
        <v/>
      </c>
      <c r="T1232">
        <f>IF(C1232,(H1232*N1232*IF(AND(Inputs!$B$38&lt;&gt;"pvp",Inputs!$B$43&gt;0),((Skills!G9*((R1232-1)*IF(Skills!H9&gt;0,Skills!I9/Skills!H9,1)+IF(Skills!H9&gt;0,MIN(Skills!I9,MAX(0,MAX(0,Inputs!$B$43-B1259)-((R1232-1)*IF(Inputs!$B$38="pvp",15,MAX(0.1,Skills!D9-IF(Skills!E9=TRUE,1.5,0))))))/Skills!H9,1)))/Inputs!$B$43),G1232*Q1232))*IF(Inputs!$B$38="pvp",1,1+(Inputs!$B$20+0+Skills!P9+Summary!$B$59)/100),0)</f>
        <v/>
      </c>
      <c r="V1232">
        <f>IF(C1232,(H1232*N1232*IF(AND(Inputs!$B$38&lt;&gt;"pvp",Inputs!$B$43&gt;0),((Skills!G9*((R1232-1)*IF(Skills!H9&gt;0,Skills!I9/Skills!H9,1)+IF(Skills!H9&gt;0,MIN(Skills!I9,MAX(0,MAX(0,Inputs!$B$43-B1259)-((R1232-1)*IF(Inputs!$B$38="pvp",15,MAX(0.1,Skills!D9-IF(Skills!E9=TRUE,1.5,0))))))/Skills!H9,1)))/Inputs!$B$43),G1232*Q1232))*IF(Inputs!$B$38="pvp",1,(1+(Inputs!$B$21+Skills!Q9+Summary!$B$59)/100)*(MIN(Skills!R9,Inputs!$B$37))),0)</f>
        <v/>
      </c>
    </row>
    <row r="1233">
      <c r="A1233">
        <f>Skills!A10</f>
        <v/>
      </c>
      <c r="B1233">
        <f>Skills!B10</f>
        <v/>
      </c>
      <c r="C1233">
        <f>Inputs!$B$3&gt;=63</f>
        <v/>
      </c>
      <c r="D1233">
        <f>IF(Skills!C10=1,60+Inputs!$B$25+Inputs!$B$29,IF(Skills!C10=2,90+Inputs!$B$26+Inputs!$B$29,IF(Skills!C10=3,120+Inputs!$B$27+Inputs!$B$29,MAX(0,(Inputs!$B$3-100)*3)+Inputs!$B$28+Inputs!$B$29)))</f>
        <v/>
      </c>
      <c r="E1233">
        <f>INDEX(FactorTable!$B$2:$Y$301, MATCH(ROUND(MIN(300,MAX(1,D1233)),0), FactorTable!$A$2:$A$301,0), Skills!M10+1)</f>
        <v/>
      </c>
      <c r="F1233">
        <f>IF(Skills!N10=TRUE,(Skills!L10/10)*(E1233/1000),Skills!L10/10)+Skills!O10</f>
        <v/>
      </c>
      <c r="G1233">
        <f>Skills!G10*IF(Skills!H10&gt;0,Skills!I10/Skills!H10,1)</f>
        <v/>
      </c>
      <c r="H1233">
        <f>1-(1-Skills!J10/100)^Skills!K10</f>
        <v/>
      </c>
      <c r="I1233" t="inlineStr">
        <is>
          <t>1</t>
        </is>
      </c>
      <c r="J1233">
        <f>((Inputs!$B$6*(1+Inputs!$B$7/100))+(((Inputs!$B$12*(1+Inputs!$B$13/100))-(Inputs!$B$12*(1+Inputs!$B$13/100)))+0.25*(Inputs!$B$14-Inputs!$B$14))*(1+Inputs!$B$7/100))*(F1233/100)</f>
        <v/>
      </c>
      <c r="K1233">
        <f>J1233*(1+((Inputs!$B$12*(1+Inputs!$B$13/100))*0.01+Inputs!$B$14*0.0025)/100)*(1+Inputs!$B$15/100)*(1+Inputs!$B$16/100)*(5000/(6000+Inputs!$B$42*(1-(Inputs!$B$19+0)/100)))*(1+(Inputs!$B$24+((C1248=TRUE)*(F1248-Calc!F25))+B1258)/100)*(1+1.5*IF(C1235=TRUE,F1235,0)/100)*(1+IF(Skills!A10="ENHANCED_RAGING_BLOW",IF(Inputs!$B$3&gt;=134,MAX(0,IF(Inputs!$B$3&gt;=110,7,5)-5)*50,0),0)/100)*(1+(IF(Skills!A10="RAGING_BLOW",Inputs!$B$17+((C1244=TRUE)*(F1244-Calc!F21)),Inputs!$B$18+((C1246=TRUE)*(F1246-Calc!F23))))/100)*((1+(((C1236=TRUE)*F1236*IF(Inputs!$B$3&gt;=110,7,5))+((C1238=TRUE)*F1238*IF(AND(Inputs!$B$38&lt;&gt;"pvp",Inputs!$B$43&gt;0),(((R1238-1)*(Skills!T15*(1+Inputs!$B$34/100))+MIN((Skills!T15*(1+Inputs!$B$34/100)),MAX(0,Inputs!$B$43-((R1238-1)*Skills!D15))))/Inputs!$B$43),IF(Inputs!$B$38="pvp",MIN((Skills!T15*(1+Inputs!$B$34/100)),15)/15,(Skills!T15*(1+Inputs!$B$34/100))/Skills!D15)))+0)/100)*I1233)</f>
        <v/>
      </c>
      <c r="L1233">
        <f>K1233*(MIN(Inputs!$B$22+((C1245=TRUE)*(F1245-Calc!F22)),Inputs!$B$23+((C1247=TRUE)*(F1247-Calc!F24)))/100+(Inputs!$B$23+((C1247=TRUE)*(F1247-Calc!F24)))/100)/2</f>
        <v/>
      </c>
      <c r="M1233">
        <f>L1233*(1+(Inputs!$B$10+0+B1257)/100)</f>
        <v/>
      </c>
      <c r="N1233">
        <f>L1233*(1-MIN((Inputs!$B$9+((C1249=TRUE)*(F1249-Calc!F26))+B1252),100)/100)+M1233*(MIN((Inputs!$B$9+((C1249=TRUE)*(F1249-Calc!F26))+B1252),100)/100)</f>
        <v/>
      </c>
      <c r="O1233">
        <f>(1-Summary!$B$55)*T1233+Summary!$B$55*V1233</f>
        <v/>
      </c>
      <c r="P1233">
        <f>IF(B1262=0,0,O1233/B1262)</f>
        <v/>
      </c>
      <c r="Q1233">
        <f>IFERROR(1/IF(Inputs!$B$38="pvp",15,MAX(0.1,Skills!D10-IF(Skills!E10=TRUE,1.5,0))),0)</f>
        <v/>
      </c>
      <c r="R1233">
        <f>IF(AND(Inputs!$B$38&lt;&gt;"pvp",Inputs!$B$43&gt;0),IF(MAX(0,Inputs!$B$43-B1259)&lt;=0,0,(INT(MAX(0,Inputs!$B$43-B1259)/IF(Inputs!$B$38="pvp",15,MAX(0.1,Skills!D10-IF(Skills!E10=TRUE,1.5,0))))+1)),0)</f>
        <v/>
      </c>
      <c r="S1233">
        <f>IFERROR(O1233/N1233,0)</f>
        <v/>
      </c>
      <c r="T1233">
        <f>IF(C1233,(H1233*N1233*IF(AND(Inputs!$B$38&lt;&gt;"pvp",Inputs!$B$43&gt;0),((Skills!G10*((R1233-1)*IF(Skills!H10&gt;0,Skills!I10/Skills!H10,1)+IF(Skills!H10&gt;0,MIN(Skills!I10,MAX(0,MAX(0,Inputs!$B$43-B1259)-((R1233-1)*IF(Inputs!$B$38="pvp",15,MAX(0.1,Skills!D10-IF(Skills!E10=TRUE,1.5,0))))))/Skills!H10,1)))/Inputs!$B$43),G1233*Q1233))*IF(Inputs!$B$38="pvp",1,1+(Inputs!$B$20+0+Skills!P10+Summary!$B$59)/100),0)</f>
        <v/>
      </c>
      <c r="V1233">
        <f>IF(C1233,(H1233*N1233*IF(AND(Inputs!$B$38&lt;&gt;"pvp",Inputs!$B$43&gt;0),((Skills!G10*((R1233-1)*IF(Skills!H10&gt;0,Skills!I10/Skills!H10,1)+IF(Skills!H10&gt;0,MIN(Skills!I10,MAX(0,MAX(0,Inputs!$B$43-B1259)-((R1233-1)*IF(Inputs!$B$38="pvp",15,MAX(0.1,Skills!D10-IF(Skills!E10=TRUE,1.5,0))))))/Skills!H10,1)))/Inputs!$B$43),G1233*Q1233))*IF(Inputs!$B$38="pvp",1,(1+(Inputs!$B$21+Skills!Q10+Summary!$B$59)/100)*(MIN(Skills!R10,Inputs!$B$37))),0)</f>
        <v/>
      </c>
    </row>
    <row r="1234">
      <c r="A1234">
        <f>Skills!A11</f>
        <v/>
      </c>
      <c r="B1234">
        <f>Skills!B11</f>
        <v/>
      </c>
      <c r="C1234">
        <f>Inputs!$B$3&gt;=35</f>
        <v/>
      </c>
      <c r="D1234">
        <f>IF(Skills!C11=1,60+Inputs!$B$25+Inputs!$B$29,IF(Skills!C11=2,90+Inputs!$B$26+Inputs!$B$29,IF(Skills!C11=3,120+Inputs!$B$27+Inputs!$B$29,MAX(0,(Inputs!$B$3-100)*3)+Inputs!$B$28+Inputs!$B$29)))</f>
        <v/>
      </c>
      <c r="E1234">
        <f>INDEX(FactorTable!$B$2:$Y$301, MATCH(ROUND(MIN(300,MAX(1,D1234)),0), FactorTable!$A$2:$A$301,0), Skills!M11+1)</f>
        <v/>
      </c>
      <c r="F1234">
        <f>IF(Skills!N11=TRUE,(Skills!L11/10)*(E1234/1000),Skills!L11/10)+Skills!O11</f>
        <v/>
      </c>
      <c r="G1234">
        <f>Skills!G11*IF(Skills!H11&gt;0,Skills!I11/Skills!H11,1)</f>
        <v/>
      </c>
      <c r="H1234">
        <f>1-(1-Skills!J11/100)^Skills!K11</f>
        <v/>
      </c>
      <c r="I1234" t="inlineStr">
        <is>
          <t>1</t>
        </is>
      </c>
      <c r="J1234">
        <f>((Inputs!$B$6*(1+Inputs!$B$7/100))+(((Inputs!$B$12*(1+Inputs!$B$13/100))-(Inputs!$B$12*(1+Inputs!$B$13/100)))+0.25*(Inputs!$B$14-Inputs!$B$14))*(1+Inputs!$B$7/100))*(F1234/100)</f>
        <v/>
      </c>
      <c r="K1234">
        <f>J1234*(1+((Inputs!$B$12*(1+Inputs!$B$13/100))*0.01+Inputs!$B$14*0.0025)/100)*(1+Inputs!$B$15/100)*(1+Inputs!$B$16/100)*(5000/(6000+Inputs!$B$42*(1-(Inputs!$B$19+0)/100)))*(1+(Inputs!$B$24+((C1248=TRUE)*(F1248-Calc!F25))+B1258)/100)*(1+4.0*IF(C1235=TRUE,F1235,0)/100)*(1+IF(Skills!A11="ENHANCED_RAGING_BLOW",IF(Inputs!$B$3&gt;=134,MAX(0,IF(Inputs!$B$3&gt;=110,7,5)-5)*50,0),0)/100)*(1+(IF(Skills!A11="RAGING_BLOW",Inputs!$B$17+((C1244=TRUE)*(F1244-Calc!F21)),Inputs!$B$18+((C1246=TRUE)*(F1246-Calc!F23))))/100)*((1+(((C1236=TRUE)*F1236*IF(Inputs!$B$3&gt;=110,7,5))+((C1238=TRUE)*F1238*IF(AND(Inputs!$B$38&lt;&gt;"pvp",Inputs!$B$43&gt;0),(((R1238-1)*(Skills!T15*(1+Inputs!$B$34/100))+MIN((Skills!T15*(1+Inputs!$B$34/100)),MAX(0,Inputs!$B$43-((R1238-1)*Skills!D15))))/Inputs!$B$43),IF(Inputs!$B$38="pvp",MIN((Skills!T15*(1+Inputs!$B$34/100)),15)/15,(Skills!T15*(1+Inputs!$B$34/100))/Skills!D15)))+0)/100)*I1234)</f>
        <v/>
      </c>
      <c r="L1234">
        <f>K1234*(MIN(Inputs!$B$22+((C1245=TRUE)*(F1245-Calc!F22)),Inputs!$B$23+((C1247=TRUE)*(F1247-Calc!F24)))/100+(Inputs!$B$23+((C1247=TRUE)*(F1247-Calc!F24)))/100)/2</f>
        <v/>
      </c>
      <c r="M1234">
        <f>L1234*(1+(Inputs!$B$10+0+B1257)/100)</f>
        <v/>
      </c>
      <c r="N1234">
        <f>L1234*(1-MIN((Inputs!$B$9+((C1249=TRUE)*(F1249-Calc!F26))+B1252),100)/100)+M1234*(MIN((Inputs!$B$9+((C1249=TRUE)*(F1249-Calc!F26))+B1252),100)/100)</f>
        <v/>
      </c>
      <c r="O1234">
        <f>(1-Summary!$B$55)*T1234+Summary!$B$55*V1234</f>
        <v/>
      </c>
      <c r="P1234">
        <f>IF(B1262=0,0,O1234/B1262)</f>
        <v/>
      </c>
      <c r="Q1234">
        <f>IFERROR(1/IF(Inputs!$B$38="pvp",15,MAX(0.1,Skills!D11-IF(Skills!E11=TRUE,1.5,0))),0)</f>
        <v/>
      </c>
      <c r="R1234">
        <f>IF(AND(Inputs!$B$38&lt;&gt;"pvp",Inputs!$B$43&gt;0),IF(MAX(0,Inputs!$B$43-B1259)&lt;=0,0,(INT(MAX(0,Inputs!$B$43-B1259)/IF(Inputs!$B$38="pvp",15,MAX(0.1,Skills!D11-IF(Skills!E11=TRUE,1.5,0))))+1)),0)</f>
        <v/>
      </c>
      <c r="S1234">
        <f>IFERROR(O1234/N1234,0)</f>
        <v/>
      </c>
      <c r="T1234">
        <f>IF(C1234,(H1234*N1234*IF(AND(Inputs!$B$38&lt;&gt;"pvp",Inputs!$B$43&gt;0),((Skills!G11*((R1234-1)*IF(Skills!H11&gt;0,Skills!I11/Skills!H11,1)+IF(Skills!H11&gt;0,MIN(Skills!I11,MAX(0,MAX(0,Inputs!$B$43-B1259)-((R1234-1)*IF(Inputs!$B$38="pvp",15,MAX(0.1,Skills!D11-IF(Skills!E11=TRUE,1.5,0))))))/Skills!H11,1)))/Inputs!$B$43),G1234*Q1234))*IF(Inputs!$B$38="pvp",1,1+(Inputs!$B$20+0+Skills!P11+Summary!$B$59)/100),0)</f>
        <v/>
      </c>
      <c r="V1234">
        <f>IF(C1234,(H1234*N1234*IF(AND(Inputs!$B$38&lt;&gt;"pvp",Inputs!$B$43&gt;0),((Skills!G11*((R1234-1)*IF(Skills!H11&gt;0,Skills!I11/Skills!H11,1)+IF(Skills!H11&gt;0,MIN(Skills!I11,MAX(0,MAX(0,Inputs!$B$43-B1259)-((R1234-1)*IF(Inputs!$B$38="pvp",15,MAX(0.1,Skills!D11-IF(Skills!E11=TRUE,1.5,0))))))/Skills!H11,1)))/Inputs!$B$43),G1234*Q1234))*IF(Inputs!$B$38="pvp",1,(1+(Inputs!$B$21+Skills!Q11+Summary!$B$59)/100)*(MIN(Skills!R11,Inputs!$B$37))),0)</f>
        <v/>
      </c>
    </row>
    <row r="1235">
      <c r="A1235">
        <f>Skills!A12</f>
        <v/>
      </c>
      <c r="B1235">
        <f>Skills!B12</f>
        <v/>
      </c>
      <c r="C1235">
        <f>Inputs!$B$3&gt;=100</f>
        <v/>
      </c>
      <c r="D1235">
        <f>IF(Skills!C12=1,60+Inputs!$B$25+Inputs!$B$29,IF(Skills!C12=2,90+Inputs!$B$26+Inputs!$B$29,IF(Skills!C12=3,120+Inputs!$B$27+Inputs!$B$29,MAX(0,(Inputs!$B$3-100)*3)+Inputs!$B$28+Inputs!$B$29)))</f>
        <v/>
      </c>
      <c r="E1235">
        <f>INDEX(FactorTable!$B$2:$Y$301, MATCH(ROUND(MIN(300,MAX(1,D1235)),0), FactorTable!$A$2:$A$301,0), Skills!M12+1)</f>
        <v/>
      </c>
      <c r="F1235">
        <f>IF(Skills!N12=TRUE,(Skills!L12/10)*(E1235/1000),Skills!L12/10)+Skills!O12</f>
        <v/>
      </c>
      <c r="G1235" t="inlineStr"/>
      <c r="H1235" t="inlineStr"/>
      <c r="I1235" t="inlineStr">
        <is>
          <t>1</t>
        </is>
      </c>
      <c r="J1235" t="inlineStr"/>
      <c r="K1235" t="inlineStr"/>
      <c r="L1235" t="inlineStr"/>
      <c r="M1235" t="inlineStr"/>
      <c r="N1235" t="inlineStr"/>
      <c r="O1235" t="inlineStr"/>
      <c r="P1235" t="inlineStr"/>
      <c r="Q1235" t="inlineStr"/>
      <c r="R1235" t="inlineStr"/>
      <c r="S1235" t="inlineStr"/>
    </row>
    <row r="1236">
      <c r="A1236">
        <f>Skills!A13</f>
        <v/>
      </c>
      <c r="B1236">
        <f>Skills!B13</f>
        <v/>
      </c>
      <c r="C1236">
        <f>Inputs!$B$3&gt;=45</f>
        <v/>
      </c>
      <c r="D1236">
        <f>IF(Skills!C13=1,60+Inputs!$B$25+Inputs!$B$29,IF(Skills!C13=2,90+Inputs!$B$26+Inputs!$B$29,IF(Skills!C13=3,120+Inputs!$B$27+Inputs!$B$29,MAX(0,(Inputs!$B$3-100)*3)+Inputs!$B$28+Inputs!$B$29)))</f>
        <v/>
      </c>
      <c r="E1236">
        <f>INDEX(FactorTable!$B$2:$Y$301, MATCH(ROUND(MIN(300,MAX(1,D1236)),0), FactorTable!$A$2:$A$301,0), Skills!M13+1)</f>
        <v/>
      </c>
      <c r="F1236">
        <f>IF(Skills!N13=TRUE,(Skills!L13/10)*(E1236/1000),Skills!L13/10)+Skills!O13</f>
        <v/>
      </c>
      <c r="G1236">
        <f>Skills!G13*IF(Skills!H13&gt;0,Skills!I13/Skills!H13,1)</f>
        <v/>
      </c>
      <c r="H1236">
        <f>1-(1-Skills!J13/100)^Skills!K13</f>
        <v/>
      </c>
      <c r="I1236" t="inlineStr">
        <is>
          <t>1</t>
        </is>
      </c>
      <c r="J1236" t="inlineStr"/>
      <c r="K1236" t="inlineStr"/>
      <c r="L1236" t="inlineStr"/>
      <c r="M1236" t="inlineStr"/>
      <c r="N1236" t="inlineStr"/>
      <c r="O1236">
        <f>(1-Summary!$B$55)*T1236+Summary!$B$55*V1236</f>
        <v/>
      </c>
      <c r="P1236">
        <f>IF(B1262=0,0,O1236/B1262)</f>
        <v/>
      </c>
      <c r="Q1236" t="n">
        <v>0</v>
      </c>
      <c r="R1236" t="n">
        <v>0</v>
      </c>
      <c r="S1236">
        <f>IFERROR(O1236/N1236,0)</f>
        <v/>
      </c>
      <c r="T1236" t="n">
        <v>0</v>
      </c>
      <c r="V1236" t="n">
        <v>0</v>
      </c>
    </row>
    <row r="1237">
      <c r="A1237">
        <f>Skills!A14</f>
        <v/>
      </c>
      <c r="B1237">
        <f>Skills!B14</f>
        <v/>
      </c>
      <c r="C1237">
        <f>Inputs!$B$3&gt;=75</f>
        <v/>
      </c>
      <c r="D1237">
        <f>IF(Skills!C14=1,60+Inputs!$B$25+Inputs!$B$29,IF(Skills!C14=2,90+Inputs!$B$26+Inputs!$B$29,IF(Skills!C14=3,120+Inputs!$B$27+Inputs!$B$29,MAX(0,(Inputs!$B$3-100)*3)+Inputs!$B$28+Inputs!$B$29)))</f>
        <v/>
      </c>
      <c r="E1237">
        <f>INDEX(FactorTable!$B$2:$Y$301, MATCH(ROUND(MIN(300,MAX(1,D1237)),0), FactorTable!$A$2:$A$301,0), Skills!M14+1)</f>
        <v/>
      </c>
      <c r="F1237">
        <f>IF(Skills!N14=TRUE,(Skills!L14/10)*(E1237/1000),Skills!L14/10)+Skills!O14</f>
        <v/>
      </c>
      <c r="G1237">
        <f>Skills!G14*IF(Skills!H14&gt;0,Skills!I14/Skills!H14,1)</f>
        <v/>
      </c>
      <c r="H1237">
        <f>1-(1-Skills!J14/100)^Skills!K14</f>
        <v/>
      </c>
      <c r="I1237" t="inlineStr">
        <is>
          <t>1</t>
        </is>
      </c>
      <c r="J1237" t="inlineStr"/>
      <c r="K1237" t="inlineStr"/>
      <c r="L1237" t="inlineStr"/>
      <c r="M1237" t="inlineStr"/>
      <c r="N1237" t="inlineStr"/>
      <c r="O1237">
        <f>(1-Summary!$B$55)*T1237+Summary!$B$55*V1237</f>
        <v/>
      </c>
      <c r="P1237">
        <f>IF(B1262=0,0,O1237/B1262)</f>
        <v/>
      </c>
      <c r="Q1237" t="n">
        <v>0</v>
      </c>
      <c r="R1237" t="n">
        <v>0</v>
      </c>
      <c r="S1237">
        <f>IFERROR(O1237/N1237,0)</f>
        <v/>
      </c>
      <c r="T1237" t="n">
        <v>0</v>
      </c>
      <c r="V1237" t="n">
        <v>0</v>
      </c>
    </row>
    <row r="1238">
      <c r="A1238">
        <f>Skills!A15</f>
        <v/>
      </c>
      <c r="B1238">
        <f>Skills!B15</f>
        <v/>
      </c>
      <c r="C1238">
        <f>Inputs!$B$3&gt;=40</f>
        <v/>
      </c>
      <c r="D1238">
        <f>IF(Skills!C15=1,60+Inputs!$B$25+Inputs!$B$29,IF(Skills!C15=2,90+Inputs!$B$26+Inputs!$B$29,IF(Skills!C15=3,120+Inputs!$B$27+Inputs!$B$29,MAX(0,(Inputs!$B$3-100)*3)+Inputs!$B$28+Inputs!$B$29)))</f>
        <v/>
      </c>
      <c r="E1238">
        <f>INDEX(FactorTable!$B$2:$Y$301, MATCH(ROUND(MIN(300,MAX(1,D1238)),0), FactorTable!$A$2:$A$301,0), Skills!M15+1)</f>
        <v/>
      </c>
      <c r="F1238">
        <f>IF(Skills!N15=TRUE,(Skills!L15/10)*(E1238/1000),Skills!L15/10)+Skills!O15</f>
        <v/>
      </c>
      <c r="G1238">
        <f>Skills!G15*IF(Skills!H15&gt;0,Skills!I15/Skills!H15,1)</f>
        <v/>
      </c>
      <c r="H1238">
        <f>1-(1-Skills!J15/100)^Skills!K15</f>
        <v/>
      </c>
      <c r="I1238" t="inlineStr">
        <is>
          <t>1</t>
        </is>
      </c>
      <c r="J1238" t="inlineStr"/>
      <c r="K1238" t="inlineStr"/>
      <c r="L1238" t="inlineStr"/>
      <c r="M1238" t="inlineStr"/>
      <c r="N1238" t="inlineStr"/>
      <c r="O1238">
        <f>(1-Summary!$B$55)*T1238+Summary!$B$55*V1238</f>
        <v/>
      </c>
      <c r="P1238">
        <f>IF(B1262=0,0,O1238/B1262)</f>
        <v/>
      </c>
      <c r="Q1238">
        <f>IFERROR(1/IF(Inputs!$B$38="pvp",15,MAX(0.1,Skills!D15-IF(Skills!E15=TRUE,1.5,0))),0)</f>
        <v/>
      </c>
      <c r="R1238">
        <f>IF(AND(Inputs!$B$38&lt;&gt;"pvp",Inputs!$B$43&gt;0),IF(Inputs!$B$43&lt;=0,0,(INT(Inputs!$B$43/IF(Inputs!$B$38="pvp",15,MAX(0.1,Skills!D15-IF(Skills!E15=TRUE,1.5,0))))+1)),0)</f>
        <v/>
      </c>
      <c r="S1238">
        <f>IFERROR(O1238/N1238,0)</f>
        <v/>
      </c>
      <c r="T1238" t="n">
        <v>0</v>
      </c>
      <c r="V1238" t="n">
        <v>0</v>
      </c>
    </row>
    <row r="1239">
      <c r="A1239">
        <f>Skills!A16</f>
        <v/>
      </c>
      <c r="B1239">
        <f>Skills!B16</f>
        <v/>
      </c>
      <c r="C1239">
        <f>Inputs!$B$3&gt;=66</f>
        <v/>
      </c>
      <c r="D1239">
        <f>IF(Skills!C16=1,60+Inputs!$B$25+Inputs!$B$29,IF(Skills!C16=2,90+Inputs!$B$26+Inputs!$B$29,IF(Skills!C16=3,120+Inputs!$B$27+Inputs!$B$29,MAX(0,(Inputs!$B$3-100)*3)+Inputs!$B$28+Inputs!$B$29)))</f>
        <v/>
      </c>
      <c r="E1239">
        <f>INDEX(FactorTable!$B$2:$Y$301, MATCH(ROUND(MIN(300,MAX(1,D1239)),0), FactorTable!$A$2:$A$301,0), Skills!M16+1)</f>
        <v/>
      </c>
      <c r="F1239">
        <f>IF(Skills!N16=TRUE,(Skills!L16/10)*(E1239/1000),Skills!L16/10)+Skills!O16</f>
        <v/>
      </c>
      <c r="G1239">
        <f>Skills!G16*IF(Skills!H16&gt;0,Skills!I16/Skills!H16,1)</f>
        <v/>
      </c>
      <c r="H1239">
        <f>1-(1-Skills!J16/100)^Skills!K16</f>
        <v/>
      </c>
      <c r="I1239" t="inlineStr">
        <is>
          <t>1</t>
        </is>
      </c>
      <c r="J1239" t="inlineStr"/>
      <c r="K1239" t="inlineStr"/>
      <c r="L1239" t="inlineStr"/>
      <c r="M1239" t="inlineStr"/>
      <c r="N1239" t="inlineStr"/>
      <c r="O1239">
        <f>(1-Summary!$B$55)*T1239+Summary!$B$55*V1239</f>
        <v/>
      </c>
      <c r="P1239">
        <f>IF(B1262=0,0,O1239/B1262)</f>
        <v/>
      </c>
      <c r="Q1239">
        <f>IFERROR(1/IF(Inputs!$B$38="pvp",15,MAX(0.1,Skills!D16-IF(Skills!E16=TRUE,1.5,0))),0)</f>
        <v/>
      </c>
      <c r="R1239">
        <f>IF(AND(Inputs!$B$38&lt;&gt;"pvp",Inputs!$B$43&gt;0),IF(Inputs!$B$43&lt;=0,0,(INT(Inputs!$B$43/IF(Inputs!$B$38="pvp",15,MAX(0.1,Skills!D16-IF(Skills!E16=TRUE,1.5,0))))+1)),0)</f>
        <v/>
      </c>
      <c r="S1239">
        <f>IFERROR(O1239/N1239,0)</f>
        <v/>
      </c>
      <c r="T1239" t="n">
        <v>0</v>
      </c>
      <c r="V1239" t="n">
        <v>0</v>
      </c>
    </row>
    <row r="1240">
      <c r="A1240">
        <f>Skills!A17</f>
        <v/>
      </c>
      <c r="B1240">
        <f>Skills!B17</f>
        <v/>
      </c>
      <c r="C1240">
        <f>Inputs!$B$3&gt;=115</f>
        <v/>
      </c>
      <c r="D1240">
        <f>IF(Skills!C17=1,60+Inputs!$B$25+Inputs!$B$29,IF(Skills!C17=2,90+Inputs!$B$26+Inputs!$B$29,IF(Skills!C17=3,120+Inputs!$B$27+Inputs!$B$29,MAX(0,(Inputs!$B$3-100)*3)+Inputs!$B$28+Inputs!$B$29)))</f>
        <v/>
      </c>
      <c r="E1240">
        <f>INDEX(FactorTable!$B$2:$Y$301, MATCH(ROUND(MIN(300,MAX(1,D1240)),0), FactorTable!$A$2:$A$301,0), Skills!M17+1)</f>
        <v/>
      </c>
      <c r="F1240">
        <f>IF(Skills!N17=TRUE,(Skills!L17/10)*(E1240/1000),Skills!L17/10)+Skills!O17</f>
        <v/>
      </c>
      <c r="G1240">
        <f>Skills!G17*IF(Skills!H17&gt;0,Skills!I17/Skills!H17,1)</f>
        <v/>
      </c>
      <c r="H1240">
        <f>1-(1-Skills!J17/100)^Skills!K17</f>
        <v/>
      </c>
      <c r="I1240" t="inlineStr">
        <is>
          <t>1</t>
        </is>
      </c>
      <c r="J1240" t="inlineStr"/>
      <c r="K1240" t="inlineStr"/>
      <c r="L1240" t="inlineStr"/>
      <c r="M1240" t="inlineStr"/>
      <c r="N1240" t="inlineStr"/>
      <c r="O1240">
        <f>(1-Summary!$B$55)*T1240+Summary!$B$55*V1240</f>
        <v/>
      </c>
      <c r="P1240">
        <f>IF(B1262=0,0,O1240/B1262)</f>
        <v/>
      </c>
      <c r="Q1240">
        <f>IFERROR(1/IF(Inputs!$B$38="pvp",15,MAX(0.1,Skills!D17-IF(Skills!E17=TRUE,1.5,0))),0)</f>
        <v/>
      </c>
      <c r="R1240">
        <f>IF(AND(Inputs!$B$38&lt;&gt;"pvp",Inputs!$B$43&gt;0),IF(Inputs!$B$43&lt;=0,0,(INT(Inputs!$B$43/IF(Inputs!$B$38="pvp",15,MAX(0.1,Skills!D17-IF(Skills!E17=TRUE,1.5,0))))+1)),0)</f>
        <v/>
      </c>
      <c r="S1240">
        <f>IFERROR(O1240/N1240,0)</f>
        <v/>
      </c>
      <c r="T1240" t="n">
        <v>0</v>
      </c>
      <c r="V1240" t="n">
        <v>0</v>
      </c>
    </row>
    <row r="1241">
      <c r="A1241">
        <f>Skills!A18</f>
        <v/>
      </c>
      <c r="B1241">
        <f>Skills!B18</f>
        <v/>
      </c>
      <c r="C1241">
        <f>Inputs!$B$3&gt;=115</f>
        <v/>
      </c>
      <c r="D1241">
        <f>IF(Skills!C18=1,60+Inputs!$B$25+Inputs!$B$29,IF(Skills!C18=2,90+Inputs!$B$26+Inputs!$B$29,IF(Skills!C18=3,120+Inputs!$B$27+Inputs!$B$29,MAX(0,(Inputs!$B$3-100)*3)+Inputs!$B$28+Inputs!$B$29)))</f>
        <v/>
      </c>
      <c r="E1241">
        <f>INDEX(FactorTable!$B$2:$Y$301, MATCH(ROUND(MIN(300,MAX(1,D1241)),0), FactorTable!$A$2:$A$301,0), Skills!M18+1)</f>
        <v/>
      </c>
      <c r="F1241">
        <f>IF(Skills!N18=TRUE,(Skills!L18/10)*(E1241/1000),Skills!L18/10)+Skills!O18</f>
        <v/>
      </c>
      <c r="G1241">
        <f>Skills!G18*IF(Skills!H18&gt;0,Skills!I18/Skills!H18,1)</f>
        <v/>
      </c>
      <c r="H1241">
        <f>1-(1-Skills!J18/100)^Skills!K18</f>
        <v/>
      </c>
      <c r="I1241" t="inlineStr">
        <is>
          <t>1</t>
        </is>
      </c>
      <c r="J1241" t="inlineStr"/>
      <c r="K1241" t="inlineStr"/>
      <c r="L1241" t="inlineStr"/>
      <c r="M1241" t="inlineStr"/>
      <c r="N1241" t="inlineStr"/>
      <c r="O1241">
        <f>(1-Summary!$B$55)*T1241+Summary!$B$55*V1241</f>
        <v/>
      </c>
      <c r="P1241">
        <f>IF(B1262=0,0,O1241/B1262)</f>
        <v/>
      </c>
      <c r="Q1241">
        <f>IFERROR(1/IF(Inputs!$B$38="pvp",15,MAX(0.1,Skills!D18-IF(Skills!E18=TRUE,1.5,0))),0)</f>
        <v/>
      </c>
      <c r="R1241">
        <f>IF(AND(Inputs!$B$38&lt;&gt;"pvp",Inputs!$B$43&gt;0),IF(Inputs!$B$43&lt;=0,0,(INT(Inputs!$B$43/IF(Inputs!$B$38="pvp",15,MAX(0.1,Skills!D18-IF(Skills!E18=TRUE,1.5,0))))+1)),0)</f>
        <v/>
      </c>
      <c r="S1241">
        <f>IFERROR(O1241/N1241,0)</f>
        <v/>
      </c>
      <c r="T1241" t="n">
        <v>0</v>
      </c>
      <c r="V1241" t="n">
        <v>0</v>
      </c>
    </row>
    <row r="1242">
      <c r="A1242">
        <f>Skills!A19</f>
        <v/>
      </c>
      <c r="B1242">
        <f>Skills!B19</f>
        <v/>
      </c>
      <c r="C1242">
        <f>TRUE</f>
        <v/>
      </c>
      <c r="D1242">
        <f>IF(Skills!C19=1,60+Inputs!$B$25+Inputs!$B$29,IF(Skills!C19=2,90+Inputs!$B$26+Inputs!$B$29,IF(Skills!C19=3,120+Inputs!$B$27+Inputs!$B$29,MAX(0,(Inputs!$B$3-100)*3)+Inputs!$B$28+Inputs!$B$29)))</f>
        <v/>
      </c>
      <c r="E1242">
        <f>INDEX(FactorTable!$B$2:$Y$301, MATCH(ROUND(MIN(300,MAX(1,D1242)),0), FactorTable!$A$2:$A$301,0), Skills!M19+1)</f>
        <v/>
      </c>
      <c r="F1242">
        <f>IF(Skills!N19=TRUE,(Skills!L19/10)*(E1242/1000),Skills!L19/10)+Skills!O19</f>
        <v/>
      </c>
      <c r="G1242">
        <f>Skills!G19*IF(Skills!H19&gt;0,Skills!I19/Skills!H19,1)</f>
        <v/>
      </c>
      <c r="H1242">
        <f>1-(1-Skills!J19/100)^Skills!K19</f>
        <v/>
      </c>
      <c r="I1242" t="inlineStr">
        <is>
          <t>1</t>
        </is>
      </c>
      <c r="J1242" t="inlineStr"/>
      <c r="K1242" t="inlineStr"/>
      <c r="L1242" t="inlineStr"/>
      <c r="M1242" t="inlineStr"/>
      <c r="N1242" t="inlineStr"/>
      <c r="O1242">
        <f>(1-Summary!$B$55)*T1242+Summary!$B$55*V1242</f>
        <v/>
      </c>
      <c r="P1242">
        <f>IF(B1262=0,0,O1242/B1262)</f>
        <v/>
      </c>
      <c r="Q1242">
        <f>IFERROR(1/IF(Inputs!$B$38="pvp",15,MAX(0.1,Skills!D19-IF(Skills!E19=TRUE,1.5,0))),0)</f>
        <v/>
      </c>
      <c r="R1242">
        <f>IF(AND(Inputs!$B$38&lt;&gt;"pvp",Inputs!$B$43&gt;0),IF(Inputs!$B$43&lt;=0,0,(INT(Inputs!$B$43/IF(Inputs!$B$38="pvp",15,MAX(0.1,Skills!D19-IF(Skills!E19=TRUE,1.5,0))))+1)),0)</f>
        <v/>
      </c>
      <c r="S1242">
        <f>IFERROR(O1242/N1242,0)</f>
        <v/>
      </c>
      <c r="T1242" t="n">
        <v>0</v>
      </c>
      <c r="V1242" t="n">
        <v>0</v>
      </c>
    </row>
    <row r="1243">
      <c r="A1243">
        <f>Skills!A20</f>
        <v/>
      </c>
      <c r="B1243">
        <f>Skills!B20</f>
        <v/>
      </c>
      <c r="C1243">
        <f>Inputs!$B$3&gt;=33</f>
        <v/>
      </c>
      <c r="D1243">
        <f>IF(Skills!C20=1,60+Inputs!$B$25+Inputs!$B$29,IF(Skills!C20=2,90+Inputs!$B$26+Inputs!$B$29,IF(Skills!C20=3,120+Inputs!$B$27+Inputs!$B$29,MAX(0,(Inputs!$B$3-100)*3)+Inputs!$B$28+Inputs!$B$29)))</f>
        <v/>
      </c>
      <c r="E1243">
        <f>INDEX(FactorTable!$B$2:$Y$301, MATCH(ROUND(MIN(300,MAX(1,D1243)),0), FactorTable!$A$2:$A$301,0), Skills!M20+1)</f>
        <v/>
      </c>
      <c r="F1243">
        <f>IF(Skills!N20=TRUE,(Skills!L20/10)*(E1243/1000),Skills!L20/10)+Skills!O20</f>
        <v/>
      </c>
      <c r="G1243">
        <f>Skills!G20*IF(Skills!H20&gt;0,Skills!I20/Skills!H20,1)</f>
        <v/>
      </c>
      <c r="H1243">
        <f>1-(1-Skills!J20/100)^Skills!K20</f>
        <v/>
      </c>
      <c r="I1243" t="inlineStr">
        <is>
          <t>1</t>
        </is>
      </c>
      <c r="J1243" t="inlineStr"/>
      <c r="K1243" t="inlineStr"/>
      <c r="L1243" t="inlineStr"/>
      <c r="M1243" t="inlineStr"/>
      <c r="N1243" t="inlineStr"/>
      <c r="O1243">
        <f>(1-Summary!$B$55)*T1243+Summary!$B$55*V1243</f>
        <v/>
      </c>
      <c r="P1243">
        <f>IF(B1262=0,0,O1243/B1262)</f>
        <v/>
      </c>
      <c r="Q1243" t="n">
        <v>0</v>
      </c>
      <c r="R1243" t="n">
        <v>0</v>
      </c>
      <c r="S1243">
        <f>IFERROR(O1243/N1243,0)</f>
        <v/>
      </c>
      <c r="T1243" t="n">
        <v>0</v>
      </c>
      <c r="V1243" t="n">
        <v>0</v>
      </c>
    </row>
    <row r="1244">
      <c r="A1244">
        <f>Skills!A21</f>
        <v/>
      </c>
      <c r="B1244">
        <f>Skills!B21</f>
        <v/>
      </c>
      <c r="C1244">
        <f>Inputs!$B$3&gt;=38</f>
        <v/>
      </c>
      <c r="D1244">
        <f>IF(Skills!C21=1,60+Inputs!$B$25+Inputs!$B$29,IF(Skills!C21=2,90+Inputs!$B$26+Inputs!$B$29,IF(Skills!C21=3,120+Inputs!$B$27+Inputs!$B$29,MAX(0,(Inputs!$B$3-100)*3)+Inputs!$B$28+Inputs!$B$29)))</f>
        <v/>
      </c>
      <c r="E1244">
        <f>INDEX(FactorTable!$B$2:$Y$301, MATCH(ROUND(MIN(300,MAX(1,D1244)),0), FactorTable!$A$2:$A$301,0), Skills!M21+1)</f>
        <v/>
      </c>
      <c r="F1244">
        <f>IF(Skills!N21=TRUE,(Skills!L21/10)*(E1244/1000),Skills!L21/10)+Skills!O21</f>
        <v/>
      </c>
      <c r="G1244">
        <f>Skills!G21*IF(Skills!H21&gt;0,Skills!I21/Skills!H21,1)</f>
        <v/>
      </c>
      <c r="H1244">
        <f>1-(1-Skills!J21/100)^Skills!K21</f>
        <v/>
      </c>
      <c r="I1244" t="inlineStr">
        <is>
          <t>1</t>
        </is>
      </c>
      <c r="J1244" t="inlineStr"/>
      <c r="K1244" t="inlineStr"/>
      <c r="L1244" t="inlineStr"/>
      <c r="M1244" t="inlineStr"/>
      <c r="N1244" t="inlineStr"/>
      <c r="O1244">
        <f>(1-Summary!$B$55)*T1244+Summary!$B$55*V1244</f>
        <v/>
      </c>
      <c r="P1244">
        <f>IF(B1262=0,0,O1244/B1262)</f>
        <v/>
      </c>
      <c r="Q1244" t="n">
        <v>0</v>
      </c>
      <c r="R1244" t="n">
        <v>0</v>
      </c>
      <c r="S1244">
        <f>IFERROR(O1244/N1244,0)</f>
        <v/>
      </c>
      <c r="T1244" t="n">
        <v>0</v>
      </c>
      <c r="V1244" t="n">
        <v>0</v>
      </c>
    </row>
    <row r="1245">
      <c r="A1245">
        <f>Skills!A22</f>
        <v/>
      </c>
      <c r="B1245">
        <f>Skills!B22</f>
        <v/>
      </c>
      <c r="C1245">
        <f>Inputs!$B$3&gt;=43</f>
        <v/>
      </c>
      <c r="D1245">
        <f>IF(Skills!C22=1,60+Inputs!$B$25+Inputs!$B$29,IF(Skills!C22=2,90+Inputs!$B$26+Inputs!$B$29,IF(Skills!C22=3,120+Inputs!$B$27+Inputs!$B$29,MAX(0,(Inputs!$B$3-100)*3)+Inputs!$B$28+Inputs!$B$29)))</f>
        <v/>
      </c>
      <c r="E1245">
        <f>INDEX(FactorTable!$B$2:$Y$301, MATCH(ROUND(MIN(300,MAX(1,D1245)),0), FactorTable!$A$2:$A$301,0), Skills!M22+1)</f>
        <v/>
      </c>
      <c r="F1245">
        <f>IF(Skills!N22=TRUE,(Skills!L22/10)*(E1245/1000),Skills!L22/10)+Skills!O22</f>
        <v/>
      </c>
      <c r="G1245">
        <f>Skills!G22*IF(Skills!H22&gt;0,Skills!I22/Skills!H22,1)</f>
        <v/>
      </c>
      <c r="H1245">
        <f>1-(1-Skills!J22/100)^Skills!K22</f>
        <v/>
      </c>
      <c r="I1245" t="inlineStr">
        <is>
          <t>1</t>
        </is>
      </c>
      <c r="J1245" t="inlineStr"/>
      <c r="K1245" t="inlineStr"/>
      <c r="L1245" t="inlineStr"/>
      <c r="M1245" t="inlineStr"/>
      <c r="N1245" t="inlineStr"/>
      <c r="O1245">
        <f>(1-Summary!$B$55)*T1245+Summary!$B$55*V1245</f>
        <v/>
      </c>
      <c r="P1245">
        <f>IF(B1262=0,0,O1245/B1262)</f>
        <v/>
      </c>
      <c r="Q1245" t="n">
        <v>0</v>
      </c>
      <c r="R1245" t="n">
        <v>0</v>
      </c>
      <c r="S1245">
        <f>IFERROR(O1245/N1245,0)</f>
        <v/>
      </c>
      <c r="T1245" t="n">
        <v>0</v>
      </c>
      <c r="V1245" t="n">
        <v>0</v>
      </c>
    </row>
    <row r="1246">
      <c r="A1246">
        <f>Skills!A23</f>
        <v/>
      </c>
      <c r="B1246">
        <f>Skills!B23</f>
        <v/>
      </c>
      <c r="C1246">
        <f>Inputs!$B$3&gt;=120</f>
        <v/>
      </c>
      <c r="D1246">
        <f>IF(Skills!C23=1,60+Inputs!$B$25+Inputs!$B$29,IF(Skills!C23=2,90+Inputs!$B$26+Inputs!$B$29,IF(Skills!C23=3,120+Inputs!$B$27+Inputs!$B$29,MAX(0,(Inputs!$B$3-100)*3)+Inputs!$B$28+Inputs!$B$29)))</f>
        <v/>
      </c>
      <c r="E1246">
        <f>INDEX(FactorTable!$B$2:$Y$301, MATCH(ROUND(MIN(300,MAX(1,D1246)),0), FactorTable!$A$2:$A$301,0), Skills!M23+1)</f>
        <v/>
      </c>
      <c r="F1246">
        <f>IF(Skills!N23=TRUE,(Skills!L23/10)*(E1246/1000),Skills!L23/10)+Skills!O23</f>
        <v/>
      </c>
      <c r="G1246">
        <f>Skills!G23*IF(Skills!H23&gt;0,Skills!I23/Skills!H23,1)</f>
        <v/>
      </c>
      <c r="H1246">
        <f>1-(1-Skills!J23/100)^Skills!K23</f>
        <v/>
      </c>
      <c r="I1246" t="inlineStr">
        <is>
          <t>1</t>
        </is>
      </c>
      <c r="J1246" t="inlineStr"/>
      <c r="K1246" t="inlineStr"/>
      <c r="L1246" t="inlineStr"/>
      <c r="M1246" t="inlineStr"/>
      <c r="N1246" t="inlineStr"/>
      <c r="O1246">
        <f>(1-Summary!$B$55)*T1246+Summary!$B$55*V1246</f>
        <v/>
      </c>
      <c r="P1246">
        <f>IF(B1262=0,0,O1246/B1262)</f>
        <v/>
      </c>
      <c r="Q1246" t="n">
        <v>0</v>
      </c>
      <c r="R1246" t="n">
        <v>0</v>
      </c>
      <c r="S1246">
        <f>IFERROR(O1246/N1246,0)</f>
        <v/>
      </c>
      <c r="T1246" t="n">
        <v>0</v>
      </c>
      <c r="V1246" t="n">
        <v>0</v>
      </c>
    </row>
    <row r="1247">
      <c r="A1247">
        <f>Skills!A24</f>
        <v/>
      </c>
      <c r="B1247">
        <f>Skills!B24</f>
        <v/>
      </c>
      <c r="C1247">
        <f>Inputs!$B$3&gt;=120</f>
        <v/>
      </c>
      <c r="D1247">
        <f>IF(Skills!C24=1,60+Inputs!$B$25+Inputs!$B$29,IF(Skills!C24=2,90+Inputs!$B$26+Inputs!$B$29,IF(Skills!C24=3,120+Inputs!$B$27+Inputs!$B$29,MAX(0,(Inputs!$B$3-100)*3)+Inputs!$B$28+Inputs!$B$29)))</f>
        <v/>
      </c>
      <c r="E1247">
        <f>INDEX(FactorTable!$B$2:$Y$301, MATCH(ROUND(MIN(300,MAX(1,D1247)),0), FactorTable!$A$2:$A$301,0), Skills!M24+1)</f>
        <v/>
      </c>
      <c r="F1247">
        <f>IF(Skills!N24=TRUE,(Skills!L24/10)*(E1247/1000),Skills!L24/10)+Skills!O24</f>
        <v/>
      </c>
      <c r="G1247">
        <f>Skills!G24*IF(Skills!H24&gt;0,Skills!I24/Skills!H24,1)</f>
        <v/>
      </c>
      <c r="H1247">
        <f>1-(1-Skills!J24/100)^Skills!K24</f>
        <v/>
      </c>
      <c r="I1247" t="inlineStr">
        <is>
          <t>1</t>
        </is>
      </c>
      <c r="J1247" t="inlineStr"/>
      <c r="K1247" t="inlineStr"/>
      <c r="L1247" t="inlineStr"/>
      <c r="M1247" t="inlineStr"/>
      <c r="N1247" t="inlineStr"/>
      <c r="O1247">
        <f>(1-Summary!$B$55)*T1247+Summary!$B$55*V1247</f>
        <v/>
      </c>
      <c r="P1247">
        <f>IF(B1262=0,0,O1247/B1262)</f>
        <v/>
      </c>
      <c r="Q1247" t="n">
        <v>0</v>
      </c>
      <c r="R1247" t="n">
        <v>0</v>
      </c>
      <c r="S1247">
        <f>IFERROR(O1247/N1247,0)</f>
        <v/>
      </c>
      <c r="T1247" t="n">
        <v>0</v>
      </c>
      <c r="V1247" t="n">
        <v>0</v>
      </c>
    </row>
    <row r="1248">
      <c r="A1248">
        <f>Skills!A25</f>
        <v/>
      </c>
      <c r="B1248">
        <f>Skills!B25</f>
        <v/>
      </c>
      <c r="C1248">
        <f>Inputs!$B$3&gt;=125</f>
        <v/>
      </c>
      <c r="D1248">
        <f>IF(Skills!C25=1,60+Inputs!$B$25+Inputs!$B$29,IF(Skills!C25=2,90+Inputs!$B$26+Inputs!$B$29,IF(Skills!C25=3,120+Inputs!$B$27+Inputs!$B$29,MAX(0,(Inputs!$B$3-100)*3)+Inputs!$B$28+Inputs!$B$29)))</f>
        <v/>
      </c>
      <c r="E1248">
        <f>INDEX(FactorTable!$B$2:$Y$301, MATCH(ROUND(MIN(300,MAX(1,D1248)),0), FactorTable!$A$2:$A$301,0), Skills!M25+1)</f>
        <v/>
      </c>
      <c r="F1248">
        <f>IF(Skills!N25=TRUE,(Skills!L25/10)*(E1248/1000),Skills!L25/10)+Skills!O25</f>
        <v/>
      </c>
      <c r="G1248">
        <f>Skills!G25*IF(Skills!H25&gt;0,Skills!I25/Skills!H25,1)</f>
        <v/>
      </c>
      <c r="H1248">
        <f>1-(1-Skills!J25/100)^Skills!K25</f>
        <v/>
      </c>
      <c r="I1248" t="inlineStr">
        <is>
          <t>1</t>
        </is>
      </c>
      <c r="J1248" t="inlineStr"/>
      <c r="K1248" t="inlineStr"/>
      <c r="L1248" t="inlineStr"/>
      <c r="M1248" t="inlineStr"/>
      <c r="N1248" t="inlineStr"/>
      <c r="O1248">
        <f>(1-Summary!$B$55)*T1248+Summary!$B$55*V1248</f>
        <v/>
      </c>
      <c r="P1248">
        <f>IF(B1262=0,0,O1248/B1262)</f>
        <v/>
      </c>
      <c r="Q1248" t="n">
        <v>0</v>
      </c>
      <c r="R1248" t="n">
        <v>0</v>
      </c>
      <c r="S1248">
        <f>IFERROR(O1248/N1248,0)</f>
        <v/>
      </c>
      <c r="T1248" t="n">
        <v>0</v>
      </c>
      <c r="V1248" t="n">
        <v>0</v>
      </c>
    </row>
    <row r="1249">
      <c r="A1249">
        <f>Skills!A26</f>
        <v/>
      </c>
      <c r="B1249">
        <f>Skills!B26</f>
        <v/>
      </c>
      <c r="C1249">
        <f>Inputs!$B$3&gt;=72</f>
        <v/>
      </c>
      <c r="D1249">
        <f>IF(Skills!C26=1,60+Inputs!$B$25+Inputs!$B$29,IF(Skills!C26=2,90+Inputs!$B$26+Inputs!$B$29,IF(Skills!C26=3,120+Inputs!$B$27+Inputs!$B$29,MAX(0,(Inputs!$B$3-100)*3)+Inputs!$B$28+Inputs!$B$29)))</f>
        <v/>
      </c>
      <c r="E1249">
        <f>INDEX(FactorTable!$B$2:$Y$301, MATCH(ROUND(MIN(300,MAX(1,D1249)),0), FactorTable!$A$2:$A$301,0), Skills!M26+1)</f>
        <v/>
      </c>
      <c r="F1249">
        <f>IF(Skills!N26=TRUE,(Skills!L26/10)*(E1249/1000),Skills!L26/10)+Skills!O26</f>
        <v/>
      </c>
      <c r="G1249">
        <f>Skills!G26*IF(Skills!H26&gt;0,Skills!I26/Skills!H26,1)</f>
        <v/>
      </c>
      <c r="H1249">
        <f>1-(1-Skills!J26/100)^Skills!K26</f>
        <v/>
      </c>
      <c r="I1249" t="inlineStr">
        <is>
          <t>1</t>
        </is>
      </c>
      <c r="J1249" t="inlineStr"/>
      <c r="K1249" t="inlineStr"/>
      <c r="L1249" t="inlineStr"/>
      <c r="M1249" t="inlineStr"/>
      <c r="N1249" t="inlineStr"/>
      <c r="O1249">
        <f>(1-Summary!$B$55)*T1249+Summary!$B$55*V1249</f>
        <v/>
      </c>
      <c r="P1249">
        <f>IF(B1262=0,0,O1249/B1262)</f>
        <v/>
      </c>
      <c r="Q1249" t="n">
        <v>0</v>
      </c>
      <c r="R1249" t="n">
        <v>0</v>
      </c>
      <c r="S1249">
        <f>IFERROR(O1249/N1249,0)</f>
        <v/>
      </c>
      <c r="T1249" t="n">
        <v>0</v>
      </c>
      <c r="V1249" t="n">
        <v>0</v>
      </c>
    </row>
    <row r="1251">
      <c r="A1251" t="inlineStr">
        <is>
          <t>Attack% Bucket Multiplier</t>
        </is>
      </c>
      <c r="B1251">
        <f>(1+(((C1236=TRUE)*F1236*IF(Inputs!$B$3&gt;=110,7,5))+((C1238=TRUE)*F1238*IF(AND(Inputs!$B$38&lt;&gt;"pvp",Inputs!$B$43&gt;0),(((R1238-1)*(Skills!T15*(1+Inputs!$B$34/100))+MIN((Skills!T15*(1+Inputs!$B$34/100)),MAX(0,Inputs!$B$43-((R1238-1)*Skills!D15))))/Inputs!$B$43),IF(Inputs!$B$38="pvp",MIN((Skills!T15*(1+Inputs!$B$34/100)),15)/15,(Skills!T15*(1+Inputs!$B$34/100))/Skills!D15)))+0)/100)</f>
        <v/>
      </c>
    </row>
    <row r="1252">
      <c r="A1252" t="inlineStr">
        <is>
          <t>Global Crit Rate Bonus %</t>
        </is>
      </c>
      <c r="B1252" t="n">
        <v>0</v>
      </c>
    </row>
    <row r="1253">
      <c r="A1253" t="inlineStr">
        <is>
          <t>Attack Speed Buff Bonus %</t>
        </is>
      </c>
      <c r="B1253">
        <f>((C1242=TRUE)*F1242*IF(AND(Inputs!$B$38&lt;&gt;"pvp",Inputs!$B$43&gt;0),(((R1242-1)*(Skills!T19*(1+Inputs!$B$34/100))+MIN((Skills!T19*(1+Inputs!$B$34/100)),MAX(0,Inputs!$B$43-((R1242-1)*Skills!D19))))/Inputs!$B$43),IF(Inputs!$B$38="pvp",MIN((Skills!T19*(1+Inputs!$B$34/100)),15)/15,(Skills!T19*(1+Inputs!$B$34/100))/Skills!D19)))</f>
        <v/>
      </c>
    </row>
    <row r="1254">
      <c r="A1254" t="inlineStr">
        <is>
          <t>Actions Per Second</t>
        </is>
      </c>
      <c r="B1254">
        <f>1+MIN(150,150*(1-(1-(Inputs!$B$11+((C1243=TRUE)*(F1243-Calc!F20)))/150)*(1-B1253/150)))/100</f>
        <v/>
      </c>
    </row>
    <row r="1255">
      <c r="A1255" t="inlineStr">
        <is>
          <t>Skill + Buff Cast Rate</t>
        </is>
      </c>
      <c r="B1255">
        <f>IF(AND(Inputs!$B$38&lt;&gt;"pvp",Inputs!$B$43&gt;0),SUMPRODUCT((Skills!E2:E26=TRUE)*(C1225:C1249=TRUE)*R1225:R1249*Skills!F2:F26)/Inputs!$B$43,SUMPRODUCT((Skills!E2:E26=TRUE)*(C1225:C1249=TRUE)*Q1225:Q1249*Skills!F2:F26))</f>
        <v/>
      </c>
    </row>
    <row r="1256">
      <c r="A1256" t="inlineStr">
        <is>
          <t>Raging Blow Casts Per Second</t>
        </is>
      </c>
      <c r="B1256">
        <f>MAX(0,B1254-B1255)</f>
        <v/>
      </c>
    </row>
    <row r="1257">
      <c r="A1257" t="inlineStr">
        <is>
          <t>Global Critical Damage Bonus % (Enrage)</t>
        </is>
      </c>
      <c r="B1257">
        <f>((C1241=TRUE)*F1241*IF(AND(Inputs!$B$38&lt;&gt;"pvp",Inputs!$B$43&gt;0),(((R1241-1)*(Skills!T18*(1+Inputs!$B$34/100))+MIN((Skills!T18*(1+Inputs!$B$34/100)),MAX(0,Inputs!$B$43-((R1241-1)*Skills!D18))))/Inputs!$B$43),IF(Inputs!$B$38="pvp",MIN((Skills!T18*(1+Inputs!$B$34/100)),15)/15,(Skills!T18*(1+Inputs!$B$34/100))/Skills!D18)))</f>
        <v/>
      </c>
    </row>
    <row r="1258">
      <c r="A1258" t="inlineStr">
        <is>
          <t>Global Final Damage Bonus % (Enrage + Combo Synergy)</t>
        </is>
      </c>
      <c r="B1258">
        <f>((C1240=TRUE)*F1240*IF(AND(Inputs!$B$38&lt;&gt;"pvp",Inputs!$B$43&gt;0),(((R1240-1)*(Skills!T17*(1+Inputs!$B$34/100))+MIN((Skills!T17*(1+Inputs!$B$34/100)),MAX(0,Inputs!$B$43-((R1240-1)*Skills!D17))))/Inputs!$B$43),IF(Inputs!$B$38="pvp",MIN((Skills!T17*(1+Inputs!$B$34/100)),15)/15,(Skills!T17*(1+Inputs!$B$34/100))/Skills!D17)))+((C1237=TRUE)*F1237*IF(Inputs!$B$3&gt;=110,7,5))</f>
        <v/>
      </c>
    </row>
    <row r="1259">
      <c r="A1259" t="inlineStr">
        <is>
          <t>Buff-Casting Startup Delay (s, fixed-duration only)</t>
        </is>
      </c>
      <c r="B1259">
        <f>IF(AND(Inputs!$B$38&lt;&gt;"pvp",Inputs!$B$43&gt;0),SUMPRODUCT((Skills!T2:T26&gt;0)*(Skills!E2:E26=TRUE)*(C1225:C1249=TRUE))/B1254,0)</f>
        <v/>
      </c>
    </row>
    <row r="1260">
      <c r="A1260" t="inlineStr">
        <is>
          <t>Boss-Only Total DPS (this block's swept value)</t>
        </is>
      </c>
      <c r="B1260">
        <f>SUM(T1225:T1249)</f>
        <v/>
      </c>
    </row>
    <row r="1261">
      <c r="A1261" t="inlineStr">
        <is>
          <t>Normal-Only Total DPS (this block's swept value)</t>
        </is>
      </c>
      <c r="B1261">
        <f>SUM(V1225:V1249)</f>
        <v/>
      </c>
    </row>
    <row r="1262">
      <c r="A1262" s="5" t="inlineStr">
        <is>
          <t>TOTAL DPS</t>
        </is>
      </c>
      <c r="B1262" s="5">
        <f>SUM(O1225:O1249)</f>
        <v/>
      </c>
    </row>
    <row r="1265">
      <c r="A1265" s="5" t="inlineStr">
        <is>
          <t>Stat: CDR = 2.0s</t>
        </is>
      </c>
    </row>
    <row r="1266">
      <c r="A1266" s="9" t="inlineStr">
        <is>
          <t>Key</t>
        </is>
      </c>
      <c r="B1266" s="9" t="inlineStr">
        <is>
          <t>Name</t>
        </is>
      </c>
      <c r="C1266" s="9" t="inlineStr">
        <is>
          <t>Unlocked</t>
        </is>
      </c>
      <c r="D1266" s="9" t="inlineStr">
        <is>
          <t>InputLevel</t>
        </is>
      </c>
      <c r="E1266" s="9" t="inlineStr">
        <is>
          <t>Factor</t>
        </is>
      </c>
      <c r="F1266" s="9" t="inlineStr">
        <is>
          <t>CoefficientPercent</t>
        </is>
      </c>
      <c r="G1266" s="9" t="inlineStr">
        <is>
          <t>EffectiveHits</t>
        </is>
      </c>
      <c r="H1266" s="9" t="inlineStr">
        <is>
          <t>ProcProbability</t>
        </is>
      </c>
      <c r="I1266" s="9" t="inlineStr">
        <is>
          <t>MapleHeroMultiplier</t>
        </is>
      </c>
      <c r="J1266" s="9" t="inlineStr">
        <is>
          <t>BaseDamage</t>
        </is>
      </c>
      <c r="K1266" s="9" t="inlineStr">
        <is>
          <t>BaseHitDamage</t>
        </is>
      </c>
      <c r="L1266" s="9" t="inlineStr">
        <is>
          <t>NonCritAvg</t>
        </is>
      </c>
      <c r="M1266" s="9" t="inlineStr">
        <is>
          <t>CritAvg</t>
        </is>
      </c>
      <c r="N1266" s="9" t="inlineStr">
        <is>
          <t>ExpectedDamage(perHit)</t>
        </is>
      </c>
      <c r="O1266" s="9" t="inlineStr">
        <is>
          <t>DPS</t>
        </is>
      </c>
      <c r="P1266" s="9" t="inlineStr">
        <is>
          <t>% of Total</t>
        </is>
      </c>
      <c r="Q1266" s="9" t="inlineStr">
        <is>
          <t>InvCooldown</t>
        </is>
      </c>
      <c r="R1266" s="9" t="inlineStr">
        <is>
          <t>CastsInFight</t>
        </is>
      </c>
      <c r="S1266" s="9" t="inlineStr">
        <is>
          <t>HitRate(perSec)</t>
        </is>
      </c>
      <c r="U1266" t="inlineStr">
        <is>
          <t>helpers</t>
        </is>
      </c>
    </row>
    <row r="1267">
      <c r="A1267">
        <f>Skills!A2</f>
        <v/>
      </c>
      <c r="B1267">
        <f>Skills!B2</f>
        <v/>
      </c>
      <c r="C1267">
        <f>Inputs!$B$3&gt;=100</f>
        <v/>
      </c>
      <c r="D1267" t="inlineStr"/>
      <c r="E1267" t="inlineStr"/>
      <c r="F1267">
        <f>U1269+Skills!O2</f>
        <v/>
      </c>
      <c r="G1267">
        <f>Skills!G2*IF(Skills!H2&gt;0,Skills!I2/Skills!H2,1)</f>
        <v/>
      </c>
      <c r="H1267">
        <f>1-(1-Skills!J2/100)^Skills!K2</f>
        <v/>
      </c>
      <c r="I1267" t="inlineStr">
        <is>
          <t>1</t>
        </is>
      </c>
      <c r="J1267">
        <f>((Inputs!$B$6*(1+Inputs!$B$7/100))+(((Inputs!$B$12*(1+Inputs!$B$13/100))-(Inputs!$B$12*(1+Inputs!$B$13/100)))+0.25*(Inputs!$B$14-Inputs!$B$14))*(1+Inputs!$B$7/100))*(F1267/100)</f>
        <v/>
      </c>
      <c r="K1267">
        <f>J1267*(1+((Inputs!$B$12*(1+Inputs!$B$13/100))*0.01+Inputs!$B$14*0.0025)/100)*(1+Inputs!$B$15/100)*(1+Inputs!$B$16/100)*(5000/(6000+Inputs!$B$42*(1-(Inputs!$B$19+0)/100)))*(1+(Inputs!$B$24+((C1290=TRUE)*(F1290-Calc!F25))+B1300)/100)*(1+IF(Skills!A2="ENHANCED_RAGING_BLOW",IF(Inputs!$B$3&gt;=134,MAX(0,IF(Inputs!$B$3&gt;=110,7,5)-5)*50,0),0)/100)*(1+(IF(Skills!A2="RAGING_BLOW",Inputs!$B$17+((C1286=TRUE)*(F1286-Calc!F21)),Inputs!$B$18+((C1288=TRUE)*(F1288-Calc!F23))))/100)*((1+(((C1278=TRUE)*F1278*IF(Inputs!$B$3&gt;=110,7,5))+((C1280=TRUE)*F1280*IF(AND(Inputs!$B$38&lt;&gt;"pvp",Inputs!$B$43&gt;0),(((R1280-1)*(Skills!T15*(1+Inputs!$B$34/100))+MIN((Skills!T15*(1+Inputs!$B$34/100)),MAX(0,Inputs!$B$43-((R1280-1)*Skills!D15))))/Inputs!$B$43),IF(Inputs!$B$38="pvp",MIN((Skills!T15*(1+Inputs!$B$34/100)),15)/15,(Skills!T15*(1+Inputs!$B$34/100))/Skills!D15)))+0)/100)*I1267)</f>
        <v/>
      </c>
      <c r="L1267">
        <f>K1267*(MIN(Inputs!$B$22+((C1287=TRUE)*(F1287-Calc!F22)),Inputs!$B$23+((C1289=TRUE)*(F1289-Calc!F24)))/100+(Inputs!$B$23+((C1289=TRUE)*(F1289-Calc!F24)))/100)/2</f>
        <v/>
      </c>
      <c r="M1267">
        <f>L1267*(1+(Inputs!$B$10+0+B1299)/100)</f>
        <v/>
      </c>
      <c r="N1267">
        <f>L1267*(1-MIN((Inputs!$B$9+((C1291=TRUE)*(F1291-Calc!F26))+B1294),100)/100)+M1267*(MIN((Inputs!$B$9+((C1291=TRUE)*(F1291-Calc!F26))+B1294),100)/100)</f>
        <v/>
      </c>
      <c r="O1267">
        <f>(1-Summary!$B$55)*T1267+Summary!$B$55*V1267</f>
        <v/>
      </c>
      <c r="P1267">
        <f>IF(B1304=0,0,O1267/B1304)</f>
        <v/>
      </c>
      <c r="Q1267" t="n">
        <v>0</v>
      </c>
      <c r="R1267" t="n">
        <v>0</v>
      </c>
      <c r="S1267">
        <f>IFERROR(O1267/N1267,0)</f>
        <v/>
      </c>
      <c r="T1267">
        <f>IF(C1267,(Skills!G2*N1267*B1298)*IF(Inputs!$B$38="pvp",1,1+(Inputs!$B$20+0+Skills!P2+Summary!$B$59)/100),0)</f>
        <v/>
      </c>
      <c r="U1267">
        <f>MAX(0,(Inputs!$B$3-100)*3)+Inputs!$B$28+Inputs!$B$29</f>
        <v/>
      </c>
      <c r="V1267">
        <f>IF(C1267,(Skills!G2*N1267*B1298)*IF(Inputs!$B$38="pvp",1,(1+(Inputs!$B$21+Skills!Q2+Summary!$B$59)/100)*(MIN((6+Inputs!$B$33),Inputs!$B$37))),0)</f>
        <v/>
      </c>
    </row>
    <row r="1268">
      <c r="A1268">
        <f>Skills!A3</f>
        <v/>
      </c>
      <c r="B1268">
        <f>Skills!B3</f>
        <v/>
      </c>
      <c r="C1268">
        <f>Inputs!$B$3&gt;=50</f>
        <v/>
      </c>
      <c r="D1268">
        <f>IF(Skills!C3=1,60+Inputs!$B$25+Inputs!$B$29,IF(Skills!C3=2,90+Inputs!$B$26+Inputs!$B$29,IF(Skills!C3=3,120+Inputs!$B$27+Inputs!$B$29,MAX(0,(Inputs!$B$3-100)*3)+Inputs!$B$28+Inputs!$B$29)))</f>
        <v/>
      </c>
      <c r="E1268">
        <f>INDEX(FactorTable!$B$2:$Y$301, MATCH(ROUND(MIN(300,MAX(1,D1268)),0), FactorTable!$A$2:$A$301,0), Skills!M3+1)</f>
        <v/>
      </c>
      <c r="F1268">
        <f>IF(Skills!N3=TRUE,(Skills!L3/10)*(E1268/1000),Skills!L3/10)+Skills!O3</f>
        <v/>
      </c>
      <c r="G1268" t="inlineStr"/>
      <c r="H1268" t="inlineStr"/>
      <c r="I1268" t="inlineStr">
        <is>
          <t>1</t>
        </is>
      </c>
      <c r="J1268" t="inlineStr"/>
      <c r="K1268" t="inlineStr"/>
      <c r="L1268" t="inlineStr"/>
      <c r="M1268" t="inlineStr"/>
      <c r="N1268" t="inlineStr"/>
      <c r="O1268" t="inlineStr"/>
      <c r="P1268" t="inlineStr"/>
      <c r="Q1268" t="inlineStr"/>
      <c r="R1268" t="inlineStr"/>
      <c r="S1268" t="inlineStr"/>
      <c r="U1268">
        <f>INDEX(FactorTable!$B$2:$Y$301, MATCH(ROUND(MIN(300,MAX(1,U1267)),0), FactorTable!$A$2:$A$301,0), 22)</f>
        <v/>
      </c>
    </row>
    <row r="1269">
      <c r="A1269">
        <f>Skills!A4</f>
        <v/>
      </c>
      <c r="B1269">
        <f>Skills!B4</f>
        <v/>
      </c>
      <c r="C1269">
        <f>Inputs!$B$3&gt;=105</f>
        <v/>
      </c>
      <c r="D1269">
        <f>IF(Skills!C4=1,60+Inputs!$B$25+Inputs!$B$29,IF(Skills!C4=2,90+Inputs!$B$26+Inputs!$B$29,IF(Skills!C4=3,120+Inputs!$B$27+Inputs!$B$29,MAX(0,(Inputs!$B$3-100)*3)+Inputs!$B$28+Inputs!$B$29)))</f>
        <v/>
      </c>
      <c r="E1269">
        <f>INDEX(FactorTable!$B$2:$Y$301, MATCH(ROUND(MIN(300,MAX(1,D1269)),0), FactorTable!$A$2:$A$301,0), Skills!M4+1)</f>
        <v/>
      </c>
      <c r="F1269">
        <f>IF(Skills!N4=TRUE,(Skills!L4/10)*(E1269/1000),Skills!L4/10)+Skills!O4</f>
        <v/>
      </c>
      <c r="G1269" t="inlineStr"/>
      <c r="H1269" t="inlineStr"/>
      <c r="I1269" t="inlineStr">
        <is>
          <t>1</t>
        </is>
      </c>
      <c r="J1269" t="inlineStr"/>
      <c r="K1269" t="inlineStr"/>
      <c r="L1269" t="inlineStr"/>
      <c r="M1269" t="inlineStr"/>
      <c r="N1269" t="inlineStr"/>
      <c r="O1269" t="inlineStr"/>
      <c r="P1269" t="inlineStr"/>
      <c r="Q1269" t="inlineStr"/>
      <c r="R1269" t="inlineStr"/>
      <c r="S1269" t="inlineStr"/>
      <c r="U1269">
        <f>290*U1268/1000</f>
        <v/>
      </c>
    </row>
    <row r="1270">
      <c r="A1270">
        <f>Skills!A5</f>
        <v/>
      </c>
      <c r="B1270">
        <f>Skills!B5</f>
        <v/>
      </c>
      <c r="C1270">
        <f>Inputs!$B$3&gt;=103</f>
        <v/>
      </c>
      <c r="D1270">
        <f>IF(Skills!C5=1,60+Inputs!$B$25+Inputs!$B$29,IF(Skills!C5=2,90+Inputs!$B$26+Inputs!$B$29,IF(Skills!C5=3,120+Inputs!$B$27+Inputs!$B$29,MAX(0,(Inputs!$B$3-100)*3)+Inputs!$B$28+Inputs!$B$29)))</f>
        <v/>
      </c>
      <c r="E1270">
        <f>INDEX(FactorTable!$B$2:$Y$301, MATCH(ROUND(MIN(300,MAX(1,D1270)),0), FactorTable!$A$2:$A$301,0), Skills!M5+1)</f>
        <v/>
      </c>
      <c r="F1270">
        <f>IF(Skills!N5=TRUE,(Skills!L5/10)*(E1270/1000),Skills!L5/10)+Skills!O5</f>
        <v/>
      </c>
      <c r="G1270">
        <f>Skills!G5*IF(Skills!H5&gt;0,Skills!I5/Skills!H5,1)</f>
        <v/>
      </c>
      <c r="H1270">
        <f>1-(1-Skills!J5/100)^Skills!K5</f>
        <v/>
      </c>
      <c r="I1270" t="inlineStr">
        <is>
          <t>1</t>
        </is>
      </c>
      <c r="J1270">
        <f>((Inputs!$B$6*(1+Inputs!$B$7/100))+(((Inputs!$B$12*(1+Inputs!$B$13/100))-(Inputs!$B$12*(1+Inputs!$B$13/100)))+0.25*(Inputs!$B$14-Inputs!$B$14))*(1+Inputs!$B$7/100))*(F1270/100)</f>
        <v/>
      </c>
      <c r="K1270">
        <f>J1270*(1+((Inputs!$B$12*(1+Inputs!$B$13/100))*0.01+Inputs!$B$14*0.0025)/100)*(1+Inputs!$B$15/100)*(1+Inputs!$B$16/100)*(5000/(6000+Inputs!$B$42*(1-(Inputs!$B$19+0)/100)))*(1+(Inputs!$B$24+((C1290=TRUE)*(F1290-Calc!F25))+B1300)/100)*(1+IF(Skills!A5="ENHANCED_RAGING_BLOW",IF(Inputs!$B$3&gt;=134,MAX(0,IF(Inputs!$B$3&gt;=110,7,5)-5)*50,0),0)/100)*(1+(IF(Skills!A5="RAGING_BLOW",Inputs!$B$17+((C1286=TRUE)*(F1286-Calc!F21)),Inputs!$B$18+((C1288=TRUE)*(F1288-Calc!F23))))/100)*((1+(((C1278=TRUE)*F1278*IF(Inputs!$B$3&gt;=110,7,5))+((C1280=TRUE)*F1280*IF(AND(Inputs!$B$38&lt;&gt;"pvp",Inputs!$B$43&gt;0),(((R1280-1)*(Skills!T15*(1+Inputs!$B$34/100))+MIN((Skills!T15*(1+Inputs!$B$34/100)),MAX(0,Inputs!$B$43-((R1280-1)*Skills!D15))))/Inputs!$B$43),IF(Inputs!$B$38="pvp",MIN((Skills!T15*(1+Inputs!$B$34/100)),15)/15,(Skills!T15*(1+Inputs!$B$34/100))/Skills!D15)))+0)/100)*I1270)</f>
        <v/>
      </c>
      <c r="L1270">
        <f>K1270*(MIN(Inputs!$B$22+((C1287=TRUE)*(F1287-Calc!F22)),Inputs!$B$23+((C1289=TRUE)*(F1289-Calc!F24)))/100+(Inputs!$B$23+((C1289=TRUE)*(F1289-Calc!F24)))/100)/2</f>
        <v/>
      </c>
      <c r="M1270">
        <f>L1270*(1+(Inputs!$B$10+0+B1299)/100)</f>
        <v/>
      </c>
      <c r="N1270">
        <f>L1270*(1-MIN((Inputs!$B$9+((C1291=TRUE)*(F1291-Calc!F26))+B1294),100)/100)+M1270*(MIN((Inputs!$B$9+((C1291=TRUE)*(F1291-Calc!F26))+B1294),100)/100)</f>
        <v/>
      </c>
      <c r="O1270">
        <f>(1-Summary!$B$55)*T1270+Summary!$B$55*V1270</f>
        <v/>
      </c>
      <c r="P1270">
        <f>IF(B1304=0,0,O1270/B1304)</f>
        <v/>
      </c>
      <c r="Q1270">
        <f>IFERROR(1/IF(Inputs!$B$38="pvp",15,MAX(0.1,Skills!D5-IF(Skills!E5=TRUE,2.0,0))),0)</f>
        <v/>
      </c>
      <c r="R1270">
        <f>IF(AND(Inputs!$B$38&lt;&gt;"pvp",Inputs!$B$43&gt;0),IF(MAX(0,Inputs!$B$43-B1301)&lt;=0,0,(INT(MAX(0,Inputs!$B$43-B1301)/IF(Inputs!$B$38="pvp",15,MAX(0.1,Skills!D5-IF(Skills!E5=TRUE,2.0,0))))+1)),0)</f>
        <v/>
      </c>
      <c r="S1270">
        <f>IFERROR(O1270/N1270,0)</f>
        <v/>
      </c>
      <c r="T1270">
        <f>IF(C1270,(H1270*N1270*IF(AND(Inputs!$B$38&lt;&gt;"pvp",Inputs!$B$43&gt;0),((Skills!G5*((R1270-1)*IF(Skills!H5&gt;0,Skills!I5/Skills!H5,1)+IF(Skills!H5&gt;0,MIN(Skills!I5,MAX(0,MAX(0,Inputs!$B$43-B1301)-((R1270-1)*IF(Inputs!$B$38="pvp",15,MAX(0.1,Skills!D5-IF(Skills!E5=TRUE,2.0,0))))))/Skills!H5,1)))/Inputs!$B$43),G1270*Q1270))*IF(Inputs!$B$38="pvp",1,1+(Inputs!$B$20+0+Skills!P5+Summary!$B$59)/100),0)</f>
        <v/>
      </c>
      <c r="V1270">
        <f>IF(C1270,(H1270*N1270*IF(AND(Inputs!$B$38&lt;&gt;"pvp",Inputs!$B$43&gt;0),((Skills!G5*((R1270-1)*IF(Skills!H5&gt;0,Skills!I5/Skills!H5,1)+IF(Skills!H5&gt;0,MIN(Skills!I5,MAX(0,MAX(0,Inputs!$B$43-B1301)-((R1270-1)*IF(Inputs!$B$38="pvp",15,MAX(0.1,Skills!D5-IF(Skills!E5=TRUE,2.0,0))))))/Skills!H5,1)))/Inputs!$B$43),G1270*Q1270))*IF(Inputs!$B$38="pvp",1,(1+(Inputs!$B$21+Skills!Q5+Summary!$B$59)/100)*(MIN(Skills!R5,Inputs!$B$37))),0)</f>
        <v/>
      </c>
    </row>
    <row r="1271">
      <c r="A1271">
        <f>Skills!A6</f>
        <v/>
      </c>
      <c r="B1271">
        <f>Skills!B6</f>
        <v/>
      </c>
      <c r="C1271">
        <f>Inputs!$B$3&gt;=103</f>
        <v/>
      </c>
      <c r="D1271">
        <f>IF(Skills!C6=1,60+Inputs!$B$25+Inputs!$B$29,IF(Skills!C6=2,90+Inputs!$B$26+Inputs!$B$29,IF(Skills!C6=3,120+Inputs!$B$27+Inputs!$B$29,MAX(0,(Inputs!$B$3-100)*3)+Inputs!$B$28+Inputs!$B$29)))</f>
        <v/>
      </c>
      <c r="E1271">
        <f>INDEX(FactorTable!$B$2:$Y$301, MATCH(ROUND(MIN(300,MAX(1,D1271)),0), FactorTable!$A$2:$A$301,0), Skills!M6+1)</f>
        <v/>
      </c>
      <c r="F1271">
        <f>IF(Skills!N6=TRUE,(Skills!L6/10)*(E1271/1000),Skills!L6/10)+Skills!O6</f>
        <v/>
      </c>
      <c r="G1271">
        <f>Skills!G6*IF(Skills!H6&gt;0,Skills!I6/Skills!H6,1)</f>
        <v/>
      </c>
      <c r="H1271">
        <f>1-(1-Skills!J6/100)^Skills!K6</f>
        <v/>
      </c>
      <c r="I1271" t="inlineStr">
        <is>
          <t>1</t>
        </is>
      </c>
      <c r="J1271">
        <f>((Inputs!$B$6*(1+Inputs!$B$7/100))+(((Inputs!$B$12*(1+Inputs!$B$13/100))-(Inputs!$B$12*(1+Inputs!$B$13/100)))+0.25*(Inputs!$B$14-Inputs!$B$14))*(1+Inputs!$B$7/100))*(F1271/100)</f>
        <v/>
      </c>
      <c r="K1271">
        <f>J1271*(1+((Inputs!$B$12*(1+Inputs!$B$13/100))*0.01+Inputs!$B$14*0.0025)/100)*(1+Inputs!$B$15/100)*(1+Inputs!$B$16/100)*(5000/(6000+Inputs!$B$42*(1-(Inputs!$B$19+0)/100)))*(1+(Inputs!$B$24+((C1290=TRUE)*(F1290-Calc!F25))+B1300)/100)*(1+IF(Skills!A6="ENHANCED_RAGING_BLOW",IF(Inputs!$B$3&gt;=134,MAX(0,IF(Inputs!$B$3&gt;=110,7,5)-5)*50,0),0)/100)*(1+(IF(Skills!A6="RAGING_BLOW",Inputs!$B$17+((C1286=TRUE)*(F1286-Calc!F21)),Inputs!$B$18+((C1288=TRUE)*(F1288-Calc!F23))))/100)*((1+(((C1278=TRUE)*F1278*IF(Inputs!$B$3&gt;=110,7,5))+((C1280=TRUE)*F1280*IF(AND(Inputs!$B$38&lt;&gt;"pvp",Inputs!$B$43&gt;0),(((R1280-1)*(Skills!T15*(1+Inputs!$B$34/100))+MIN((Skills!T15*(1+Inputs!$B$34/100)),MAX(0,Inputs!$B$43-((R1280-1)*Skills!D15))))/Inputs!$B$43),IF(Inputs!$B$38="pvp",MIN((Skills!T15*(1+Inputs!$B$34/100)),15)/15,(Skills!T15*(1+Inputs!$B$34/100))/Skills!D15)))+0)/100)*I1271)</f>
        <v/>
      </c>
      <c r="L1271">
        <f>K1271*(MIN(Inputs!$B$22+((C1287=TRUE)*(F1287-Calc!F22)),Inputs!$B$23+((C1289=TRUE)*(F1289-Calc!F24)))/100+(Inputs!$B$23+((C1289=TRUE)*(F1289-Calc!F24)))/100)/2</f>
        <v/>
      </c>
      <c r="M1271">
        <f>L1271*(1+(Inputs!$B$10+0+B1299)/100)</f>
        <v/>
      </c>
      <c r="N1271">
        <f>L1271*(1-MIN((Inputs!$B$9+((C1291=TRUE)*(F1291-Calc!F26))+B1294),100)/100)+M1271*(MIN((Inputs!$B$9+((C1291=TRUE)*(F1291-Calc!F26))+B1294),100)/100)</f>
        <v/>
      </c>
      <c r="O1271">
        <f>(1-Summary!$B$55)*T1271+Summary!$B$55*V1271</f>
        <v/>
      </c>
      <c r="P1271">
        <f>IF(B1304=0,0,O1271/B1304)</f>
        <v/>
      </c>
      <c r="Q1271">
        <f>IFERROR(1/IF(Inputs!$B$38="pvp",15,MAX(0.1,Skills!D6-IF(Skills!E6=TRUE,2.0,0))),0)</f>
        <v/>
      </c>
      <c r="R1271">
        <f>IF(AND(Inputs!$B$38&lt;&gt;"pvp",Inputs!$B$43&gt;0),IF(MAX(0,Inputs!$B$43-B1301)&lt;=0,0,(INT(MAX(0,Inputs!$B$43-B1301)/IF(Inputs!$B$38="pvp",15,MAX(0.1,Skills!D6-IF(Skills!E6=TRUE,2.0,0))))+1)),0)</f>
        <v/>
      </c>
      <c r="S1271">
        <f>IFERROR(O1271/N1271,0)</f>
        <v/>
      </c>
      <c r="T1271">
        <f>IF(C1271,(H1271*N1271*IF(AND(Inputs!$B$38&lt;&gt;"pvp",Inputs!$B$43&gt;0),((Skills!G6*((R1271-1)*IF(Skills!H6&gt;0,Skills!I6/Skills!H6,1)+IF(Skills!H6&gt;0,MIN(Skills!I6,MAX(0,MAX(0,Inputs!$B$43-B1301)-((R1271-1)*IF(Inputs!$B$38="pvp",15,MAX(0.1,Skills!D6-IF(Skills!E6=TRUE,2.0,0))))))/Skills!H6,1)))/Inputs!$B$43),G1271*Q1271))*IF(Inputs!$B$38="pvp",1,1+(Inputs!$B$20+0+Skills!P6+Summary!$B$59)/100),0)</f>
        <v/>
      </c>
      <c r="V1271">
        <f>IF(C1271,(H1271*N1271*IF(AND(Inputs!$B$38&lt;&gt;"pvp",Inputs!$B$43&gt;0),((Skills!G6*((R1271-1)*IF(Skills!H6&gt;0,Skills!I6/Skills!H6,1)+IF(Skills!H6&gt;0,MIN(Skills!I6,MAX(0,MAX(0,Inputs!$B$43-B1301)-((R1271-1)*IF(Inputs!$B$38="pvp",15,MAX(0.1,Skills!D6-IF(Skills!E6=TRUE,2.0,0))))))/Skills!H6,1)))/Inputs!$B$43),G1271*Q1271))*IF(Inputs!$B$38="pvp",1,(1+(Inputs!$B$21+Skills!Q6+Summary!$B$59)/100)*(MIN(Skills!R6,Inputs!$B$37))),0)</f>
        <v/>
      </c>
    </row>
    <row r="1272">
      <c r="A1272">
        <f>Skills!A7</f>
        <v/>
      </c>
      <c r="B1272">
        <f>Skills!B7</f>
        <v/>
      </c>
      <c r="C1272">
        <f>Inputs!$B$3&gt;=107</f>
        <v/>
      </c>
      <c r="D1272">
        <f>IF(Skills!C7=1,60+Inputs!$B$25+Inputs!$B$29,IF(Skills!C7=2,90+Inputs!$B$26+Inputs!$B$29,IF(Skills!C7=3,120+Inputs!$B$27+Inputs!$B$29,MAX(0,(Inputs!$B$3-100)*3)+Inputs!$B$28+Inputs!$B$29)))</f>
        <v/>
      </c>
      <c r="E1272">
        <f>INDEX(FactorTable!$B$2:$Y$301, MATCH(ROUND(MIN(300,MAX(1,D1272)),0), FactorTable!$A$2:$A$301,0), Skills!M7+1)</f>
        <v/>
      </c>
      <c r="F1272">
        <f>IF(Skills!N7=TRUE,(Skills!L7/10)*(E1272/1000),Skills!L7/10)+Skills!O7</f>
        <v/>
      </c>
      <c r="G1272">
        <f>Skills!G7*IF(Skills!H7&gt;0,Skills!I7/Skills!H7,1)</f>
        <v/>
      </c>
      <c r="H1272">
        <f>1-(1-Skills!J7/100)^Skills!K7</f>
        <v/>
      </c>
      <c r="I1272" t="inlineStr">
        <is>
          <t>1</t>
        </is>
      </c>
      <c r="J1272">
        <f>((Inputs!$B$6*(1+Inputs!$B$7/100))+(((Inputs!$B$12*(1+Inputs!$B$13/100))-(Inputs!$B$12*(1+Inputs!$B$13/100)))+0.25*(Inputs!$B$14-Inputs!$B$14))*(1+Inputs!$B$7/100))*(F1272/100)</f>
        <v/>
      </c>
      <c r="K1272">
        <f>J1272*(1+((Inputs!$B$12*(1+Inputs!$B$13/100))*0.01+Inputs!$B$14*0.0025)/100)*(1+Inputs!$B$15/100)*(1+Inputs!$B$16/100)*(5000/(6000+Inputs!$B$42*(1-(Inputs!$B$19+0)/100)))*(1+(Inputs!$B$24+((C1290=TRUE)*(F1290-Calc!F25))+B1300)/100)*(1+IF(Skills!A7="ENHANCED_RAGING_BLOW",IF(Inputs!$B$3&gt;=134,MAX(0,IF(Inputs!$B$3&gt;=110,7,5)-5)*50,0),0)/100)*(1+(IF(Skills!A7="RAGING_BLOW",Inputs!$B$17+((C1286=TRUE)*(F1286-Calc!F21)),Inputs!$B$18+((C1288=TRUE)*(F1288-Calc!F23))))/100)*((1+(((C1278=TRUE)*F1278*IF(Inputs!$B$3&gt;=110,7,5))+((C1280=TRUE)*F1280*IF(AND(Inputs!$B$38&lt;&gt;"pvp",Inputs!$B$43&gt;0),(((R1280-1)*(Skills!T15*(1+Inputs!$B$34/100))+MIN((Skills!T15*(1+Inputs!$B$34/100)),MAX(0,Inputs!$B$43-((R1280-1)*Skills!D15))))/Inputs!$B$43),IF(Inputs!$B$38="pvp",MIN((Skills!T15*(1+Inputs!$B$34/100)),15)/15,(Skills!T15*(1+Inputs!$B$34/100))/Skills!D15)))+0)/100)*I1272)</f>
        <v/>
      </c>
      <c r="L1272">
        <f>K1272*(MIN(Inputs!$B$22+((C1287=TRUE)*(F1287-Calc!F22)),Inputs!$B$23+((C1289=TRUE)*(F1289-Calc!F24)))/100+(Inputs!$B$23+((C1289=TRUE)*(F1289-Calc!F24)))/100)/2</f>
        <v/>
      </c>
      <c r="M1272">
        <f>L1272*(1+(Inputs!$B$10+0+B1299)/100)</f>
        <v/>
      </c>
      <c r="N1272">
        <f>L1272*(1-MIN((Inputs!$B$9+((C1291=TRUE)*(F1291-Calc!F26))+B1294),100)/100)+M1272*(MIN((Inputs!$B$9+((C1291=TRUE)*(F1291-Calc!F26))+B1294),100)/100)</f>
        <v/>
      </c>
      <c r="O1272">
        <f>(1-Summary!$B$55)*T1272+Summary!$B$55*V1272</f>
        <v/>
      </c>
      <c r="P1272">
        <f>IF(B1304=0,0,O1272/B1304)</f>
        <v/>
      </c>
      <c r="Q1272">
        <f>IFERROR(1/IF(Inputs!$B$38="pvp",15,MAX(0.1,Skills!D7-IF(Skills!E7=TRUE,2.0,0))),0)</f>
        <v/>
      </c>
      <c r="R1272">
        <f>IF(AND(Inputs!$B$38&lt;&gt;"pvp",Inputs!$B$43&gt;0),IF(MAX(0,Inputs!$B$43-B1301)&lt;=0,0,(INT(MAX(0,Inputs!$B$43-B1301)/IF(Inputs!$B$38="pvp",15,MAX(0.1,Skills!D7-IF(Skills!E7=TRUE,2.0,0))))+1)),0)</f>
        <v/>
      </c>
      <c r="S1272">
        <f>IFERROR(O1272/N1272,0)</f>
        <v/>
      </c>
      <c r="T1272">
        <f>IF(C1272,(H1272*N1272*IF(AND(Inputs!$B$38&lt;&gt;"pvp",Inputs!$B$43&gt;0),((Skills!G7*((R1272-1)*IF(Skills!H7&gt;0,Skills!I7/Skills!H7,1)+IF(Skills!H7&gt;0,MIN(Skills!I7,MAX(0,MAX(0,Inputs!$B$43-B1301)-((R1272-1)*IF(Inputs!$B$38="pvp",15,MAX(0.1,Skills!D7-IF(Skills!E7=TRUE,2.0,0))))))/Skills!H7,1)))/Inputs!$B$43),G1272*Q1272))*IF(Inputs!$B$38="pvp",1,1+(Inputs!$B$20+0+Skills!P7+Summary!$B$59)/100),0)</f>
        <v/>
      </c>
      <c r="V1272">
        <f>IF(C1272,(H1272*N1272*IF(AND(Inputs!$B$38&lt;&gt;"pvp",Inputs!$B$43&gt;0),((Skills!G7*((R1272-1)*IF(Skills!H7&gt;0,Skills!I7/Skills!H7,1)+IF(Skills!H7&gt;0,MIN(Skills!I7,MAX(0,MAX(0,Inputs!$B$43-B1301)-((R1272-1)*IF(Inputs!$B$38="pvp",15,MAX(0.1,Skills!D7-IF(Skills!E7=TRUE,2.0,0))))))/Skills!H7,1)))/Inputs!$B$43),G1272*Q1272))*IF(Inputs!$B$38="pvp",1,(1+(Inputs!$B$21+Skills!Q7+Summary!$B$59)/100)*(MIN(Skills!R7,Inputs!$B$37))),0)</f>
        <v/>
      </c>
    </row>
    <row r="1273">
      <c r="A1273">
        <f>Skills!A8</f>
        <v/>
      </c>
      <c r="B1273">
        <f>Skills!B8</f>
        <v/>
      </c>
      <c r="C1273">
        <f>Inputs!$B$3&gt;=117</f>
        <v/>
      </c>
      <c r="D1273">
        <f>IF(Skills!C8=1,60+Inputs!$B$25+Inputs!$B$29,IF(Skills!C8=2,90+Inputs!$B$26+Inputs!$B$29,IF(Skills!C8=3,120+Inputs!$B$27+Inputs!$B$29,MAX(0,(Inputs!$B$3-100)*3)+Inputs!$B$28+Inputs!$B$29)))</f>
        <v/>
      </c>
      <c r="E1273">
        <f>INDEX(FactorTable!$B$2:$Y$301, MATCH(ROUND(MIN(300,MAX(1,D1273)),0), FactorTable!$A$2:$A$301,0), Skills!M8+1)</f>
        <v/>
      </c>
      <c r="F1273">
        <f>IF(Skills!N8=TRUE,(Skills!L8/10)*(E1273/1000),Skills!L8/10)+Skills!O8</f>
        <v/>
      </c>
      <c r="G1273">
        <f>Skills!G8*IF(Skills!H8&gt;0,Skills!I8/Skills!H8,1)</f>
        <v/>
      </c>
      <c r="H1273">
        <f>1-(1-Skills!J8/100)^Skills!K8</f>
        <v/>
      </c>
      <c r="I1273" t="inlineStr">
        <is>
          <t>1</t>
        </is>
      </c>
      <c r="J1273">
        <f>((Inputs!$B$6*(1+Inputs!$B$7/100))+(((Inputs!$B$12*(1+Inputs!$B$13/100))-(Inputs!$B$12*(1+Inputs!$B$13/100)))+0.25*(Inputs!$B$14-Inputs!$B$14))*(1+Inputs!$B$7/100))*(F1273/100)</f>
        <v/>
      </c>
      <c r="K1273">
        <f>J1273*(1+((Inputs!$B$12*(1+Inputs!$B$13/100))*0.01+Inputs!$B$14*0.0025)/100)*(1+Inputs!$B$15/100)*(1+Inputs!$B$16/100)*(5000/(6000+Inputs!$B$42*(1-(Inputs!$B$19+0)/100)))*(1+(Inputs!$B$24+((C1290=TRUE)*(F1290-Calc!F25))+B1300)/100)*(1+IF(Skills!A8="ENHANCED_RAGING_BLOW",IF(Inputs!$B$3&gt;=134,MAX(0,IF(Inputs!$B$3&gt;=110,7,5)-5)*50,0),0)/100)*(1+(IF(Skills!A8="RAGING_BLOW",Inputs!$B$17+((C1286=TRUE)*(F1286-Calc!F21)),Inputs!$B$18+((C1288=TRUE)*(F1288-Calc!F23))))/100)*((1+(((C1278=TRUE)*F1278*IF(Inputs!$B$3&gt;=110,7,5))+((C1280=TRUE)*F1280*IF(AND(Inputs!$B$38&lt;&gt;"pvp",Inputs!$B$43&gt;0),(((R1280-1)*(Skills!T15*(1+Inputs!$B$34/100))+MIN((Skills!T15*(1+Inputs!$B$34/100)),MAX(0,Inputs!$B$43-((R1280-1)*Skills!D15))))/Inputs!$B$43),IF(Inputs!$B$38="pvp",MIN((Skills!T15*(1+Inputs!$B$34/100)),15)/15,(Skills!T15*(1+Inputs!$B$34/100))/Skills!D15)))+0)/100)*I1273)</f>
        <v/>
      </c>
      <c r="L1273">
        <f>K1273*(MIN(Inputs!$B$22+((C1287=TRUE)*(F1287-Calc!F22)),Inputs!$B$23+((C1289=TRUE)*(F1289-Calc!F24)))/100+(Inputs!$B$23+((C1289=TRUE)*(F1289-Calc!F24)))/100)/2</f>
        <v/>
      </c>
      <c r="M1273">
        <f>L1273*(1+(Inputs!$B$10+0+B1299)/100)</f>
        <v/>
      </c>
      <c r="N1273">
        <f>L1273*(1-MIN((Inputs!$B$9+((C1291=TRUE)*(F1291-Calc!F26))+B1294),100)/100)+M1273*(MIN((Inputs!$B$9+((C1291=TRUE)*(F1291-Calc!F26))+B1294),100)/100)</f>
        <v/>
      </c>
      <c r="O1273">
        <f>(1-Summary!$B$55)*T1273+Summary!$B$55*V1273</f>
        <v/>
      </c>
      <c r="P1273">
        <f>IF(B1304=0,0,O1273/B1304)</f>
        <v/>
      </c>
      <c r="Q1273">
        <f>IFERROR(1/IF(Inputs!$B$38="pvp",15,MAX(0.1,Skills!D8-IF(Skills!E8=TRUE,2.0,0))),0)</f>
        <v/>
      </c>
      <c r="R1273">
        <f>IF(AND(Inputs!$B$38&lt;&gt;"pvp",Inputs!$B$43&gt;0),IF(MAX(0,Inputs!$B$43-B1301)&lt;=0,0,(INT(MAX(0,Inputs!$B$43-B1301)/IF(Inputs!$B$38="pvp",15,MAX(0.1,Skills!D8-IF(Skills!E8=TRUE,2.0,0))))+1)),0)</f>
        <v/>
      </c>
      <c r="S1273">
        <f>IFERROR(O1273/N1273,0)</f>
        <v/>
      </c>
      <c r="T1273">
        <f>IF(C1273,(H1273*N1273*IF(AND(Inputs!$B$38&lt;&gt;"pvp",Inputs!$B$43&gt;0),((Skills!G8*((R1273-1)*IF(Skills!H8&gt;0,Skills!I8/Skills!H8,1)+IF(Skills!H8&gt;0,MIN(Skills!I8,MAX(0,MAX(0,Inputs!$B$43-B1301)-((R1273-1)*IF(Inputs!$B$38="pvp",15,MAX(0.1,Skills!D8-IF(Skills!E8=TRUE,2.0,0))))))/Skills!H8,1)))/Inputs!$B$43),G1273*Q1273))*IF(Inputs!$B$38="pvp",1,1+(Inputs!$B$20+0+Skills!P8+Summary!$B$59)/100),0)</f>
        <v/>
      </c>
      <c r="V1273">
        <f>IF(C1273,(H1273*N1273*IF(AND(Inputs!$B$38&lt;&gt;"pvp",Inputs!$B$43&gt;0),((Skills!G8*((R1273-1)*IF(Skills!H8&gt;0,Skills!I8/Skills!H8,1)+IF(Skills!H8&gt;0,MIN(Skills!I8,MAX(0,MAX(0,Inputs!$B$43-B1301)-((R1273-1)*IF(Inputs!$B$38="pvp",15,MAX(0.1,Skills!D8-IF(Skills!E8=TRUE,2.0,0))))))/Skills!H8,1)))/Inputs!$B$43),G1273*Q1273))*IF(Inputs!$B$38="pvp",1,(1+(Inputs!$B$21+Skills!Q8+Summary!$B$59)/100)*(MIN(Skills!R8,Inputs!$B$37))),0)</f>
        <v/>
      </c>
    </row>
    <row r="1274">
      <c r="A1274">
        <f>Skills!A9</f>
        <v/>
      </c>
      <c r="B1274">
        <f>Skills!B9</f>
        <v/>
      </c>
      <c r="C1274">
        <f>Inputs!$B$3&gt;=69</f>
        <v/>
      </c>
      <c r="D1274">
        <f>IF(Skills!C9=1,60+Inputs!$B$25+Inputs!$B$29,IF(Skills!C9=2,90+Inputs!$B$26+Inputs!$B$29,IF(Skills!C9=3,120+Inputs!$B$27+Inputs!$B$29,MAX(0,(Inputs!$B$3-100)*3)+Inputs!$B$28+Inputs!$B$29)))</f>
        <v/>
      </c>
      <c r="E1274">
        <f>INDEX(FactorTable!$B$2:$Y$301, MATCH(ROUND(MIN(300,MAX(1,D1274)),0), FactorTable!$A$2:$A$301,0), Skills!M9+1)</f>
        <v/>
      </c>
      <c r="F1274">
        <f>IF(Skills!N9=TRUE,(Skills!L9/10)*(E1274/1000),Skills!L9/10)+Skills!O9</f>
        <v/>
      </c>
      <c r="G1274">
        <f>Skills!G9*IF(Skills!H9&gt;0,Skills!I9/Skills!H9,1)</f>
        <v/>
      </c>
      <c r="H1274">
        <f>1-(1-Skills!J9/100)^Skills!K9</f>
        <v/>
      </c>
      <c r="I1274" t="inlineStr">
        <is>
          <t>1</t>
        </is>
      </c>
      <c r="J1274">
        <f>((Inputs!$B$6*(1+Inputs!$B$7/100))+(((Inputs!$B$12*(1+Inputs!$B$13/100))-(Inputs!$B$12*(1+Inputs!$B$13/100)))+0.25*(Inputs!$B$14-Inputs!$B$14))*(1+Inputs!$B$7/100))*(F1274/100)</f>
        <v/>
      </c>
      <c r="K1274">
        <f>J1274*(1+((Inputs!$B$12*(1+Inputs!$B$13/100))*0.01+Inputs!$B$14*0.0025)/100)*(1+Inputs!$B$15/100)*(1+Inputs!$B$16/100)*(5000/(6000+Inputs!$B$42*(1-(Inputs!$B$19+0)/100)))*(1+(Inputs!$B$24+((C1290=TRUE)*(F1290-Calc!F25))+B1300)/100)*(1+1.0*IF(C1277=TRUE,F1277,0)/100)*(1+IF(Skills!A9="ENHANCED_RAGING_BLOW",IF(Inputs!$B$3&gt;=134,MAX(0,IF(Inputs!$B$3&gt;=110,7,5)-5)*50,0),0)/100)*(1+(IF(Skills!A9="RAGING_BLOW",Inputs!$B$17+((C1286=TRUE)*(F1286-Calc!F21)),Inputs!$B$18+((C1288=TRUE)*(F1288-Calc!F23))))/100)*((1+(((C1278=TRUE)*F1278*IF(Inputs!$B$3&gt;=110,7,5))+((C1280=TRUE)*F1280*IF(AND(Inputs!$B$38&lt;&gt;"pvp",Inputs!$B$43&gt;0),(((R1280-1)*(Skills!T15*(1+Inputs!$B$34/100))+MIN((Skills!T15*(1+Inputs!$B$34/100)),MAX(0,Inputs!$B$43-((R1280-1)*Skills!D15))))/Inputs!$B$43),IF(Inputs!$B$38="pvp",MIN((Skills!T15*(1+Inputs!$B$34/100)),15)/15,(Skills!T15*(1+Inputs!$B$34/100))/Skills!D15)))+0)/100)*I1274)</f>
        <v/>
      </c>
      <c r="L1274">
        <f>K1274*(MIN(Inputs!$B$22+((C1287=TRUE)*(F1287-Calc!F22)),Inputs!$B$23+((C1289=TRUE)*(F1289-Calc!F24)))/100+(Inputs!$B$23+((C1289=TRUE)*(F1289-Calc!F24)))/100)/2</f>
        <v/>
      </c>
      <c r="M1274">
        <f>L1274*(1+(Inputs!$B$10+0+B1299)/100)</f>
        <v/>
      </c>
      <c r="N1274">
        <f>L1274*(1-MIN((Inputs!$B$9+((C1291=TRUE)*(F1291-Calc!F26))+B1294),100)/100)+M1274*(MIN((Inputs!$B$9+((C1291=TRUE)*(F1291-Calc!F26))+B1294),100)/100)</f>
        <v/>
      </c>
      <c r="O1274">
        <f>(1-Summary!$B$55)*T1274+Summary!$B$55*V1274</f>
        <v/>
      </c>
      <c r="P1274">
        <f>IF(B1304=0,0,O1274/B1304)</f>
        <v/>
      </c>
      <c r="Q1274">
        <f>IFERROR(1/IF(Inputs!$B$38="pvp",15,MAX(0.1,Skills!D9-IF(Skills!E9=TRUE,2.0,0))),0)</f>
        <v/>
      </c>
      <c r="R1274">
        <f>IF(AND(Inputs!$B$38&lt;&gt;"pvp",Inputs!$B$43&gt;0),IF(MAX(0,Inputs!$B$43-B1301)&lt;=0,0,(INT(MAX(0,Inputs!$B$43-B1301)/IF(Inputs!$B$38="pvp",15,MAX(0.1,Skills!D9-IF(Skills!E9=TRUE,2.0,0))))+1)),0)</f>
        <v/>
      </c>
      <c r="S1274">
        <f>IFERROR(O1274/N1274,0)</f>
        <v/>
      </c>
      <c r="T1274">
        <f>IF(C1274,(H1274*N1274*IF(AND(Inputs!$B$38&lt;&gt;"pvp",Inputs!$B$43&gt;0),((Skills!G9*((R1274-1)*IF(Skills!H9&gt;0,Skills!I9/Skills!H9,1)+IF(Skills!H9&gt;0,MIN(Skills!I9,MAX(0,MAX(0,Inputs!$B$43-B1301)-((R1274-1)*IF(Inputs!$B$38="pvp",15,MAX(0.1,Skills!D9-IF(Skills!E9=TRUE,2.0,0))))))/Skills!H9,1)))/Inputs!$B$43),G1274*Q1274))*IF(Inputs!$B$38="pvp",1,1+(Inputs!$B$20+0+Skills!P9+Summary!$B$59)/100),0)</f>
        <v/>
      </c>
      <c r="V1274">
        <f>IF(C1274,(H1274*N1274*IF(AND(Inputs!$B$38&lt;&gt;"pvp",Inputs!$B$43&gt;0),((Skills!G9*((R1274-1)*IF(Skills!H9&gt;0,Skills!I9/Skills!H9,1)+IF(Skills!H9&gt;0,MIN(Skills!I9,MAX(0,MAX(0,Inputs!$B$43-B1301)-((R1274-1)*IF(Inputs!$B$38="pvp",15,MAX(0.1,Skills!D9-IF(Skills!E9=TRUE,2.0,0))))))/Skills!H9,1)))/Inputs!$B$43),G1274*Q1274))*IF(Inputs!$B$38="pvp",1,(1+(Inputs!$B$21+Skills!Q9+Summary!$B$59)/100)*(MIN(Skills!R9,Inputs!$B$37))),0)</f>
        <v/>
      </c>
    </row>
    <row r="1275">
      <c r="A1275">
        <f>Skills!A10</f>
        <v/>
      </c>
      <c r="B1275">
        <f>Skills!B10</f>
        <v/>
      </c>
      <c r="C1275">
        <f>Inputs!$B$3&gt;=63</f>
        <v/>
      </c>
      <c r="D1275">
        <f>IF(Skills!C10=1,60+Inputs!$B$25+Inputs!$B$29,IF(Skills!C10=2,90+Inputs!$B$26+Inputs!$B$29,IF(Skills!C10=3,120+Inputs!$B$27+Inputs!$B$29,MAX(0,(Inputs!$B$3-100)*3)+Inputs!$B$28+Inputs!$B$29)))</f>
        <v/>
      </c>
      <c r="E1275">
        <f>INDEX(FactorTable!$B$2:$Y$301, MATCH(ROUND(MIN(300,MAX(1,D1275)),0), FactorTable!$A$2:$A$301,0), Skills!M10+1)</f>
        <v/>
      </c>
      <c r="F1275">
        <f>IF(Skills!N10=TRUE,(Skills!L10/10)*(E1275/1000),Skills!L10/10)+Skills!O10</f>
        <v/>
      </c>
      <c r="G1275">
        <f>Skills!G10*IF(Skills!H10&gt;0,Skills!I10/Skills!H10,1)</f>
        <v/>
      </c>
      <c r="H1275">
        <f>1-(1-Skills!J10/100)^Skills!K10</f>
        <v/>
      </c>
      <c r="I1275" t="inlineStr">
        <is>
          <t>1</t>
        </is>
      </c>
      <c r="J1275">
        <f>((Inputs!$B$6*(1+Inputs!$B$7/100))+(((Inputs!$B$12*(1+Inputs!$B$13/100))-(Inputs!$B$12*(1+Inputs!$B$13/100)))+0.25*(Inputs!$B$14-Inputs!$B$14))*(1+Inputs!$B$7/100))*(F1275/100)</f>
        <v/>
      </c>
      <c r="K1275">
        <f>J1275*(1+((Inputs!$B$12*(1+Inputs!$B$13/100))*0.01+Inputs!$B$14*0.0025)/100)*(1+Inputs!$B$15/100)*(1+Inputs!$B$16/100)*(5000/(6000+Inputs!$B$42*(1-(Inputs!$B$19+0)/100)))*(1+(Inputs!$B$24+((C1290=TRUE)*(F1290-Calc!F25))+B1300)/100)*(1+1.5*IF(C1277=TRUE,F1277,0)/100)*(1+IF(Skills!A10="ENHANCED_RAGING_BLOW",IF(Inputs!$B$3&gt;=134,MAX(0,IF(Inputs!$B$3&gt;=110,7,5)-5)*50,0),0)/100)*(1+(IF(Skills!A10="RAGING_BLOW",Inputs!$B$17+((C1286=TRUE)*(F1286-Calc!F21)),Inputs!$B$18+((C1288=TRUE)*(F1288-Calc!F23))))/100)*((1+(((C1278=TRUE)*F1278*IF(Inputs!$B$3&gt;=110,7,5))+((C1280=TRUE)*F1280*IF(AND(Inputs!$B$38&lt;&gt;"pvp",Inputs!$B$43&gt;0),(((R1280-1)*(Skills!T15*(1+Inputs!$B$34/100))+MIN((Skills!T15*(1+Inputs!$B$34/100)),MAX(0,Inputs!$B$43-((R1280-1)*Skills!D15))))/Inputs!$B$43),IF(Inputs!$B$38="pvp",MIN((Skills!T15*(1+Inputs!$B$34/100)),15)/15,(Skills!T15*(1+Inputs!$B$34/100))/Skills!D15)))+0)/100)*I1275)</f>
        <v/>
      </c>
      <c r="L1275">
        <f>K1275*(MIN(Inputs!$B$22+((C1287=TRUE)*(F1287-Calc!F22)),Inputs!$B$23+((C1289=TRUE)*(F1289-Calc!F24)))/100+(Inputs!$B$23+((C1289=TRUE)*(F1289-Calc!F24)))/100)/2</f>
        <v/>
      </c>
      <c r="M1275">
        <f>L1275*(1+(Inputs!$B$10+0+B1299)/100)</f>
        <v/>
      </c>
      <c r="N1275">
        <f>L1275*(1-MIN((Inputs!$B$9+((C1291=TRUE)*(F1291-Calc!F26))+B1294),100)/100)+M1275*(MIN((Inputs!$B$9+((C1291=TRUE)*(F1291-Calc!F26))+B1294),100)/100)</f>
        <v/>
      </c>
      <c r="O1275">
        <f>(1-Summary!$B$55)*T1275+Summary!$B$55*V1275</f>
        <v/>
      </c>
      <c r="P1275">
        <f>IF(B1304=0,0,O1275/B1304)</f>
        <v/>
      </c>
      <c r="Q1275">
        <f>IFERROR(1/IF(Inputs!$B$38="pvp",15,MAX(0.1,Skills!D10-IF(Skills!E10=TRUE,2.0,0))),0)</f>
        <v/>
      </c>
      <c r="R1275">
        <f>IF(AND(Inputs!$B$38&lt;&gt;"pvp",Inputs!$B$43&gt;0),IF(MAX(0,Inputs!$B$43-B1301)&lt;=0,0,(INT(MAX(0,Inputs!$B$43-B1301)/IF(Inputs!$B$38="pvp",15,MAX(0.1,Skills!D10-IF(Skills!E10=TRUE,2.0,0))))+1)),0)</f>
        <v/>
      </c>
      <c r="S1275">
        <f>IFERROR(O1275/N1275,0)</f>
        <v/>
      </c>
      <c r="T1275">
        <f>IF(C1275,(H1275*N1275*IF(AND(Inputs!$B$38&lt;&gt;"pvp",Inputs!$B$43&gt;0),((Skills!G10*((R1275-1)*IF(Skills!H10&gt;0,Skills!I10/Skills!H10,1)+IF(Skills!H10&gt;0,MIN(Skills!I10,MAX(0,MAX(0,Inputs!$B$43-B1301)-((R1275-1)*IF(Inputs!$B$38="pvp",15,MAX(0.1,Skills!D10-IF(Skills!E10=TRUE,2.0,0))))))/Skills!H10,1)))/Inputs!$B$43),G1275*Q1275))*IF(Inputs!$B$38="pvp",1,1+(Inputs!$B$20+0+Skills!P10+Summary!$B$59)/100),0)</f>
        <v/>
      </c>
      <c r="V1275">
        <f>IF(C1275,(H1275*N1275*IF(AND(Inputs!$B$38&lt;&gt;"pvp",Inputs!$B$43&gt;0),((Skills!G10*((R1275-1)*IF(Skills!H10&gt;0,Skills!I10/Skills!H10,1)+IF(Skills!H10&gt;0,MIN(Skills!I10,MAX(0,MAX(0,Inputs!$B$43-B1301)-((R1275-1)*IF(Inputs!$B$38="pvp",15,MAX(0.1,Skills!D10-IF(Skills!E10=TRUE,2.0,0))))))/Skills!H10,1)))/Inputs!$B$43),G1275*Q1275))*IF(Inputs!$B$38="pvp",1,(1+(Inputs!$B$21+Skills!Q10+Summary!$B$59)/100)*(MIN(Skills!R10,Inputs!$B$37))),0)</f>
        <v/>
      </c>
    </row>
    <row r="1276">
      <c r="A1276">
        <f>Skills!A11</f>
        <v/>
      </c>
      <c r="B1276">
        <f>Skills!B11</f>
        <v/>
      </c>
      <c r="C1276">
        <f>Inputs!$B$3&gt;=35</f>
        <v/>
      </c>
      <c r="D1276">
        <f>IF(Skills!C11=1,60+Inputs!$B$25+Inputs!$B$29,IF(Skills!C11=2,90+Inputs!$B$26+Inputs!$B$29,IF(Skills!C11=3,120+Inputs!$B$27+Inputs!$B$29,MAX(0,(Inputs!$B$3-100)*3)+Inputs!$B$28+Inputs!$B$29)))</f>
        <v/>
      </c>
      <c r="E1276">
        <f>INDEX(FactorTable!$B$2:$Y$301, MATCH(ROUND(MIN(300,MAX(1,D1276)),0), FactorTable!$A$2:$A$301,0), Skills!M11+1)</f>
        <v/>
      </c>
      <c r="F1276">
        <f>IF(Skills!N11=TRUE,(Skills!L11/10)*(E1276/1000),Skills!L11/10)+Skills!O11</f>
        <v/>
      </c>
      <c r="G1276">
        <f>Skills!G11*IF(Skills!H11&gt;0,Skills!I11/Skills!H11,1)</f>
        <v/>
      </c>
      <c r="H1276">
        <f>1-(1-Skills!J11/100)^Skills!K11</f>
        <v/>
      </c>
      <c r="I1276" t="inlineStr">
        <is>
          <t>1</t>
        </is>
      </c>
      <c r="J1276">
        <f>((Inputs!$B$6*(1+Inputs!$B$7/100))+(((Inputs!$B$12*(1+Inputs!$B$13/100))-(Inputs!$B$12*(1+Inputs!$B$13/100)))+0.25*(Inputs!$B$14-Inputs!$B$14))*(1+Inputs!$B$7/100))*(F1276/100)</f>
        <v/>
      </c>
      <c r="K1276">
        <f>J1276*(1+((Inputs!$B$12*(1+Inputs!$B$13/100))*0.01+Inputs!$B$14*0.0025)/100)*(1+Inputs!$B$15/100)*(1+Inputs!$B$16/100)*(5000/(6000+Inputs!$B$42*(1-(Inputs!$B$19+0)/100)))*(1+(Inputs!$B$24+((C1290=TRUE)*(F1290-Calc!F25))+B1300)/100)*(1+4.0*IF(C1277=TRUE,F1277,0)/100)*(1+IF(Skills!A11="ENHANCED_RAGING_BLOW",IF(Inputs!$B$3&gt;=134,MAX(0,IF(Inputs!$B$3&gt;=110,7,5)-5)*50,0),0)/100)*(1+(IF(Skills!A11="RAGING_BLOW",Inputs!$B$17+((C1286=TRUE)*(F1286-Calc!F21)),Inputs!$B$18+((C1288=TRUE)*(F1288-Calc!F23))))/100)*((1+(((C1278=TRUE)*F1278*IF(Inputs!$B$3&gt;=110,7,5))+((C1280=TRUE)*F1280*IF(AND(Inputs!$B$38&lt;&gt;"pvp",Inputs!$B$43&gt;0),(((R1280-1)*(Skills!T15*(1+Inputs!$B$34/100))+MIN((Skills!T15*(1+Inputs!$B$34/100)),MAX(0,Inputs!$B$43-((R1280-1)*Skills!D15))))/Inputs!$B$43),IF(Inputs!$B$38="pvp",MIN((Skills!T15*(1+Inputs!$B$34/100)),15)/15,(Skills!T15*(1+Inputs!$B$34/100))/Skills!D15)))+0)/100)*I1276)</f>
        <v/>
      </c>
      <c r="L1276">
        <f>K1276*(MIN(Inputs!$B$22+((C1287=TRUE)*(F1287-Calc!F22)),Inputs!$B$23+((C1289=TRUE)*(F1289-Calc!F24)))/100+(Inputs!$B$23+((C1289=TRUE)*(F1289-Calc!F24)))/100)/2</f>
        <v/>
      </c>
      <c r="M1276">
        <f>L1276*(1+(Inputs!$B$10+0+B1299)/100)</f>
        <v/>
      </c>
      <c r="N1276">
        <f>L1276*(1-MIN((Inputs!$B$9+((C1291=TRUE)*(F1291-Calc!F26))+B1294),100)/100)+M1276*(MIN((Inputs!$B$9+((C1291=TRUE)*(F1291-Calc!F26))+B1294),100)/100)</f>
        <v/>
      </c>
      <c r="O1276">
        <f>(1-Summary!$B$55)*T1276+Summary!$B$55*V1276</f>
        <v/>
      </c>
      <c r="P1276">
        <f>IF(B1304=0,0,O1276/B1304)</f>
        <v/>
      </c>
      <c r="Q1276">
        <f>IFERROR(1/IF(Inputs!$B$38="pvp",15,MAX(0.1,Skills!D11-IF(Skills!E11=TRUE,2.0,0))),0)</f>
        <v/>
      </c>
      <c r="R1276">
        <f>IF(AND(Inputs!$B$38&lt;&gt;"pvp",Inputs!$B$43&gt;0),IF(MAX(0,Inputs!$B$43-B1301)&lt;=0,0,(INT(MAX(0,Inputs!$B$43-B1301)/IF(Inputs!$B$38="pvp",15,MAX(0.1,Skills!D11-IF(Skills!E11=TRUE,2.0,0))))+1)),0)</f>
        <v/>
      </c>
      <c r="S1276">
        <f>IFERROR(O1276/N1276,0)</f>
        <v/>
      </c>
      <c r="T1276">
        <f>IF(C1276,(H1276*N1276*IF(AND(Inputs!$B$38&lt;&gt;"pvp",Inputs!$B$43&gt;0),((Skills!G11*((R1276-1)*IF(Skills!H11&gt;0,Skills!I11/Skills!H11,1)+IF(Skills!H11&gt;0,MIN(Skills!I11,MAX(0,MAX(0,Inputs!$B$43-B1301)-((R1276-1)*IF(Inputs!$B$38="pvp",15,MAX(0.1,Skills!D11-IF(Skills!E11=TRUE,2.0,0))))))/Skills!H11,1)))/Inputs!$B$43),G1276*Q1276))*IF(Inputs!$B$38="pvp",1,1+(Inputs!$B$20+0+Skills!P11+Summary!$B$59)/100),0)</f>
        <v/>
      </c>
      <c r="V1276">
        <f>IF(C1276,(H1276*N1276*IF(AND(Inputs!$B$38&lt;&gt;"pvp",Inputs!$B$43&gt;0),((Skills!G11*((R1276-1)*IF(Skills!H11&gt;0,Skills!I11/Skills!H11,1)+IF(Skills!H11&gt;0,MIN(Skills!I11,MAX(0,MAX(0,Inputs!$B$43-B1301)-((R1276-1)*IF(Inputs!$B$38="pvp",15,MAX(0.1,Skills!D11-IF(Skills!E11=TRUE,2.0,0))))))/Skills!H11,1)))/Inputs!$B$43),G1276*Q1276))*IF(Inputs!$B$38="pvp",1,(1+(Inputs!$B$21+Skills!Q11+Summary!$B$59)/100)*(MIN(Skills!R11,Inputs!$B$37))),0)</f>
        <v/>
      </c>
    </row>
    <row r="1277">
      <c r="A1277">
        <f>Skills!A12</f>
        <v/>
      </c>
      <c r="B1277">
        <f>Skills!B12</f>
        <v/>
      </c>
      <c r="C1277">
        <f>Inputs!$B$3&gt;=100</f>
        <v/>
      </c>
      <c r="D1277">
        <f>IF(Skills!C12=1,60+Inputs!$B$25+Inputs!$B$29,IF(Skills!C12=2,90+Inputs!$B$26+Inputs!$B$29,IF(Skills!C12=3,120+Inputs!$B$27+Inputs!$B$29,MAX(0,(Inputs!$B$3-100)*3)+Inputs!$B$28+Inputs!$B$29)))</f>
        <v/>
      </c>
      <c r="E1277">
        <f>INDEX(FactorTable!$B$2:$Y$301, MATCH(ROUND(MIN(300,MAX(1,D1277)),0), FactorTable!$A$2:$A$301,0), Skills!M12+1)</f>
        <v/>
      </c>
      <c r="F1277">
        <f>IF(Skills!N12=TRUE,(Skills!L12/10)*(E1277/1000),Skills!L12/10)+Skills!O12</f>
        <v/>
      </c>
      <c r="G1277" t="inlineStr"/>
      <c r="H1277" t="inlineStr"/>
      <c r="I1277" t="inlineStr">
        <is>
          <t>1</t>
        </is>
      </c>
      <c r="J1277" t="inlineStr"/>
      <c r="K1277" t="inlineStr"/>
      <c r="L1277" t="inlineStr"/>
      <c r="M1277" t="inlineStr"/>
      <c r="N1277" t="inlineStr"/>
      <c r="O1277" t="inlineStr"/>
      <c r="P1277" t="inlineStr"/>
      <c r="Q1277" t="inlineStr"/>
      <c r="R1277" t="inlineStr"/>
      <c r="S1277" t="inlineStr"/>
    </row>
    <row r="1278">
      <c r="A1278">
        <f>Skills!A13</f>
        <v/>
      </c>
      <c r="B1278">
        <f>Skills!B13</f>
        <v/>
      </c>
      <c r="C1278">
        <f>Inputs!$B$3&gt;=45</f>
        <v/>
      </c>
      <c r="D1278">
        <f>IF(Skills!C13=1,60+Inputs!$B$25+Inputs!$B$29,IF(Skills!C13=2,90+Inputs!$B$26+Inputs!$B$29,IF(Skills!C13=3,120+Inputs!$B$27+Inputs!$B$29,MAX(0,(Inputs!$B$3-100)*3)+Inputs!$B$28+Inputs!$B$29)))</f>
        <v/>
      </c>
      <c r="E1278">
        <f>INDEX(FactorTable!$B$2:$Y$301, MATCH(ROUND(MIN(300,MAX(1,D1278)),0), FactorTable!$A$2:$A$301,0), Skills!M13+1)</f>
        <v/>
      </c>
      <c r="F1278">
        <f>IF(Skills!N13=TRUE,(Skills!L13/10)*(E1278/1000),Skills!L13/10)+Skills!O13</f>
        <v/>
      </c>
      <c r="G1278">
        <f>Skills!G13*IF(Skills!H13&gt;0,Skills!I13/Skills!H13,1)</f>
        <v/>
      </c>
      <c r="H1278">
        <f>1-(1-Skills!J13/100)^Skills!K13</f>
        <v/>
      </c>
      <c r="I1278" t="inlineStr">
        <is>
          <t>1</t>
        </is>
      </c>
      <c r="J1278" t="inlineStr"/>
      <c r="K1278" t="inlineStr"/>
      <c r="L1278" t="inlineStr"/>
      <c r="M1278" t="inlineStr"/>
      <c r="N1278" t="inlineStr"/>
      <c r="O1278">
        <f>(1-Summary!$B$55)*T1278+Summary!$B$55*V1278</f>
        <v/>
      </c>
      <c r="P1278">
        <f>IF(B1304=0,0,O1278/B1304)</f>
        <v/>
      </c>
      <c r="Q1278" t="n">
        <v>0</v>
      </c>
      <c r="R1278" t="n">
        <v>0</v>
      </c>
      <c r="S1278">
        <f>IFERROR(O1278/N1278,0)</f>
        <v/>
      </c>
      <c r="T1278" t="n">
        <v>0</v>
      </c>
      <c r="V1278" t="n">
        <v>0</v>
      </c>
    </row>
    <row r="1279">
      <c r="A1279">
        <f>Skills!A14</f>
        <v/>
      </c>
      <c r="B1279">
        <f>Skills!B14</f>
        <v/>
      </c>
      <c r="C1279">
        <f>Inputs!$B$3&gt;=75</f>
        <v/>
      </c>
      <c r="D1279">
        <f>IF(Skills!C14=1,60+Inputs!$B$25+Inputs!$B$29,IF(Skills!C14=2,90+Inputs!$B$26+Inputs!$B$29,IF(Skills!C14=3,120+Inputs!$B$27+Inputs!$B$29,MAX(0,(Inputs!$B$3-100)*3)+Inputs!$B$28+Inputs!$B$29)))</f>
        <v/>
      </c>
      <c r="E1279">
        <f>INDEX(FactorTable!$B$2:$Y$301, MATCH(ROUND(MIN(300,MAX(1,D1279)),0), FactorTable!$A$2:$A$301,0), Skills!M14+1)</f>
        <v/>
      </c>
      <c r="F1279">
        <f>IF(Skills!N14=TRUE,(Skills!L14/10)*(E1279/1000),Skills!L14/10)+Skills!O14</f>
        <v/>
      </c>
      <c r="G1279">
        <f>Skills!G14*IF(Skills!H14&gt;0,Skills!I14/Skills!H14,1)</f>
        <v/>
      </c>
      <c r="H1279">
        <f>1-(1-Skills!J14/100)^Skills!K14</f>
        <v/>
      </c>
      <c r="I1279" t="inlineStr">
        <is>
          <t>1</t>
        </is>
      </c>
      <c r="J1279" t="inlineStr"/>
      <c r="K1279" t="inlineStr"/>
      <c r="L1279" t="inlineStr"/>
      <c r="M1279" t="inlineStr"/>
      <c r="N1279" t="inlineStr"/>
      <c r="O1279">
        <f>(1-Summary!$B$55)*T1279+Summary!$B$55*V1279</f>
        <v/>
      </c>
      <c r="P1279">
        <f>IF(B1304=0,0,O1279/B1304)</f>
        <v/>
      </c>
      <c r="Q1279" t="n">
        <v>0</v>
      </c>
      <c r="R1279" t="n">
        <v>0</v>
      </c>
      <c r="S1279">
        <f>IFERROR(O1279/N1279,0)</f>
        <v/>
      </c>
      <c r="T1279" t="n">
        <v>0</v>
      </c>
      <c r="V1279" t="n">
        <v>0</v>
      </c>
    </row>
    <row r="1280">
      <c r="A1280">
        <f>Skills!A15</f>
        <v/>
      </c>
      <c r="B1280">
        <f>Skills!B15</f>
        <v/>
      </c>
      <c r="C1280">
        <f>Inputs!$B$3&gt;=40</f>
        <v/>
      </c>
      <c r="D1280">
        <f>IF(Skills!C15=1,60+Inputs!$B$25+Inputs!$B$29,IF(Skills!C15=2,90+Inputs!$B$26+Inputs!$B$29,IF(Skills!C15=3,120+Inputs!$B$27+Inputs!$B$29,MAX(0,(Inputs!$B$3-100)*3)+Inputs!$B$28+Inputs!$B$29)))</f>
        <v/>
      </c>
      <c r="E1280">
        <f>INDEX(FactorTable!$B$2:$Y$301, MATCH(ROUND(MIN(300,MAX(1,D1280)),0), FactorTable!$A$2:$A$301,0), Skills!M15+1)</f>
        <v/>
      </c>
      <c r="F1280">
        <f>IF(Skills!N15=TRUE,(Skills!L15/10)*(E1280/1000),Skills!L15/10)+Skills!O15</f>
        <v/>
      </c>
      <c r="G1280">
        <f>Skills!G15*IF(Skills!H15&gt;0,Skills!I15/Skills!H15,1)</f>
        <v/>
      </c>
      <c r="H1280">
        <f>1-(1-Skills!J15/100)^Skills!K15</f>
        <v/>
      </c>
      <c r="I1280" t="inlineStr">
        <is>
          <t>1</t>
        </is>
      </c>
      <c r="J1280" t="inlineStr"/>
      <c r="K1280" t="inlineStr"/>
      <c r="L1280" t="inlineStr"/>
      <c r="M1280" t="inlineStr"/>
      <c r="N1280" t="inlineStr"/>
      <c r="O1280">
        <f>(1-Summary!$B$55)*T1280+Summary!$B$55*V1280</f>
        <v/>
      </c>
      <c r="P1280">
        <f>IF(B1304=0,0,O1280/B1304)</f>
        <v/>
      </c>
      <c r="Q1280">
        <f>IFERROR(1/IF(Inputs!$B$38="pvp",15,MAX(0.1,Skills!D15-IF(Skills!E15=TRUE,2.0,0))),0)</f>
        <v/>
      </c>
      <c r="R1280">
        <f>IF(AND(Inputs!$B$38&lt;&gt;"pvp",Inputs!$B$43&gt;0),IF(Inputs!$B$43&lt;=0,0,(INT(Inputs!$B$43/IF(Inputs!$B$38="pvp",15,MAX(0.1,Skills!D15-IF(Skills!E15=TRUE,2.0,0))))+1)),0)</f>
        <v/>
      </c>
      <c r="S1280">
        <f>IFERROR(O1280/N1280,0)</f>
        <v/>
      </c>
      <c r="T1280" t="n">
        <v>0</v>
      </c>
      <c r="V1280" t="n">
        <v>0</v>
      </c>
    </row>
    <row r="1281">
      <c r="A1281">
        <f>Skills!A16</f>
        <v/>
      </c>
      <c r="B1281">
        <f>Skills!B16</f>
        <v/>
      </c>
      <c r="C1281">
        <f>Inputs!$B$3&gt;=66</f>
        <v/>
      </c>
      <c r="D1281">
        <f>IF(Skills!C16=1,60+Inputs!$B$25+Inputs!$B$29,IF(Skills!C16=2,90+Inputs!$B$26+Inputs!$B$29,IF(Skills!C16=3,120+Inputs!$B$27+Inputs!$B$29,MAX(0,(Inputs!$B$3-100)*3)+Inputs!$B$28+Inputs!$B$29)))</f>
        <v/>
      </c>
      <c r="E1281">
        <f>INDEX(FactorTable!$B$2:$Y$301, MATCH(ROUND(MIN(300,MAX(1,D1281)),0), FactorTable!$A$2:$A$301,0), Skills!M16+1)</f>
        <v/>
      </c>
      <c r="F1281">
        <f>IF(Skills!N16=TRUE,(Skills!L16/10)*(E1281/1000),Skills!L16/10)+Skills!O16</f>
        <v/>
      </c>
      <c r="G1281">
        <f>Skills!G16*IF(Skills!H16&gt;0,Skills!I16/Skills!H16,1)</f>
        <v/>
      </c>
      <c r="H1281">
        <f>1-(1-Skills!J16/100)^Skills!K16</f>
        <v/>
      </c>
      <c r="I1281" t="inlineStr">
        <is>
          <t>1</t>
        </is>
      </c>
      <c r="J1281" t="inlineStr"/>
      <c r="K1281" t="inlineStr"/>
      <c r="L1281" t="inlineStr"/>
      <c r="M1281" t="inlineStr"/>
      <c r="N1281" t="inlineStr"/>
      <c r="O1281">
        <f>(1-Summary!$B$55)*T1281+Summary!$B$55*V1281</f>
        <v/>
      </c>
      <c r="P1281">
        <f>IF(B1304=0,0,O1281/B1304)</f>
        <v/>
      </c>
      <c r="Q1281">
        <f>IFERROR(1/IF(Inputs!$B$38="pvp",15,MAX(0.1,Skills!D16-IF(Skills!E16=TRUE,2.0,0))),0)</f>
        <v/>
      </c>
      <c r="R1281">
        <f>IF(AND(Inputs!$B$38&lt;&gt;"pvp",Inputs!$B$43&gt;0),IF(Inputs!$B$43&lt;=0,0,(INT(Inputs!$B$43/IF(Inputs!$B$38="pvp",15,MAX(0.1,Skills!D16-IF(Skills!E16=TRUE,2.0,0))))+1)),0)</f>
        <v/>
      </c>
      <c r="S1281">
        <f>IFERROR(O1281/N1281,0)</f>
        <v/>
      </c>
      <c r="T1281" t="n">
        <v>0</v>
      </c>
      <c r="V1281" t="n">
        <v>0</v>
      </c>
    </row>
    <row r="1282">
      <c r="A1282">
        <f>Skills!A17</f>
        <v/>
      </c>
      <c r="B1282">
        <f>Skills!B17</f>
        <v/>
      </c>
      <c r="C1282">
        <f>Inputs!$B$3&gt;=115</f>
        <v/>
      </c>
      <c r="D1282">
        <f>IF(Skills!C17=1,60+Inputs!$B$25+Inputs!$B$29,IF(Skills!C17=2,90+Inputs!$B$26+Inputs!$B$29,IF(Skills!C17=3,120+Inputs!$B$27+Inputs!$B$29,MAX(0,(Inputs!$B$3-100)*3)+Inputs!$B$28+Inputs!$B$29)))</f>
        <v/>
      </c>
      <c r="E1282">
        <f>INDEX(FactorTable!$B$2:$Y$301, MATCH(ROUND(MIN(300,MAX(1,D1282)),0), FactorTable!$A$2:$A$301,0), Skills!M17+1)</f>
        <v/>
      </c>
      <c r="F1282">
        <f>IF(Skills!N17=TRUE,(Skills!L17/10)*(E1282/1000),Skills!L17/10)+Skills!O17</f>
        <v/>
      </c>
      <c r="G1282">
        <f>Skills!G17*IF(Skills!H17&gt;0,Skills!I17/Skills!H17,1)</f>
        <v/>
      </c>
      <c r="H1282">
        <f>1-(1-Skills!J17/100)^Skills!K17</f>
        <v/>
      </c>
      <c r="I1282" t="inlineStr">
        <is>
          <t>1</t>
        </is>
      </c>
      <c r="J1282" t="inlineStr"/>
      <c r="K1282" t="inlineStr"/>
      <c r="L1282" t="inlineStr"/>
      <c r="M1282" t="inlineStr"/>
      <c r="N1282" t="inlineStr"/>
      <c r="O1282">
        <f>(1-Summary!$B$55)*T1282+Summary!$B$55*V1282</f>
        <v/>
      </c>
      <c r="P1282">
        <f>IF(B1304=0,0,O1282/B1304)</f>
        <v/>
      </c>
      <c r="Q1282">
        <f>IFERROR(1/IF(Inputs!$B$38="pvp",15,MAX(0.1,Skills!D17-IF(Skills!E17=TRUE,2.0,0))),0)</f>
        <v/>
      </c>
      <c r="R1282">
        <f>IF(AND(Inputs!$B$38&lt;&gt;"pvp",Inputs!$B$43&gt;0),IF(Inputs!$B$43&lt;=0,0,(INT(Inputs!$B$43/IF(Inputs!$B$38="pvp",15,MAX(0.1,Skills!D17-IF(Skills!E17=TRUE,2.0,0))))+1)),0)</f>
        <v/>
      </c>
      <c r="S1282">
        <f>IFERROR(O1282/N1282,0)</f>
        <v/>
      </c>
      <c r="T1282" t="n">
        <v>0</v>
      </c>
      <c r="V1282" t="n">
        <v>0</v>
      </c>
    </row>
    <row r="1283">
      <c r="A1283">
        <f>Skills!A18</f>
        <v/>
      </c>
      <c r="B1283">
        <f>Skills!B18</f>
        <v/>
      </c>
      <c r="C1283">
        <f>Inputs!$B$3&gt;=115</f>
        <v/>
      </c>
      <c r="D1283">
        <f>IF(Skills!C18=1,60+Inputs!$B$25+Inputs!$B$29,IF(Skills!C18=2,90+Inputs!$B$26+Inputs!$B$29,IF(Skills!C18=3,120+Inputs!$B$27+Inputs!$B$29,MAX(0,(Inputs!$B$3-100)*3)+Inputs!$B$28+Inputs!$B$29)))</f>
        <v/>
      </c>
      <c r="E1283">
        <f>INDEX(FactorTable!$B$2:$Y$301, MATCH(ROUND(MIN(300,MAX(1,D1283)),0), FactorTable!$A$2:$A$301,0), Skills!M18+1)</f>
        <v/>
      </c>
      <c r="F1283">
        <f>IF(Skills!N18=TRUE,(Skills!L18/10)*(E1283/1000),Skills!L18/10)+Skills!O18</f>
        <v/>
      </c>
      <c r="G1283">
        <f>Skills!G18*IF(Skills!H18&gt;0,Skills!I18/Skills!H18,1)</f>
        <v/>
      </c>
      <c r="H1283">
        <f>1-(1-Skills!J18/100)^Skills!K18</f>
        <v/>
      </c>
      <c r="I1283" t="inlineStr">
        <is>
          <t>1</t>
        </is>
      </c>
      <c r="J1283" t="inlineStr"/>
      <c r="K1283" t="inlineStr"/>
      <c r="L1283" t="inlineStr"/>
      <c r="M1283" t="inlineStr"/>
      <c r="N1283" t="inlineStr"/>
      <c r="O1283">
        <f>(1-Summary!$B$55)*T1283+Summary!$B$55*V1283</f>
        <v/>
      </c>
      <c r="P1283">
        <f>IF(B1304=0,0,O1283/B1304)</f>
        <v/>
      </c>
      <c r="Q1283">
        <f>IFERROR(1/IF(Inputs!$B$38="pvp",15,MAX(0.1,Skills!D18-IF(Skills!E18=TRUE,2.0,0))),0)</f>
        <v/>
      </c>
      <c r="R1283">
        <f>IF(AND(Inputs!$B$38&lt;&gt;"pvp",Inputs!$B$43&gt;0),IF(Inputs!$B$43&lt;=0,0,(INT(Inputs!$B$43/IF(Inputs!$B$38="pvp",15,MAX(0.1,Skills!D18-IF(Skills!E18=TRUE,2.0,0))))+1)),0)</f>
        <v/>
      </c>
      <c r="S1283">
        <f>IFERROR(O1283/N1283,0)</f>
        <v/>
      </c>
      <c r="T1283" t="n">
        <v>0</v>
      </c>
      <c r="V1283" t="n">
        <v>0</v>
      </c>
    </row>
    <row r="1284">
      <c r="A1284">
        <f>Skills!A19</f>
        <v/>
      </c>
      <c r="B1284">
        <f>Skills!B19</f>
        <v/>
      </c>
      <c r="C1284">
        <f>TRUE</f>
        <v/>
      </c>
      <c r="D1284">
        <f>IF(Skills!C19=1,60+Inputs!$B$25+Inputs!$B$29,IF(Skills!C19=2,90+Inputs!$B$26+Inputs!$B$29,IF(Skills!C19=3,120+Inputs!$B$27+Inputs!$B$29,MAX(0,(Inputs!$B$3-100)*3)+Inputs!$B$28+Inputs!$B$29)))</f>
        <v/>
      </c>
      <c r="E1284">
        <f>INDEX(FactorTable!$B$2:$Y$301, MATCH(ROUND(MIN(300,MAX(1,D1284)),0), FactorTable!$A$2:$A$301,0), Skills!M19+1)</f>
        <v/>
      </c>
      <c r="F1284">
        <f>IF(Skills!N19=TRUE,(Skills!L19/10)*(E1284/1000),Skills!L19/10)+Skills!O19</f>
        <v/>
      </c>
      <c r="G1284">
        <f>Skills!G19*IF(Skills!H19&gt;0,Skills!I19/Skills!H19,1)</f>
        <v/>
      </c>
      <c r="H1284">
        <f>1-(1-Skills!J19/100)^Skills!K19</f>
        <v/>
      </c>
      <c r="I1284" t="inlineStr">
        <is>
          <t>1</t>
        </is>
      </c>
      <c r="J1284" t="inlineStr"/>
      <c r="K1284" t="inlineStr"/>
      <c r="L1284" t="inlineStr"/>
      <c r="M1284" t="inlineStr"/>
      <c r="N1284" t="inlineStr"/>
      <c r="O1284">
        <f>(1-Summary!$B$55)*T1284+Summary!$B$55*V1284</f>
        <v/>
      </c>
      <c r="P1284">
        <f>IF(B1304=0,0,O1284/B1304)</f>
        <v/>
      </c>
      <c r="Q1284">
        <f>IFERROR(1/IF(Inputs!$B$38="pvp",15,MAX(0.1,Skills!D19-IF(Skills!E19=TRUE,2.0,0))),0)</f>
        <v/>
      </c>
      <c r="R1284">
        <f>IF(AND(Inputs!$B$38&lt;&gt;"pvp",Inputs!$B$43&gt;0),IF(Inputs!$B$43&lt;=0,0,(INT(Inputs!$B$43/IF(Inputs!$B$38="pvp",15,MAX(0.1,Skills!D19-IF(Skills!E19=TRUE,2.0,0))))+1)),0)</f>
        <v/>
      </c>
      <c r="S1284">
        <f>IFERROR(O1284/N1284,0)</f>
        <v/>
      </c>
      <c r="T1284" t="n">
        <v>0</v>
      </c>
      <c r="V1284" t="n">
        <v>0</v>
      </c>
    </row>
    <row r="1285">
      <c r="A1285">
        <f>Skills!A20</f>
        <v/>
      </c>
      <c r="B1285">
        <f>Skills!B20</f>
        <v/>
      </c>
      <c r="C1285">
        <f>Inputs!$B$3&gt;=33</f>
        <v/>
      </c>
      <c r="D1285">
        <f>IF(Skills!C20=1,60+Inputs!$B$25+Inputs!$B$29,IF(Skills!C20=2,90+Inputs!$B$26+Inputs!$B$29,IF(Skills!C20=3,120+Inputs!$B$27+Inputs!$B$29,MAX(0,(Inputs!$B$3-100)*3)+Inputs!$B$28+Inputs!$B$29)))</f>
        <v/>
      </c>
      <c r="E1285">
        <f>INDEX(FactorTable!$B$2:$Y$301, MATCH(ROUND(MIN(300,MAX(1,D1285)),0), FactorTable!$A$2:$A$301,0), Skills!M20+1)</f>
        <v/>
      </c>
      <c r="F1285">
        <f>IF(Skills!N20=TRUE,(Skills!L20/10)*(E1285/1000),Skills!L20/10)+Skills!O20</f>
        <v/>
      </c>
      <c r="G1285">
        <f>Skills!G20*IF(Skills!H20&gt;0,Skills!I20/Skills!H20,1)</f>
        <v/>
      </c>
      <c r="H1285">
        <f>1-(1-Skills!J20/100)^Skills!K20</f>
        <v/>
      </c>
      <c r="I1285" t="inlineStr">
        <is>
          <t>1</t>
        </is>
      </c>
      <c r="J1285" t="inlineStr"/>
      <c r="K1285" t="inlineStr"/>
      <c r="L1285" t="inlineStr"/>
      <c r="M1285" t="inlineStr"/>
      <c r="N1285" t="inlineStr"/>
      <c r="O1285">
        <f>(1-Summary!$B$55)*T1285+Summary!$B$55*V1285</f>
        <v/>
      </c>
      <c r="P1285">
        <f>IF(B1304=0,0,O1285/B1304)</f>
        <v/>
      </c>
      <c r="Q1285" t="n">
        <v>0</v>
      </c>
      <c r="R1285" t="n">
        <v>0</v>
      </c>
      <c r="S1285">
        <f>IFERROR(O1285/N1285,0)</f>
        <v/>
      </c>
      <c r="T1285" t="n">
        <v>0</v>
      </c>
      <c r="V1285" t="n">
        <v>0</v>
      </c>
    </row>
    <row r="1286">
      <c r="A1286">
        <f>Skills!A21</f>
        <v/>
      </c>
      <c r="B1286">
        <f>Skills!B21</f>
        <v/>
      </c>
      <c r="C1286">
        <f>Inputs!$B$3&gt;=38</f>
        <v/>
      </c>
      <c r="D1286">
        <f>IF(Skills!C21=1,60+Inputs!$B$25+Inputs!$B$29,IF(Skills!C21=2,90+Inputs!$B$26+Inputs!$B$29,IF(Skills!C21=3,120+Inputs!$B$27+Inputs!$B$29,MAX(0,(Inputs!$B$3-100)*3)+Inputs!$B$28+Inputs!$B$29)))</f>
        <v/>
      </c>
      <c r="E1286">
        <f>INDEX(FactorTable!$B$2:$Y$301, MATCH(ROUND(MIN(300,MAX(1,D1286)),0), FactorTable!$A$2:$A$301,0), Skills!M21+1)</f>
        <v/>
      </c>
      <c r="F1286">
        <f>IF(Skills!N21=TRUE,(Skills!L21/10)*(E1286/1000),Skills!L21/10)+Skills!O21</f>
        <v/>
      </c>
      <c r="G1286">
        <f>Skills!G21*IF(Skills!H21&gt;0,Skills!I21/Skills!H21,1)</f>
        <v/>
      </c>
      <c r="H1286">
        <f>1-(1-Skills!J21/100)^Skills!K21</f>
        <v/>
      </c>
      <c r="I1286" t="inlineStr">
        <is>
          <t>1</t>
        </is>
      </c>
      <c r="J1286" t="inlineStr"/>
      <c r="K1286" t="inlineStr"/>
      <c r="L1286" t="inlineStr"/>
      <c r="M1286" t="inlineStr"/>
      <c r="N1286" t="inlineStr"/>
      <c r="O1286">
        <f>(1-Summary!$B$55)*T1286+Summary!$B$55*V1286</f>
        <v/>
      </c>
      <c r="P1286">
        <f>IF(B1304=0,0,O1286/B1304)</f>
        <v/>
      </c>
      <c r="Q1286" t="n">
        <v>0</v>
      </c>
      <c r="R1286" t="n">
        <v>0</v>
      </c>
      <c r="S1286">
        <f>IFERROR(O1286/N1286,0)</f>
        <v/>
      </c>
      <c r="T1286" t="n">
        <v>0</v>
      </c>
      <c r="V1286" t="n">
        <v>0</v>
      </c>
    </row>
    <row r="1287">
      <c r="A1287">
        <f>Skills!A22</f>
        <v/>
      </c>
      <c r="B1287">
        <f>Skills!B22</f>
        <v/>
      </c>
      <c r="C1287">
        <f>Inputs!$B$3&gt;=43</f>
        <v/>
      </c>
      <c r="D1287">
        <f>IF(Skills!C22=1,60+Inputs!$B$25+Inputs!$B$29,IF(Skills!C22=2,90+Inputs!$B$26+Inputs!$B$29,IF(Skills!C22=3,120+Inputs!$B$27+Inputs!$B$29,MAX(0,(Inputs!$B$3-100)*3)+Inputs!$B$28+Inputs!$B$29)))</f>
        <v/>
      </c>
      <c r="E1287">
        <f>INDEX(FactorTable!$B$2:$Y$301, MATCH(ROUND(MIN(300,MAX(1,D1287)),0), FactorTable!$A$2:$A$301,0), Skills!M22+1)</f>
        <v/>
      </c>
      <c r="F1287">
        <f>IF(Skills!N22=TRUE,(Skills!L22/10)*(E1287/1000),Skills!L22/10)+Skills!O22</f>
        <v/>
      </c>
      <c r="G1287">
        <f>Skills!G22*IF(Skills!H22&gt;0,Skills!I22/Skills!H22,1)</f>
        <v/>
      </c>
      <c r="H1287">
        <f>1-(1-Skills!J22/100)^Skills!K22</f>
        <v/>
      </c>
      <c r="I1287" t="inlineStr">
        <is>
          <t>1</t>
        </is>
      </c>
      <c r="J1287" t="inlineStr"/>
      <c r="K1287" t="inlineStr"/>
      <c r="L1287" t="inlineStr"/>
      <c r="M1287" t="inlineStr"/>
      <c r="N1287" t="inlineStr"/>
      <c r="O1287">
        <f>(1-Summary!$B$55)*T1287+Summary!$B$55*V1287</f>
        <v/>
      </c>
      <c r="P1287">
        <f>IF(B1304=0,0,O1287/B1304)</f>
        <v/>
      </c>
      <c r="Q1287" t="n">
        <v>0</v>
      </c>
      <c r="R1287" t="n">
        <v>0</v>
      </c>
      <c r="S1287">
        <f>IFERROR(O1287/N1287,0)</f>
        <v/>
      </c>
      <c r="T1287" t="n">
        <v>0</v>
      </c>
      <c r="V1287" t="n">
        <v>0</v>
      </c>
    </row>
    <row r="1288">
      <c r="A1288">
        <f>Skills!A23</f>
        <v/>
      </c>
      <c r="B1288">
        <f>Skills!B23</f>
        <v/>
      </c>
      <c r="C1288">
        <f>Inputs!$B$3&gt;=120</f>
        <v/>
      </c>
      <c r="D1288">
        <f>IF(Skills!C23=1,60+Inputs!$B$25+Inputs!$B$29,IF(Skills!C23=2,90+Inputs!$B$26+Inputs!$B$29,IF(Skills!C23=3,120+Inputs!$B$27+Inputs!$B$29,MAX(0,(Inputs!$B$3-100)*3)+Inputs!$B$28+Inputs!$B$29)))</f>
        <v/>
      </c>
      <c r="E1288">
        <f>INDEX(FactorTable!$B$2:$Y$301, MATCH(ROUND(MIN(300,MAX(1,D1288)),0), FactorTable!$A$2:$A$301,0), Skills!M23+1)</f>
        <v/>
      </c>
      <c r="F1288">
        <f>IF(Skills!N23=TRUE,(Skills!L23/10)*(E1288/1000),Skills!L23/10)+Skills!O23</f>
        <v/>
      </c>
      <c r="G1288">
        <f>Skills!G23*IF(Skills!H23&gt;0,Skills!I23/Skills!H23,1)</f>
        <v/>
      </c>
      <c r="H1288">
        <f>1-(1-Skills!J23/100)^Skills!K23</f>
        <v/>
      </c>
      <c r="I1288" t="inlineStr">
        <is>
          <t>1</t>
        </is>
      </c>
      <c r="J1288" t="inlineStr"/>
      <c r="K1288" t="inlineStr"/>
      <c r="L1288" t="inlineStr"/>
      <c r="M1288" t="inlineStr"/>
      <c r="N1288" t="inlineStr"/>
      <c r="O1288">
        <f>(1-Summary!$B$55)*T1288+Summary!$B$55*V1288</f>
        <v/>
      </c>
      <c r="P1288">
        <f>IF(B1304=0,0,O1288/B1304)</f>
        <v/>
      </c>
      <c r="Q1288" t="n">
        <v>0</v>
      </c>
      <c r="R1288" t="n">
        <v>0</v>
      </c>
      <c r="S1288">
        <f>IFERROR(O1288/N1288,0)</f>
        <v/>
      </c>
      <c r="T1288" t="n">
        <v>0</v>
      </c>
      <c r="V1288" t="n">
        <v>0</v>
      </c>
    </row>
    <row r="1289">
      <c r="A1289">
        <f>Skills!A24</f>
        <v/>
      </c>
      <c r="B1289">
        <f>Skills!B24</f>
        <v/>
      </c>
      <c r="C1289">
        <f>Inputs!$B$3&gt;=120</f>
        <v/>
      </c>
      <c r="D1289">
        <f>IF(Skills!C24=1,60+Inputs!$B$25+Inputs!$B$29,IF(Skills!C24=2,90+Inputs!$B$26+Inputs!$B$29,IF(Skills!C24=3,120+Inputs!$B$27+Inputs!$B$29,MAX(0,(Inputs!$B$3-100)*3)+Inputs!$B$28+Inputs!$B$29)))</f>
        <v/>
      </c>
      <c r="E1289">
        <f>INDEX(FactorTable!$B$2:$Y$301, MATCH(ROUND(MIN(300,MAX(1,D1289)),0), FactorTable!$A$2:$A$301,0), Skills!M24+1)</f>
        <v/>
      </c>
      <c r="F1289">
        <f>IF(Skills!N24=TRUE,(Skills!L24/10)*(E1289/1000),Skills!L24/10)+Skills!O24</f>
        <v/>
      </c>
      <c r="G1289">
        <f>Skills!G24*IF(Skills!H24&gt;0,Skills!I24/Skills!H24,1)</f>
        <v/>
      </c>
      <c r="H1289">
        <f>1-(1-Skills!J24/100)^Skills!K24</f>
        <v/>
      </c>
      <c r="I1289" t="inlineStr">
        <is>
          <t>1</t>
        </is>
      </c>
      <c r="J1289" t="inlineStr"/>
      <c r="K1289" t="inlineStr"/>
      <c r="L1289" t="inlineStr"/>
      <c r="M1289" t="inlineStr"/>
      <c r="N1289" t="inlineStr"/>
      <c r="O1289">
        <f>(1-Summary!$B$55)*T1289+Summary!$B$55*V1289</f>
        <v/>
      </c>
      <c r="P1289">
        <f>IF(B1304=0,0,O1289/B1304)</f>
        <v/>
      </c>
      <c r="Q1289" t="n">
        <v>0</v>
      </c>
      <c r="R1289" t="n">
        <v>0</v>
      </c>
      <c r="S1289">
        <f>IFERROR(O1289/N1289,0)</f>
        <v/>
      </c>
      <c r="T1289" t="n">
        <v>0</v>
      </c>
      <c r="V1289" t="n">
        <v>0</v>
      </c>
    </row>
    <row r="1290">
      <c r="A1290">
        <f>Skills!A25</f>
        <v/>
      </c>
      <c r="B1290">
        <f>Skills!B25</f>
        <v/>
      </c>
      <c r="C1290">
        <f>Inputs!$B$3&gt;=125</f>
        <v/>
      </c>
      <c r="D1290">
        <f>IF(Skills!C25=1,60+Inputs!$B$25+Inputs!$B$29,IF(Skills!C25=2,90+Inputs!$B$26+Inputs!$B$29,IF(Skills!C25=3,120+Inputs!$B$27+Inputs!$B$29,MAX(0,(Inputs!$B$3-100)*3)+Inputs!$B$28+Inputs!$B$29)))</f>
        <v/>
      </c>
      <c r="E1290">
        <f>INDEX(FactorTable!$B$2:$Y$301, MATCH(ROUND(MIN(300,MAX(1,D1290)),0), FactorTable!$A$2:$A$301,0), Skills!M25+1)</f>
        <v/>
      </c>
      <c r="F1290">
        <f>IF(Skills!N25=TRUE,(Skills!L25/10)*(E1290/1000),Skills!L25/10)+Skills!O25</f>
        <v/>
      </c>
      <c r="G1290">
        <f>Skills!G25*IF(Skills!H25&gt;0,Skills!I25/Skills!H25,1)</f>
        <v/>
      </c>
      <c r="H1290">
        <f>1-(1-Skills!J25/100)^Skills!K25</f>
        <v/>
      </c>
      <c r="I1290" t="inlineStr">
        <is>
          <t>1</t>
        </is>
      </c>
      <c r="J1290" t="inlineStr"/>
      <c r="K1290" t="inlineStr"/>
      <c r="L1290" t="inlineStr"/>
      <c r="M1290" t="inlineStr"/>
      <c r="N1290" t="inlineStr"/>
      <c r="O1290">
        <f>(1-Summary!$B$55)*T1290+Summary!$B$55*V1290</f>
        <v/>
      </c>
      <c r="P1290">
        <f>IF(B1304=0,0,O1290/B1304)</f>
        <v/>
      </c>
      <c r="Q1290" t="n">
        <v>0</v>
      </c>
      <c r="R1290" t="n">
        <v>0</v>
      </c>
      <c r="S1290">
        <f>IFERROR(O1290/N1290,0)</f>
        <v/>
      </c>
      <c r="T1290" t="n">
        <v>0</v>
      </c>
      <c r="V1290" t="n">
        <v>0</v>
      </c>
    </row>
    <row r="1291">
      <c r="A1291">
        <f>Skills!A26</f>
        <v/>
      </c>
      <c r="B1291">
        <f>Skills!B26</f>
        <v/>
      </c>
      <c r="C1291">
        <f>Inputs!$B$3&gt;=72</f>
        <v/>
      </c>
      <c r="D1291">
        <f>IF(Skills!C26=1,60+Inputs!$B$25+Inputs!$B$29,IF(Skills!C26=2,90+Inputs!$B$26+Inputs!$B$29,IF(Skills!C26=3,120+Inputs!$B$27+Inputs!$B$29,MAX(0,(Inputs!$B$3-100)*3)+Inputs!$B$28+Inputs!$B$29)))</f>
        <v/>
      </c>
      <c r="E1291">
        <f>INDEX(FactorTable!$B$2:$Y$301, MATCH(ROUND(MIN(300,MAX(1,D1291)),0), FactorTable!$A$2:$A$301,0), Skills!M26+1)</f>
        <v/>
      </c>
      <c r="F1291">
        <f>IF(Skills!N26=TRUE,(Skills!L26/10)*(E1291/1000),Skills!L26/10)+Skills!O26</f>
        <v/>
      </c>
      <c r="G1291">
        <f>Skills!G26*IF(Skills!H26&gt;0,Skills!I26/Skills!H26,1)</f>
        <v/>
      </c>
      <c r="H1291">
        <f>1-(1-Skills!J26/100)^Skills!K26</f>
        <v/>
      </c>
      <c r="I1291" t="inlineStr">
        <is>
          <t>1</t>
        </is>
      </c>
      <c r="J1291" t="inlineStr"/>
      <c r="K1291" t="inlineStr"/>
      <c r="L1291" t="inlineStr"/>
      <c r="M1291" t="inlineStr"/>
      <c r="N1291" t="inlineStr"/>
      <c r="O1291">
        <f>(1-Summary!$B$55)*T1291+Summary!$B$55*V1291</f>
        <v/>
      </c>
      <c r="P1291">
        <f>IF(B1304=0,0,O1291/B1304)</f>
        <v/>
      </c>
      <c r="Q1291" t="n">
        <v>0</v>
      </c>
      <c r="R1291" t="n">
        <v>0</v>
      </c>
      <c r="S1291">
        <f>IFERROR(O1291/N1291,0)</f>
        <v/>
      </c>
      <c r="T1291" t="n">
        <v>0</v>
      </c>
      <c r="V1291" t="n">
        <v>0</v>
      </c>
    </row>
    <row r="1293">
      <c r="A1293" t="inlineStr">
        <is>
          <t>Attack% Bucket Multiplier</t>
        </is>
      </c>
      <c r="B1293">
        <f>(1+(((C1278=TRUE)*F1278*IF(Inputs!$B$3&gt;=110,7,5))+((C1280=TRUE)*F1280*IF(AND(Inputs!$B$38&lt;&gt;"pvp",Inputs!$B$43&gt;0),(((R1280-1)*(Skills!T15*(1+Inputs!$B$34/100))+MIN((Skills!T15*(1+Inputs!$B$34/100)),MAX(0,Inputs!$B$43-((R1280-1)*Skills!D15))))/Inputs!$B$43),IF(Inputs!$B$38="pvp",MIN((Skills!T15*(1+Inputs!$B$34/100)),15)/15,(Skills!T15*(1+Inputs!$B$34/100))/Skills!D15)))+0)/100)</f>
        <v/>
      </c>
    </row>
    <row r="1294">
      <c r="A1294" t="inlineStr">
        <is>
          <t>Global Crit Rate Bonus %</t>
        </is>
      </c>
      <c r="B1294" t="n">
        <v>0</v>
      </c>
    </row>
    <row r="1295">
      <c r="A1295" t="inlineStr">
        <is>
          <t>Attack Speed Buff Bonus %</t>
        </is>
      </c>
      <c r="B1295">
        <f>((C1284=TRUE)*F1284*IF(AND(Inputs!$B$38&lt;&gt;"pvp",Inputs!$B$43&gt;0),(((R1284-1)*(Skills!T19*(1+Inputs!$B$34/100))+MIN((Skills!T19*(1+Inputs!$B$34/100)),MAX(0,Inputs!$B$43-((R1284-1)*Skills!D19))))/Inputs!$B$43),IF(Inputs!$B$38="pvp",MIN((Skills!T19*(1+Inputs!$B$34/100)),15)/15,(Skills!T19*(1+Inputs!$B$34/100))/Skills!D19)))</f>
        <v/>
      </c>
    </row>
    <row r="1296">
      <c r="A1296" t="inlineStr">
        <is>
          <t>Actions Per Second</t>
        </is>
      </c>
      <c r="B1296">
        <f>1+MIN(150,150*(1-(1-(Inputs!$B$11+((C1285=TRUE)*(F1285-Calc!F20)))/150)*(1-B1295/150)))/100</f>
        <v/>
      </c>
    </row>
    <row r="1297">
      <c r="A1297" t="inlineStr">
        <is>
          <t>Skill + Buff Cast Rate</t>
        </is>
      </c>
      <c r="B1297">
        <f>IF(AND(Inputs!$B$38&lt;&gt;"pvp",Inputs!$B$43&gt;0),SUMPRODUCT((Skills!E2:E26=TRUE)*(C1267:C1291=TRUE)*R1267:R1291*Skills!F2:F26)/Inputs!$B$43,SUMPRODUCT((Skills!E2:E26=TRUE)*(C1267:C1291=TRUE)*Q1267:Q1291*Skills!F2:F26))</f>
        <v/>
      </c>
    </row>
    <row r="1298">
      <c r="A1298" t="inlineStr">
        <is>
          <t>Raging Blow Casts Per Second</t>
        </is>
      </c>
      <c r="B1298">
        <f>MAX(0,B1296-B1297)</f>
        <v/>
      </c>
    </row>
    <row r="1299">
      <c r="A1299" t="inlineStr">
        <is>
          <t>Global Critical Damage Bonus % (Enrage)</t>
        </is>
      </c>
      <c r="B1299">
        <f>((C1283=TRUE)*F1283*IF(AND(Inputs!$B$38&lt;&gt;"pvp",Inputs!$B$43&gt;0),(((R1283-1)*(Skills!T18*(1+Inputs!$B$34/100))+MIN((Skills!T18*(1+Inputs!$B$34/100)),MAX(0,Inputs!$B$43-((R1283-1)*Skills!D18))))/Inputs!$B$43),IF(Inputs!$B$38="pvp",MIN((Skills!T18*(1+Inputs!$B$34/100)),15)/15,(Skills!T18*(1+Inputs!$B$34/100))/Skills!D18)))</f>
        <v/>
      </c>
    </row>
    <row r="1300">
      <c r="A1300" t="inlineStr">
        <is>
          <t>Global Final Damage Bonus % (Enrage + Combo Synergy)</t>
        </is>
      </c>
      <c r="B1300">
        <f>((C1282=TRUE)*F1282*IF(AND(Inputs!$B$38&lt;&gt;"pvp",Inputs!$B$43&gt;0),(((R1282-1)*(Skills!T17*(1+Inputs!$B$34/100))+MIN((Skills!T17*(1+Inputs!$B$34/100)),MAX(0,Inputs!$B$43-((R1282-1)*Skills!D17))))/Inputs!$B$43),IF(Inputs!$B$38="pvp",MIN((Skills!T17*(1+Inputs!$B$34/100)),15)/15,(Skills!T17*(1+Inputs!$B$34/100))/Skills!D17)))+((C1279=TRUE)*F1279*IF(Inputs!$B$3&gt;=110,7,5))</f>
        <v/>
      </c>
    </row>
    <row r="1301">
      <c r="A1301" t="inlineStr">
        <is>
          <t>Buff-Casting Startup Delay (s, fixed-duration only)</t>
        </is>
      </c>
      <c r="B1301">
        <f>IF(AND(Inputs!$B$38&lt;&gt;"pvp",Inputs!$B$43&gt;0),SUMPRODUCT((Skills!T2:T26&gt;0)*(Skills!E2:E26=TRUE)*(C1267:C1291=TRUE))/B1296,0)</f>
        <v/>
      </c>
    </row>
    <row r="1302">
      <c r="A1302" t="inlineStr">
        <is>
          <t>Boss-Only Total DPS (this block's swept value)</t>
        </is>
      </c>
      <c r="B1302">
        <f>SUM(T1267:T1291)</f>
        <v/>
      </c>
    </row>
    <row r="1303">
      <c r="A1303" t="inlineStr">
        <is>
          <t>Normal-Only Total DPS (this block's swept value)</t>
        </is>
      </c>
      <c r="B1303">
        <f>SUM(V1267:V1291)</f>
        <v/>
      </c>
    </row>
    <row r="1304">
      <c r="A1304" s="5" t="inlineStr">
        <is>
          <t>TOTAL DPS</t>
        </is>
      </c>
      <c r="B1304" s="5">
        <f>SUM(O1267:O1291)</f>
        <v/>
      </c>
    </row>
    <row r="1307">
      <c r="A1307" s="5" t="inlineStr">
        <is>
          <t>Stat: CDR = 2.5s</t>
        </is>
      </c>
    </row>
    <row r="1308">
      <c r="A1308" s="9" t="inlineStr">
        <is>
          <t>Key</t>
        </is>
      </c>
      <c r="B1308" s="9" t="inlineStr">
        <is>
          <t>Name</t>
        </is>
      </c>
      <c r="C1308" s="9" t="inlineStr">
        <is>
          <t>Unlocked</t>
        </is>
      </c>
      <c r="D1308" s="9" t="inlineStr">
        <is>
          <t>InputLevel</t>
        </is>
      </c>
      <c r="E1308" s="9" t="inlineStr">
        <is>
          <t>Factor</t>
        </is>
      </c>
      <c r="F1308" s="9" t="inlineStr">
        <is>
          <t>CoefficientPercent</t>
        </is>
      </c>
      <c r="G1308" s="9" t="inlineStr">
        <is>
          <t>EffectiveHits</t>
        </is>
      </c>
      <c r="H1308" s="9" t="inlineStr">
        <is>
          <t>ProcProbability</t>
        </is>
      </c>
      <c r="I1308" s="9" t="inlineStr">
        <is>
          <t>MapleHeroMultiplier</t>
        </is>
      </c>
      <c r="J1308" s="9" t="inlineStr">
        <is>
          <t>BaseDamage</t>
        </is>
      </c>
      <c r="K1308" s="9" t="inlineStr">
        <is>
          <t>BaseHitDamage</t>
        </is>
      </c>
      <c r="L1308" s="9" t="inlineStr">
        <is>
          <t>NonCritAvg</t>
        </is>
      </c>
      <c r="M1308" s="9" t="inlineStr">
        <is>
          <t>CritAvg</t>
        </is>
      </c>
      <c r="N1308" s="9" t="inlineStr">
        <is>
          <t>ExpectedDamage(perHit)</t>
        </is>
      </c>
      <c r="O1308" s="9" t="inlineStr">
        <is>
          <t>DPS</t>
        </is>
      </c>
      <c r="P1308" s="9" t="inlineStr">
        <is>
          <t>% of Total</t>
        </is>
      </c>
      <c r="Q1308" s="9" t="inlineStr">
        <is>
          <t>InvCooldown</t>
        </is>
      </c>
      <c r="R1308" s="9" t="inlineStr">
        <is>
          <t>CastsInFight</t>
        </is>
      </c>
      <c r="S1308" s="9" t="inlineStr">
        <is>
          <t>HitRate(perSec)</t>
        </is>
      </c>
      <c r="U1308" t="inlineStr">
        <is>
          <t>helpers</t>
        </is>
      </c>
    </row>
    <row r="1309">
      <c r="A1309">
        <f>Skills!A2</f>
        <v/>
      </c>
      <c r="B1309">
        <f>Skills!B2</f>
        <v/>
      </c>
      <c r="C1309">
        <f>Inputs!$B$3&gt;=100</f>
        <v/>
      </c>
      <c r="D1309" t="inlineStr"/>
      <c r="E1309" t="inlineStr"/>
      <c r="F1309">
        <f>U1311+Skills!O2</f>
        <v/>
      </c>
      <c r="G1309">
        <f>Skills!G2*IF(Skills!H2&gt;0,Skills!I2/Skills!H2,1)</f>
        <v/>
      </c>
      <c r="H1309">
        <f>1-(1-Skills!J2/100)^Skills!K2</f>
        <v/>
      </c>
      <c r="I1309" t="inlineStr">
        <is>
          <t>1</t>
        </is>
      </c>
      <c r="J1309">
        <f>((Inputs!$B$6*(1+Inputs!$B$7/100))+(((Inputs!$B$12*(1+Inputs!$B$13/100))-(Inputs!$B$12*(1+Inputs!$B$13/100)))+0.25*(Inputs!$B$14-Inputs!$B$14))*(1+Inputs!$B$7/100))*(F1309/100)</f>
        <v/>
      </c>
      <c r="K1309">
        <f>J1309*(1+((Inputs!$B$12*(1+Inputs!$B$13/100))*0.01+Inputs!$B$14*0.0025)/100)*(1+Inputs!$B$15/100)*(1+Inputs!$B$16/100)*(5000/(6000+Inputs!$B$42*(1-(Inputs!$B$19+0)/100)))*(1+(Inputs!$B$24+((C1332=TRUE)*(F1332-Calc!F25))+B1342)/100)*(1+IF(Skills!A2="ENHANCED_RAGING_BLOW",IF(Inputs!$B$3&gt;=134,MAX(0,IF(Inputs!$B$3&gt;=110,7,5)-5)*50,0),0)/100)*(1+(IF(Skills!A2="RAGING_BLOW",Inputs!$B$17+((C1328=TRUE)*(F1328-Calc!F21)),Inputs!$B$18+((C1330=TRUE)*(F1330-Calc!F23))))/100)*((1+(((C1320=TRUE)*F1320*IF(Inputs!$B$3&gt;=110,7,5))+((C1322=TRUE)*F1322*IF(AND(Inputs!$B$38&lt;&gt;"pvp",Inputs!$B$43&gt;0),(((R1322-1)*(Skills!T15*(1+Inputs!$B$34/100))+MIN((Skills!T15*(1+Inputs!$B$34/100)),MAX(0,Inputs!$B$43-((R1322-1)*Skills!D15))))/Inputs!$B$43),IF(Inputs!$B$38="pvp",MIN((Skills!T15*(1+Inputs!$B$34/100)),15)/15,(Skills!T15*(1+Inputs!$B$34/100))/Skills!D15)))+0)/100)*I1309)</f>
        <v/>
      </c>
      <c r="L1309">
        <f>K1309*(MIN(Inputs!$B$22+((C1329=TRUE)*(F1329-Calc!F22)),Inputs!$B$23+((C1331=TRUE)*(F1331-Calc!F24)))/100+(Inputs!$B$23+((C1331=TRUE)*(F1331-Calc!F24)))/100)/2</f>
        <v/>
      </c>
      <c r="M1309">
        <f>L1309*(1+(Inputs!$B$10+0+B1341)/100)</f>
        <v/>
      </c>
      <c r="N1309">
        <f>L1309*(1-MIN((Inputs!$B$9+((C1333=TRUE)*(F1333-Calc!F26))+B1336),100)/100)+M1309*(MIN((Inputs!$B$9+((C1333=TRUE)*(F1333-Calc!F26))+B1336),100)/100)</f>
        <v/>
      </c>
      <c r="O1309">
        <f>(1-Summary!$B$55)*T1309+Summary!$B$55*V1309</f>
        <v/>
      </c>
      <c r="P1309">
        <f>IF(B1346=0,0,O1309/B1346)</f>
        <v/>
      </c>
      <c r="Q1309" t="n">
        <v>0</v>
      </c>
      <c r="R1309" t="n">
        <v>0</v>
      </c>
      <c r="S1309">
        <f>IFERROR(O1309/N1309,0)</f>
        <v/>
      </c>
      <c r="T1309">
        <f>IF(C1309,(Skills!G2*N1309*B1340)*IF(Inputs!$B$38="pvp",1,1+(Inputs!$B$20+0+Skills!P2+Summary!$B$59)/100),0)</f>
        <v/>
      </c>
      <c r="U1309">
        <f>MAX(0,(Inputs!$B$3-100)*3)+Inputs!$B$28+Inputs!$B$29</f>
        <v/>
      </c>
      <c r="V1309">
        <f>IF(C1309,(Skills!G2*N1309*B1340)*IF(Inputs!$B$38="pvp",1,(1+(Inputs!$B$21+Skills!Q2+Summary!$B$59)/100)*(MIN((6+Inputs!$B$33),Inputs!$B$37))),0)</f>
        <v/>
      </c>
    </row>
    <row r="1310">
      <c r="A1310">
        <f>Skills!A3</f>
        <v/>
      </c>
      <c r="B1310">
        <f>Skills!B3</f>
        <v/>
      </c>
      <c r="C1310">
        <f>Inputs!$B$3&gt;=50</f>
        <v/>
      </c>
      <c r="D1310">
        <f>IF(Skills!C3=1,60+Inputs!$B$25+Inputs!$B$29,IF(Skills!C3=2,90+Inputs!$B$26+Inputs!$B$29,IF(Skills!C3=3,120+Inputs!$B$27+Inputs!$B$29,MAX(0,(Inputs!$B$3-100)*3)+Inputs!$B$28+Inputs!$B$29)))</f>
        <v/>
      </c>
      <c r="E1310">
        <f>INDEX(FactorTable!$B$2:$Y$301, MATCH(ROUND(MIN(300,MAX(1,D1310)),0), FactorTable!$A$2:$A$301,0), Skills!M3+1)</f>
        <v/>
      </c>
      <c r="F1310">
        <f>IF(Skills!N3=TRUE,(Skills!L3/10)*(E1310/1000),Skills!L3/10)+Skills!O3</f>
        <v/>
      </c>
      <c r="G1310" t="inlineStr"/>
      <c r="H1310" t="inlineStr"/>
      <c r="I1310" t="inlineStr">
        <is>
          <t>1</t>
        </is>
      </c>
      <c r="J1310" t="inlineStr"/>
      <c r="K1310" t="inlineStr"/>
      <c r="L1310" t="inlineStr"/>
      <c r="M1310" t="inlineStr"/>
      <c r="N1310" t="inlineStr"/>
      <c r="O1310" t="inlineStr"/>
      <c r="P1310" t="inlineStr"/>
      <c r="Q1310" t="inlineStr"/>
      <c r="R1310" t="inlineStr"/>
      <c r="S1310" t="inlineStr"/>
      <c r="U1310">
        <f>INDEX(FactorTable!$B$2:$Y$301, MATCH(ROUND(MIN(300,MAX(1,U1309)),0), FactorTable!$A$2:$A$301,0), 22)</f>
        <v/>
      </c>
    </row>
    <row r="1311">
      <c r="A1311">
        <f>Skills!A4</f>
        <v/>
      </c>
      <c r="B1311">
        <f>Skills!B4</f>
        <v/>
      </c>
      <c r="C1311">
        <f>Inputs!$B$3&gt;=105</f>
        <v/>
      </c>
      <c r="D1311">
        <f>IF(Skills!C4=1,60+Inputs!$B$25+Inputs!$B$29,IF(Skills!C4=2,90+Inputs!$B$26+Inputs!$B$29,IF(Skills!C4=3,120+Inputs!$B$27+Inputs!$B$29,MAX(0,(Inputs!$B$3-100)*3)+Inputs!$B$28+Inputs!$B$29)))</f>
        <v/>
      </c>
      <c r="E1311">
        <f>INDEX(FactorTable!$B$2:$Y$301, MATCH(ROUND(MIN(300,MAX(1,D1311)),0), FactorTable!$A$2:$A$301,0), Skills!M4+1)</f>
        <v/>
      </c>
      <c r="F1311">
        <f>IF(Skills!N4=TRUE,(Skills!L4/10)*(E1311/1000),Skills!L4/10)+Skills!O4</f>
        <v/>
      </c>
      <c r="G1311" t="inlineStr"/>
      <c r="H1311" t="inlineStr"/>
      <c r="I1311" t="inlineStr">
        <is>
          <t>1</t>
        </is>
      </c>
      <c r="J1311" t="inlineStr"/>
      <c r="K1311" t="inlineStr"/>
      <c r="L1311" t="inlineStr"/>
      <c r="M1311" t="inlineStr"/>
      <c r="N1311" t="inlineStr"/>
      <c r="O1311" t="inlineStr"/>
      <c r="P1311" t="inlineStr"/>
      <c r="Q1311" t="inlineStr"/>
      <c r="R1311" t="inlineStr"/>
      <c r="S1311" t="inlineStr"/>
      <c r="U1311">
        <f>290*U1310/1000</f>
        <v/>
      </c>
    </row>
    <row r="1312">
      <c r="A1312">
        <f>Skills!A5</f>
        <v/>
      </c>
      <c r="B1312">
        <f>Skills!B5</f>
        <v/>
      </c>
      <c r="C1312">
        <f>Inputs!$B$3&gt;=103</f>
        <v/>
      </c>
      <c r="D1312">
        <f>IF(Skills!C5=1,60+Inputs!$B$25+Inputs!$B$29,IF(Skills!C5=2,90+Inputs!$B$26+Inputs!$B$29,IF(Skills!C5=3,120+Inputs!$B$27+Inputs!$B$29,MAX(0,(Inputs!$B$3-100)*3)+Inputs!$B$28+Inputs!$B$29)))</f>
        <v/>
      </c>
      <c r="E1312">
        <f>INDEX(FactorTable!$B$2:$Y$301, MATCH(ROUND(MIN(300,MAX(1,D1312)),0), FactorTable!$A$2:$A$301,0), Skills!M5+1)</f>
        <v/>
      </c>
      <c r="F1312">
        <f>IF(Skills!N5=TRUE,(Skills!L5/10)*(E1312/1000),Skills!L5/10)+Skills!O5</f>
        <v/>
      </c>
      <c r="G1312">
        <f>Skills!G5*IF(Skills!H5&gt;0,Skills!I5/Skills!H5,1)</f>
        <v/>
      </c>
      <c r="H1312">
        <f>1-(1-Skills!J5/100)^Skills!K5</f>
        <v/>
      </c>
      <c r="I1312" t="inlineStr">
        <is>
          <t>1</t>
        </is>
      </c>
      <c r="J1312">
        <f>((Inputs!$B$6*(1+Inputs!$B$7/100))+(((Inputs!$B$12*(1+Inputs!$B$13/100))-(Inputs!$B$12*(1+Inputs!$B$13/100)))+0.25*(Inputs!$B$14-Inputs!$B$14))*(1+Inputs!$B$7/100))*(F1312/100)</f>
        <v/>
      </c>
      <c r="K1312">
        <f>J1312*(1+((Inputs!$B$12*(1+Inputs!$B$13/100))*0.01+Inputs!$B$14*0.0025)/100)*(1+Inputs!$B$15/100)*(1+Inputs!$B$16/100)*(5000/(6000+Inputs!$B$42*(1-(Inputs!$B$19+0)/100)))*(1+(Inputs!$B$24+((C1332=TRUE)*(F1332-Calc!F25))+B1342)/100)*(1+IF(Skills!A5="ENHANCED_RAGING_BLOW",IF(Inputs!$B$3&gt;=134,MAX(0,IF(Inputs!$B$3&gt;=110,7,5)-5)*50,0),0)/100)*(1+(IF(Skills!A5="RAGING_BLOW",Inputs!$B$17+((C1328=TRUE)*(F1328-Calc!F21)),Inputs!$B$18+((C1330=TRUE)*(F1330-Calc!F23))))/100)*((1+(((C1320=TRUE)*F1320*IF(Inputs!$B$3&gt;=110,7,5))+((C1322=TRUE)*F1322*IF(AND(Inputs!$B$38&lt;&gt;"pvp",Inputs!$B$43&gt;0),(((R1322-1)*(Skills!T15*(1+Inputs!$B$34/100))+MIN((Skills!T15*(1+Inputs!$B$34/100)),MAX(0,Inputs!$B$43-((R1322-1)*Skills!D15))))/Inputs!$B$43),IF(Inputs!$B$38="pvp",MIN((Skills!T15*(1+Inputs!$B$34/100)),15)/15,(Skills!T15*(1+Inputs!$B$34/100))/Skills!D15)))+0)/100)*I1312)</f>
        <v/>
      </c>
      <c r="L1312">
        <f>K1312*(MIN(Inputs!$B$22+((C1329=TRUE)*(F1329-Calc!F22)),Inputs!$B$23+((C1331=TRUE)*(F1331-Calc!F24)))/100+(Inputs!$B$23+((C1331=TRUE)*(F1331-Calc!F24)))/100)/2</f>
        <v/>
      </c>
      <c r="M1312">
        <f>L1312*(1+(Inputs!$B$10+0+B1341)/100)</f>
        <v/>
      </c>
      <c r="N1312">
        <f>L1312*(1-MIN((Inputs!$B$9+((C1333=TRUE)*(F1333-Calc!F26))+B1336),100)/100)+M1312*(MIN((Inputs!$B$9+((C1333=TRUE)*(F1333-Calc!F26))+B1336),100)/100)</f>
        <v/>
      </c>
      <c r="O1312">
        <f>(1-Summary!$B$55)*T1312+Summary!$B$55*V1312</f>
        <v/>
      </c>
      <c r="P1312">
        <f>IF(B1346=0,0,O1312/B1346)</f>
        <v/>
      </c>
      <c r="Q1312">
        <f>IFERROR(1/IF(Inputs!$B$38="pvp",15,MAX(0.1,Skills!D5-IF(Skills!E5=TRUE,2.5,0))),0)</f>
        <v/>
      </c>
      <c r="R1312">
        <f>IF(AND(Inputs!$B$38&lt;&gt;"pvp",Inputs!$B$43&gt;0),IF(MAX(0,Inputs!$B$43-B1343)&lt;=0,0,(INT(MAX(0,Inputs!$B$43-B1343)/IF(Inputs!$B$38="pvp",15,MAX(0.1,Skills!D5-IF(Skills!E5=TRUE,2.5,0))))+1)),0)</f>
        <v/>
      </c>
      <c r="S1312">
        <f>IFERROR(O1312/N1312,0)</f>
        <v/>
      </c>
      <c r="T1312">
        <f>IF(C1312,(H1312*N1312*IF(AND(Inputs!$B$38&lt;&gt;"pvp",Inputs!$B$43&gt;0),((Skills!G5*((R1312-1)*IF(Skills!H5&gt;0,Skills!I5/Skills!H5,1)+IF(Skills!H5&gt;0,MIN(Skills!I5,MAX(0,MAX(0,Inputs!$B$43-B1343)-((R1312-1)*IF(Inputs!$B$38="pvp",15,MAX(0.1,Skills!D5-IF(Skills!E5=TRUE,2.5,0))))))/Skills!H5,1)))/Inputs!$B$43),G1312*Q1312))*IF(Inputs!$B$38="pvp",1,1+(Inputs!$B$20+0+Skills!P5+Summary!$B$59)/100),0)</f>
        <v/>
      </c>
      <c r="V1312">
        <f>IF(C1312,(H1312*N1312*IF(AND(Inputs!$B$38&lt;&gt;"pvp",Inputs!$B$43&gt;0),((Skills!G5*((R1312-1)*IF(Skills!H5&gt;0,Skills!I5/Skills!H5,1)+IF(Skills!H5&gt;0,MIN(Skills!I5,MAX(0,MAX(0,Inputs!$B$43-B1343)-((R1312-1)*IF(Inputs!$B$38="pvp",15,MAX(0.1,Skills!D5-IF(Skills!E5=TRUE,2.5,0))))))/Skills!H5,1)))/Inputs!$B$43),G1312*Q1312))*IF(Inputs!$B$38="pvp",1,(1+(Inputs!$B$21+Skills!Q5+Summary!$B$59)/100)*(MIN(Skills!R5,Inputs!$B$37))),0)</f>
        <v/>
      </c>
    </row>
    <row r="1313">
      <c r="A1313">
        <f>Skills!A6</f>
        <v/>
      </c>
      <c r="B1313">
        <f>Skills!B6</f>
        <v/>
      </c>
      <c r="C1313">
        <f>Inputs!$B$3&gt;=103</f>
        <v/>
      </c>
      <c r="D1313">
        <f>IF(Skills!C6=1,60+Inputs!$B$25+Inputs!$B$29,IF(Skills!C6=2,90+Inputs!$B$26+Inputs!$B$29,IF(Skills!C6=3,120+Inputs!$B$27+Inputs!$B$29,MAX(0,(Inputs!$B$3-100)*3)+Inputs!$B$28+Inputs!$B$29)))</f>
        <v/>
      </c>
      <c r="E1313">
        <f>INDEX(FactorTable!$B$2:$Y$301, MATCH(ROUND(MIN(300,MAX(1,D1313)),0), FactorTable!$A$2:$A$301,0), Skills!M6+1)</f>
        <v/>
      </c>
      <c r="F1313">
        <f>IF(Skills!N6=TRUE,(Skills!L6/10)*(E1313/1000),Skills!L6/10)+Skills!O6</f>
        <v/>
      </c>
      <c r="G1313">
        <f>Skills!G6*IF(Skills!H6&gt;0,Skills!I6/Skills!H6,1)</f>
        <v/>
      </c>
      <c r="H1313">
        <f>1-(1-Skills!J6/100)^Skills!K6</f>
        <v/>
      </c>
      <c r="I1313" t="inlineStr">
        <is>
          <t>1</t>
        </is>
      </c>
      <c r="J1313">
        <f>((Inputs!$B$6*(1+Inputs!$B$7/100))+(((Inputs!$B$12*(1+Inputs!$B$13/100))-(Inputs!$B$12*(1+Inputs!$B$13/100)))+0.25*(Inputs!$B$14-Inputs!$B$14))*(1+Inputs!$B$7/100))*(F1313/100)</f>
        <v/>
      </c>
      <c r="K1313">
        <f>J1313*(1+((Inputs!$B$12*(1+Inputs!$B$13/100))*0.01+Inputs!$B$14*0.0025)/100)*(1+Inputs!$B$15/100)*(1+Inputs!$B$16/100)*(5000/(6000+Inputs!$B$42*(1-(Inputs!$B$19+0)/100)))*(1+(Inputs!$B$24+((C1332=TRUE)*(F1332-Calc!F25))+B1342)/100)*(1+IF(Skills!A6="ENHANCED_RAGING_BLOW",IF(Inputs!$B$3&gt;=134,MAX(0,IF(Inputs!$B$3&gt;=110,7,5)-5)*50,0),0)/100)*(1+(IF(Skills!A6="RAGING_BLOW",Inputs!$B$17+((C1328=TRUE)*(F1328-Calc!F21)),Inputs!$B$18+((C1330=TRUE)*(F1330-Calc!F23))))/100)*((1+(((C1320=TRUE)*F1320*IF(Inputs!$B$3&gt;=110,7,5))+((C1322=TRUE)*F1322*IF(AND(Inputs!$B$38&lt;&gt;"pvp",Inputs!$B$43&gt;0),(((R1322-1)*(Skills!T15*(1+Inputs!$B$34/100))+MIN((Skills!T15*(1+Inputs!$B$34/100)),MAX(0,Inputs!$B$43-((R1322-1)*Skills!D15))))/Inputs!$B$43),IF(Inputs!$B$38="pvp",MIN((Skills!T15*(1+Inputs!$B$34/100)),15)/15,(Skills!T15*(1+Inputs!$B$34/100))/Skills!D15)))+0)/100)*I1313)</f>
        <v/>
      </c>
      <c r="L1313">
        <f>K1313*(MIN(Inputs!$B$22+((C1329=TRUE)*(F1329-Calc!F22)),Inputs!$B$23+((C1331=TRUE)*(F1331-Calc!F24)))/100+(Inputs!$B$23+((C1331=TRUE)*(F1331-Calc!F24)))/100)/2</f>
        <v/>
      </c>
      <c r="M1313">
        <f>L1313*(1+(Inputs!$B$10+0+B1341)/100)</f>
        <v/>
      </c>
      <c r="N1313">
        <f>L1313*(1-MIN((Inputs!$B$9+((C1333=TRUE)*(F1333-Calc!F26))+B1336),100)/100)+M1313*(MIN((Inputs!$B$9+((C1333=TRUE)*(F1333-Calc!F26))+B1336),100)/100)</f>
        <v/>
      </c>
      <c r="O1313">
        <f>(1-Summary!$B$55)*T1313+Summary!$B$55*V1313</f>
        <v/>
      </c>
      <c r="P1313">
        <f>IF(B1346=0,0,O1313/B1346)</f>
        <v/>
      </c>
      <c r="Q1313">
        <f>IFERROR(1/IF(Inputs!$B$38="pvp",15,MAX(0.1,Skills!D6-IF(Skills!E6=TRUE,2.5,0))),0)</f>
        <v/>
      </c>
      <c r="R1313">
        <f>IF(AND(Inputs!$B$38&lt;&gt;"pvp",Inputs!$B$43&gt;0),IF(MAX(0,Inputs!$B$43-B1343)&lt;=0,0,(INT(MAX(0,Inputs!$B$43-B1343)/IF(Inputs!$B$38="pvp",15,MAX(0.1,Skills!D6-IF(Skills!E6=TRUE,2.5,0))))+1)),0)</f>
        <v/>
      </c>
      <c r="S1313">
        <f>IFERROR(O1313/N1313,0)</f>
        <v/>
      </c>
      <c r="T1313">
        <f>IF(C1313,(H1313*N1313*IF(AND(Inputs!$B$38&lt;&gt;"pvp",Inputs!$B$43&gt;0),((Skills!G6*((R1313-1)*IF(Skills!H6&gt;0,Skills!I6/Skills!H6,1)+IF(Skills!H6&gt;0,MIN(Skills!I6,MAX(0,MAX(0,Inputs!$B$43-B1343)-((R1313-1)*IF(Inputs!$B$38="pvp",15,MAX(0.1,Skills!D6-IF(Skills!E6=TRUE,2.5,0))))))/Skills!H6,1)))/Inputs!$B$43),G1313*Q1313))*IF(Inputs!$B$38="pvp",1,1+(Inputs!$B$20+0+Skills!P6+Summary!$B$59)/100),0)</f>
        <v/>
      </c>
      <c r="V1313">
        <f>IF(C1313,(H1313*N1313*IF(AND(Inputs!$B$38&lt;&gt;"pvp",Inputs!$B$43&gt;0),((Skills!G6*((R1313-1)*IF(Skills!H6&gt;0,Skills!I6/Skills!H6,1)+IF(Skills!H6&gt;0,MIN(Skills!I6,MAX(0,MAX(0,Inputs!$B$43-B1343)-((R1313-1)*IF(Inputs!$B$38="pvp",15,MAX(0.1,Skills!D6-IF(Skills!E6=TRUE,2.5,0))))))/Skills!H6,1)))/Inputs!$B$43),G1313*Q1313))*IF(Inputs!$B$38="pvp",1,(1+(Inputs!$B$21+Skills!Q6+Summary!$B$59)/100)*(MIN(Skills!R6,Inputs!$B$37))),0)</f>
        <v/>
      </c>
    </row>
    <row r="1314">
      <c r="A1314">
        <f>Skills!A7</f>
        <v/>
      </c>
      <c r="B1314">
        <f>Skills!B7</f>
        <v/>
      </c>
      <c r="C1314">
        <f>Inputs!$B$3&gt;=107</f>
        <v/>
      </c>
      <c r="D1314">
        <f>IF(Skills!C7=1,60+Inputs!$B$25+Inputs!$B$29,IF(Skills!C7=2,90+Inputs!$B$26+Inputs!$B$29,IF(Skills!C7=3,120+Inputs!$B$27+Inputs!$B$29,MAX(0,(Inputs!$B$3-100)*3)+Inputs!$B$28+Inputs!$B$29)))</f>
        <v/>
      </c>
      <c r="E1314">
        <f>INDEX(FactorTable!$B$2:$Y$301, MATCH(ROUND(MIN(300,MAX(1,D1314)),0), FactorTable!$A$2:$A$301,0), Skills!M7+1)</f>
        <v/>
      </c>
      <c r="F1314">
        <f>IF(Skills!N7=TRUE,(Skills!L7/10)*(E1314/1000),Skills!L7/10)+Skills!O7</f>
        <v/>
      </c>
      <c r="G1314">
        <f>Skills!G7*IF(Skills!H7&gt;0,Skills!I7/Skills!H7,1)</f>
        <v/>
      </c>
      <c r="H1314">
        <f>1-(1-Skills!J7/100)^Skills!K7</f>
        <v/>
      </c>
      <c r="I1314" t="inlineStr">
        <is>
          <t>1</t>
        </is>
      </c>
      <c r="J1314">
        <f>((Inputs!$B$6*(1+Inputs!$B$7/100))+(((Inputs!$B$12*(1+Inputs!$B$13/100))-(Inputs!$B$12*(1+Inputs!$B$13/100)))+0.25*(Inputs!$B$14-Inputs!$B$14))*(1+Inputs!$B$7/100))*(F1314/100)</f>
        <v/>
      </c>
      <c r="K1314">
        <f>J1314*(1+((Inputs!$B$12*(1+Inputs!$B$13/100))*0.01+Inputs!$B$14*0.0025)/100)*(1+Inputs!$B$15/100)*(1+Inputs!$B$16/100)*(5000/(6000+Inputs!$B$42*(1-(Inputs!$B$19+0)/100)))*(1+(Inputs!$B$24+((C1332=TRUE)*(F1332-Calc!F25))+B1342)/100)*(1+IF(Skills!A7="ENHANCED_RAGING_BLOW",IF(Inputs!$B$3&gt;=134,MAX(0,IF(Inputs!$B$3&gt;=110,7,5)-5)*50,0),0)/100)*(1+(IF(Skills!A7="RAGING_BLOW",Inputs!$B$17+((C1328=TRUE)*(F1328-Calc!F21)),Inputs!$B$18+((C1330=TRUE)*(F1330-Calc!F23))))/100)*((1+(((C1320=TRUE)*F1320*IF(Inputs!$B$3&gt;=110,7,5))+((C1322=TRUE)*F1322*IF(AND(Inputs!$B$38&lt;&gt;"pvp",Inputs!$B$43&gt;0),(((R1322-1)*(Skills!T15*(1+Inputs!$B$34/100))+MIN((Skills!T15*(1+Inputs!$B$34/100)),MAX(0,Inputs!$B$43-((R1322-1)*Skills!D15))))/Inputs!$B$43),IF(Inputs!$B$38="pvp",MIN((Skills!T15*(1+Inputs!$B$34/100)),15)/15,(Skills!T15*(1+Inputs!$B$34/100))/Skills!D15)))+0)/100)*I1314)</f>
        <v/>
      </c>
      <c r="L1314">
        <f>K1314*(MIN(Inputs!$B$22+((C1329=TRUE)*(F1329-Calc!F22)),Inputs!$B$23+((C1331=TRUE)*(F1331-Calc!F24)))/100+(Inputs!$B$23+((C1331=TRUE)*(F1331-Calc!F24)))/100)/2</f>
        <v/>
      </c>
      <c r="M1314">
        <f>L1314*(1+(Inputs!$B$10+0+B1341)/100)</f>
        <v/>
      </c>
      <c r="N1314">
        <f>L1314*(1-MIN((Inputs!$B$9+((C1333=TRUE)*(F1333-Calc!F26))+B1336),100)/100)+M1314*(MIN((Inputs!$B$9+((C1333=TRUE)*(F1333-Calc!F26))+B1336),100)/100)</f>
        <v/>
      </c>
      <c r="O1314">
        <f>(1-Summary!$B$55)*T1314+Summary!$B$55*V1314</f>
        <v/>
      </c>
      <c r="P1314">
        <f>IF(B1346=0,0,O1314/B1346)</f>
        <v/>
      </c>
      <c r="Q1314">
        <f>IFERROR(1/IF(Inputs!$B$38="pvp",15,MAX(0.1,Skills!D7-IF(Skills!E7=TRUE,2.5,0))),0)</f>
        <v/>
      </c>
      <c r="R1314">
        <f>IF(AND(Inputs!$B$38&lt;&gt;"pvp",Inputs!$B$43&gt;0),IF(MAX(0,Inputs!$B$43-B1343)&lt;=0,0,(INT(MAX(0,Inputs!$B$43-B1343)/IF(Inputs!$B$38="pvp",15,MAX(0.1,Skills!D7-IF(Skills!E7=TRUE,2.5,0))))+1)),0)</f>
        <v/>
      </c>
      <c r="S1314">
        <f>IFERROR(O1314/N1314,0)</f>
        <v/>
      </c>
      <c r="T1314">
        <f>IF(C1314,(H1314*N1314*IF(AND(Inputs!$B$38&lt;&gt;"pvp",Inputs!$B$43&gt;0),((Skills!G7*((R1314-1)*IF(Skills!H7&gt;0,Skills!I7/Skills!H7,1)+IF(Skills!H7&gt;0,MIN(Skills!I7,MAX(0,MAX(0,Inputs!$B$43-B1343)-((R1314-1)*IF(Inputs!$B$38="pvp",15,MAX(0.1,Skills!D7-IF(Skills!E7=TRUE,2.5,0))))))/Skills!H7,1)))/Inputs!$B$43),G1314*Q1314))*IF(Inputs!$B$38="pvp",1,1+(Inputs!$B$20+0+Skills!P7+Summary!$B$59)/100),0)</f>
        <v/>
      </c>
      <c r="V1314">
        <f>IF(C1314,(H1314*N1314*IF(AND(Inputs!$B$38&lt;&gt;"pvp",Inputs!$B$43&gt;0),((Skills!G7*((R1314-1)*IF(Skills!H7&gt;0,Skills!I7/Skills!H7,1)+IF(Skills!H7&gt;0,MIN(Skills!I7,MAX(0,MAX(0,Inputs!$B$43-B1343)-((R1314-1)*IF(Inputs!$B$38="pvp",15,MAX(0.1,Skills!D7-IF(Skills!E7=TRUE,2.5,0))))))/Skills!H7,1)))/Inputs!$B$43),G1314*Q1314))*IF(Inputs!$B$38="pvp",1,(1+(Inputs!$B$21+Skills!Q7+Summary!$B$59)/100)*(MIN(Skills!R7,Inputs!$B$37))),0)</f>
        <v/>
      </c>
    </row>
    <row r="1315">
      <c r="A1315">
        <f>Skills!A8</f>
        <v/>
      </c>
      <c r="B1315">
        <f>Skills!B8</f>
        <v/>
      </c>
      <c r="C1315">
        <f>Inputs!$B$3&gt;=117</f>
        <v/>
      </c>
      <c r="D1315">
        <f>IF(Skills!C8=1,60+Inputs!$B$25+Inputs!$B$29,IF(Skills!C8=2,90+Inputs!$B$26+Inputs!$B$29,IF(Skills!C8=3,120+Inputs!$B$27+Inputs!$B$29,MAX(0,(Inputs!$B$3-100)*3)+Inputs!$B$28+Inputs!$B$29)))</f>
        <v/>
      </c>
      <c r="E1315">
        <f>INDEX(FactorTable!$B$2:$Y$301, MATCH(ROUND(MIN(300,MAX(1,D1315)),0), FactorTable!$A$2:$A$301,0), Skills!M8+1)</f>
        <v/>
      </c>
      <c r="F1315">
        <f>IF(Skills!N8=TRUE,(Skills!L8/10)*(E1315/1000),Skills!L8/10)+Skills!O8</f>
        <v/>
      </c>
      <c r="G1315">
        <f>Skills!G8*IF(Skills!H8&gt;0,Skills!I8/Skills!H8,1)</f>
        <v/>
      </c>
      <c r="H1315">
        <f>1-(1-Skills!J8/100)^Skills!K8</f>
        <v/>
      </c>
      <c r="I1315" t="inlineStr">
        <is>
          <t>1</t>
        </is>
      </c>
      <c r="J1315">
        <f>((Inputs!$B$6*(1+Inputs!$B$7/100))+(((Inputs!$B$12*(1+Inputs!$B$13/100))-(Inputs!$B$12*(1+Inputs!$B$13/100)))+0.25*(Inputs!$B$14-Inputs!$B$14))*(1+Inputs!$B$7/100))*(F1315/100)</f>
        <v/>
      </c>
      <c r="K1315">
        <f>J1315*(1+((Inputs!$B$12*(1+Inputs!$B$13/100))*0.01+Inputs!$B$14*0.0025)/100)*(1+Inputs!$B$15/100)*(1+Inputs!$B$16/100)*(5000/(6000+Inputs!$B$42*(1-(Inputs!$B$19+0)/100)))*(1+(Inputs!$B$24+((C1332=TRUE)*(F1332-Calc!F25))+B1342)/100)*(1+IF(Skills!A8="ENHANCED_RAGING_BLOW",IF(Inputs!$B$3&gt;=134,MAX(0,IF(Inputs!$B$3&gt;=110,7,5)-5)*50,0),0)/100)*(1+(IF(Skills!A8="RAGING_BLOW",Inputs!$B$17+((C1328=TRUE)*(F1328-Calc!F21)),Inputs!$B$18+((C1330=TRUE)*(F1330-Calc!F23))))/100)*((1+(((C1320=TRUE)*F1320*IF(Inputs!$B$3&gt;=110,7,5))+((C1322=TRUE)*F1322*IF(AND(Inputs!$B$38&lt;&gt;"pvp",Inputs!$B$43&gt;0),(((R1322-1)*(Skills!T15*(1+Inputs!$B$34/100))+MIN((Skills!T15*(1+Inputs!$B$34/100)),MAX(0,Inputs!$B$43-((R1322-1)*Skills!D15))))/Inputs!$B$43),IF(Inputs!$B$38="pvp",MIN((Skills!T15*(1+Inputs!$B$34/100)),15)/15,(Skills!T15*(1+Inputs!$B$34/100))/Skills!D15)))+0)/100)*I1315)</f>
        <v/>
      </c>
      <c r="L1315">
        <f>K1315*(MIN(Inputs!$B$22+((C1329=TRUE)*(F1329-Calc!F22)),Inputs!$B$23+((C1331=TRUE)*(F1331-Calc!F24)))/100+(Inputs!$B$23+((C1331=TRUE)*(F1331-Calc!F24)))/100)/2</f>
        <v/>
      </c>
      <c r="M1315">
        <f>L1315*(1+(Inputs!$B$10+0+B1341)/100)</f>
        <v/>
      </c>
      <c r="N1315">
        <f>L1315*(1-MIN((Inputs!$B$9+((C1333=TRUE)*(F1333-Calc!F26))+B1336),100)/100)+M1315*(MIN((Inputs!$B$9+((C1333=TRUE)*(F1333-Calc!F26))+B1336),100)/100)</f>
        <v/>
      </c>
      <c r="O1315">
        <f>(1-Summary!$B$55)*T1315+Summary!$B$55*V1315</f>
        <v/>
      </c>
      <c r="P1315">
        <f>IF(B1346=0,0,O1315/B1346)</f>
        <v/>
      </c>
      <c r="Q1315">
        <f>IFERROR(1/IF(Inputs!$B$38="pvp",15,MAX(0.1,Skills!D8-IF(Skills!E8=TRUE,2.5,0))),0)</f>
        <v/>
      </c>
      <c r="R1315">
        <f>IF(AND(Inputs!$B$38&lt;&gt;"pvp",Inputs!$B$43&gt;0),IF(MAX(0,Inputs!$B$43-B1343)&lt;=0,0,(INT(MAX(0,Inputs!$B$43-B1343)/IF(Inputs!$B$38="pvp",15,MAX(0.1,Skills!D8-IF(Skills!E8=TRUE,2.5,0))))+1)),0)</f>
        <v/>
      </c>
      <c r="S1315">
        <f>IFERROR(O1315/N1315,0)</f>
        <v/>
      </c>
      <c r="T1315">
        <f>IF(C1315,(H1315*N1315*IF(AND(Inputs!$B$38&lt;&gt;"pvp",Inputs!$B$43&gt;0),((Skills!G8*((R1315-1)*IF(Skills!H8&gt;0,Skills!I8/Skills!H8,1)+IF(Skills!H8&gt;0,MIN(Skills!I8,MAX(0,MAX(0,Inputs!$B$43-B1343)-((R1315-1)*IF(Inputs!$B$38="pvp",15,MAX(0.1,Skills!D8-IF(Skills!E8=TRUE,2.5,0))))))/Skills!H8,1)))/Inputs!$B$43),G1315*Q1315))*IF(Inputs!$B$38="pvp",1,1+(Inputs!$B$20+0+Skills!P8+Summary!$B$59)/100),0)</f>
        <v/>
      </c>
      <c r="V1315">
        <f>IF(C1315,(H1315*N1315*IF(AND(Inputs!$B$38&lt;&gt;"pvp",Inputs!$B$43&gt;0),((Skills!G8*((R1315-1)*IF(Skills!H8&gt;0,Skills!I8/Skills!H8,1)+IF(Skills!H8&gt;0,MIN(Skills!I8,MAX(0,MAX(0,Inputs!$B$43-B1343)-((R1315-1)*IF(Inputs!$B$38="pvp",15,MAX(0.1,Skills!D8-IF(Skills!E8=TRUE,2.5,0))))))/Skills!H8,1)))/Inputs!$B$43),G1315*Q1315))*IF(Inputs!$B$38="pvp",1,(1+(Inputs!$B$21+Skills!Q8+Summary!$B$59)/100)*(MIN(Skills!R8,Inputs!$B$37))),0)</f>
        <v/>
      </c>
    </row>
    <row r="1316">
      <c r="A1316">
        <f>Skills!A9</f>
        <v/>
      </c>
      <c r="B1316">
        <f>Skills!B9</f>
        <v/>
      </c>
      <c r="C1316">
        <f>Inputs!$B$3&gt;=69</f>
        <v/>
      </c>
      <c r="D1316">
        <f>IF(Skills!C9=1,60+Inputs!$B$25+Inputs!$B$29,IF(Skills!C9=2,90+Inputs!$B$26+Inputs!$B$29,IF(Skills!C9=3,120+Inputs!$B$27+Inputs!$B$29,MAX(0,(Inputs!$B$3-100)*3)+Inputs!$B$28+Inputs!$B$29)))</f>
        <v/>
      </c>
      <c r="E1316">
        <f>INDEX(FactorTable!$B$2:$Y$301, MATCH(ROUND(MIN(300,MAX(1,D1316)),0), FactorTable!$A$2:$A$301,0), Skills!M9+1)</f>
        <v/>
      </c>
      <c r="F1316">
        <f>IF(Skills!N9=TRUE,(Skills!L9/10)*(E1316/1000),Skills!L9/10)+Skills!O9</f>
        <v/>
      </c>
      <c r="G1316">
        <f>Skills!G9*IF(Skills!H9&gt;0,Skills!I9/Skills!H9,1)</f>
        <v/>
      </c>
      <c r="H1316">
        <f>1-(1-Skills!J9/100)^Skills!K9</f>
        <v/>
      </c>
      <c r="I1316" t="inlineStr">
        <is>
          <t>1</t>
        </is>
      </c>
      <c r="J1316">
        <f>((Inputs!$B$6*(1+Inputs!$B$7/100))+(((Inputs!$B$12*(1+Inputs!$B$13/100))-(Inputs!$B$12*(1+Inputs!$B$13/100)))+0.25*(Inputs!$B$14-Inputs!$B$14))*(1+Inputs!$B$7/100))*(F1316/100)</f>
        <v/>
      </c>
      <c r="K1316">
        <f>J1316*(1+((Inputs!$B$12*(1+Inputs!$B$13/100))*0.01+Inputs!$B$14*0.0025)/100)*(1+Inputs!$B$15/100)*(1+Inputs!$B$16/100)*(5000/(6000+Inputs!$B$42*(1-(Inputs!$B$19+0)/100)))*(1+(Inputs!$B$24+((C1332=TRUE)*(F1332-Calc!F25))+B1342)/100)*(1+1.0*IF(C1319=TRUE,F1319,0)/100)*(1+IF(Skills!A9="ENHANCED_RAGING_BLOW",IF(Inputs!$B$3&gt;=134,MAX(0,IF(Inputs!$B$3&gt;=110,7,5)-5)*50,0),0)/100)*(1+(IF(Skills!A9="RAGING_BLOW",Inputs!$B$17+((C1328=TRUE)*(F1328-Calc!F21)),Inputs!$B$18+((C1330=TRUE)*(F1330-Calc!F23))))/100)*((1+(((C1320=TRUE)*F1320*IF(Inputs!$B$3&gt;=110,7,5))+((C1322=TRUE)*F1322*IF(AND(Inputs!$B$38&lt;&gt;"pvp",Inputs!$B$43&gt;0),(((R1322-1)*(Skills!T15*(1+Inputs!$B$34/100))+MIN((Skills!T15*(1+Inputs!$B$34/100)),MAX(0,Inputs!$B$43-((R1322-1)*Skills!D15))))/Inputs!$B$43),IF(Inputs!$B$38="pvp",MIN((Skills!T15*(1+Inputs!$B$34/100)),15)/15,(Skills!T15*(1+Inputs!$B$34/100))/Skills!D15)))+0)/100)*I1316)</f>
        <v/>
      </c>
      <c r="L1316">
        <f>K1316*(MIN(Inputs!$B$22+((C1329=TRUE)*(F1329-Calc!F22)),Inputs!$B$23+((C1331=TRUE)*(F1331-Calc!F24)))/100+(Inputs!$B$23+((C1331=TRUE)*(F1331-Calc!F24)))/100)/2</f>
        <v/>
      </c>
      <c r="M1316">
        <f>L1316*(1+(Inputs!$B$10+0+B1341)/100)</f>
        <v/>
      </c>
      <c r="N1316">
        <f>L1316*(1-MIN((Inputs!$B$9+((C1333=TRUE)*(F1333-Calc!F26))+B1336),100)/100)+M1316*(MIN((Inputs!$B$9+((C1333=TRUE)*(F1333-Calc!F26))+B1336),100)/100)</f>
        <v/>
      </c>
      <c r="O1316">
        <f>(1-Summary!$B$55)*T1316+Summary!$B$55*V1316</f>
        <v/>
      </c>
      <c r="P1316">
        <f>IF(B1346=0,0,O1316/B1346)</f>
        <v/>
      </c>
      <c r="Q1316">
        <f>IFERROR(1/IF(Inputs!$B$38="pvp",15,MAX(0.1,Skills!D9-IF(Skills!E9=TRUE,2.5,0))),0)</f>
        <v/>
      </c>
      <c r="R1316">
        <f>IF(AND(Inputs!$B$38&lt;&gt;"pvp",Inputs!$B$43&gt;0),IF(MAX(0,Inputs!$B$43-B1343)&lt;=0,0,(INT(MAX(0,Inputs!$B$43-B1343)/IF(Inputs!$B$38="pvp",15,MAX(0.1,Skills!D9-IF(Skills!E9=TRUE,2.5,0))))+1)),0)</f>
        <v/>
      </c>
      <c r="S1316">
        <f>IFERROR(O1316/N1316,0)</f>
        <v/>
      </c>
      <c r="T1316">
        <f>IF(C1316,(H1316*N1316*IF(AND(Inputs!$B$38&lt;&gt;"pvp",Inputs!$B$43&gt;0),((Skills!G9*((R1316-1)*IF(Skills!H9&gt;0,Skills!I9/Skills!H9,1)+IF(Skills!H9&gt;0,MIN(Skills!I9,MAX(0,MAX(0,Inputs!$B$43-B1343)-((R1316-1)*IF(Inputs!$B$38="pvp",15,MAX(0.1,Skills!D9-IF(Skills!E9=TRUE,2.5,0))))))/Skills!H9,1)))/Inputs!$B$43),G1316*Q1316))*IF(Inputs!$B$38="pvp",1,1+(Inputs!$B$20+0+Skills!P9+Summary!$B$59)/100),0)</f>
        <v/>
      </c>
      <c r="V1316">
        <f>IF(C1316,(H1316*N1316*IF(AND(Inputs!$B$38&lt;&gt;"pvp",Inputs!$B$43&gt;0),((Skills!G9*((R1316-1)*IF(Skills!H9&gt;0,Skills!I9/Skills!H9,1)+IF(Skills!H9&gt;0,MIN(Skills!I9,MAX(0,MAX(0,Inputs!$B$43-B1343)-((R1316-1)*IF(Inputs!$B$38="pvp",15,MAX(0.1,Skills!D9-IF(Skills!E9=TRUE,2.5,0))))))/Skills!H9,1)))/Inputs!$B$43),G1316*Q1316))*IF(Inputs!$B$38="pvp",1,(1+(Inputs!$B$21+Skills!Q9+Summary!$B$59)/100)*(MIN(Skills!R9,Inputs!$B$37))),0)</f>
        <v/>
      </c>
    </row>
    <row r="1317">
      <c r="A1317">
        <f>Skills!A10</f>
        <v/>
      </c>
      <c r="B1317">
        <f>Skills!B10</f>
        <v/>
      </c>
      <c r="C1317">
        <f>Inputs!$B$3&gt;=63</f>
        <v/>
      </c>
      <c r="D1317">
        <f>IF(Skills!C10=1,60+Inputs!$B$25+Inputs!$B$29,IF(Skills!C10=2,90+Inputs!$B$26+Inputs!$B$29,IF(Skills!C10=3,120+Inputs!$B$27+Inputs!$B$29,MAX(0,(Inputs!$B$3-100)*3)+Inputs!$B$28+Inputs!$B$29)))</f>
        <v/>
      </c>
      <c r="E1317">
        <f>INDEX(FactorTable!$B$2:$Y$301, MATCH(ROUND(MIN(300,MAX(1,D1317)),0), FactorTable!$A$2:$A$301,0), Skills!M10+1)</f>
        <v/>
      </c>
      <c r="F1317">
        <f>IF(Skills!N10=TRUE,(Skills!L10/10)*(E1317/1000),Skills!L10/10)+Skills!O10</f>
        <v/>
      </c>
      <c r="G1317">
        <f>Skills!G10*IF(Skills!H10&gt;0,Skills!I10/Skills!H10,1)</f>
        <v/>
      </c>
      <c r="H1317">
        <f>1-(1-Skills!J10/100)^Skills!K10</f>
        <v/>
      </c>
      <c r="I1317" t="inlineStr">
        <is>
          <t>1</t>
        </is>
      </c>
      <c r="J1317">
        <f>((Inputs!$B$6*(1+Inputs!$B$7/100))+(((Inputs!$B$12*(1+Inputs!$B$13/100))-(Inputs!$B$12*(1+Inputs!$B$13/100)))+0.25*(Inputs!$B$14-Inputs!$B$14))*(1+Inputs!$B$7/100))*(F1317/100)</f>
        <v/>
      </c>
      <c r="K1317">
        <f>J1317*(1+((Inputs!$B$12*(1+Inputs!$B$13/100))*0.01+Inputs!$B$14*0.0025)/100)*(1+Inputs!$B$15/100)*(1+Inputs!$B$16/100)*(5000/(6000+Inputs!$B$42*(1-(Inputs!$B$19+0)/100)))*(1+(Inputs!$B$24+((C1332=TRUE)*(F1332-Calc!F25))+B1342)/100)*(1+1.5*IF(C1319=TRUE,F1319,0)/100)*(1+IF(Skills!A10="ENHANCED_RAGING_BLOW",IF(Inputs!$B$3&gt;=134,MAX(0,IF(Inputs!$B$3&gt;=110,7,5)-5)*50,0),0)/100)*(1+(IF(Skills!A10="RAGING_BLOW",Inputs!$B$17+((C1328=TRUE)*(F1328-Calc!F21)),Inputs!$B$18+((C1330=TRUE)*(F1330-Calc!F23))))/100)*((1+(((C1320=TRUE)*F1320*IF(Inputs!$B$3&gt;=110,7,5))+((C1322=TRUE)*F1322*IF(AND(Inputs!$B$38&lt;&gt;"pvp",Inputs!$B$43&gt;0),(((R1322-1)*(Skills!T15*(1+Inputs!$B$34/100))+MIN((Skills!T15*(1+Inputs!$B$34/100)),MAX(0,Inputs!$B$43-((R1322-1)*Skills!D15))))/Inputs!$B$43),IF(Inputs!$B$38="pvp",MIN((Skills!T15*(1+Inputs!$B$34/100)),15)/15,(Skills!T15*(1+Inputs!$B$34/100))/Skills!D15)))+0)/100)*I1317)</f>
        <v/>
      </c>
      <c r="L1317">
        <f>K1317*(MIN(Inputs!$B$22+((C1329=TRUE)*(F1329-Calc!F22)),Inputs!$B$23+((C1331=TRUE)*(F1331-Calc!F24)))/100+(Inputs!$B$23+((C1331=TRUE)*(F1331-Calc!F24)))/100)/2</f>
        <v/>
      </c>
      <c r="M1317">
        <f>L1317*(1+(Inputs!$B$10+0+B1341)/100)</f>
        <v/>
      </c>
      <c r="N1317">
        <f>L1317*(1-MIN((Inputs!$B$9+((C1333=TRUE)*(F1333-Calc!F26))+B1336),100)/100)+M1317*(MIN((Inputs!$B$9+((C1333=TRUE)*(F1333-Calc!F26))+B1336),100)/100)</f>
        <v/>
      </c>
      <c r="O1317">
        <f>(1-Summary!$B$55)*T1317+Summary!$B$55*V1317</f>
        <v/>
      </c>
      <c r="P1317">
        <f>IF(B1346=0,0,O1317/B1346)</f>
        <v/>
      </c>
      <c r="Q1317">
        <f>IFERROR(1/IF(Inputs!$B$38="pvp",15,MAX(0.1,Skills!D10-IF(Skills!E10=TRUE,2.5,0))),0)</f>
        <v/>
      </c>
      <c r="R1317">
        <f>IF(AND(Inputs!$B$38&lt;&gt;"pvp",Inputs!$B$43&gt;0),IF(MAX(0,Inputs!$B$43-B1343)&lt;=0,0,(INT(MAX(0,Inputs!$B$43-B1343)/IF(Inputs!$B$38="pvp",15,MAX(0.1,Skills!D10-IF(Skills!E10=TRUE,2.5,0))))+1)),0)</f>
        <v/>
      </c>
      <c r="S1317">
        <f>IFERROR(O1317/N1317,0)</f>
        <v/>
      </c>
      <c r="T1317">
        <f>IF(C1317,(H1317*N1317*IF(AND(Inputs!$B$38&lt;&gt;"pvp",Inputs!$B$43&gt;0),((Skills!G10*((R1317-1)*IF(Skills!H10&gt;0,Skills!I10/Skills!H10,1)+IF(Skills!H10&gt;0,MIN(Skills!I10,MAX(0,MAX(0,Inputs!$B$43-B1343)-((R1317-1)*IF(Inputs!$B$38="pvp",15,MAX(0.1,Skills!D10-IF(Skills!E10=TRUE,2.5,0))))))/Skills!H10,1)))/Inputs!$B$43),G1317*Q1317))*IF(Inputs!$B$38="pvp",1,1+(Inputs!$B$20+0+Skills!P10+Summary!$B$59)/100),0)</f>
        <v/>
      </c>
      <c r="V1317">
        <f>IF(C1317,(H1317*N1317*IF(AND(Inputs!$B$38&lt;&gt;"pvp",Inputs!$B$43&gt;0),((Skills!G10*((R1317-1)*IF(Skills!H10&gt;0,Skills!I10/Skills!H10,1)+IF(Skills!H10&gt;0,MIN(Skills!I10,MAX(0,MAX(0,Inputs!$B$43-B1343)-((R1317-1)*IF(Inputs!$B$38="pvp",15,MAX(0.1,Skills!D10-IF(Skills!E10=TRUE,2.5,0))))))/Skills!H10,1)))/Inputs!$B$43),G1317*Q1317))*IF(Inputs!$B$38="pvp",1,(1+(Inputs!$B$21+Skills!Q10+Summary!$B$59)/100)*(MIN(Skills!R10,Inputs!$B$37))),0)</f>
        <v/>
      </c>
    </row>
    <row r="1318">
      <c r="A1318">
        <f>Skills!A11</f>
        <v/>
      </c>
      <c r="B1318">
        <f>Skills!B11</f>
        <v/>
      </c>
      <c r="C1318">
        <f>Inputs!$B$3&gt;=35</f>
        <v/>
      </c>
      <c r="D1318">
        <f>IF(Skills!C11=1,60+Inputs!$B$25+Inputs!$B$29,IF(Skills!C11=2,90+Inputs!$B$26+Inputs!$B$29,IF(Skills!C11=3,120+Inputs!$B$27+Inputs!$B$29,MAX(0,(Inputs!$B$3-100)*3)+Inputs!$B$28+Inputs!$B$29)))</f>
        <v/>
      </c>
      <c r="E1318">
        <f>INDEX(FactorTable!$B$2:$Y$301, MATCH(ROUND(MIN(300,MAX(1,D1318)),0), FactorTable!$A$2:$A$301,0), Skills!M11+1)</f>
        <v/>
      </c>
      <c r="F1318">
        <f>IF(Skills!N11=TRUE,(Skills!L11/10)*(E1318/1000),Skills!L11/10)+Skills!O11</f>
        <v/>
      </c>
      <c r="G1318">
        <f>Skills!G11*IF(Skills!H11&gt;0,Skills!I11/Skills!H11,1)</f>
        <v/>
      </c>
      <c r="H1318">
        <f>1-(1-Skills!J11/100)^Skills!K11</f>
        <v/>
      </c>
      <c r="I1318" t="inlineStr">
        <is>
          <t>1</t>
        </is>
      </c>
      <c r="J1318">
        <f>((Inputs!$B$6*(1+Inputs!$B$7/100))+(((Inputs!$B$12*(1+Inputs!$B$13/100))-(Inputs!$B$12*(1+Inputs!$B$13/100)))+0.25*(Inputs!$B$14-Inputs!$B$14))*(1+Inputs!$B$7/100))*(F1318/100)</f>
        <v/>
      </c>
      <c r="K1318">
        <f>J1318*(1+((Inputs!$B$12*(1+Inputs!$B$13/100))*0.01+Inputs!$B$14*0.0025)/100)*(1+Inputs!$B$15/100)*(1+Inputs!$B$16/100)*(5000/(6000+Inputs!$B$42*(1-(Inputs!$B$19+0)/100)))*(1+(Inputs!$B$24+((C1332=TRUE)*(F1332-Calc!F25))+B1342)/100)*(1+4.0*IF(C1319=TRUE,F1319,0)/100)*(1+IF(Skills!A11="ENHANCED_RAGING_BLOW",IF(Inputs!$B$3&gt;=134,MAX(0,IF(Inputs!$B$3&gt;=110,7,5)-5)*50,0),0)/100)*(1+(IF(Skills!A11="RAGING_BLOW",Inputs!$B$17+((C1328=TRUE)*(F1328-Calc!F21)),Inputs!$B$18+((C1330=TRUE)*(F1330-Calc!F23))))/100)*((1+(((C1320=TRUE)*F1320*IF(Inputs!$B$3&gt;=110,7,5))+((C1322=TRUE)*F1322*IF(AND(Inputs!$B$38&lt;&gt;"pvp",Inputs!$B$43&gt;0),(((R1322-1)*(Skills!T15*(1+Inputs!$B$34/100))+MIN((Skills!T15*(1+Inputs!$B$34/100)),MAX(0,Inputs!$B$43-((R1322-1)*Skills!D15))))/Inputs!$B$43),IF(Inputs!$B$38="pvp",MIN((Skills!T15*(1+Inputs!$B$34/100)),15)/15,(Skills!T15*(1+Inputs!$B$34/100))/Skills!D15)))+0)/100)*I1318)</f>
        <v/>
      </c>
      <c r="L1318">
        <f>K1318*(MIN(Inputs!$B$22+((C1329=TRUE)*(F1329-Calc!F22)),Inputs!$B$23+((C1331=TRUE)*(F1331-Calc!F24)))/100+(Inputs!$B$23+((C1331=TRUE)*(F1331-Calc!F24)))/100)/2</f>
        <v/>
      </c>
      <c r="M1318">
        <f>L1318*(1+(Inputs!$B$10+0+B1341)/100)</f>
        <v/>
      </c>
      <c r="N1318">
        <f>L1318*(1-MIN((Inputs!$B$9+((C1333=TRUE)*(F1333-Calc!F26))+B1336),100)/100)+M1318*(MIN((Inputs!$B$9+((C1333=TRUE)*(F1333-Calc!F26))+B1336),100)/100)</f>
        <v/>
      </c>
      <c r="O1318">
        <f>(1-Summary!$B$55)*T1318+Summary!$B$55*V1318</f>
        <v/>
      </c>
      <c r="P1318">
        <f>IF(B1346=0,0,O1318/B1346)</f>
        <v/>
      </c>
      <c r="Q1318">
        <f>IFERROR(1/IF(Inputs!$B$38="pvp",15,MAX(0.1,Skills!D11-IF(Skills!E11=TRUE,2.5,0))),0)</f>
        <v/>
      </c>
      <c r="R1318">
        <f>IF(AND(Inputs!$B$38&lt;&gt;"pvp",Inputs!$B$43&gt;0),IF(MAX(0,Inputs!$B$43-B1343)&lt;=0,0,(INT(MAX(0,Inputs!$B$43-B1343)/IF(Inputs!$B$38="pvp",15,MAX(0.1,Skills!D11-IF(Skills!E11=TRUE,2.5,0))))+1)),0)</f>
        <v/>
      </c>
      <c r="S1318">
        <f>IFERROR(O1318/N1318,0)</f>
        <v/>
      </c>
      <c r="T1318">
        <f>IF(C1318,(H1318*N1318*IF(AND(Inputs!$B$38&lt;&gt;"pvp",Inputs!$B$43&gt;0),((Skills!G11*((R1318-1)*IF(Skills!H11&gt;0,Skills!I11/Skills!H11,1)+IF(Skills!H11&gt;0,MIN(Skills!I11,MAX(0,MAX(0,Inputs!$B$43-B1343)-((R1318-1)*IF(Inputs!$B$38="pvp",15,MAX(0.1,Skills!D11-IF(Skills!E11=TRUE,2.5,0))))))/Skills!H11,1)))/Inputs!$B$43),G1318*Q1318))*IF(Inputs!$B$38="pvp",1,1+(Inputs!$B$20+0+Skills!P11+Summary!$B$59)/100),0)</f>
        <v/>
      </c>
      <c r="V1318">
        <f>IF(C1318,(H1318*N1318*IF(AND(Inputs!$B$38&lt;&gt;"pvp",Inputs!$B$43&gt;0),((Skills!G11*((R1318-1)*IF(Skills!H11&gt;0,Skills!I11/Skills!H11,1)+IF(Skills!H11&gt;0,MIN(Skills!I11,MAX(0,MAX(0,Inputs!$B$43-B1343)-((R1318-1)*IF(Inputs!$B$38="pvp",15,MAX(0.1,Skills!D11-IF(Skills!E11=TRUE,2.5,0))))))/Skills!H11,1)))/Inputs!$B$43),G1318*Q1318))*IF(Inputs!$B$38="pvp",1,(1+(Inputs!$B$21+Skills!Q11+Summary!$B$59)/100)*(MIN(Skills!R11,Inputs!$B$37))),0)</f>
        <v/>
      </c>
    </row>
    <row r="1319">
      <c r="A1319">
        <f>Skills!A12</f>
        <v/>
      </c>
      <c r="B1319">
        <f>Skills!B12</f>
        <v/>
      </c>
      <c r="C1319">
        <f>Inputs!$B$3&gt;=100</f>
        <v/>
      </c>
      <c r="D1319">
        <f>IF(Skills!C12=1,60+Inputs!$B$25+Inputs!$B$29,IF(Skills!C12=2,90+Inputs!$B$26+Inputs!$B$29,IF(Skills!C12=3,120+Inputs!$B$27+Inputs!$B$29,MAX(0,(Inputs!$B$3-100)*3)+Inputs!$B$28+Inputs!$B$29)))</f>
        <v/>
      </c>
      <c r="E1319">
        <f>INDEX(FactorTable!$B$2:$Y$301, MATCH(ROUND(MIN(300,MAX(1,D1319)),0), FactorTable!$A$2:$A$301,0), Skills!M12+1)</f>
        <v/>
      </c>
      <c r="F1319">
        <f>IF(Skills!N12=TRUE,(Skills!L12/10)*(E1319/1000),Skills!L12/10)+Skills!O12</f>
        <v/>
      </c>
      <c r="G1319" t="inlineStr"/>
      <c r="H1319" t="inlineStr"/>
      <c r="I1319" t="inlineStr">
        <is>
          <t>1</t>
        </is>
      </c>
      <c r="J1319" t="inlineStr"/>
      <c r="K1319" t="inlineStr"/>
      <c r="L1319" t="inlineStr"/>
      <c r="M1319" t="inlineStr"/>
      <c r="N1319" t="inlineStr"/>
      <c r="O1319" t="inlineStr"/>
      <c r="P1319" t="inlineStr"/>
      <c r="Q1319" t="inlineStr"/>
      <c r="R1319" t="inlineStr"/>
      <c r="S1319" t="inlineStr"/>
    </row>
    <row r="1320">
      <c r="A1320">
        <f>Skills!A13</f>
        <v/>
      </c>
      <c r="B1320">
        <f>Skills!B13</f>
        <v/>
      </c>
      <c r="C1320">
        <f>Inputs!$B$3&gt;=45</f>
        <v/>
      </c>
      <c r="D1320">
        <f>IF(Skills!C13=1,60+Inputs!$B$25+Inputs!$B$29,IF(Skills!C13=2,90+Inputs!$B$26+Inputs!$B$29,IF(Skills!C13=3,120+Inputs!$B$27+Inputs!$B$29,MAX(0,(Inputs!$B$3-100)*3)+Inputs!$B$28+Inputs!$B$29)))</f>
        <v/>
      </c>
      <c r="E1320">
        <f>INDEX(FactorTable!$B$2:$Y$301, MATCH(ROUND(MIN(300,MAX(1,D1320)),0), FactorTable!$A$2:$A$301,0), Skills!M13+1)</f>
        <v/>
      </c>
      <c r="F1320">
        <f>IF(Skills!N13=TRUE,(Skills!L13/10)*(E1320/1000),Skills!L13/10)+Skills!O13</f>
        <v/>
      </c>
      <c r="G1320">
        <f>Skills!G13*IF(Skills!H13&gt;0,Skills!I13/Skills!H13,1)</f>
        <v/>
      </c>
      <c r="H1320">
        <f>1-(1-Skills!J13/100)^Skills!K13</f>
        <v/>
      </c>
      <c r="I1320" t="inlineStr">
        <is>
          <t>1</t>
        </is>
      </c>
      <c r="J1320" t="inlineStr"/>
      <c r="K1320" t="inlineStr"/>
      <c r="L1320" t="inlineStr"/>
      <c r="M1320" t="inlineStr"/>
      <c r="N1320" t="inlineStr"/>
      <c r="O1320">
        <f>(1-Summary!$B$55)*T1320+Summary!$B$55*V1320</f>
        <v/>
      </c>
      <c r="P1320">
        <f>IF(B1346=0,0,O1320/B1346)</f>
        <v/>
      </c>
      <c r="Q1320" t="n">
        <v>0</v>
      </c>
      <c r="R1320" t="n">
        <v>0</v>
      </c>
      <c r="S1320">
        <f>IFERROR(O1320/N1320,0)</f>
        <v/>
      </c>
      <c r="T1320" t="n">
        <v>0</v>
      </c>
      <c r="V1320" t="n">
        <v>0</v>
      </c>
    </row>
    <row r="1321">
      <c r="A1321">
        <f>Skills!A14</f>
        <v/>
      </c>
      <c r="B1321">
        <f>Skills!B14</f>
        <v/>
      </c>
      <c r="C1321">
        <f>Inputs!$B$3&gt;=75</f>
        <v/>
      </c>
      <c r="D1321">
        <f>IF(Skills!C14=1,60+Inputs!$B$25+Inputs!$B$29,IF(Skills!C14=2,90+Inputs!$B$26+Inputs!$B$29,IF(Skills!C14=3,120+Inputs!$B$27+Inputs!$B$29,MAX(0,(Inputs!$B$3-100)*3)+Inputs!$B$28+Inputs!$B$29)))</f>
        <v/>
      </c>
      <c r="E1321">
        <f>INDEX(FactorTable!$B$2:$Y$301, MATCH(ROUND(MIN(300,MAX(1,D1321)),0), FactorTable!$A$2:$A$301,0), Skills!M14+1)</f>
        <v/>
      </c>
      <c r="F1321">
        <f>IF(Skills!N14=TRUE,(Skills!L14/10)*(E1321/1000),Skills!L14/10)+Skills!O14</f>
        <v/>
      </c>
      <c r="G1321">
        <f>Skills!G14*IF(Skills!H14&gt;0,Skills!I14/Skills!H14,1)</f>
        <v/>
      </c>
      <c r="H1321">
        <f>1-(1-Skills!J14/100)^Skills!K14</f>
        <v/>
      </c>
      <c r="I1321" t="inlineStr">
        <is>
          <t>1</t>
        </is>
      </c>
      <c r="J1321" t="inlineStr"/>
      <c r="K1321" t="inlineStr"/>
      <c r="L1321" t="inlineStr"/>
      <c r="M1321" t="inlineStr"/>
      <c r="N1321" t="inlineStr"/>
      <c r="O1321">
        <f>(1-Summary!$B$55)*T1321+Summary!$B$55*V1321</f>
        <v/>
      </c>
      <c r="P1321">
        <f>IF(B1346=0,0,O1321/B1346)</f>
        <v/>
      </c>
      <c r="Q1321" t="n">
        <v>0</v>
      </c>
      <c r="R1321" t="n">
        <v>0</v>
      </c>
      <c r="S1321">
        <f>IFERROR(O1321/N1321,0)</f>
        <v/>
      </c>
      <c r="T1321" t="n">
        <v>0</v>
      </c>
      <c r="V1321" t="n">
        <v>0</v>
      </c>
    </row>
    <row r="1322">
      <c r="A1322">
        <f>Skills!A15</f>
        <v/>
      </c>
      <c r="B1322">
        <f>Skills!B15</f>
        <v/>
      </c>
      <c r="C1322">
        <f>Inputs!$B$3&gt;=40</f>
        <v/>
      </c>
      <c r="D1322">
        <f>IF(Skills!C15=1,60+Inputs!$B$25+Inputs!$B$29,IF(Skills!C15=2,90+Inputs!$B$26+Inputs!$B$29,IF(Skills!C15=3,120+Inputs!$B$27+Inputs!$B$29,MAX(0,(Inputs!$B$3-100)*3)+Inputs!$B$28+Inputs!$B$29)))</f>
        <v/>
      </c>
      <c r="E1322">
        <f>INDEX(FactorTable!$B$2:$Y$301, MATCH(ROUND(MIN(300,MAX(1,D1322)),0), FactorTable!$A$2:$A$301,0), Skills!M15+1)</f>
        <v/>
      </c>
      <c r="F1322">
        <f>IF(Skills!N15=TRUE,(Skills!L15/10)*(E1322/1000),Skills!L15/10)+Skills!O15</f>
        <v/>
      </c>
      <c r="G1322">
        <f>Skills!G15*IF(Skills!H15&gt;0,Skills!I15/Skills!H15,1)</f>
        <v/>
      </c>
      <c r="H1322">
        <f>1-(1-Skills!J15/100)^Skills!K15</f>
        <v/>
      </c>
      <c r="I1322" t="inlineStr">
        <is>
          <t>1</t>
        </is>
      </c>
      <c r="J1322" t="inlineStr"/>
      <c r="K1322" t="inlineStr"/>
      <c r="L1322" t="inlineStr"/>
      <c r="M1322" t="inlineStr"/>
      <c r="N1322" t="inlineStr"/>
      <c r="O1322">
        <f>(1-Summary!$B$55)*T1322+Summary!$B$55*V1322</f>
        <v/>
      </c>
      <c r="P1322">
        <f>IF(B1346=0,0,O1322/B1346)</f>
        <v/>
      </c>
      <c r="Q1322">
        <f>IFERROR(1/IF(Inputs!$B$38="pvp",15,MAX(0.1,Skills!D15-IF(Skills!E15=TRUE,2.5,0))),0)</f>
        <v/>
      </c>
      <c r="R1322">
        <f>IF(AND(Inputs!$B$38&lt;&gt;"pvp",Inputs!$B$43&gt;0),IF(Inputs!$B$43&lt;=0,0,(INT(Inputs!$B$43/IF(Inputs!$B$38="pvp",15,MAX(0.1,Skills!D15-IF(Skills!E15=TRUE,2.5,0))))+1)),0)</f>
        <v/>
      </c>
      <c r="S1322">
        <f>IFERROR(O1322/N1322,0)</f>
        <v/>
      </c>
      <c r="T1322" t="n">
        <v>0</v>
      </c>
      <c r="V1322" t="n">
        <v>0</v>
      </c>
    </row>
    <row r="1323">
      <c r="A1323">
        <f>Skills!A16</f>
        <v/>
      </c>
      <c r="B1323">
        <f>Skills!B16</f>
        <v/>
      </c>
      <c r="C1323">
        <f>Inputs!$B$3&gt;=66</f>
        <v/>
      </c>
      <c r="D1323">
        <f>IF(Skills!C16=1,60+Inputs!$B$25+Inputs!$B$29,IF(Skills!C16=2,90+Inputs!$B$26+Inputs!$B$29,IF(Skills!C16=3,120+Inputs!$B$27+Inputs!$B$29,MAX(0,(Inputs!$B$3-100)*3)+Inputs!$B$28+Inputs!$B$29)))</f>
        <v/>
      </c>
      <c r="E1323">
        <f>INDEX(FactorTable!$B$2:$Y$301, MATCH(ROUND(MIN(300,MAX(1,D1323)),0), FactorTable!$A$2:$A$301,0), Skills!M16+1)</f>
        <v/>
      </c>
      <c r="F1323">
        <f>IF(Skills!N16=TRUE,(Skills!L16/10)*(E1323/1000),Skills!L16/10)+Skills!O16</f>
        <v/>
      </c>
      <c r="G1323">
        <f>Skills!G16*IF(Skills!H16&gt;0,Skills!I16/Skills!H16,1)</f>
        <v/>
      </c>
      <c r="H1323">
        <f>1-(1-Skills!J16/100)^Skills!K16</f>
        <v/>
      </c>
      <c r="I1323" t="inlineStr">
        <is>
          <t>1</t>
        </is>
      </c>
      <c r="J1323" t="inlineStr"/>
      <c r="K1323" t="inlineStr"/>
      <c r="L1323" t="inlineStr"/>
      <c r="M1323" t="inlineStr"/>
      <c r="N1323" t="inlineStr"/>
      <c r="O1323">
        <f>(1-Summary!$B$55)*T1323+Summary!$B$55*V1323</f>
        <v/>
      </c>
      <c r="P1323">
        <f>IF(B1346=0,0,O1323/B1346)</f>
        <v/>
      </c>
      <c r="Q1323">
        <f>IFERROR(1/IF(Inputs!$B$38="pvp",15,MAX(0.1,Skills!D16-IF(Skills!E16=TRUE,2.5,0))),0)</f>
        <v/>
      </c>
      <c r="R1323">
        <f>IF(AND(Inputs!$B$38&lt;&gt;"pvp",Inputs!$B$43&gt;0),IF(Inputs!$B$43&lt;=0,0,(INT(Inputs!$B$43/IF(Inputs!$B$38="pvp",15,MAX(0.1,Skills!D16-IF(Skills!E16=TRUE,2.5,0))))+1)),0)</f>
        <v/>
      </c>
      <c r="S1323">
        <f>IFERROR(O1323/N1323,0)</f>
        <v/>
      </c>
      <c r="T1323" t="n">
        <v>0</v>
      </c>
      <c r="V1323" t="n">
        <v>0</v>
      </c>
    </row>
    <row r="1324">
      <c r="A1324">
        <f>Skills!A17</f>
        <v/>
      </c>
      <c r="B1324">
        <f>Skills!B17</f>
        <v/>
      </c>
      <c r="C1324">
        <f>Inputs!$B$3&gt;=115</f>
        <v/>
      </c>
      <c r="D1324">
        <f>IF(Skills!C17=1,60+Inputs!$B$25+Inputs!$B$29,IF(Skills!C17=2,90+Inputs!$B$26+Inputs!$B$29,IF(Skills!C17=3,120+Inputs!$B$27+Inputs!$B$29,MAX(0,(Inputs!$B$3-100)*3)+Inputs!$B$28+Inputs!$B$29)))</f>
        <v/>
      </c>
      <c r="E1324">
        <f>INDEX(FactorTable!$B$2:$Y$301, MATCH(ROUND(MIN(300,MAX(1,D1324)),0), FactorTable!$A$2:$A$301,0), Skills!M17+1)</f>
        <v/>
      </c>
      <c r="F1324">
        <f>IF(Skills!N17=TRUE,(Skills!L17/10)*(E1324/1000),Skills!L17/10)+Skills!O17</f>
        <v/>
      </c>
      <c r="G1324">
        <f>Skills!G17*IF(Skills!H17&gt;0,Skills!I17/Skills!H17,1)</f>
        <v/>
      </c>
      <c r="H1324">
        <f>1-(1-Skills!J17/100)^Skills!K17</f>
        <v/>
      </c>
      <c r="I1324" t="inlineStr">
        <is>
          <t>1</t>
        </is>
      </c>
      <c r="J1324" t="inlineStr"/>
      <c r="K1324" t="inlineStr"/>
      <c r="L1324" t="inlineStr"/>
      <c r="M1324" t="inlineStr"/>
      <c r="N1324" t="inlineStr"/>
      <c r="O1324">
        <f>(1-Summary!$B$55)*T1324+Summary!$B$55*V1324</f>
        <v/>
      </c>
      <c r="P1324">
        <f>IF(B1346=0,0,O1324/B1346)</f>
        <v/>
      </c>
      <c r="Q1324">
        <f>IFERROR(1/IF(Inputs!$B$38="pvp",15,MAX(0.1,Skills!D17-IF(Skills!E17=TRUE,2.5,0))),0)</f>
        <v/>
      </c>
      <c r="R1324">
        <f>IF(AND(Inputs!$B$38&lt;&gt;"pvp",Inputs!$B$43&gt;0),IF(Inputs!$B$43&lt;=0,0,(INT(Inputs!$B$43/IF(Inputs!$B$38="pvp",15,MAX(0.1,Skills!D17-IF(Skills!E17=TRUE,2.5,0))))+1)),0)</f>
        <v/>
      </c>
      <c r="S1324">
        <f>IFERROR(O1324/N1324,0)</f>
        <v/>
      </c>
      <c r="T1324" t="n">
        <v>0</v>
      </c>
      <c r="V1324" t="n">
        <v>0</v>
      </c>
    </row>
    <row r="1325">
      <c r="A1325">
        <f>Skills!A18</f>
        <v/>
      </c>
      <c r="B1325">
        <f>Skills!B18</f>
        <v/>
      </c>
      <c r="C1325">
        <f>Inputs!$B$3&gt;=115</f>
        <v/>
      </c>
      <c r="D1325">
        <f>IF(Skills!C18=1,60+Inputs!$B$25+Inputs!$B$29,IF(Skills!C18=2,90+Inputs!$B$26+Inputs!$B$29,IF(Skills!C18=3,120+Inputs!$B$27+Inputs!$B$29,MAX(0,(Inputs!$B$3-100)*3)+Inputs!$B$28+Inputs!$B$29)))</f>
        <v/>
      </c>
      <c r="E1325">
        <f>INDEX(FactorTable!$B$2:$Y$301, MATCH(ROUND(MIN(300,MAX(1,D1325)),0), FactorTable!$A$2:$A$301,0), Skills!M18+1)</f>
        <v/>
      </c>
      <c r="F1325">
        <f>IF(Skills!N18=TRUE,(Skills!L18/10)*(E1325/1000),Skills!L18/10)+Skills!O18</f>
        <v/>
      </c>
      <c r="G1325">
        <f>Skills!G18*IF(Skills!H18&gt;0,Skills!I18/Skills!H18,1)</f>
        <v/>
      </c>
      <c r="H1325">
        <f>1-(1-Skills!J18/100)^Skills!K18</f>
        <v/>
      </c>
      <c r="I1325" t="inlineStr">
        <is>
          <t>1</t>
        </is>
      </c>
      <c r="J1325" t="inlineStr"/>
      <c r="K1325" t="inlineStr"/>
      <c r="L1325" t="inlineStr"/>
      <c r="M1325" t="inlineStr"/>
      <c r="N1325" t="inlineStr"/>
      <c r="O1325">
        <f>(1-Summary!$B$55)*T1325+Summary!$B$55*V1325</f>
        <v/>
      </c>
      <c r="P1325">
        <f>IF(B1346=0,0,O1325/B1346)</f>
        <v/>
      </c>
      <c r="Q1325">
        <f>IFERROR(1/IF(Inputs!$B$38="pvp",15,MAX(0.1,Skills!D18-IF(Skills!E18=TRUE,2.5,0))),0)</f>
        <v/>
      </c>
      <c r="R1325">
        <f>IF(AND(Inputs!$B$38&lt;&gt;"pvp",Inputs!$B$43&gt;0),IF(Inputs!$B$43&lt;=0,0,(INT(Inputs!$B$43/IF(Inputs!$B$38="pvp",15,MAX(0.1,Skills!D18-IF(Skills!E18=TRUE,2.5,0))))+1)),0)</f>
        <v/>
      </c>
      <c r="S1325">
        <f>IFERROR(O1325/N1325,0)</f>
        <v/>
      </c>
      <c r="T1325" t="n">
        <v>0</v>
      </c>
      <c r="V1325" t="n">
        <v>0</v>
      </c>
    </row>
    <row r="1326">
      <c r="A1326">
        <f>Skills!A19</f>
        <v/>
      </c>
      <c r="B1326">
        <f>Skills!B19</f>
        <v/>
      </c>
      <c r="C1326">
        <f>TRUE</f>
        <v/>
      </c>
      <c r="D1326">
        <f>IF(Skills!C19=1,60+Inputs!$B$25+Inputs!$B$29,IF(Skills!C19=2,90+Inputs!$B$26+Inputs!$B$29,IF(Skills!C19=3,120+Inputs!$B$27+Inputs!$B$29,MAX(0,(Inputs!$B$3-100)*3)+Inputs!$B$28+Inputs!$B$29)))</f>
        <v/>
      </c>
      <c r="E1326">
        <f>INDEX(FactorTable!$B$2:$Y$301, MATCH(ROUND(MIN(300,MAX(1,D1326)),0), FactorTable!$A$2:$A$301,0), Skills!M19+1)</f>
        <v/>
      </c>
      <c r="F1326">
        <f>IF(Skills!N19=TRUE,(Skills!L19/10)*(E1326/1000),Skills!L19/10)+Skills!O19</f>
        <v/>
      </c>
      <c r="G1326">
        <f>Skills!G19*IF(Skills!H19&gt;0,Skills!I19/Skills!H19,1)</f>
        <v/>
      </c>
      <c r="H1326">
        <f>1-(1-Skills!J19/100)^Skills!K19</f>
        <v/>
      </c>
      <c r="I1326" t="inlineStr">
        <is>
          <t>1</t>
        </is>
      </c>
      <c r="J1326" t="inlineStr"/>
      <c r="K1326" t="inlineStr"/>
      <c r="L1326" t="inlineStr"/>
      <c r="M1326" t="inlineStr"/>
      <c r="N1326" t="inlineStr"/>
      <c r="O1326">
        <f>(1-Summary!$B$55)*T1326+Summary!$B$55*V1326</f>
        <v/>
      </c>
      <c r="P1326">
        <f>IF(B1346=0,0,O1326/B1346)</f>
        <v/>
      </c>
      <c r="Q1326">
        <f>IFERROR(1/IF(Inputs!$B$38="pvp",15,MAX(0.1,Skills!D19-IF(Skills!E19=TRUE,2.5,0))),0)</f>
        <v/>
      </c>
      <c r="R1326">
        <f>IF(AND(Inputs!$B$38&lt;&gt;"pvp",Inputs!$B$43&gt;0),IF(Inputs!$B$43&lt;=0,0,(INT(Inputs!$B$43/IF(Inputs!$B$38="pvp",15,MAX(0.1,Skills!D19-IF(Skills!E19=TRUE,2.5,0))))+1)),0)</f>
        <v/>
      </c>
      <c r="S1326">
        <f>IFERROR(O1326/N1326,0)</f>
        <v/>
      </c>
      <c r="T1326" t="n">
        <v>0</v>
      </c>
      <c r="V1326" t="n">
        <v>0</v>
      </c>
    </row>
    <row r="1327">
      <c r="A1327">
        <f>Skills!A20</f>
        <v/>
      </c>
      <c r="B1327">
        <f>Skills!B20</f>
        <v/>
      </c>
      <c r="C1327">
        <f>Inputs!$B$3&gt;=33</f>
        <v/>
      </c>
      <c r="D1327">
        <f>IF(Skills!C20=1,60+Inputs!$B$25+Inputs!$B$29,IF(Skills!C20=2,90+Inputs!$B$26+Inputs!$B$29,IF(Skills!C20=3,120+Inputs!$B$27+Inputs!$B$29,MAX(0,(Inputs!$B$3-100)*3)+Inputs!$B$28+Inputs!$B$29)))</f>
        <v/>
      </c>
      <c r="E1327">
        <f>INDEX(FactorTable!$B$2:$Y$301, MATCH(ROUND(MIN(300,MAX(1,D1327)),0), FactorTable!$A$2:$A$301,0), Skills!M20+1)</f>
        <v/>
      </c>
      <c r="F1327">
        <f>IF(Skills!N20=TRUE,(Skills!L20/10)*(E1327/1000),Skills!L20/10)+Skills!O20</f>
        <v/>
      </c>
      <c r="G1327">
        <f>Skills!G20*IF(Skills!H20&gt;0,Skills!I20/Skills!H20,1)</f>
        <v/>
      </c>
      <c r="H1327">
        <f>1-(1-Skills!J20/100)^Skills!K20</f>
        <v/>
      </c>
      <c r="I1327" t="inlineStr">
        <is>
          <t>1</t>
        </is>
      </c>
      <c r="J1327" t="inlineStr"/>
      <c r="K1327" t="inlineStr"/>
      <c r="L1327" t="inlineStr"/>
      <c r="M1327" t="inlineStr"/>
      <c r="N1327" t="inlineStr"/>
      <c r="O1327">
        <f>(1-Summary!$B$55)*T1327+Summary!$B$55*V1327</f>
        <v/>
      </c>
      <c r="P1327">
        <f>IF(B1346=0,0,O1327/B1346)</f>
        <v/>
      </c>
      <c r="Q1327" t="n">
        <v>0</v>
      </c>
      <c r="R1327" t="n">
        <v>0</v>
      </c>
      <c r="S1327">
        <f>IFERROR(O1327/N1327,0)</f>
        <v/>
      </c>
      <c r="T1327" t="n">
        <v>0</v>
      </c>
      <c r="V1327" t="n">
        <v>0</v>
      </c>
    </row>
    <row r="1328">
      <c r="A1328">
        <f>Skills!A21</f>
        <v/>
      </c>
      <c r="B1328">
        <f>Skills!B21</f>
        <v/>
      </c>
      <c r="C1328">
        <f>Inputs!$B$3&gt;=38</f>
        <v/>
      </c>
      <c r="D1328">
        <f>IF(Skills!C21=1,60+Inputs!$B$25+Inputs!$B$29,IF(Skills!C21=2,90+Inputs!$B$26+Inputs!$B$29,IF(Skills!C21=3,120+Inputs!$B$27+Inputs!$B$29,MAX(0,(Inputs!$B$3-100)*3)+Inputs!$B$28+Inputs!$B$29)))</f>
        <v/>
      </c>
      <c r="E1328">
        <f>INDEX(FactorTable!$B$2:$Y$301, MATCH(ROUND(MIN(300,MAX(1,D1328)),0), FactorTable!$A$2:$A$301,0), Skills!M21+1)</f>
        <v/>
      </c>
      <c r="F1328">
        <f>IF(Skills!N21=TRUE,(Skills!L21/10)*(E1328/1000),Skills!L21/10)+Skills!O21</f>
        <v/>
      </c>
      <c r="G1328">
        <f>Skills!G21*IF(Skills!H21&gt;0,Skills!I21/Skills!H21,1)</f>
        <v/>
      </c>
      <c r="H1328">
        <f>1-(1-Skills!J21/100)^Skills!K21</f>
        <v/>
      </c>
      <c r="I1328" t="inlineStr">
        <is>
          <t>1</t>
        </is>
      </c>
      <c r="J1328" t="inlineStr"/>
      <c r="K1328" t="inlineStr"/>
      <c r="L1328" t="inlineStr"/>
      <c r="M1328" t="inlineStr"/>
      <c r="N1328" t="inlineStr"/>
      <c r="O1328">
        <f>(1-Summary!$B$55)*T1328+Summary!$B$55*V1328</f>
        <v/>
      </c>
      <c r="P1328">
        <f>IF(B1346=0,0,O1328/B1346)</f>
        <v/>
      </c>
      <c r="Q1328" t="n">
        <v>0</v>
      </c>
      <c r="R1328" t="n">
        <v>0</v>
      </c>
      <c r="S1328">
        <f>IFERROR(O1328/N1328,0)</f>
        <v/>
      </c>
      <c r="T1328" t="n">
        <v>0</v>
      </c>
      <c r="V1328" t="n">
        <v>0</v>
      </c>
    </row>
    <row r="1329">
      <c r="A1329">
        <f>Skills!A22</f>
        <v/>
      </c>
      <c r="B1329">
        <f>Skills!B22</f>
        <v/>
      </c>
      <c r="C1329">
        <f>Inputs!$B$3&gt;=43</f>
        <v/>
      </c>
      <c r="D1329">
        <f>IF(Skills!C22=1,60+Inputs!$B$25+Inputs!$B$29,IF(Skills!C22=2,90+Inputs!$B$26+Inputs!$B$29,IF(Skills!C22=3,120+Inputs!$B$27+Inputs!$B$29,MAX(0,(Inputs!$B$3-100)*3)+Inputs!$B$28+Inputs!$B$29)))</f>
        <v/>
      </c>
      <c r="E1329">
        <f>INDEX(FactorTable!$B$2:$Y$301, MATCH(ROUND(MIN(300,MAX(1,D1329)),0), FactorTable!$A$2:$A$301,0), Skills!M22+1)</f>
        <v/>
      </c>
      <c r="F1329">
        <f>IF(Skills!N22=TRUE,(Skills!L22/10)*(E1329/1000),Skills!L22/10)+Skills!O22</f>
        <v/>
      </c>
      <c r="G1329">
        <f>Skills!G22*IF(Skills!H22&gt;0,Skills!I22/Skills!H22,1)</f>
        <v/>
      </c>
      <c r="H1329">
        <f>1-(1-Skills!J22/100)^Skills!K22</f>
        <v/>
      </c>
      <c r="I1329" t="inlineStr">
        <is>
          <t>1</t>
        </is>
      </c>
      <c r="J1329" t="inlineStr"/>
      <c r="K1329" t="inlineStr"/>
      <c r="L1329" t="inlineStr"/>
      <c r="M1329" t="inlineStr"/>
      <c r="N1329" t="inlineStr"/>
      <c r="O1329">
        <f>(1-Summary!$B$55)*T1329+Summary!$B$55*V1329</f>
        <v/>
      </c>
      <c r="P1329">
        <f>IF(B1346=0,0,O1329/B1346)</f>
        <v/>
      </c>
      <c r="Q1329" t="n">
        <v>0</v>
      </c>
      <c r="R1329" t="n">
        <v>0</v>
      </c>
      <c r="S1329">
        <f>IFERROR(O1329/N1329,0)</f>
        <v/>
      </c>
      <c r="T1329" t="n">
        <v>0</v>
      </c>
      <c r="V1329" t="n">
        <v>0</v>
      </c>
    </row>
    <row r="1330">
      <c r="A1330">
        <f>Skills!A23</f>
        <v/>
      </c>
      <c r="B1330">
        <f>Skills!B23</f>
        <v/>
      </c>
      <c r="C1330">
        <f>Inputs!$B$3&gt;=120</f>
        <v/>
      </c>
      <c r="D1330">
        <f>IF(Skills!C23=1,60+Inputs!$B$25+Inputs!$B$29,IF(Skills!C23=2,90+Inputs!$B$26+Inputs!$B$29,IF(Skills!C23=3,120+Inputs!$B$27+Inputs!$B$29,MAX(0,(Inputs!$B$3-100)*3)+Inputs!$B$28+Inputs!$B$29)))</f>
        <v/>
      </c>
      <c r="E1330">
        <f>INDEX(FactorTable!$B$2:$Y$301, MATCH(ROUND(MIN(300,MAX(1,D1330)),0), FactorTable!$A$2:$A$301,0), Skills!M23+1)</f>
        <v/>
      </c>
      <c r="F1330">
        <f>IF(Skills!N23=TRUE,(Skills!L23/10)*(E1330/1000),Skills!L23/10)+Skills!O23</f>
        <v/>
      </c>
      <c r="G1330">
        <f>Skills!G23*IF(Skills!H23&gt;0,Skills!I23/Skills!H23,1)</f>
        <v/>
      </c>
      <c r="H1330">
        <f>1-(1-Skills!J23/100)^Skills!K23</f>
        <v/>
      </c>
      <c r="I1330" t="inlineStr">
        <is>
          <t>1</t>
        </is>
      </c>
      <c r="J1330" t="inlineStr"/>
      <c r="K1330" t="inlineStr"/>
      <c r="L1330" t="inlineStr"/>
      <c r="M1330" t="inlineStr"/>
      <c r="N1330" t="inlineStr"/>
      <c r="O1330">
        <f>(1-Summary!$B$55)*T1330+Summary!$B$55*V1330</f>
        <v/>
      </c>
      <c r="P1330">
        <f>IF(B1346=0,0,O1330/B1346)</f>
        <v/>
      </c>
      <c r="Q1330" t="n">
        <v>0</v>
      </c>
      <c r="R1330" t="n">
        <v>0</v>
      </c>
      <c r="S1330">
        <f>IFERROR(O1330/N1330,0)</f>
        <v/>
      </c>
      <c r="T1330" t="n">
        <v>0</v>
      </c>
      <c r="V1330" t="n">
        <v>0</v>
      </c>
    </row>
    <row r="1331">
      <c r="A1331">
        <f>Skills!A24</f>
        <v/>
      </c>
      <c r="B1331">
        <f>Skills!B24</f>
        <v/>
      </c>
      <c r="C1331">
        <f>Inputs!$B$3&gt;=120</f>
        <v/>
      </c>
      <c r="D1331">
        <f>IF(Skills!C24=1,60+Inputs!$B$25+Inputs!$B$29,IF(Skills!C24=2,90+Inputs!$B$26+Inputs!$B$29,IF(Skills!C24=3,120+Inputs!$B$27+Inputs!$B$29,MAX(0,(Inputs!$B$3-100)*3)+Inputs!$B$28+Inputs!$B$29)))</f>
        <v/>
      </c>
      <c r="E1331">
        <f>INDEX(FactorTable!$B$2:$Y$301, MATCH(ROUND(MIN(300,MAX(1,D1331)),0), FactorTable!$A$2:$A$301,0), Skills!M24+1)</f>
        <v/>
      </c>
      <c r="F1331">
        <f>IF(Skills!N24=TRUE,(Skills!L24/10)*(E1331/1000),Skills!L24/10)+Skills!O24</f>
        <v/>
      </c>
      <c r="G1331">
        <f>Skills!G24*IF(Skills!H24&gt;0,Skills!I24/Skills!H24,1)</f>
        <v/>
      </c>
      <c r="H1331">
        <f>1-(1-Skills!J24/100)^Skills!K24</f>
        <v/>
      </c>
      <c r="I1331" t="inlineStr">
        <is>
          <t>1</t>
        </is>
      </c>
      <c r="J1331" t="inlineStr"/>
      <c r="K1331" t="inlineStr"/>
      <c r="L1331" t="inlineStr"/>
      <c r="M1331" t="inlineStr"/>
      <c r="N1331" t="inlineStr"/>
      <c r="O1331">
        <f>(1-Summary!$B$55)*T1331+Summary!$B$55*V1331</f>
        <v/>
      </c>
      <c r="P1331">
        <f>IF(B1346=0,0,O1331/B1346)</f>
        <v/>
      </c>
      <c r="Q1331" t="n">
        <v>0</v>
      </c>
      <c r="R1331" t="n">
        <v>0</v>
      </c>
      <c r="S1331">
        <f>IFERROR(O1331/N1331,0)</f>
        <v/>
      </c>
      <c r="T1331" t="n">
        <v>0</v>
      </c>
      <c r="V1331" t="n">
        <v>0</v>
      </c>
    </row>
    <row r="1332">
      <c r="A1332">
        <f>Skills!A25</f>
        <v/>
      </c>
      <c r="B1332">
        <f>Skills!B25</f>
        <v/>
      </c>
      <c r="C1332">
        <f>Inputs!$B$3&gt;=125</f>
        <v/>
      </c>
      <c r="D1332">
        <f>IF(Skills!C25=1,60+Inputs!$B$25+Inputs!$B$29,IF(Skills!C25=2,90+Inputs!$B$26+Inputs!$B$29,IF(Skills!C25=3,120+Inputs!$B$27+Inputs!$B$29,MAX(0,(Inputs!$B$3-100)*3)+Inputs!$B$28+Inputs!$B$29)))</f>
        <v/>
      </c>
      <c r="E1332">
        <f>INDEX(FactorTable!$B$2:$Y$301, MATCH(ROUND(MIN(300,MAX(1,D1332)),0), FactorTable!$A$2:$A$301,0), Skills!M25+1)</f>
        <v/>
      </c>
      <c r="F1332">
        <f>IF(Skills!N25=TRUE,(Skills!L25/10)*(E1332/1000),Skills!L25/10)+Skills!O25</f>
        <v/>
      </c>
      <c r="G1332">
        <f>Skills!G25*IF(Skills!H25&gt;0,Skills!I25/Skills!H25,1)</f>
        <v/>
      </c>
      <c r="H1332">
        <f>1-(1-Skills!J25/100)^Skills!K25</f>
        <v/>
      </c>
      <c r="I1332" t="inlineStr">
        <is>
          <t>1</t>
        </is>
      </c>
      <c r="J1332" t="inlineStr"/>
      <c r="K1332" t="inlineStr"/>
      <c r="L1332" t="inlineStr"/>
      <c r="M1332" t="inlineStr"/>
      <c r="N1332" t="inlineStr"/>
      <c r="O1332">
        <f>(1-Summary!$B$55)*T1332+Summary!$B$55*V1332</f>
        <v/>
      </c>
      <c r="P1332">
        <f>IF(B1346=0,0,O1332/B1346)</f>
        <v/>
      </c>
      <c r="Q1332" t="n">
        <v>0</v>
      </c>
      <c r="R1332" t="n">
        <v>0</v>
      </c>
      <c r="S1332">
        <f>IFERROR(O1332/N1332,0)</f>
        <v/>
      </c>
      <c r="T1332" t="n">
        <v>0</v>
      </c>
      <c r="V1332" t="n">
        <v>0</v>
      </c>
    </row>
    <row r="1333">
      <c r="A1333">
        <f>Skills!A26</f>
        <v/>
      </c>
      <c r="B1333">
        <f>Skills!B26</f>
        <v/>
      </c>
      <c r="C1333">
        <f>Inputs!$B$3&gt;=72</f>
        <v/>
      </c>
      <c r="D1333">
        <f>IF(Skills!C26=1,60+Inputs!$B$25+Inputs!$B$29,IF(Skills!C26=2,90+Inputs!$B$26+Inputs!$B$29,IF(Skills!C26=3,120+Inputs!$B$27+Inputs!$B$29,MAX(0,(Inputs!$B$3-100)*3)+Inputs!$B$28+Inputs!$B$29)))</f>
        <v/>
      </c>
      <c r="E1333">
        <f>INDEX(FactorTable!$B$2:$Y$301, MATCH(ROUND(MIN(300,MAX(1,D1333)),0), FactorTable!$A$2:$A$301,0), Skills!M26+1)</f>
        <v/>
      </c>
      <c r="F1333">
        <f>IF(Skills!N26=TRUE,(Skills!L26/10)*(E1333/1000),Skills!L26/10)+Skills!O26</f>
        <v/>
      </c>
      <c r="G1333">
        <f>Skills!G26*IF(Skills!H26&gt;0,Skills!I26/Skills!H26,1)</f>
        <v/>
      </c>
      <c r="H1333">
        <f>1-(1-Skills!J26/100)^Skills!K26</f>
        <v/>
      </c>
      <c r="I1333" t="inlineStr">
        <is>
          <t>1</t>
        </is>
      </c>
      <c r="J1333" t="inlineStr"/>
      <c r="K1333" t="inlineStr"/>
      <c r="L1333" t="inlineStr"/>
      <c r="M1333" t="inlineStr"/>
      <c r="N1333" t="inlineStr"/>
      <c r="O1333">
        <f>(1-Summary!$B$55)*T1333+Summary!$B$55*V1333</f>
        <v/>
      </c>
      <c r="P1333">
        <f>IF(B1346=0,0,O1333/B1346)</f>
        <v/>
      </c>
      <c r="Q1333" t="n">
        <v>0</v>
      </c>
      <c r="R1333" t="n">
        <v>0</v>
      </c>
      <c r="S1333">
        <f>IFERROR(O1333/N1333,0)</f>
        <v/>
      </c>
      <c r="T1333" t="n">
        <v>0</v>
      </c>
      <c r="V1333" t="n">
        <v>0</v>
      </c>
    </row>
    <row r="1335">
      <c r="A1335" t="inlineStr">
        <is>
          <t>Attack% Bucket Multiplier</t>
        </is>
      </c>
      <c r="B1335">
        <f>(1+(((C1320=TRUE)*F1320*IF(Inputs!$B$3&gt;=110,7,5))+((C1322=TRUE)*F1322*IF(AND(Inputs!$B$38&lt;&gt;"pvp",Inputs!$B$43&gt;0),(((R1322-1)*(Skills!T15*(1+Inputs!$B$34/100))+MIN((Skills!T15*(1+Inputs!$B$34/100)),MAX(0,Inputs!$B$43-((R1322-1)*Skills!D15))))/Inputs!$B$43),IF(Inputs!$B$38="pvp",MIN((Skills!T15*(1+Inputs!$B$34/100)),15)/15,(Skills!T15*(1+Inputs!$B$34/100))/Skills!D15)))+0)/100)</f>
        <v/>
      </c>
    </row>
    <row r="1336">
      <c r="A1336" t="inlineStr">
        <is>
          <t>Global Crit Rate Bonus %</t>
        </is>
      </c>
      <c r="B1336" t="n">
        <v>0</v>
      </c>
    </row>
    <row r="1337">
      <c r="A1337" t="inlineStr">
        <is>
          <t>Attack Speed Buff Bonus %</t>
        </is>
      </c>
      <c r="B1337">
        <f>((C1326=TRUE)*F1326*IF(AND(Inputs!$B$38&lt;&gt;"pvp",Inputs!$B$43&gt;0),(((R1326-1)*(Skills!T19*(1+Inputs!$B$34/100))+MIN((Skills!T19*(1+Inputs!$B$34/100)),MAX(0,Inputs!$B$43-((R1326-1)*Skills!D19))))/Inputs!$B$43),IF(Inputs!$B$38="pvp",MIN((Skills!T19*(1+Inputs!$B$34/100)),15)/15,(Skills!T19*(1+Inputs!$B$34/100))/Skills!D19)))</f>
        <v/>
      </c>
    </row>
    <row r="1338">
      <c r="A1338" t="inlineStr">
        <is>
          <t>Actions Per Second</t>
        </is>
      </c>
      <c r="B1338">
        <f>1+MIN(150,150*(1-(1-(Inputs!$B$11+((C1327=TRUE)*(F1327-Calc!F20)))/150)*(1-B1337/150)))/100</f>
        <v/>
      </c>
    </row>
    <row r="1339">
      <c r="A1339" t="inlineStr">
        <is>
          <t>Skill + Buff Cast Rate</t>
        </is>
      </c>
      <c r="B1339">
        <f>IF(AND(Inputs!$B$38&lt;&gt;"pvp",Inputs!$B$43&gt;0),SUMPRODUCT((Skills!E2:E26=TRUE)*(C1309:C1333=TRUE)*R1309:R1333*Skills!F2:F26)/Inputs!$B$43,SUMPRODUCT((Skills!E2:E26=TRUE)*(C1309:C1333=TRUE)*Q1309:Q1333*Skills!F2:F26))</f>
        <v/>
      </c>
    </row>
    <row r="1340">
      <c r="A1340" t="inlineStr">
        <is>
          <t>Raging Blow Casts Per Second</t>
        </is>
      </c>
      <c r="B1340">
        <f>MAX(0,B1338-B1339)</f>
        <v/>
      </c>
    </row>
    <row r="1341">
      <c r="A1341" t="inlineStr">
        <is>
          <t>Global Critical Damage Bonus % (Enrage)</t>
        </is>
      </c>
      <c r="B1341">
        <f>((C1325=TRUE)*F1325*IF(AND(Inputs!$B$38&lt;&gt;"pvp",Inputs!$B$43&gt;0),(((R1325-1)*(Skills!T18*(1+Inputs!$B$34/100))+MIN((Skills!T18*(1+Inputs!$B$34/100)),MAX(0,Inputs!$B$43-((R1325-1)*Skills!D18))))/Inputs!$B$43),IF(Inputs!$B$38="pvp",MIN((Skills!T18*(1+Inputs!$B$34/100)),15)/15,(Skills!T18*(1+Inputs!$B$34/100))/Skills!D18)))</f>
        <v/>
      </c>
    </row>
    <row r="1342">
      <c r="A1342" t="inlineStr">
        <is>
          <t>Global Final Damage Bonus % (Enrage + Combo Synergy)</t>
        </is>
      </c>
      <c r="B1342">
        <f>((C1324=TRUE)*F1324*IF(AND(Inputs!$B$38&lt;&gt;"pvp",Inputs!$B$43&gt;0),(((R1324-1)*(Skills!T17*(1+Inputs!$B$34/100))+MIN((Skills!T17*(1+Inputs!$B$34/100)),MAX(0,Inputs!$B$43-((R1324-1)*Skills!D17))))/Inputs!$B$43),IF(Inputs!$B$38="pvp",MIN((Skills!T17*(1+Inputs!$B$34/100)),15)/15,(Skills!T17*(1+Inputs!$B$34/100))/Skills!D17)))+((C1321=TRUE)*F1321*IF(Inputs!$B$3&gt;=110,7,5))</f>
        <v/>
      </c>
    </row>
    <row r="1343">
      <c r="A1343" t="inlineStr">
        <is>
          <t>Buff-Casting Startup Delay (s, fixed-duration only)</t>
        </is>
      </c>
      <c r="B1343">
        <f>IF(AND(Inputs!$B$38&lt;&gt;"pvp",Inputs!$B$43&gt;0),SUMPRODUCT((Skills!T2:T26&gt;0)*(Skills!E2:E26=TRUE)*(C1309:C1333=TRUE))/B1338,0)</f>
        <v/>
      </c>
    </row>
    <row r="1344">
      <c r="A1344" t="inlineStr">
        <is>
          <t>Boss-Only Total DPS (this block's swept value)</t>
        </is>
      </c>
      <c r="B1344">
        <f>SUM(T1309:T1333)</f>
        <v/>
      </c>
    </row>
    <row r="1345">
      <c r="A1345" t="inlineStr">
        <is>
          <t>Normal-Only Total DPS (this block's swept value)</t>
        </is>
      </c>
      <c r="B1345">
        <f>SUM(V1309:V1333)</f>
        <v/>
      </c>
    </row>
    <row r="1346">
      <c r="A1346" s="5" t="inlineStr">
        <is>
          <t>TOTAL DPS</t>
        </is>
      </c>
      <c r="B1346" s="5">
        <f>SUM(O1309:O1333)</f>
        <v/>
      </c>
    </row>
    <row r="1349">
      <c r="A1349" s="5" t="inlineStr">
        <is>
          <t>Stat: CDR = 3.0s</t>
        </is>
      </c>
    </row>
    <row r="1350">
      <c r="A1350" s="9" t="inlineStr">
        <is>
          <t>Key</t>
        </is>
      </c>
      <c r="B1350" s="9" t="inlineStr">
        <is>
          <t>Name</t>
        </is>
      </c>
      <c r="C1350" s="9" t="inlineStr">
        <is>
          <t>Unlocked</t>
        </is>
      </c>
      <c r="D1350" s="9" t="inlineStr">
        <is>
          <t>InputLevel</t>
        </is>
      </c>
      <c r="E1350" s="9" t="inlineStr">
        <is>
          <t>Factor</t>
        </is>
      </c>
      <c r="F1350" s="9" t="inlineStr">
        <is>
          <t>CoefficientPercent</t>
        </is>
      </c>
      <c r="G1350" s="9" t="inlineStr">
        <is>
          <t>EffectiveHits</t>
        </is>
      </c>
      <c r="H1350" s="9" t="inlineStr">
        <is>
          <t>ProcProbability</t>
        </is>
      </c>
      <c r="I1350" s="9" t="inlineStr">
        <is>
          <t>MapleHeroMultiplier</t>
        </is>
      </c>
      <c r="J1350" s="9" t="inlineStr">
        <is>
          <t>BaseDamage</t>
        </is>
      </c>
      <c r="K1350" s="9" t="inlineStr">
        <is>
          <t>BaseHitDamage</t>
        </is>
      </c>
      <c r="L1350" s="9" t="inlineStr">
        <is>
          <t>NonCritAvg</t>
        </is>
      </c>
      <c r="M1350" s="9" t="inlineStr">
        <is>
          <t>CritAvg</t>
        </is>
      </c>
      <c r="N1350" s="9" t="inlineStr">
        <is>
          <t>ExpectedDamage(perHit)</t>
        </is>
      </c>
      <c r="O1350" s="9" t="inlineStr">
        <is>
          <t>DPS</t>
        </is>
      </c>
      <c r="P1350" s="9" t="inlineStr">
        <is>
          <t>% of Total</t>
        </is>
      </c>
      <c r="Q1350" s="9" t="inlineStr">
        <is>
          <t>InvCooldown</t>
        </is>
      </c>
      <c r="R1350" s="9" t="inlineStr">
        <is>
          <t>CastsInFight</t>
        </is>
      </c>
      <c r="S1350" s="9" t="inlineStr">
        <is>
          <t>HitRate(perSec)</t>
        </is>
      </c>
      <c r="U1350" t="inlineStr">
        <is>
          <t>helpers</t>
        </is>
      </c>
    </row>
    <row r="1351">
      <c r="A1351">
        <f>Skills!A2</f>
        <v/>
      </c>
      <c r="B1351">
        <f>Skills!B2</f>
        <v/>
      </c>
      <c r="C1351">
        <f>Inputs!$B$3&gt;=100</f>
        <v/>
      </c>
      <c r="D1351" t="inlineStr"/>
      <c r="E1351" t="inlineStr"/>
      <c r="F1351">
        <f>U1353+Skills!O2</f>
        <v/>
      </c>
      <c r="G1351">
        <f>Skills!G2*IF(Skills!H2&gt;0,Skills!I2/Skills!H2,1)</f>
        <v/>
      </c>
      <c r="H1351">
        <f>1-(1-Skills!J2/100)^Skills!K2</f>
        <v/>
      </c>
      <c r="I1351" t="inlineStr">
        <is>
          <t>1</t>
        </is>
      </c>
      <c r="J1351">
        <f>((Inputs!$B$6*(1+Inputs!$B$7/100))+(((Inputs!$B$12*(1+Inputs!$B$13/100))-(Inputs!$B$12*(1+Inputs!$B$13/100)))+0.25*(Inputs!$B$14-Inputs!$B$14))*(1+Inputs!$B$7/100))*(F1351/100)</f>
        <v/>
      </c>
      <c r="K1351">
        <f>J1351*(1+((Inputs!$B$12*(1+Inputs!$B$13/100))*0.01+Inputs!$B$14*0.0025)/100)*(1+Inputs!$B$15/100)*(1+Inputs!$B$16/100)*(5000/(6000+Inputs!$B$42*(1-(Inputs!$B$19+0)/100)))*(1+(Inputs!$B$24+((C1374=TRUE)*(F1374-Calc!F25))+B1384)/100)*(1+IF(Skills!A2="ENHANCED_RAGING_BLOW",IF(Inputs!$B$3&gt;=134,MAX(0,IF(Inputs!$B$3&gt;=110,7,5)-5)*50,0),0)/100)*(1+(IF(Skills!A2="RAGING_BLOW",Inputs!$B$17+((C1370=TRUE)*(F1370-Calc!F21)),Inputs!$B$18+((C1372=TRUE)*(F1372-Calc!F23))))/100)*((1+(((C1362=TRUE)*F1362*IF(Inputs!$B$3&gt;=110,7,5))+((C1364=TRUE)*F1364*IF(AND(Inputs!$B$38&lt;&gt;"pvp",Inputs!$B$43&gt;0),(((R1364-1)*(Skills!T15*(1+Inputs!$B$34/100))+MIN((Skills!T15*(1+Inputs!$B$34/100)),MAX(0,Inputs!$B$43-((R1364-1)*Skills!D15))))/Inputs!$B$43),IF(Inputs!$B$38="pvp",MIN((Skills!T15*(1+Inputs!$B$34/100)),15)/15,(Skills!T15*(1+Inputs!$B$34/100))/Skills!D15)))+0)/100)*I1351)</f>
        <v/>
      </c>
      <c r="L1351">
        <f>K1351*(MIN(Inputs!$B$22+((C1371=TRUE)*(F1371-Calc!F22)),Inputs!$B$23+((C1373=TRUE)*(F1373-Calc!F24)))/100+(Inputs!$B$23+((C1373=TRUE)*(F1373-Calc!F24)))/100)/2</f>
        <v/>
      </c>
      <c r="M1351">
        <f>L1351*(1+(Inputs!$B$10+0+B1383)/100)</f>
        <v/>
      </c>
      <c r="N1351">
        <f>L1351*(1-MIN((Inputs!$B$9+((C1375=TRUE)*(F1375-Calc!F26))+B1378),100)/100)+M1351*(MIN((Inputs!$B$9+((C1375=TRUE)*(F1375-Calc!F26))+B1378),100)/100)</f>
        <v/>
      </c>
      <c r="O1351">
        <f>(1-Summary!$B$55)*T1351+Summary!$B$55*V1351</f>
        <v/>
      </c>
      <c r="P1351">
        <f>IF(B1388=0,0,O1351/B1388)</f>
        <v/>
      </c>
      <c r="Q1351" t="n">
        <v>0</v>
      </c>
      <c r="R1351" t="n">
        <v>0</v>
      </c>
      <c r="S1351">
        <f>IFERROR(O1351/N1351,0)</f>
        <v/>
      </c>
      <c r="T1351">
        <f>IF(C1351,(Skills!G2*N1351*B1382)*IF(Inputs!$B$38="pvp",1,1+(Inputs!$B$20+0+Skills!P2+Summary!$B$59)/100),0)</f>
        <v/>
      </c>
      <c r="U1351">
        <f>MAX(0,(Inputs!$B$3-100)*3)+Inputs!$B$28+Inputs!$B$29</f>
        <v/>
      </c>
      <c r="V1351">
        <f>IF(C1351,(Skills!G2*N1351*B1382)*IF(Inputs!$B$38="pvp",1,(1+(Inputs!$B$21+Skills!Q2+Summary!$B$59)/100)*(MIN((6+Inputs!$B$33),Inputs!$B$37))),0)</f>
        <v/>
      </c>
    </row>
    <row r="1352">
      <c r="A1352">
        <f>Skills!A3</f>
        <v/>
      </c>
      <c r="B1352">
        <f>Skills!B3</f>
        <v/>
      </c>
      <c r="C1352">
        <f>Inputs!$B$3&gt;=50</f>
        <v/>
      </c>
      <c r="D1352">
        <f>IF(Skills!C3=1,60+Inputs!$B$25+Inputs!$B$29,IF(Skills!C3=2,90+Inputs!$B$26+Inputs!$B$29,IF(Skills!C3=3,120+Inputs!$B$27+Inputs!$B$29,MAX(0,(Inputs!$B$3-100)*3)+Inputs!$B$28+Inputs!$B$29)))</f>
        <v/>
      </c>
      <c r="E1352">
        <f>INDEX(FactorTable!$B$2:$Y$301, MATCH(ROUND(MIN(300,MAX(1,D1352)),0), FactorTable!$A$2:$A$301,0), Skills!M3+1)</f>
        <v/>
      </c>
      <c r="F1352">
        <f>IF(Skills!N3=TRUE,(Skills!L3/10)*(E1352/1000),Skills!L3/10)+Skills!O3</f>
        <v/>
      </c>
      <c r="G1352" t="inlineStr"/>
      <c r="H1352" t="inlineStr"/>
      <c r="I1352" t="inlineStr">
        <is>
          <t>1</t>
        </is>
      </c>
      <c r="J1352" t="inlineStr"/>
      <c r="K1352" t="inlineStr"/>
      <c r="L1352" t="inlineStr"/>
      <c r="M1352" t="inlineStr"/>
      <c r="N1352" t="inlineStr"/>
      <c r="O1352" t="inlineStr"/>
      <c r="P1352" t="inlineStr"/>
      <c r="Q1352" t="inlineStr"/>
      <c r="R1352" t="inlineStr"/>
      <c r="S1352" t="inlineStr"/>
      <c r="U1352">
        <f>INDEX(FactorTable!$B$2:$Y$301, MATCH(ROUND(MIN(300,MAX(1,U1351)),0), FactorTable!$A$2:$A$301,0), 22)</f>
        <v/>
      </c>
    </row>
    <row r="1353">
      <c r="A1353">
        <f>Skills!A4</f>
        <v/>
      </c>
      <c r="B1353">
        <f>Skills!B4</f>
        <v/>
      </c>
      <c r="C1353">
        <f>Inputs!$B$3&gt;=105</f>
        <v/>
      </c>
      <c r="D1353">
        <f>IF(Skills!C4=1,60+Inputs!$B$25+Inputs!$B$29,IF(Skills!C4=2,90+Inputs!$B$26+Inputs!$B$29,IF(Skills!C4=3,120+Inputs!$B$27+Inputs!$B$29,MAX(0,(Inputs!$B$3-100)*3)+Inputs!$B$28+Inputs!$B$29)))</f>
        <v/>
      </c>
      <c r="E1353">
        <f>INDEX(FactorTable!$B$2:$Y$301, MATCH(ROUND(MIN(300,MAX(1,D1353)),0), FactorTable!$A$2:$A$301,0), Skills!M4+1)</f>
        <v/>
      </c>
      <c r="F1353">
        <f>IF(Skills!N4=TRUE,(Skills!L4/10)*(E1353/1000),Skills!L4/10)+Skills!O4</f>
        <v/>
      </c>
      <c r="G1353" t="inlineStr"/>
      <c r="H1353" t="inlineStr"/>
      <c r="I1353" t="inlineStr">
        <is>
          <t>1</t>
        </is>
      </c>
      <c r="J1353" t="inlineStr"/>
      <c r="K1353" t="inlineStr"/>
      <c r="L1353" t="inlineStr"/>
      <c r="M1353" t="inlineStr"/>
      <c r="N1353" t="inlineStr"/>
      <c r="O1353" t="inlineStr"/>
      <c r="P1353" t="inlineStr"/>
      <c r="Q1353" t="inlineStr"/>
      <c r="R1353" t="inlineStr"/>
      <c r="S1353" t="inlineStr"/>
      <c r="U1353">
        <f>290*U1352/1000</f>
        <v/>
      </c>
    </row>
    <row r="1354">
      <c r="A1354">
        <f>Skills!A5</f>
        <v/>
      </c>
      <c r="B1354">
        <f>Skills!B5</f>
        <v/>
      </c>
      <c r="C1354">
        <f>Inputs!$B$3&gt;=103</f>
        <v/>
      </c>
      <c r="D1354">
        <f>IF(Skills!C5=1,60+Inputs!$B$25+Inputs!$B$29,IF(Skills!C5=2,90+Inputs!$B$26+Inputs!$B$29,IF(Skills!C5=3,120+Inputs!$B$27+Inputs!$B$29,MAX(0,(Inputs!$B$3-100)*3)+Inputs!$B$28+Inputs!$B$29)))</f>
        <v/>
      </c>
      <c r="E1354">
        <f>INDEX(FactorTable!$B$2:$Y$301, MATCH(ROUND(MIN(300,MAX(1,D1354)),0), FactorTable!$A$2:$A$301,0), Skills!M5+1)</f>
        <v/>
      </c>
      <c r="F1354">
        <f>IF(Skills!N5=TRUE,(Skills!L5/10)*(E1354/1000),Skills!L5/10)+Skills!O5</f>
        <v/>
      </c>
      <c r="G1354">
        <f>Skills!G5*IF(Skills!H5&gt;0,Skills!I5/Skills!H5,1)</f>
        <v/>
      </c>
      <c r="H1354">
        <f>1-(1-Skills!J5/100)^Skills!K5</f>
        <v/>
      </c>
      <c r="I1354" t="inlineStr">
        <is>
          <t>1</t>
        </is>
      </c>
      <c r="J1354">
        <f>((Inputs!$B$6*(1+Inputs!$B$7/100))+(((Inputs!$B$12*(1+Inputs!$B$13/100))-(Inputs!$B$12*(1+Inputs!$B$13/100)))+0.25*(Inputs!$B$14-Inputs!$B$14))*(1+Inputs!$B$7/100))*(F1354/100)</f>
        <v/>
      </c>
      <c r="K1354">
        <f>J1354*(1+((Inputs!$B$12*(1+Inputs!$B$13/100))*0.01+Inputs!$B$14*0.0025)/100)*(1+Inputs!$B$15/100)*(1+Inputs!$B$16/100)*(5000/(6000+Inputs!$B$42*(1-(Inputs!$B$19+0)/100)))*(1+(Inputs!$B$24+((C1374=TRUE)*(F1374-Calc!F25))+B1384)/100)*(1+IF(Skills!A5="ENHANCED_RAGING_BLOW",IF(Inputs!$B$3&gt;=134,MAX(0,IF(Inputs!$B$3&gt;=110,7,5)-5)*50,0),0)/100)*(1+(IF(Skills!A5="RAGING_BLOW",Inputs!$B$17+((C1370=TRUE)*(F1370-Calc!F21)),Inputs!$B$18+((C1372=TRUE)*(F1372-Calc!F23))))/100)*((1+(((C1362=TRUE)*F1362*IF(Inputs!$B$3&gt;=110,7,5))+((C1364=TRUE)*F1364*IF(AND(Inputs!$B$38&lt;&gt;"pvp",Inputs!$B$43&gt;0),(((R1364-1)*(Skills!T15*(1+Inputs!$B$34/100))+MIN((Skills!T15*(1+Inputs!$B$34/100)),MAX(0,Inputs!$B$43-((R1364-1)*Skills!D15))))/Inputs!$B$43),IF(Inputs!$B$38="pvp",MIN((Skills!T15*(1+Inputs!$B$34/100)),15)/15,(Skills!T15*(1+Inputs!$B$34/100))/Skills!D15)))+0)/100)*I1354)</f>
        <v/>
      </c>
      <c r="L1354">
        <f>K1354*(MIN(Inputs!$B$22+((C1371=TRUE)*(F1371-Calc!F22)),Inputs!$B$23+((C1373=TRUE)*(F1373-Calc!F24)))/100+(Inputs!$B$23+((C1373=TRUE)*(F1373-Calc!F24)))/100)/2</f>
        <v/>
      </c>
      <c r="M1354">
        <f>L1354*(1+(Inputs!$B$10+0+B1383)/100)</f>
        <v/>
      </c>
      <c r="N1354">
        <f>L1354*(1-MIN((Inputs!$B$9+((C1375=TRUE)*(F1375-Calc!F26))+B1378),100)/100)+M1354*(MIN((Inputs!$B$9+((C1375=TRUE)*(F1375-Calc!F26))+B1378),100)/100)</f>
        <v/>
      </c>
      <c r="O1354">
        <f>(1-Summary!$B$55)*T1354+Summary!$B$55*V1354</f>
        <v/>
      </c>
      <c r="P1354">
        <f>IF(B1388=0,0,O1354/B1388)</f>
        <v/>
      </c>
      <c r="Q1354">
        <f>IFERROR(1/IF(Inputs!$B$38="pvp",15,MAX(0.1,Skills!D5-IF(Skills!E5=TRUE,3.0,0))),0)</f>
        <v/>
      </c>
      <c r="R1354">
        <f>IF(AND(Inputs!$B$38&lt;&gt;"pvp",Inputs!$B$43&gt;0),IF(MAX(0,Inputs!$B$43-B1385)&lt;=0,0,(INT(MAX(0,Inputs!$B$43-B1385)/IF(Inputs!$B$38="pvp",15,MAX(0.1,Skills!D5-IF(Skills!E5=TRUE,3.0,0))))+1)),0)</f>
        <v/>
      </c>
      <c r="S1354">
        <f>IFERROR(O1354/N1354,0)</f>
        <v/>
      </c>
      <c r="T1354">
        <f>IF(C1354,(H1354*N1354*IF(AND(Inputs!$B$38&lt;&gt;"pvp",Inputs!$B$43&gt;0),((Skills!G5*((R1354-1)*IF(Skills!H5&gt;0,Skills!I5/Skills!H5,1)+IF(Skills!H5&gt;0,MIN(Skills!I5,MAX(0,MAX(0,Inputs!$B$43-B1385)-((R1354-1)*IF(Inputs!$B$38="pvp",15,MAX(0.1,Skills!D5-IF(Skills!E5=TRUE,3.0,0))))))/Skills!H5,1)))/Inputs!$B$43),G1354*Q1354))*IF(Inputs!$B$38="pvp",1,1+(Inputs!$B$20+0+Skills!P5+Summary!$B$59)/100),0)</f>
        <v/>
      </c>
      <c r="V1354">
        <f>IF(C1354,(H1354*N1354*IF(AND(Inputs!$B$38&lt;&gt;"pvp",Inputs!$B$43&gt;0),((Skills!G5*((R1354-1)*IF(Skills!H5&gt;0,Skills!I5/Skills!H5,1)+IF(Skills!H5&gt;0,MIN(Skills!I5,MAX(0,MAX(0,Inputs!$B$43-B1385)-((R1354-1)*IF(Inputs!$B$38="pvp",15,MAX(0.1,Skills!D5-IF(Skills!E5=TRUE,3.0,0))))))/Skills!H5,1)))/Inputs!$B$43),G1354*Q1354))*IF(Inputs!$B$38="pvp",1,(1+(Inputs!$B$21+Skills!Q5+Summary!$B$59)/100)*(MIN(Skills!R5,Inputs!$B$37))),0)</f>
        <v/>
      </c>
    </row>
    <row r="1355">
      <c r="A1355">
        <f>Skills!A6</f>
        <v/>
      </c>
      <c r="B1355">
        <f>Skills!B6</f>
        <v/>
      </c>
      <c r="C1355">
        <f>Inputs!$B$3&gt;=103</f>
        <v/>
      </c>
      <c r="D1355">
        <f>IF(Skills!C6=1,60+Inputs!$B$25+Inputs!$B$29,IF(Skills!C6=2,90+Inputs!$B$26+Inputs!$B$29,IF(Skills!C6=3,120+Inputs!$B$27+Inputs!$B$29,MAX(0,(Inputs!$B$3-100)*3)+Inputs!$B$28+Inputs!$B$29)))</f>
        <v/>
      </c>
      <c r="E1355">
        <f>INDEX(FactorTable!$B$2:$Y$301, MATCH(ROUND(MIN(300,MAX(1,D1355)),0), FactorTable!$A$2:$A$301,0), Skills!M6+1)</f>
        <v/>
      </c>
      <c r="F1355">
        <f>IF(Skills!N6=TRUE,(Skills!L6/10)*(E1355/1000),Skills!L6/10)+Skills!O6</f>
        <v/>
      </c>
      <c r="G1355">
        <f>Skills!G6*IF(Skills!H6&gt;0,Skills!I6/Skills!H6,1)</f>
        <v/>
      </c>
      <c r="H1355">
        <f>1-(1-Skills!J6/100)^Skills!K6</f>
        <v/>
      </c>
      <c r="I1355" t="inlineStr">
        <is>
          <t>1</t>
        </is>
      </c>
      <c r="J1355">
        <f>((Inputs!$B$6*(1+Inputs!$B$7/100))+(((Inputs!$B$12*(1+Inputs!$B$13/100))-(Inputs!$B$12*(1+Inputs!$B$13/100)))+0.25*(Inputs!$B$14-Inputs!$B$14))*(1+Inputs!$B$7/100))*(F1355/100)</f>
        <v/>
      </c>
      <c r="K1355">
        <f>J1355*(1+((Inputs!$B$12*(1+Inputs!$B$13/100))*0.01+Inputs!$B$14*0.0025)/100)*(1+Inputs!$B$15/100)*(1+Inputs!$B$16/100)*(5000/(6000+Inputs!$B$42*(1-(Inputs!$B$19+0)/100)))*(1+(Inputs!$B$24+((C1374=TRUE)*(F1374-Calc!F25))+B1384)/100)*(1+IF(Skills!A6="ENHANCED_RAGING_BLOW",IF(Inputs!$B$3&gt;=134,MAX(0,IF(Inputs!$B$3&gt;=110,7,5)-5)*50,0),0)/100)*(1+(IF(Skills!A6="RAGING_BLOW",Inputs!$B$17+((C1370=TRUE)*(F1370-Calc!F21)),Inputs!$B$18+((C1372=TRUE)*(F1372-Calc!F23))))/100)*((1+(((C1362=TRUE)*F1362*IF(Inputs!$B$3&gt;=110,7,5))+((C1364=TRUE)*F1364*IF(AND(Inputs!$B$38&lt;&gt;"pvp",Inputs!$B$43&gt;0),(((R1364-1)*(Skills!T15*(1+Inputs!$B$34/100))+MIN((Skills!T15*(1+Inputs!$B$34/100)),MAX(0,Inputs!$B$43-((R1364-1)*Skills!D15))))/Inputs!$B$43),IF(Inputs!$B$38="pvp",MIN((Skills!T15*(1+Inputs!$B$34/100)),15)/15,(Skills!T15*(1+Inputs!$B$34/100))/Skills!D15)))+0)/100)*I1355)</f>
        <v/>
      </c>
      <c r="L1355">
        <f>K1355*(MIN(Inputs!$B$22+((C1371=TRUE)*(F1371-Calc!F22)),Inputs!$B$23+((C1373=TRUE)*(F1373-Calc!F24)))/100+(Inputs!$B$23+((C1373=TRUE)*(F1373-Calc!F24)))/100)/2</f>
        <v/>
      </c>
      <c r="M1355">
        <f>L1355*(1+(Inputs!$B$10+0+B1383)/100)</f>
        <v/>
      </c>
      <c r="N1355">
        <f>L1355*(1-MIN((Inputs!$B$9+((C1375=TRUE)*(F1375-Calc!F26))+B1378),100)/100)+M1355*(MIN((Inputs!$B$9+((C1375=TRUE)*(F1375-Calc!F26))+B1378),100)/100)</f>
        <v/>
      </c>
      <c r="O1355">
        <f>(1-Summary!$B$55)*T1355+Summary!$B$55*V1355</f>
        <v/>
      </c>
      <c r="P1355">
        <f>IF(B1388=0,0,O1355/B1388)</f>
        <v/>
      </c>
      <c r="Q1355">
        <f>IFERROR(1/IF(Inputs!$B$38="pvp",15,MAX(0.1,Skills!D6-IF(Skills!E6=TRUE,3.0,0))),0)</f>
        <v/>
      </c>
      <c r="R1355">
        <f>IF(AND(Inputs!$B$38&lt;&gt;"pvp",Inputs!$B$43&gt;0),IF(MAX(0,Inputs!$B$43-B1385)&lt;=0,0,(INT(MAX(0,Inputs!$B$43-B1385)/IF(Inputs!$B$38="pvp",15,MAX(0.1,Skills!D6-IF(Skills!E6=TRUE,3.0,0))))+1)),0)</f>
        <v/>
      </c>
      <c r="S1355">
        <f>IFERROR(O1355/N1355,0)</f>
        <v/>
      </c>
      <c r="T1355">
        <f>IF(C1355,(H1355*N1355*IF(AND(Inputs!$B$38&lt;&gt;"pvp",Inputs!$B$43&gt;0),((Skills!G6*((R1355-1)*IF(Skills!H6&gt;0,Skills!I6/Skills!H6,1)+IF(Skills!H6&gt;0,MIN(Skills!I6,MAX(0,MAX(0,Inputs!$B$43-B1385)-((R1355-1)*IF(Inputs!$B$38="pvp",15,MAX(0.1,Skills!D6-IF(Skills!E6=TRUE,3.0,0))))))/Skills!H6,1)))/Inputs!$B$43),G1355*Q1355))*IF(Inputs!$B$38="pvp",1,1+(Inputs!$B$20+0+Skills!P6+Summary!$B$59)/100),0)</f>
        <v/>
      </c>
      <c r="V1355">
        <f>IF(C1355,(H1355*N1355*IF(AND(Inputs!$B$38&lt;&gt;"pvp",Inputs!$B$43&gt;0),((Skills!G6*((R1355-1)*IF(Skills!H6&gt;0,Skills!I6/Skills!H6,1)+IF(Skills!H6&gt;0,MIN(Skills!I6,MAX(0,MAX(0,Inputs!$B$43-B1385)-((R1355-1)*IF(Inputs!$B$38="pvp",15,MAX(0.1,Skills!D6-IF(Skills!E6=TRUE,3.0,0))))))/Skills!H6,1)))/Inputs!$B$43),G1355*Q1355))*IF(Inputs!$B$38="pvp",1,(1+(Inputs!$B$21+Skills!Q6+Summary!$B$59)/100)*(MIN(Skills!R6,Inputs!$B$37))),0)</f>
        <v/>
      </c>
    </row>
    <row r="1356">
      <c r="A1356">
        <f>Skills!A7</f>
        <v/>
      </c>
      <c r="B1356">
        <f>Skills!B7</f>
        <v/>
      </c>
      <c r="C1356">
        <f>Inputs!$B$3&gt;=107</f>
        <v/>
      </c>
      <c r="D1356">
        <f>IF(Skills!C7=1,60+Inputs!$B$25+Inputs!$B$29,IF(Skills!C7=2,90+Inputs!$B$26+Inputs!$B$29,IF(Skills!C7=3,120+Inputs!$B$27+Inputs!$B$29,MAX(0,(Inputs!$B$3-100)*3)+Inputs!$B$28+Inputs!$B$29)))</f>
        <v/>
      </c>
      <c r="E1356">
        <f>INDEX(FactorTable!$B$2:$Y$301, MATCH(ROUND(MIN(300,MAX(1,D1356)),0), FactorTable!$A$2:$A$301,0), Skills!M7+1)</f>
        <v/>
      </c>
      <c r="F1356">
        <f>IF(Skills!N7=TRUE,(Skills!L7/10)*(E1356/1000),Skills!L7/10)+Skills!O7</f>
        <v/>
      </c>
      <c r="G1356">
        <f>Skills!G7*IF(Skills!H7&gt;0,Skills!I7/Skills!H7,1)</f>
        <v/>
      </c>
      <c r="H1356">
        <f>1-(1-Skills!J7/100)^Skills!K7</f>
        <v/>
      </c>
      <c r="I1356" t="inlineStr">
        <is>
          <t>1</t>
        </is>
      </c>
      <c r="J1356">
        <f>((Inputs!$B$6*(1+Inputs!$B$7/100))+(((Inputs!$B$12*(1+Inputs!$B$13/100))-(Inputs!$B$12*(1+Inputs!$B$13/100)))+0.25*(Inputs!$B$14-Inputs!$B$14))*(1+Inputs!$B$7/100))*(F1356/100)</f>
        <v/>
      </c>
      <c r="K1356">
        <f>J1356*(1+((Inputs!$B$12*(1+Inputs!$B$13/100))*0.01+Inputs!$B$14*0.0025)/100)*(1+Inputs!$B$15/100)*(1+Inputs!$B$16/100)*(5000/(6000+Inputs!$B$42*(1-(Inputs!$B$19+0)/100)))*(1+(Inputs!$B$24+((C1374=TRUE)*(F1374-Calc!F25))+B1384)/100)*(1+IF(Skills!A7="ENHANCED_RAGING_BLOW",IF(Inputs!$B$3&gt;=134,MAX(0,IF(Inputs!$B$3&gt;=110,7,5)-5)*50,0),0)/100)*(1+(IF(Skills!A7="RAGING_BLOW",Inputs!$B$17+((C1370=TRUE)*(F1370-Calc!F21)),Inputs!$B$18+((C1372=TRUE)*(F1372-Calc!F23))))/100)*((1+(((C1362=TRUE)*F1362*IF(Inputs!$B$3&gt;=110,7,5))+((C1364=TRUE)*F1364*IF(AND(Inputs!$B$38&lt;&gt;"pvp",Inputs!$B$43&gt;0),(((R1364-1)*(Skills!T15*(1+Inputs!$B$34/100))+MIN((Skills!T15*(1+Inputs!$B$34/100)),MAX(0,Inputs!$B$43-((R1364-1)*Skills!D15))))/Inputs!$B$43),IF(Inputs!$B$38="pvp",MIN((Skills!T15*(1+Inputs!$B$34/100)),15)/15,(Skills!T15*(1+Inputs!$B$34/100))/Skills!D15)))+0)/100)*I1356)</f>
        <v/>
      </c>
      <c r="L1356">
        <f>K1356*(MIN(Inputs!$B$22+((C1371=TRUE)*(F1371-Calc!F22)),Inputs!$B$23+((C1373=TRUE)*(F1373-Calc!F24)))/100+(Inputs!$B$23+((C1373=TRUE)*(F1373-Calc!F24)))/100)/2</f>
        <v/>
      </c>
      <c r="M1356">
        <f>L1356*(1+(Inputs!$B$10+0+B1383)/100)</f>
        <v/>
      </c>
      <c r="N1356">
        <f>L1356*(1-MIN((Inputs!$B$9+((C1375=TRUE)*(F1375-Calc!F26))+B1378),100)/100)+M1356*(MIN((Inputs!$B$9+((C1375=TRUE)*(F1375-Calc!F26))+B1378),100)/100)</f>
        <v/>
      </c>
      <c r="O1356">
        <f>(1-Summary!$B$55)*T1356+Summary!$B$55*V1356</f>
        <v/>
      </c>
      <c r="P1356">
        <f>IF(B1388=0,0,O1356/B1388)</f>
        <v/>
      </c>
      <c r="Q1356">
        <f>IFERROR(1/IF(Inputs!$B$38="pvp",15,MAX(0.1,Skills!D7-IF(Skills!E7=TRUE,3.0,0))),0)</f>
        <v/>
      </c>
      <c r="R1356">
        <f>IF(AND(Inputs!$B$38&lt;&gt;"pvp",Inputs!$B$43&gt;0),IF(MAX(0,Inputs!$B$43-B1385)&lt;=0,0,(INT(MAX(0,Inputs!$B$43-B1385)/IF(Inputs!$B$38="pvp",15,MAX(0.1,Skills!D7-IF(Skills!E7=TRUE,3.0,0))))+1)),0)</f>
        <v/>
      </c>
      <c r="S1356">
        <f>IFERROR(O1356/N1356,0)</f>
        <v/>
      </c>
      <c r="T1356">
        <f>IF(C1356,(H1356*N1356*IF(AND(Inputs!$B$38&lt;&gt;"pvp",Inputs!$B$43&gt;0),((Skills!G7*((R1356-1)*IF(Skills!H7&gt;0,Skills!I7/Skills!H7,1)+IF(Skills!H7&gt;0,MIN(Skills!I7,MAX(0,MAX(0,Inputs!$B$43-B1385)-((R1356-1)*IF(Inputs!$B$38="pvp",15,MAX(0.1,Skills!D7-IF(Skills!E7=TRUE,3.0,0))))))/Skills!H7,1)))/Inputs!$B$43),G1356*Q1356))*IF(Inputs!$B$38="pvp",1,1+(Inputs!$B$20+0+Skills!P7+Summary!$B$59)/100),0)</f>
        <v/>
      </c>
      <c r="V1356">
        <f>IF(C1356,(H1356*N1356*IF(AND(Inputs!$B$38&lt;&gt;"pvp",Inputs!$B$43&gt;0),((Skills!G7*((R1356-1)*IF(Skills!H7&gt;0,Skills!I7/Skills!H7,1)+IF(Skills!H7&gt;0,MIN(Skills!I7,MAX(0,MAX(0,Inputs!$B$43-B1385)-((R1356-1)*IF(Inputs!$B$38="pvp",15,MAX(0.1,Skills!D7-IF(Skills!E7=TRUE,3.0,0))))))/Skills!H7,1)))/Inputs!$B$43),G1356*Q1356))*IF(Inputs!$B$38="pvp",1,(1+(Inputs!$B$21+Skills!Q7+Summary!$B$59)/100)*(MIN(Skills!R7,Inputs!$B$37))),0)</f>
        <v/>
      </c>
    </row>
    <row r="1357">
      <c r="A1357">
        <f>Skills!A8</f>
        <v/>
      </c>
      <c r="B1357">
        <f>Skills!B8</f>
        <v/>
      </c>
      <c r="C1357">
        <f>Inputs!$B$3&gt;=117</f>
        <v/>
      </c>
      <c r="D1357">
        <f>IF(Skills!C8=1,60+Inputs!$B$25+Inputs!$B$29,IF(Skills!C8=2,90+Inputs!$B$26+Inputs!$B$29,IF(Skills!C8=3,120+Inputs!$B$27+Inputs!$B$29,MAX(0,(Inputs!$B$3-100)*3)+Inputs!$B$28+Inputs!$B$29)))</f>
        <v/>
      </c>
      <c r="E1357">
        <f>INDEX(FactorTable!$B$2:$Y$301, MATCH(ROUND(MIN(300,MAX(1,D1357)),0), FactorTable!$A$2:$A$301,0), Skills!M8+1)</f>
        <v/>
      </c>
      <c r="F1357">
        <f>IF(Skills!N8=TRUE,(Skills!L8/10)*(E1357/1000),Skills!L8/10)+Skills!O8</f>
        <v/>
      </c>
      <c r="G1357">
        <f>Skills!G8*IF(Skills!H8&gt;0,Skills!I8/Skills!H8,1)</f>
        <v/>
      </c>
      <c r="H1357">
        <f>1-(1-Skills!J8/100)^Skills!K8</f>
        <v/>
      </c>
      <c r="I1357" t="inlineStr">
        <is>
          <t>1</t>
        </is>
      </c>
      <c r="J1357">
        <f>((Inputs!$B$6*(1+Inputs!$B$7/100))+(((Inputs!$B$12*(1+Inputs!$B$13/100))-(Inputs!$B$12*(1+Inputs!$B$13/100)))+0.25*(Inputs!$B$14-Inputs!$B$14))*(1+Inputs!$B$7/100))*(F1357/100)</f>
        <v/>
      </c>
      <c r="K1357">
        <f>J1357*(1+((Inputs!$B$12*(1+Inputs!$B$13/100))*0.01+Inputs!$B$14*0.0025)/100)*(1+Inputs!$B$15/100)*(1+Inputs!$B$16/100)*(5000/(6000+Inputs!$B$42*(1-(Inputs!$B$19+0)/100)))*(1+(Inputs!$B$24+((C1374=TRUE)*(F1374-Calc!F25))+B1384)/100)*(1+IF(Skills!A8="ENHANCED_RAGING_BLOW",IF(Inputs!$B$3&gt;=134,MAX(0,IF(Inputs!$B$3&gt;=110,7,5)-5)*50,0),0)/100)*(1+(IF(Skills!A8="RAGING_BLOW",Inputs!$B$17+((C1370=TRUE)*(F1370-Calc!F21)),Inputs!$B$18+((C1372=TRUE)*(F1372-Calc!F23))))/100)*((1+(((C1362=TRUE)*F1362*IF(Inputs!$B$3&gt;=110,7,5))+((C1364=TRUE)*F1364*IF(AND(Inputs!$B$38&lt;&gt;"pvp",Inputs!$B$43&gt;0),(((R1364-1)*(Skills!T15*(1+Inputs!$B$34/100))+MIN((Skills!T15*(1+Inputs!$B$34/100)),MAX(0,Inputs!$B$43-((R1364-1)*Skills!D15))))/Inputs!$B$43),IF(Inputs!$B$38="pvp",MIN((Skills!T15*(1+Inputs!$B$34/100)),15)/15,(Skills!T15*(1+Inputs!$B$34/100))/Skills!D15)))+0)/100)*I1357)</f>
        <v/>
      </c>
      <c r="L1357">
        <f>K1357*(MIN(Inputs!$B$22+((C1371=TRUE)*(F1371-Calc!F22)),Inputs!$B$23+((C1373=TRUE)*(F1373-Calc!F24)))/100+(Inputs!$B$23+((C1373=TRUE)*(F1373-Calc!F24)))/100)/2</f>
        <v/>
      </c>
      <c r="M1357">
        <f>L1357*(1+(Inputs!$B$10+0+B1383)/100)</f>
        <v/>
      </c>
      <c r="N1357">
        <f>L1357*(1-MIN((Inputs!$B$9+((C1375=TRUE)*(F1375-Calc!F26))+B1378),100)/100)+M1357*(MIN((Inputs!$B$9+((C1375=TRUE)*(F1375-Calc!F26))+B1378),100)/100)</f>
        <v/>
      </c>
      <c r="O1357">
        <f>(1-Summary!$B$55)*T1357+Summary!$B$55*V1357</f>
        <v/>
      </c>
      <c r="P1357">
        <f>IF(B1388=0,0,O1357/B1388)</f>
        <v/>
      </c>
      <c r="Q1357">
        <f>IFERROR(1/IF(Inputs!$B$38="pvp",15,MAX(0.1,Skills!D8-IF(Skills!E8=TRUE,3.0,0))),0)</f>
        <v/>
      </c>
      <c r="R1357">
        <f>IF(AND(Inputs!$B$38&lt;&gt;"pvp",Inputs!$B$43&gt;0),IF(MAX(0,Inputs!$B$43-B1385)&lt;=0,0,(INT(MAX(0,Inputs!$B$43-B1385)/IF(Inputs!$B$38="pvp",15,MAX(0.1,Skills!D8-IF(Skills!E8=TRUE,3.0,0))))+1)),0)</f>
        <v/>
      </c>
      <c r="S1357">
        <f>IFERROR(O1357/N1357,0)</f>
        <v/>
      </c>
      <c r="T1357">
        <f>IF(C1357,(H1357*N1357*IF(AND(Inputs!$B$38&lt;&gt;"pvp",Inputs!$B$43&gt;0),((Skills!G8*((R1357-1)*IF(Skills!H8&gt;0,Skills!I8/Skills!H8,1)+IF(Skills!H8&gt;0,MIN(Skills!I8,MAX(0,MAX(0,Inputs!$B$43-B1385)-((R1357-1)*IF(Inputs!$B$38="pvp",15,MAX(0.1,Skills!D8-IF(Skills!E8=TRUE,3.0,0))))))/Skills!H8,1)))/Inputs!$B$43),G1357*Q1357))*IF(Inputs!$B$38="pvp",1,1+(Inputs!$B$20+0+Skills!P8+Summary!$B$59)/100),0)</f>
        <v/>
      </c>
      <c r="V1357">
        <f>IF(C1357,(H1357*N1357*IF(AND(Inputs!$B$38&lt;&gt;"pvp",Inputs!$B$43&gt;0),((Skills!G8*((R1357-1)*IF(Skills!H8&gt;0,Skills!I8/Skills!H8,1)+IF(Skills!H8&gt;0,MIN(Skills!I8,MAX(0,MAX(0,Inputs!$B$43-B1385)-((R1357-1)*IF(Inputs!$B$38="pvp",15,MAX(0.1,Skills!D8-IF(Skills!E8=TRUE,3.0,0))))))/Skills!H8,1)))/Inputs!$B$43),G1357*Q1357))*IF(Inputs!$B$38="pvp",1,(1+(Inputs!$B$21+Skills!Q8+Summary!$B$59)/100)*(MIN(Skills!R8,Inputs!$B$37))),0)</f>
        <v/>
      </c>
    </row>
    <row r="1358">
      <c r="A1358">
        <f>Skills!A9</f>
        <v/>
      </c>
      <c r="B1358">
        <f>Skills!B9</f>
        <v/>
      </c>
      <c r="C1358">
        <f>Inputs!$B$3&gt;=69</f>
        <v/>
      </c>
      <c r="D1358">
        <f>IF(Skills!C9=1,60+Inputs!$B$25+Inputs!$B$29,IF(Skills!C9=2,90+Inputs!$B$26+Inputs!$B$29,IF(Skills!C9=3,120+Inputs!$B$27+Inputs!$B$29,MAX(0,(Inputs!$B$3-100)*3)+Inputs!$B$28+Inputs!$B$29)))</f>
        <v/>
      </c>
      <c r="E1358">
        <f>INDEX(FactorTable!$B$2:$Y$301, MATCH(ROUND(MIN(300,MAX(1,D1358)),0), FactorTable!$A$2:$A$301,0), Skills!M9+1)</f>
        <v/>
      </c>
      <c r="F1358">
        <f>IF(Skills!N9=TRUE,(Skills!L9/10)*(E1358/1000),Skills!L9/10)+Skills!O9</f>
        <v/>
      </c>
      <c r="G1358">
        <f>Skills!G9*IF(Skills!H9&gt;0,Skills!I9/Skills!H9,1)</f>
        <v/>
      </c>
      <c r="H1358">
        <f>1-(1-Skills!J9/100)^Skills!K9</f>
        <v/>
      </c>
      <c r="I1358" t="inlineStr">
        <is>
          <t>1</t>
        </is>
      </c>
      <c r="J1358">
        <f>((Inputs!$B$6*(1+Inputs!$B$7/100))+(((Inputs!$B$12*(1+Inputs!$B$13/100))-(Inputs!$B$12*(1+Inputs!$B$13/100)))+0.25*(Inputs!$B$14-Inputs!$B$14))*(1+Inputs!$B$7/100))*(F1358/100)</f>
        <v/>
      </c>
      <c r="K1358">
        <f>J1358*(1+((Inputs!$B$12*(1+Inputs!$B$13/100))*0.01+Inputs!$B$14*0.0025)/100)*(1+Inputs!$B$15/100)*(1+Inputs!$B$16/100)*(5000/(6000+Inputs!$B$42*(1-(Inputs!$B$19+0)/100)))*(1+(Inputs!$B$24+((C1374=TRUE)*(F1374-Calc!F25))+B1384)/100)*(1+1.0*IF(C1361=TRUE,F1361,0)/100)*(1+IF(Skills!A9="ENHANCED_RAGING_BLOW",IF(Inputs!$B$3&gt;=134,MAX(0,IF(Inputs!$B$3&gt;=110,7,5)-5)*50,0),0)/100)*(1+(IF(Skills!A9="RAGING_BLOW",Inputs!$B$17+((C1370=TRUE)*(F1370-Calc!F21)),Inputs!$B$18+((C1372=TRUE)*(F1372-Calc!F23))))/100)*((1+(((C1362=TRUE)*F1362*IF(Inputs!$B$3&gt;=110,7,5))+((C1364=TRUE)*F1364*IF(AND(Inputs!$B$38&lt;&gt;"pvp",Inputs!$B$43&gt;0),(((R1364-1)*(Skills!T15*(1+Inputs!$B$34/100))+MIN((Skills!T15*(1+Inputs!$B$34/100)),MAX(0,Inputs!$B$43-((R1364-1)*Skills!D15))))/Inputs!$B$43),IF(Inputs!$B$38="pvp",MIN((Skills!T15*(1+Inputs!$B$34/100)),15)/15,(Skills!T15*(1+Inputs!$B$34/100))/Skills!D15)))+0)/100)*I1358)</f>
        <v/>
      </c>
      <c r="L1358">
        <f>K1358*(MIN(Inputs!$B$22+((C1371=TRUE)*(F1371-Calc!F22)),Inputs!$B$23+((C1373=TRUE)*(F1373-Calc!F24)))/100+(Inputs!$B$23+((C1373=TRUE)*(F1373-Calc!F24)))/100)/2</f>
        <v/>
      </c>
      <c r="M1358">
        <f>L1358*(1+(Inputs!$B$10+0+B1383)/100)</f>
        <v/>
      </c>
      <c r="N1358">
        <f>L1358*(1-MIN((Inputs!$B$9+((C1375=TRUE)*(F1375-Calc!F26))+B1378),100)/100)+M1358*(MIN((Inputs!$B$9+((C1375=TRUE)*(F1375-Calc!F26))+B1378),100)/100)</f>
        <v/>
      </c>
      <c r="O1358">
        <f>(1-Summary!$B$55)*T1358+Summary!$B$55*V1358</f>
        <v/>
      </c>
      <c r="P1358">
        <f>IF(B1388=0,0,O1358/B1388)</f>
        <v/>
      </c>
      <c r="Q1358">
        <f>IFERROR(1/IF(Inputs!$B$38="pvp",15,MAX(0.1,Skills!D9-IF(Skills!E9=TRUE,3.0,0))),0)</f>
        <v/>
      </c>
      <c r="R1358">
        <f>IF(AND(Inputs!$B$38&lt;&gt;"pvp",Inputs!$B$43&gt;0),IF(MAX(0,Inputs!$B$43-B1385)&lt;=0,0,(INT(MAX(0,Inputs!$B$43-B1385)/IF(Inputs!$B$38="pvp",15,MAX(0.1,Skills!D9-IF(Skills!E9=TRUE,3.0,0))))+1)),0)</f>
        <v/>
      </c>
      <c r="S1358">
        <f>IFERROR(O1358/N1358,0)</f>
        <v/>
      </c>
      <c r="T1358">
        <f>IF(C1358,(H1358*N1358*IF(AND(Inputs!$B$38&lt;&gt;"pvp",Inputs!$B$43&gt;0),((Skills!G9*((R1358-1)*IF(Skills!H9&gt;0,Skills!I9/Skills!H9,1)+IF(Skills!H9&gt;0,MIN(Skills!I9,MAX(0,MAX(0,Inputs!$B$43-B1385)-((R1358-1)*IF(Inputs!$B$38="pvp",15,MAX(0.1,Skills!D9-IF(Skills!E9=TRUE,3.0,0))))))/Skills!H9,1)))/Inputs!$B$43),G1358*Q1358))*IF(Inputs!$B$38="pvp",1,1+(Inputs!$B$20+0+Skills!P9+Summary!$B$59)/100),0)</f>
        <v/>
      </c>
      <c r="V1358">
        <f>IF(C1358,(H1358*N1358*IF(AND(Inputs!$B$38&lt;&gt;"pvp",Inputs!$B$43&gt;0),((Skills!G9*((R1358-1)*IF(Skills!H9&gt;0,Skills!I9/Skills!H9,1)+IF(Skills!H9&gt;0,MIN(Skills!I9,MAX(0,MAX(0,Inputs!$B$43-B1385)-((R1358-1)*IF(Inputs!$B$38="pvp",15,MAX(0.1,Skills!D9-IF(Skills!E9=TRUE,3.0,0))))))/Skills!H9,1)))/Inputs!$B$43),G1358*Q1358))*IF(Inputs!$B$38="pvp",1,(1+(Inputs!$B$21+Skills!Q9+Summary!$B$59)/100)*(MIN(Skills!R9,Inputs!$B$37))),0)</f>
        <v/>
      </c>
    </row>
    <row r="1359">
      <c r="A1359">
        <f>Skills!A10</f>
        <v/>
      </c>
      <c r="B1359">
        <f>Skills!B10</f>
        <v/>
      </c>
      <c r="C1359">
        <f>Inputs!$B$3&gt;=63</f>
        <v/>
      </c>
      <c r="D1359">
        <f>IF(Skills!C10=1,60+Inputs!$B$25+Inputs!$B$29,IF(Skills!C10=2,90+Inputs!$B$26+Inputs!$B$29,IF(Skills!C10=3,120+Inputs!$B$27+Inputs!$B$29,MAX(0,(Inputs!$B$3-100)*3)+Inputs!$B$28+Inputs!$B$29)))</f>
        <v/>
      </c>
      <c r="E1359">
        <f>INDEX(FactorTable!$B$2:$Y$301, MATCH(ROUND(MIN(300,MAX(1,D1359)),0), FactorTable!$A$2:$A$301,0), Skills!M10+1)</f>
        <v/>
      </c>
      <c r="F1359">
        <f>IF(Skills!N10=TRUE,(Skills!L10/10)*(E1359/1000),Skills!L10/10)+Skills!O10</f>
        <v/>
      </c>
      <c r="G1359">
        <f>Skills!G10*IF(Skills!H10&gt;0,Skills!I10/Skills!H10,1)</f>
        <v/>
      </c>
      <c r="H1359">
        <f>1-(1-Skills!J10/100)^Skills!K10</f>
        <v/>
      </c>
      <c r="I1359" t="inlineStr">
        <is>
          <t>1</t>
        </is>
      </c>
      <c r="J1359">
        <f>((Inputs!$B$6*(1+Inputs!$B$7/100))+(((Inputs!$B$12*(1+Inputs!$B$13/100))-(Inputs!$B$12*(1+Inputs!$B$13/100)))+0.25*(Inputs!$B$14-Inputs!$B$14))*(1+Inputs!$B$7/100))*(F1359/100)</f>
        <v/>
      </c>
      <c r="K1359">
        <f>J1359*(1+((Inputs!$B$12*(1+Inputs!$B$13/100))*0.01+Inputs!$B$14*0.0025)/100)*(1+Inputs!$B$15/100)*(1+Inputs!$B$16/100)*(5000/(6000+Inputs!$B$42*(1-(Inputs!$B$19+0)/100)))*(1+(Inputs!$B$24+((C1374=TRUE)*(F1374-Calc!F25))+B1384)/100)*(1+1.5*IF(C1361=TRUE,F1361,0)/100)*(1+IF(Skills!A10="ENHANCED_RAGING_BLOW",IF(Inputs!$B$3&gt;=134,MAX(0,IF(Inputs!$B$3&gt;=110,7,5)-5)*50,0),0)/100)*(1+(IF(Skills!A10="RAGING_BLOW",Inputs!$B$17+((C1370=TRUE)*(F1370-Calc!F21)),Inputs!$B$18+((C1372=TRUE)*(F1372-Calc!F23))))/100)*((1+(((C1362=TRUE)*F1362*IF(Inputs!$B$3&gt;=110,7,5))+((C1364=TRUE)*F1364*IF(AND(Inputs!$B$38&lt;&gt;"pvp",Inputs!$B$43&gt;0),(((R1364-1)*(Skills!T15*(1+Inputs!$B$34/100))+MIN((Skills!T15*(1+Inputs!$B$34/100)),MAX(0,Inputs!$B$43-((R1364-1)*Skills!D15))))/Inputs!$B$43),IF(Inputs!$B$38="pvp",MIN((Skills!T15*(1+Inputs!$B$34/100)),15)/15,(Skills!T15*(1+Inputs!$B$34/100))/Skills!D15)))+0)/100)*I1359)</f>
        <v/>
      </c>
      <c r="L1359">
        <f>K1359*(MIN(Inputs!$B$22+((C1371=TRUE)*(F1371-Calc!F22)),Inputs!$B$23+((C1373=TRUE)*(F1373-Calc!F24)))/100+(Inputs!$B$23+((C1373=TRUE)*(F1373-Calc!F24)))/100)/2</f>
        <v/>
      </c>
      <c r="M1359">
        <f>L1359*(1+(Inputs!$B$10+0+B1383)/100)</f>
        <v/>
      </c>
      <c r="N1359">
        <f>L1359*(1-MIN((Inputs!$B$9+((C1375=TRUE)*(F1375-Calc!F26))+B1378),100)/100)+M1359*(MIN((Inputs!$B$9+((C1375=TRUE)*(F1375-Calc!F26))+B1378),100)/100)</f>
        <v/>
      </c>
      <c r="O1359">
        <f>(1-Summary!$B$55)*T1359+Summary!$B$55*V1359</f>
        <v/>
      </c>
      <c r="P1359">
        <f>IF(B1388=0,0,O1359/B1388)</f>
        <v/>
      </c>
      <c r="Q1359">
        <f>IFERROR(1/IF(Inputs!$B$38="pvp",15,MAX(0.1,Skills!D10-IF(Skills!E10=TRUE,3.0,0))),0)</f>
        <v/>
      </c>
      <c r="R1359">
        <f>IF(AND(Inputs!$B$38&lt;&gt;"pvp",Inputs!$B$43&gt;0),IF(MAX(0,Inputs!$B$43-B1385)&lt;=0,0,(INT(MAX(0,Inputs!$B$43-B1385)/IF(Inputs!$B$38="pvp",15,MAX(0.1,Skills!D10-IF(Skills!E10=TRUE,3.0,0))))+1)),0)</f>
        <v/>
      </c>
      <c r="S1359">
        <f>IFERROR(O1359/N1359,0)</f>
        <v/>
      </c>
      <c r="T1359">
        <f>IF(C1359,(H1359*N1359*IF(AND(Inputs!$B$38&lt;&gt;"pvp",Inputs!$B$43&gt;0),((Skills!G10*((R1359-1)*IF(Skills!H10&gt;0,Skills!I10/Skills!H10,1)+IF(Skills!H10&gt;0,MIN(Skills!I10,MAX(0,MAX(0,Inputs!$B$43-B1385)-((R1359-1)*IF(Inputs!$B$38="pvp",15,MAX(0.1,Skills!D10-IF(Skills!E10=TRUE,3.0,0))))))/Skills!H10,1)))/Inputs!$B$43),G1359*Q1359))*IF(Inputs!$B$38="pvp",1,1+(Inputs!$B$20+0+Skills!P10+Summary!$B$59)/100),0)</f>
        <v/>
      </c>
      <c r="V1359">
        <f>IF(C1359,(H1359*N1359*IF(AND(Inputs!$B$38&lt;&gt;"pvp",Inputs!$B$43&gt;0),((Skills!G10*((R1359-1)*IF(Skills!H10&gt;0,Skills!I10/Skills!H10,1)+IF(Skills!H10&gt;0,MIN(Skills!I10,MAX(0,MAX(0,Inputs!$B$43-B1385)-((R1359-1)*IF(Inputs!$B$38="pvp",15,MAX(0.1,Skills!D10-IF(Skills!E10=TRUE,3.0,0))))))/Skills!H10,1)))/Inputs!$B$43),G1359*Q1359))*IF(Inputs!$B$38="pvp",1,(1+(Inputs!$B$21+Skills!Q10+Summary!$B$59)/100)*(MIN(Skills!R10,Inputs!$B$37))),0)</f>
        <v/>
      </c>
    </row>
    <row r="1360">
      <c r="A1360">
        <f>Skills!A11</f>
        <v/>
      </c>
      <c r="B1360">
        <f>Skills!B11</f>
        <v/>
      </c>
      <c r="C1360">
        <f>Inputs!$B$3&gt;=35</f>
        <v/>
      </c>
      <c r="D1360">
        <f>IF(Skills!C11=1,60+Inputs!$B$25+Inputs!$B$29,IF(Skills!C11=2,90+Inputs!$B$26+Inputs!$B$29,IF(Skills!C11=3,120+Inputs!$B$27+Inputs!$B$29,MAX(0,(Inputs!$B$3-100)*3)+Inputs!$B$28+Inputs!$B$29)))</f>
        <v/>
      </c>
      <c r="E1360">
        <f>INDEX(FactorTable!$B$2:$Y$301, MATCH(ROUND(MIN(300,MAX(1,D1360)),0), FactorTable!$A$2:$A$301,0), Skills!M11+1)</f>
        <v/>
      </c>
      <c r="F1360">
        <f>IF(Skills!N11=TRUE,(Skills!L11/10)*(E1360/1000),Skills!L11/10)+Skills!O11</f>
        <v/>
      </c>
      <c r="G1360">
        <f>Skills!G11*IF(Skills!H11&gt;0,Skills!I11/Skills!H11,1)</f>
        <v/>
      </c>
      <c r="H1360">
        <f>1-(1-Skills!J11/100)^Skills!K11</f>
        <v/>
      </c>
      <c r="I1360" t="inlineStr">
        <is>
          <t>1</t>
        </is>
      </c>
      <c r="J1360">
        <f>((Inputs!$B$6*(1+Inputs!$B$7/100))+(((Inputs!$B$12*(1+Inputs!$B$13/100))-(Inputs!$B$12*(1+Inputs!$B$13/100)))+0.25*(Inputs!$B$14-Inputs!$B$14))*(1+Inputs!$B$7/100))*(F1360/100)</f>
        <v/>
      </c>
      <c r="K1360">
        <f>J1360*(1+((Inputs!$B$12*(1+Inputs!$B$13/100))*0.01+Inputs!$B$14*0.0025)/100)*(1+Inputs!$B$15/100)*(1+Inputs!$B$16/100)*(5000/(6000+Inputs!$B$42*(1-(Inputs!$B$19+0)/100)))*(1+(Inputs!$B$24+((C1374=TRUE)*(F1374-Calc!F25))+B1384)/100)*(1+4.0*IF(C1361=TRUE,F1361,0)/100)*(1+IF(Skills!A11="ENHANCED_RAGING_BLOW",IF(Inputs!$B$3&gt;=134,MAX(0,IF(Inputs!$B$3&gt;=110,7,5)-5)*50,0),0)/100)*(1+(IF(Skills!A11="RAGING_BLOW",Inputs!$B$17+((C1370=TRUE)*(F1370-Calc!F21)),Inputs!$B$18+((C1372=TRUE)*(F1372-Calc!F23))))/100)*((1+(((C1362=TRUE)*F1362*IF(Inputs!$B$3&gt;=110,7,5))+((C1364=TRUE)*F1364*IF(AND(Inputs!$B$38&lt;&gt;"pvp",Inputs!$B$43&gt;0),(((R1364-1)*(Skills!T15*(1+Inputs!$B$34/100))+MIN((Skills!T15*(1+Inputs!$B$34/100)),MAX(0,Inputs!$B$43-((R1364-1)*Skills!D15))))/Inputs!$B$43),IF(Inputs!$B$38="pvp",MIN((Skills!T15*(1+Inputs!$B$34/100)),15)/15,(Skills!T15*(1+Inputs!$B$34/100))/Skills!D15)))+0)/100)*I1360)</f>
        <v/>
      </c>
      <c r="L1360">
        <f>K1360*(MIN(Inputs!$B$22+((C1371=TRUE)*(F1371-Calc!F22)),Inputs!$B$23+((C1373=TRUE)*(F1373-Calc!F24)))/100+(Inputs!$B$23+((C1373=TRUE)*(F1373-Calc!F24)))/100)/2</f>
        <v/>
      </c>
      <c r="M1360">
        <f>L1360*(1+(Inputs!$B$10+0+B1383)/100)</f>
        <v/>
      </c>
      <c r="N1360">
        <f>L1360*(1-MIN((Inputs!$B$9+((C1375=TRUE)*(F1375-Calc!F26))+B1378),100)/100)+M1360*(MIN((Inputs!$B$9+((C1375=TRUE)*(F1375-Calc!F26))+B1378),100)/100)</f>
        <v/>
      </c>
      <c r="O1360">
        <f>(1-Summary!$B$55)*T1360+Summary!$B$55*V1360</f>
        <v/>
      </c>
      <c r="P1360">
        <f>IF(B1388=0,0,O1360/B1388)</f>
        <v/>
      </c>
      <c r="Q1360">
        <f>IFERROR(1/IF(Inputs!$B$38="pvp",15,MAX(0.1,Skills!D11-IF(Skills!E11=TRUE,3.0,0))),0)</f>
        <v/>
      </c>
      <c r="R1360">
        <f>IF(AND(Inputs!$B$38&lt;&gt;"pvp",Inputs!$B$43&gt;0),IF(MAX(0,Inputs!$B$43-B1385)&lt;=0,0,(INT(MAX(0,Inputs!$B$43-B1385)/IF(Inputs!$B$38="pvp",15,MAX(0.1,Skills!D11-IF(Skills!E11=TRUE,3.0,0))))+1)),0)</f>
        <v/>
      </c>
      <c r="S1360">
        <f>IFERROR(O1360/N1360,0)</f>
        <v/>
      </c>
      <c r="T1360">
        <f>IF(C1360,(H1360*N1360*IF(AND(Inputs!$B$38&lt;&gt;"pvp",Inputs!$B$43&gt;0),((Skills!G11*((R1360-1)*IF(Skills!H11&gt;0,Skills!I11/Skills!H11,1)+IF(Skills!H11&gt;0,MIN(Skills!I11,MAX(0,MAX(0,Inputs!$B$43-B1385)-((R1360-1)*IF(Inputs!$B$38="pvp",15,MAX(0.1,Skills!D11-IF(Skills!E11=TRUE,3.0,0))))))/Skills!H11,1)))/Inputs!$B$43),G1360*Q1360))*IF(Inputs!$B$38="pvp",1,1+(Inputs!$B$20+0+Skills!P11+Summary!$B$59)/100),0)</f>
        <v/>
      </c>
      <c r="V1360">
        <f>IF(C1360,(H1360*N1360*IF(AND(Inputs!$B$38&lt;&gt;"pvp",Inputs!$B$43&gt;0),((Skills!G11*((R1360-1)*IF(Skills!H11&gt;0,Skills!I11/Skills!H11,1)+IF(Skills!H11&gt;0,MIN(Skills!I11,MAX(0,MAX(0,Inputs!$B$43-B1385)-((R1360-1)*IF(Inputs!$B$38="pvp",15,MAX(0.1,Skills!D11-IF(Skills!E11=TRUE,3.0,0))))))/Skills!H11,1)))/Inputs!$B$43),G1360*Q1360))*IF(Inputs!$B$38="pvp",1,(1+(Inputs!$B$21+Skills!Q11+Summary!$B$59)/100)*(MIN(Skills!R11,Inputs!$B$37))),0)</f>
        <v/>
      </c>
    </row>
    <row r="1361">
      <c r="A1361">
        <f>Skills!A12</f>
        <v/>
      </c>
      <c r="B1361">
        <f>Skills!B12</f>
        <v/>
      </c>
      <c r="C1361">
        <f>Inputs!$B$3&gt;=100</f>
        <v/>
      </c>
      <c r="D1361">
        <f>IF(Skills!C12=1,60+Inputs!$B$25+Inputs!$B$29,IF(Skills!C12=2,90+Inputs!$B$26+Inputs!$B$29,IF(Skills!C12=3,120+Inputs!$B$27+Inputs!$B$29,MAX(0,(Inputs!$B$3-100)*3)+Inputs!$B$28+Inputs!$B$29)))</f>
        <v/>
      </c>
      <c r="E1361">
        <f>INDEX(FactorTable!$B$2:$Y$301, MATCH(ROUND(MIN(300,MAX(1,D1361)),0), FactorTable!$A$2:$A$301,0), Skills!M12+1)</f>
        <v/>
      </c>
      <c r="F1361">
        <f>IF(Skills!N12=TRUE,(Skills!L12/10)*(E1361/1000),Skills!L12/10)+Skills!O12</f>
        <v/>
      </c>
      <c r="G1361" t="inlineStr"/>
      <c r="H1361" t="inlineStr"/>
      <c r="I1361" t="inlineStr">
        <is>
          <t>1</t>
        </is>
      </c>
      <c r="J1361" t="inlineStr"/>
      <c r="K1361" t="inlineStr"/>
      <c r="L1361" t="inlineStr"/>
      <c r="M1361" t="inlineStr"/>
      <c r="N1361" t="inlineStr"/>
      <c r="O1361" t="inlineStr"/>
      <c r="P1361" t="inlineStr"/>
      <c r="Q1361" t="inlineStr"/>
      <c r="R1361" t="inlineStr"/>
      <c r="S1361" t="inlineStr"/>
    </row>
    <row r="1362">
      <c r="A1362">
        <f>Skills!A13</f>
        <v/>
      </c>
      <c r="B1362">
        <f>Skills!B13</f>
        <v/>
      </c>
      <c r="C1362">
        <f>Inputs!$B$3&gt;=45</f>
        <v/>
      </c>
      <c r="D1362">
        <f>IF(Skills!C13=1,60+Inputs!$B$25+Inputs!$B$29,IF(Skills!C13=2,90+Inputs!$B$26+Inputs!$B$29,IF(Skills!C13=3,120+Inputs!$B$27+Inputs!$B$29,MAX(0,(Inputs!$B$3-100)*3)+Inputs!$B$28+Inputs!$B$29)))</f>
        <v/>
      </c>
      <c r="E1362">
        <f>INDEX(FactorTable!$B$2:$Y$301, MATCH(ROUND(MIN(300,MAX(1,D1362)),0), FactorTable!$A$2:$A$301,0), Skills!M13+1)</f>
        <v/>
      </c>
      <c r="F1362">
        <f>IF(Skills!N13=TRUE,(Skills!L13/10)*(E1362/1000),Skills!L13/10)+Skills!O13</f>
        <v/>
      </c>
      <c r="G1362">
        <f>Skills!G13*IF(Skills!H13&gt;0,Skills!I13/Skills!H13,1)</f>
        <v/>
      </c>
      <c r="H1362">
        <f>1-(1-Skills!J13/100)^Skills!K13</f>
        <v/>
      </c>
      <c r="I1362" t="inlineStr">
        <is>
          <t>1</t>
        </is>
      </c>
      <c r="J1362" t="inlineStr"/>
      <c r="K1362" t="inlineStr"/>
      <c r="L1362" t="inlineStr"/>
      <c r="M1362" t="inlineStr"/>
      <c r="N1362" t="inlineStr"/>
      <c r="O1362">
        <f>(1-Summary!$B$55)*T1362+Summary!$B$55*V1362</f>
        <v/>
      </c>
      <c r="P1362">
        <f>IF(B1388=0,0,O1362/B1388)</f>
        <v/>
      </c>
      <c r="Q1362" t="n">
        <v>0</v>
      </c>
      <c r="R1362" t="n">
        <v>0</v>
      </c>
      <c r="S1362">
        <f>IFERROR(O1362/N1362,0)</f>
        <v/>
      </c>
      <c r="T1362" t="n">
        <v>0</v>
      </c>
      <c r="V1362" t="n">
        <v>0</v>
      </c>
    </row>
    <row r="1363">
      <c r="A1363">
        <f>Skills!A14</f>
        <v/>
      </c>
      <c r="B1363">
        <f>Skills!B14</f>
        <v/>
      </c>
      <c r="C1363">
        <f>Inputs!$B$3&gt;=75</f>
        <v/>
      </c>
      <c r="D1363">
        <f>IF(Skills!C14=1,60+Inputs!$B$25+Inputs!$B$29,IF(Skills!C14=2,90+Inputs!$B$26+Inputs!$B$29,IF(Skills!C14=3,120+Inputs!$B$27+Inputs!$B$29,MAX(0,(Inputs!$B$3-100)*3)+Inputs!$B$28+Inputs!$B$29)))</f>
        <v/>
      </c>
      <c r="E1363">
        <f>INDEX(FactorTable!$B$2:$Y$301, MATCH(ROUND(MIN(300,MAX(1,D1363)),0), FactorTable!$A$2:$A$301,0), Skills!M14+1)</f>
        <v/>
      </c>
      <c r="F1363">
        <f>IF(Skills!N14=TRUE,(Skills!L14/10)*(E1363/1000),Skills!L14/10)+Skills!O14</f>
        <v/>
      </c>
      <c r="G1363">
        <f>Skills!G14*IF(Skills!H14&gt;0,Skills!I14/Skills!H14,1)</f>
        <v/>
      </c>
      <c r="H1363">
        <f>1-(1-Skills!J14/100)^Skills!K14</f>
        <v/>
      </c>
      <c r="I1363" t="inlineStr">
        <is>
          <t>1</t>
        </is>
      </c>
      <c r="J1363" t="inlineStr"/>
      <c r="K1363" t="inlineStr"/>
      <c r="L1363" t="inlineStr"/>
      <c r="M1363" t="inlineStr"/>
      <c r="N1363" t="inlineStr"/>
      <c r="O1363">
        <f>(1-Summary!$B$55)*T1363+Summary!$B$55*V1363</f>
        <v/>
      </c>
      <c r="P1363">
        <f>IF(B1388=0,0,O1363/B1388)</f>
        <v/>
      </c>
      <c r="Q1363" t="n">
        <v>0</v>
      </c>
      <c r="R1363" t="n">
        <v>0</v>
      </c>
      <c r="S1363">
        <f>IFERROR(O1363/N1363,0)</f>
        <v/>
      </c>
      <c r="T1363" t="n">
        <v>0</v>
      </c>
      <c r="V1363" t="n">
        <v>0</v>
      </c>
    </row>
    <row r="1364">
      <c r="A1364">
        <f>Skills!A15</f>
        <v/>
      </c>
      <c r="B1364">
        <f>Skills!B15</f>
        <v/>
      </c>
      <c r="C1364">
        <f>Inputs!$B$3&gt;=40</f>
        <v/>
      </c>
      <c r="D1364">
        <f>IF(Skills!C15=1,60+Inputs!$B$25+Inputs!$B$29,IF(Skills!C15=2,90+Inputs!$B$26+Inputs!$B$29,IF(Skills!C15=3,120+Inputs!$B$27+Inputs!$B$29,MAX(0,(Inputs!$B$3-100)*3)+Inputs!$B$28+Inputs!$B$29)))</f>
        <v/>
      </c>
      <c r="E1364">
        <f>INDEX(FactorTable!$B$2:$Y$301, MATCH(ROUND(MIN(300,MAX(1,D1364)),0), FactorTable!$A$2:$A$301,0), Skills!M15+1)</f>
        <v/>
      </c>
      <c r="F1364">
        <f>IF(Skills!N15=TRUE,(Skills!L15/10)*(E1364/1000),Skills!L15/10)+Skills!O15</f>
        <v/>
      </c>
      <c r="G1364">
        <f>Skills!G15*IF(Skills!H15&gt;0,Skills!I15/Skills!H15,1)</f>
        <v/>
      </c>
      <c r="H1364">
        <f>1-(1-Skills!J15/100)^Skills!K15</f>
        <v/>
      </c>
      <c r="I1364" t="inlineStr">
        <is>
          <t>1</t>
        </is>
      </c>
      <c r="J1364" t="inlineStr"/>
      <c r="K1364" t="inlineStr"/>
      <c r="L1364" t="inlineStr"/>
      <c r="M1364" t="inlineStr"/>
      <c r="N1364" t="inlineStr"/>
      <c r="O1364">
        <f>(1-Summary!$B$55)*T1364+Summary!$B$55*V1364</f>
        <v/>
      </c>
      <c r="P1364">
        <f>IF(B1388=0,0,O1364/B1388)</f>
        <v/>
      </c>
      <c r="Q1364">
        <f>IFERROR(1/IF(Inputs!$B$38="pvp",15,MAX(0.1,Skills!D15-IF(Skills!E15=TRUE,3.0,0))),0)</f>
        <v/>
      </c>
      <c r="R1364">
        <f>IF(AND(Inputs!$B$38&lt;&gt;"pvp",Inputs!$B$43&gt;0),IF(Inputs!$B$43&lt;=0,0,(INT(Inputs!$B$43/IF(Inputs!$B$38="pvp",15,MAX(0.1,Skills!D15-IF(Skills!E15=TRUE,3.0,0))))+1)),0)</f>
        <v/>
      </c>
      <c r="S1364">
        <f>IFERROR(O1364/N1364,0)</f>
        <v/>
      </c>
      <c r="T1364" t="n">
        <v>0</v>
      </c>
      <c r="V1364" t="n">
        <v>0</v>
      </c>
    </row>
    <row r="1365">
      <c r="A1365">
        <f>Skills!A16</f>
        <v/>
      </c>
      <c r="B1365">
        <f>Skills!B16</f>
        <v/>
      </c>
      <c r="C1365">
        <f>Inputs!$B$3&gt;=66</f>
        <v/>
      </c>
      <c r="D1365">
        <f>IF(Skills!C16=1,60+Inputs!$B$25+Inputs!$B$29,IF(Skills!C16=2,90+Inputs!$B$26+Inputs!$B$29,IF(Skills!C16=3,120+Inputs!$B$27+Inputs!$B$29,MAX(0,(Inputs!$B$3-100)*3)+Inputs!$B$28+Inputs!$B$29)))</f>
        <v/>
      </c>
      <c r="E1365">
        <f>INDEX(FactorTable!$B$2:$Y$301, MATCH(ROUND(MIN(300,MAX(1,D1365)),0), FactorTable!$A$2:$A$301,0), Skills!M16+1)</f>
        <v/>
      </c>
      <c r="F1365">
        <f>IF(Skills!N16=TRUE,(Skills!L16/10)*(E1365/1000),Skills!L16/10)+Skills!O16</f>
        <v/>
      </c>
      <c r="G1365">
        <f>Skills!G16*IF(Skills!H16&gt;0,Skills!I16/Skills!H16,1)</f>
        <v/>
      </c>
      <c r="H1365">
        <f>1-(1-Skills!J16/100)^Skills!K16</f>
        <v/>
      </c>
      <c r="I1365" t="inlineStr">
        <is>
          <t>1</t>
        </is>
      </c>
      <c r="J1365" t="inlineStr"/>
      <c r="K1365" t="inlineStr"/>
      <c r="L1365" t="inlineStr"/>
      <c r="M1365" t="inlineStr"/>
      <c r="N1365" t="inlineStr"/>
      <c r="O1365">
        <f>(1-Summary!$B$55)*T1365+Summary!$B$55*V1365</f>
        <v/>
      </c>
      <c r="P1365">
        <f>IF(B1388=0,0,O1365/B1388)</f>
        <v/>
      </c>
      <c r="Q1365">
        <f>IFERROR(1/IF(Inputs!$B$38="pvp",15,MAX(0.1,Skills!D16-IF(Skills!E16=TRUE,3.0,0))),0)</f>
        <v/>
      </c>
      <c r="R1365">
        <f>IF(AND(Inputs!$B$38&lt;&gt;"pvp",Inputs!$B$43&gt;0),IF(Inputs!$B$43&lt;=0,0,(INT(Inputs!$B$43/IF(Inputs!$B$38="pvp",15,MAX(0.1,Skills!D16-IF(Skills!E16=TRUE,3.0,0))))+1)),0)</f>
        <v/>
      </c>
      <c r="S1365">
        <f>IFERROR(O1365/N1365,0)</f>
        <v/>
      </c>
      <c r="T1365" t="n">
        <v>0</v>
      </c>
      <c r="V1365" t="n">
        <v>0</v>
      </c>
    </row>
    <row r="1366">
      <c r="A1366">
        <f>Skills!A17</f>
        <v/>
      </c>
      <c r="B1366">
        <f>Skills!B17</f>
        <v/>
      </c>
      <c r="C1366">
        <f>Inputs!$B$3&gt;=115</f>
        <v/>
      </c>
      <c r="D1366">
        <f>IF(Skills!C17=1,60+Inputs!$B$25+Inputs!$B$29,IF(Skills!C17=2,90+Inputs!$B$26+Inputs!$B$29,IF(Skills!C17=3,120+Inputs!$B$27+Inputs!$B$29,MAX(0,(Inputs!$B$3-100)*3)+Inputs!$B$28+Inputs!$B$29)))</f>
        <v/>
      </c>
      <c r="E1366">
        <f>INDEX(FactorTable!$B$2:$Y$301, MATCH(ROUND(MIN(300,MAX(1,D1366)),0), FactorTable!$A$2:$A$301,0), Skills!M17+1)</f>
        <v/>
      </c>
      <c r="F1366">
        <f>IF(Skills!N17=TRUE,(Skills!L17/10)*(E1366/1000),Skills!L17/10)+Skills!O17</f>
        <v/>
      </c>
      <c r="G1366">
        <f>Skills!G17*IF(Skills!H17&gt;0,Skills!I17/Skills!H17,1)</f>
        <v/>
      </c>
      <c r="H1366">
        <f>1-(1-Skills!J17/100)^Skills!K17</f>
        <v/>
      </c>
      <c r="I1366" t="inlineStr">
        <is>
          <t>1</t>
        </is>
      </c>
      <c r="J1366" t="inlineStr"/>
      <c r="K1366" t="inlineStr"/>
      <c r="L1366" t="inlineStr"/>
      <c r="M1366" t="inlineStr"/>
      <c r="N1366" t="inlineStr"/>
      <c r="O1366">
        <f>(1-Summary!$B$55)*T1366+Summary!$B$55*V1366</f>
        <v/>
      </c>
      <c r="P1366">
        <f>IF(B1388=0,0,O1366/B1388)</f>
        <v/>
      </c>
      <c r="Q1366">
        <f>IFERROR(1/IF(Inputs!$B$38="pvp",15,MAX(0.1,Skills!D17-IF(Skills!E17=TRUE,3.0,0))),0)</f>
        <v/>
      </c>
      <c r="R1366">
        <f>IF(AND(Inputs!$B$38&lt;&gt;"pvp",Inputs!$B$43&gt;0),IF(Inputs!$B$43&lt;=0,0,(INT(Inputs!$B$43/IF(Inputs!$B$38="pvp",15,MAX(0.1,Skills!D17-IF(Skills!E17=TRUE,3.0,0))))+1)),0)</f>
        <v/>
      </c>
      <c r="S1366">
        <f>IFERROR(O1366/N1366,0)</f>
        <v/>
      </c>
      <c r="T1366" t="n">
        <v>0</v>
      </c>
      <c r="V1366" t="n">
        <v>0</v>
      </c>
    </row>
    <row r="1367">
      <c r="A1367">
        <f>Skills!A18</f>
        <v/>
      </c>
      <c r="B1367">
        <f>Skills!B18</f>
        <v/>
      </c>
      <c r="C1367">
        <f>Inputs!$B$3&gt;=115</f>
        <v/>
      </c>
      <c r="D1367">
        <f>IF(Skills!C18=1,60+Inputs!$B$25+Inputs!$B$29,IF(Skills!C18=2,90+Inputs!$B$26+Inputs!$B$29,IF(Skills!C18=3,120+Inputs!$B$27+Inputs!$B$29,MAX(0,(Inputs!$B$3-100)*3)+Inputs!$B$28+Inputs!$B$29)))</f>
        <v/>
      </c>
      <c r="E1367">
        <f>INDEX(FactorTable!$B$2:$Y$301, MATCH(ROUND(MIN(300,MAX(1,D1367)),0), FactorTable!$A$2:$A$301,0), Skills!M18+1)</f>
        <v/>
      </c>
      <c r="F1367">
        <f>IF(Skills!N18=TRUE,(Skills!L18/10)*(E1367/1000),Skills!L18/10)+Skills!O18</f>
        <v/>
      </c>
      <c r="G1367">
        <f>Skills!G18*IF(Skills!H18&gt;0,Skills!I18/Skills!H18,1)</f>
        <v/>
      </c>
      <c r="H1367">
        <f>1-(1-Skills!J18/100)^Skills!K18</f>
        <v/>
      </c>
      <c r="I1367" t="inlineStr">
        <is>
          <t>1</t>
        </is>
      </c>
      <c r="J1367" t="inlineStr"/>
      <c r="K1367" t="inlineStr"/>
      <c r="L1367" t="inlineStr"/>
      <c r="M1367" t="inlineStr"/>
      <c r="N1367" t="inlineStr"/>
      <c r="O1367">
        <f>(1-Summary!$B$55)*T1367+Summary!$B$55*V1367</f>
        <v/>
      </c>
      <c r="P1367">
        <f>IF(B1388=0,0,O1367/B1388)</f>
        <v/>
      </c>
      <c r="Q1367">
        <f>IFERROR(1/IF(Inputs!$B$38="pvp",15,MAX(0.1,Skills!D18-IF(Skills!E18=TRUE,3.0,0))),0)</f>
        <v/>
      </c>
      <c r="R1367">
        <f>IF(AND(Inputs!$B$38&lt;&gt;"pvp",Inputs!$B$43&gt;0),IF(Inputs!$B$43&lt;=0,0,(INT(Inputs!$B$43/IF(Inputs!$B$38="pvp",15,MAX(0.1,Skills!D18-IF(Skills!E18=TRUE,3.0,0))))+1)),0)</f>
        <v/>
      </c>
      <c r="S1367">
        <f>IFERROR(O1367/N1367,0)</f>
        <v/>
      </c>
      <c r="T1367" t="n">
        <v>0</v>
      </c>
      <c r="V1367" t="n">
        <v>0</v>
      </c>
    </row>
    <row r="1368">
      <c r="A1368">
        <f>Skills!A19</f>
        <v/>
      </c>
      <c r="B1368">
        <f>Skills!B19</f>
        <v/>
      </c>
      <c r="C1368">
        <f>TRUE</f>
        <v/>
      </c>
      <c r="D1368">
        <f>IF(Skills!C19=1,60+Inputs!$B$25+Inputs!$B$29,IF(Skills!C19=2,90+Inputs!$B$26+Inputs!$B$29,IF(Skills!C19=3,120+Inputs!$B$27+Inputs!$B$29,MAX(0,(Inputs!$B$3-100)*3)+Inputs!$B$28+Inputs!$B$29)))</f>
        <v/>
      </c>
      <c r="E1368">
        <f>INDEX(FactorTable!$B$2:$Y$301, MATCH(ROUND(MIN(300,MAX(1,D1368)),0), FactorTable!$A$2:$A$301,0), Skills!M19+1)</f>
        <v/>
      </c>
      <c r="F1368">
        <f>IF(Skills!N19=TRUE,(Skills!L19/10)*(E1368/1000),Skills!L19/10)+Skills!O19</f>
        <v/>
      </c>
      <c r="G1368">
        <f>Skills!G19*IF(Skills!H19&gt;0,Skills!I19/Skills!H19,1)</f>
        <v/>
      </c>
      <c r="H1368">
        <f>1-(1-Skills!J19/100)^Skills!K19</f>
        <v/>
      </c>
      <c r="I1368" t="inlineStr">
        <is>
          <t>1</t>
        </is>
      </c>
      <c r="J1368" t="inlineStr"/>
      <c r="K1368" t="inlineStr"/>
      <c r="L1368" t="inlineStr"/>
      <c r="M1368" t="inlineStr"/>
      <c r="N1368" t="inlineStr"/>
      <c r="O1368">
        <f>(1-Summary!$B$55)*T1368+Summary!$B$55*V1368</f>
        <v/>
      </c>
      <c r="P1368">
        <f>IF(B1388=0,0,O1368/B1388)</f>
        <v/>
      </c>
      <c r="Q1368">
        <f>IFERROR(1/IF(Inputs!$B$38="pvp",15,MAX(0.1,Skills!D19-IF(Skills!E19=TRUE,3.0,0))),0)</f>
        <v/>
      </c>
      <c r="R1368">
        <f>IF(AND(Inputs!$B$38&lt;&gt;"pvp",Inputs!$B$43&gt;0),IF(Inputs!$B$43&lt;=0,0,(INT(Inputs!$B$43/IF(Inputs!$B$38="pvp",15,MAX(0.1,Skills!D19-IF(Skills!E19=TRUE,3.0,0))))+1)),0)</f>
        <v/>
      </c>
      <c r="S1368">
        <f>IFERROR(O1368/N1368,0)</f>
        <v/>
      </c>
      <c r="T1368" t="n">
        <v>0</v>
      </c>
      <c r="V1368" t="n">
        <v>0</v>
      </c>
    </row>
    <row r="1369">
      <c r="A1369">
        <f>Skills!A20</f>
        <v/>
      </c>
      <c r="B1369">
        <f>Skills!B20</f>
        <v/>
      </c>
      <c r="C1369">
        <f>Inputs!$B$3&gt;=33</f>
        <v/>
      </c>
      <c r="D1369">
        <f>IF(Skills!C20=1,60+Inputs!$B$25+Inputs!$B$29,IF(Skills!C20=2,90+Inputs!$B$26+Inputs!$B$29,IF(Skills!C20=3,120+Inputs!$B$27+Inputs!$B$29,MAX(0,(Inputs!$B$3-100)*3)+Inputs!$B$28+Inputs!$B$29)))</f>
        <v/>
      </c>
      <c r="E1369">
        <f>INDEX(FactorTable!$B$2:$Y$301, MATCH(ROUND(MIN(300,MAX(1,D1369)),0), FactorTable!$A$2:$A$301,0), Skills!M20+1)</f>
        <v/>
      </c>
      <c r="F1369">
        <f>IF(Skills!N20=TRUE,(Skills!L20/10)*(E1369/1000),Skills!L20/10)+Skills!O20</f>
        <v/>
      </c>
      <c r="G1369">
        <f>Skills!G20*IF(Skills!H20&gt;0,Skills!I20/Skills!H20,1)</f>
        <v/>
      </c>
      <c r="H1369">
        <f>1-(1-Skills!J20/100)^Skills!K20</f>
        <v/>
      </c>
      <c r="I1369" t="inlineStr">
        <is>
          <t>1</t>
        </is>
      </c>
      <c r="J1369" t="inlineStr"/>
      <c r="K1369" t="inlineStr"/>
      <c r="L1369" t="inlineStr"/>
      <c r="M1369" t="inlineStr"/>
      <c r="N1369" t="inlineStr"/>
      <c r="O1369">
        <f>(1-Summary!$B$55)*T1369+Summary!$B$55*V1369</f>
        <v/>
      </c>
      <c r="P1369">
        <f>IF(B1388=0,0,O1369/B1388)</f>
        <v/>
      </c>
      <c r="Q1369" t="n">
        <v>0</v>
      </c>
      <c r="R1369" t="n">
        <v>0</v>
      </c>
      <c r="S1369">
        <f>IFERROR(O1369/N1369,0)</f>
        <v/>
      </c>
      <c r="T1369" t="n">
        <v>0</v>
      </c>
      <c r="V1369" t="n">
        <v>0</v>
      </c>
    </row>
    <row r="1370">
      <c r="A1370">
        <f>Skills!A21</f>
        <v/>
      </c>
      <c r="B1370">
        <f>Skills!B21</f>
        <v/>
      </c>
      <c r="C1370">
        <f>Inputs!$B$3&gt;=38</f>
        <v/>
      </c>
      <c r="D1370">
        <f>IF(Skills!C21=1,60+Inputs!$B$25+Inputs!$B$29,IF(Skills!C21=2,90+Inputs!$B$26+Inputs!$B$29,IF(Skills!C21=3,120+Inputs!$B$27+Inputs!$B$29,MAX(0,(Inputs!$B$3-100)*3)+Inputs!$B$28+Inputs!$B$29)))</f>
        <v/>
      </c>
      <c r="E1370">
        <f>INDEX(FactorTable!$B$2:$Y$301, MATCH(ROUND(MIN(300,MAX(1,D1370)),0), FactorTable!$A$2:$A$301,0), Skills!M21+1)</f>
        <v/>
      </c>
      <c r="F1370">
        <f>IF(Skills!N21=TRUE,(Skills!L21/10)*(E1370/1000),Skills!L21/10)+Skills!O21</f>
        <v/>
      </c>
      <c r="G1370">
        <f>Skills!G21*IF(Skills!H21&gt;0,Skills!I21/Skills!H21,1)</f>
        <v/>
      </c>
      <c r="H1370">
        <f>1-(1-Skills!J21/100)^Skills!K21</f>
        <v/>
      </c>
      <c r="I1370" t="inlineStr">
        <is>
          <t>1</t>
        </is>
      </c>
      <c r="J1370" t="inlineStr"/>
      <c r="K1370" t="inlineStr"/>
      <c r="L1370" t="inlineStr"/>
      <c r="M1370" t="inlineStr"/>
      <c r="N1370" t="inlineStr"/>
      <c r="O1370">
        <f>(1-Summary!$B$55)*T1370+Summary!$B$55*V1370</f>
        <v/>
      </c>
      <c r="P1370">
        <f>IF(B1388=0,0,O1370/B1388)</f>
        <v/>
      </c>
      <c r="Q1370" t="n">
        <v>0</v>
      </c>
      <c r="R1370" t="n">
        <v>0</v>
      </c>
      <c r="S1370">
        <f>IFERROR(O1370/N1370,0)</f>
        <v/>
      </c>
      <c r="T1370" t="n">
        <v>0</v>
      </c>
      <c r="V1370" t="n">
        <v>0</v>
      </c>
    </row>
    <row r="1371">
      <c r="A1371">
        <f>Skills!A22</f>
        <v/>
      </c>
      <c r="B1371">
        <f>Skills!B22</f>
        <v/>
      </c>
      <c r="C1371">
        <f>Inputs!$B$3&gt;=43</f>
        <v/>
      </c>
      <c r="D1371">
        <f>IF(Skills!C22=1,60+Inputs!$B$25+Inputs!$B$29,IF(Skills!C22=2,90+Inputs!$B$26+Inputs!$B$29,IF(Skills!C22=3,120+Inputs!$B$27+Inputs!$B$29,MAX(0,(Inputs!$B$3-100)*3)+Inputs!$B$28+Inputs!$B$29)))</f>
        <v/>
      </c>
      <c r="E1371">
        <f>INDEX(FactorTable!$B$2:$Y$301, MATCH(ROUND(MIN(300,MAX(1,D1371)),0), FactorTable!$A$2:$A$301,0), Skills!M22+1)</f>
        <v/>
      </c>
      <c r="F1371">
        <f>IF(Skills!N22=TRUE,(Skills!L22/10)*(E1371/1000),Skills!L22/10)+Skills!O22</f>
        <v/>
      </c>
      <c r="G1371">
        <f>Skills!G22*IF(Skills!H22&gt;0,Skills!I22/Skills!H22,1)</f>
        <v/>
      </c>
      <c r="H1371">
        <f>1-(1-Skills!J22/100)^Skills!K22</f>
        <v/>
      </c>
      <c r="I1371" t="inlineStr">
        <is>
          <t>1</t>
        </is>
      </c>
      <c r="J1371" t="inlineStr"/>
      <c r="K1371" t="inlineStr"/>
      <c r="L1371" t="inlineStr"/>
      <c r="M1371" t="inlineStr"/>
      <c r="N1371" t="inlineStr"/>
      <c r="O1371">
        <f>(1-Summary!$B$55)*T1371+Summary!$B$55*V1371</f>
        <v/>
      </c>
      <c r="P1371">
        <f>IF(B1388=0,0,O1371/B1388)</f>
        <v/>
      </c>
      <c r="Q1371" t="n">
        <v>0</v>
      </c>
      <c r="R1371" t="n">
        <v>0</v>
      </c>
      <c r="S1371">
        <f>IFERROR(O1371/N1371,0)</f>
        <v/>
      </c>
      <c r="T1371" t="n">
        <v>0</v>
      </c>
      <c r="V1371" t="n">
        <v>0</v>
      </c>
    </row>
    <row r="1372">
      <c r="A1372">
        <f>Skills!A23</f>
        <v/>
      </c>
      <c r="B1372">
        <f>Skills!B23</f>
        <v/>
      </c>
      <c r="C1372">
        <f>Inputs!$B$3&gt;=120</f>
        <v/>
      </c>
      <c r="D1372">
        <f>IF(Skills!C23=1,60+Inputs!$B$25+Inputs!$B$29,IF(Skills!C23=2,90+Inputs!$B$26+Inputs!$B$29,IF(Skills!C23=3,120+Inputs!$B$27+Inputs!$B$29,MAX(0,(Inputs!$B$3-100)*3)+Inputs!$B$28+Inputs!$B$29)))</f>
        <v/>
      </c>
      <c r="E1372">
        <f>INDEX(FactorTable!$B$2:$Y$301, MATCH(ROUND(MIN(300,MAX(1,D1372)),0), FactorTable!$A$2:$A$301,0), Skills!M23+1)</f>
        <v/>
      </c>
      <c r="F1372">
        <f>IF(Skills!N23=TRUE,(Skills!L23/10)*(E1372/1000),Skills!L23/10)+Skills!O23</f>
        <v/>
      </c>
      <c r="G1372">
        <f>Skills!G23*IF(Skills!H23&gt;0,Skills!I23/Skills!H23,1)</f>
        <v/>
      </c>
      <c r="H1372">
        <f>1-(1-Skills!J23/100)^Skills!K23</f>
        <v/>
      </c>
      <c r="I1372" t="inlineStr">
        <is>
          <t>1</t>
        </is>
      </c>
      <c r="J1372" t="inlineStr"/>
      <c r="K1372" t="inlineStr"/>
      <c r="L1372" t="inlineStr"/>
      <c r="M1372" t="inlineStr"/>
      <c r="N1372" t="inlineStr"/>
      <c r="O1372">
        <f>(1-Summary!$B$55)*T1372+Summary!$B$55*V1372</f>
        <v/>
      </c>
      <c r="P1372">
        <f>IF(B1388=0,0,O1372/B1388)</f>
        <v/>
      </c>
      <c r="Q1372" t="n">
        <v>0</v>
      </c>
      <c r="R1372" t="n">
        <v>0</v>
      </c>
      <c r="S1372">
        <f>IFERROR(O1372/N1372,0)</f>
        <v/>
      </c>
      <c r="T1372" t="n">
        <v>0</v>
      </c>
      <c r="V1372" t="n">
        <v>0</v>
      </c>
    </row>
    <row r="1373">
      <c r="A1373">
        <f>Skills!A24</f>
        <v/>
      </c>
      <c r="B1373">
        <f>Skills!B24</f>
        <v/>
      </c>
      <c r="C1373">
        <f>Inputs!$B$3&gt;=120</f>
        <v/>
      </c>
      <c r="D1373">
        <f>IF(Skills!C24=1,60+Inputs!$B$25+Inputs!$B$29,IF(Skills!C24=2,90+Inputs!$B$26+Inputs!$B$29,IF(Skills!C24=3,120+Inputs!$B$27+Inputs!$B$29,MAX(0,(Inputs!$B$3-100)*3)+Inputs!$B$28+Inputs!$B$29)))</f>
        <v/>
      </c>
      <c r="E1373">
        <f>INDEX(FactorTable!$B$2:$Y$301, MATCH(ROUND(MIN(300,MAX(1,D1373)),0), FactorTable!$A$2:$A$301,0), Skills!M24+1)</f>
        <v/>
      </c>
      <c r="F1373">
        <f>IF(Skills!N24=TRUE,(Skills!L24/10)*(E1373/1000),Skills!L24/10)+Skills!O24</f>
        <v/>
      </c>
      <c r="G1373">
        <f>Skills!G24*IF(Skills!H24&gt;0,Skills!I24/Skills!H24,1)</f>
        <v/>
      </c>
      <c r="H1373">
        <f>1-(1-Skills!J24/100)^Skills!K24</f>
        <v/>
      </c>
      <c r="I1373" t="inlineStr">
        <is>
          <t>1</t>
        </is>
      </c>
      <c r="J1373" t="inlineStr"/>
      <c r="K1373" t="inlineStr"/>
      <c r="L1373" t="inlineStr"/>
      <c r="M1373" t="inlineStr"/>
      <c r="N1373" t="inlineStr"/>
      <c r="O1373">
        <f>(1-Summary!$B$55)*T1373+Summary!$B$55*V1373</f>
        <v/>
      </c>
      <c r="P1373">
        <f>IF(B1388=0,0,O1373/B1388)</f>
        <v/>
      </c>
      <c r="Q1373" t="n">
        <v>0</v>
      </c>
      <c r="R1373" t="n">
        <v>0</v>
      </c>
      <c r="S1373">
        <f>IFERROR(O1373/N1373,0)</f>
        <v/>
      </c>
      <c r="T1373" t="n">
        <v>0</v>
      </c>
      <c r="V1373" t="n">
        <v>0</v>
      </c>
    </row>
    <row r="1374">
      <c r="A1374">
        <f>Skills!A25</f>
        <v/>
      </c>
      <c r="B1374">
        <f>Skills!B25</f>
        <v/>
      </c>
      <c r="C1374">
        <f>Inputs!$B$3&gt;=125</f>
        <v/>
      </c>
      <c r="D1374">
        <f>IF(Skills!C25=1,60+Inputs!$B$25+Inputs!$B$29,IF(Skills!C25=2,90+Inputs!$B$26+Inputs!$B$29,IF(Skills!C25=3,120+Inputs!$B$27+Inputs!$B$29,MAX(0,(Inputs!$B$3-100)*3)+Inputs!$B$28+Inputs!$B$29)))</f>
        <v/>
      </c>
      <c r="E1374">
        <f>INDEX(FactorTable!$B$2:$Y$301, MATCH(ROUND(MIN(300,MAX(1,D1374)),0), FactorTable!$A$2:$A$301,0), Skills!M25+1)</f>
        <v/>
      </c>
      <c r="F1374">
        <f>IF(Skills!N25=TRUE,(Skills!L25/10)*(E1374/1000),Skills!L25/10)+Skills!O25</f>
        <v/>
      </c>
      <c r="G1374">
        <f>Skills!G25*IF(Skills!H25&gt;0,Skills!I25/Skills!H25,1)</f>
        <v/>
      </c>
      <c r="H1374">
        <f>1-(1-Skills!J25/100)^Skills!K25</f>
        <v/>
      </c>
      <c r="I1374" t="inlineStr">
        <is>
          <t>1</t>
        </is>
      </c>
      <c r="J1374" t="inlineStr"/>
      <c r="K1374" t="inlineStr"/>
      <c r="L1374" t="inlineStr"/>
      <c r="M1374" t="inlineStr"/>
      <c r="N1374" t="inlineStr"/>
      <c r="O1374">
        <f>(1-Summary!$B$55)*T1374+Summary!$B$55*V1374</f>
        <v/>
      </c>
      <c r="P1374">
        <f>IF(B1388=0,0,O1374/B1388)</f>
        <v/>
      </c>
      <c r="Q1374" t="n">
        <v>0</v>
      </c>
      <c r="R1374" t="n">
        <v>0</v>
      </c>
      <c r="S1374">
        <f>IFERROR(O1374/N1374,0)</f>
        <v/>
      </c>
      <c r="T1374" t="n">
        <v>0</v>
      </c>
      <c r="V1374" t="n">
        <v>0</v>
      </c>
    </row>
    <row r="1375">
      <c r="A1375">
        <f>Skills!A26</f>
        <v/>
      </c>
      <c r="B1375">
        <f>Skills!B26</f>
        <v/>
      </c>
      <c r="C1375">
        <f>Inputs!$B$3&gt;=72</f>
        <v/>
      </c>
      <c r="D1375">
        <f>IF(Skills!C26=1,60+Inputs!$B$25+Inputs!$B$29,IF(Skills!C26=2,90+Inputs!$B$26+Inputs!$B$29,IF(Skills!C26=3,120+Inputs!$B$27+Inputs!$B$29,MAX(0,(Inputs!$B$3-100)*3)+Inputs!$B$28+Inputs!$B$29)))</f>
        <v/>
      </c>
      <c r="E1375">
        <f>INDEX(FactorTable!$B$2:$Y$301, MATCH(ROUND(MIN(300,MAX(1,D1375)),0), FactorTable!$A$2:$A$301,0), Skills!M26+1)</f>
        <v/>
      </c>
      <c r="F1375">
        <f>IF(Skills!N26=TRUE,(Skills!L26/10)*(E1375/1000),Skills!L26/10)+Skills!O26</f>
        <v/>
      </c>
      <c r="G1375">
        <f>Skills!G26*IF(Skills!H26&gt;0,Skills!I26/Skills!H26,1)</f>
        <v/>
      </c>
      <c r="H1375">
        <f>1-(1-Skills!J26/100)^Skills!K26</f>
        <v/>
      </c>
      <c r="I1375" t="inlineStr">
        <is>
          <t>1</t>
        </is>
      </c>
      <c r="J1375" t="inlineStr"/>
      <c r="K1375" t="inlineStr"/>
      <c r="L1375" t="inlineStr"/>
      <c r="M1375" t="inlineStr"/>
      <c r="N1375" t="inlineStr"/>
      <c r="O1375">
        <f>(1-Summary!$B$55)*T1375+Summary!$B$55*V1375</f>
        <v/>
      </c>
      <c r="P1375">
        <f>IF(B1388=0,0,O1375/B1388)</f>
        <v/>
      </c>
      <c r="Q1375" t="n">
        <v>0</v>
      </c>
      <c r="R1375" t="n">
        <v>0</v>
      </c>
      <c r="S1375">
        <f>IFERROR(O1375/N1375,0)</f>
        <v/>
      </c>
      <c r="T1375" t="n">
        <v>0</v>
      </c>
      <c r="V1375" t="n">
        <v>0</v>
      </c>
    </row>
    <row r="1377">
      <c r="A1377" t="inlineStr">
        <is>
          <t>Attack% Bucket Multiplier</t>
        </is>
      </c>
      <c r="B1377">
        <f>(1+(((C1362=TRUE)*F1362*IF(Inputs!$B$3&gt;=110,7,5))+((C1364=TRUE)*F1364*IF(AND(Inputs!$B$38&lt;&gt;"pvp",Inputs!$B$43&gt;0),(((R1364-1)*(Skills!T15*(1+Inputs!$B$34/100))+MIN((Skills!T15*(1+Inputs!$B$34/100)),MAX(0,Inputs!$B$43-((R1364-1)*Skills!D15))))/Inputs!$B$43),IF(Inputs!$B$38="pvp",MIN((Skills!T15*(1+Inputs!$B$34/100)),15)/15,(Skills!T15*(1+Inputs!$B$34/100))/Skills!D15)))+0)/100)</f>
        <v/>
      </c>
    </row>
    <row r="1378">
      <c r="A1378" t="inlineStr">
        <is>
          <t>Global Crit Rate Bonus %</t>
        </is>
      </c>
      <c r="B1378" t="n">
        <v>0</v>
      </c>
    </row>
    <row r="1379">
      <c r="A1379" t="inlineStr">
        <is>
          <t>Attack Speed Buff Bonus %</t>
        </is>
      </c>
      <c r="B1379">
        <f>((C1368=TRUE)*F1368*IF(AND(Inputs!$B$38&lt;&gt;"pvp",Inputs!$B$43&gt;0),(((R1368-1)*(Skills!T19*(1+Inputs!$B$34/100))+MIN((Skills!T19*(1+Inputs!$B$34/100)),MAX(0,Inputs!$B$43-((R1368-1)*Skills!D19))))/Inputs!$B$43),IF(Inputs!$B$38="pvp",MIN((Skills!T19*(1+Inputs!$B$34/100)),15)/15,(Skills!T19*(1+Inputs!$B$34/100))/Skills!D19)))</f>
        <v/>
      </c>
    </row>
    <row r="1380">
      <c r="A1380" t="inlineStr">
        <is>
          <t>Actions Per Second</t>
        </is>
      </c>
      <c r="B1380">
        <f>1+MIN(150,150*(1-(1-(Inputs!$B$11+((C1369=TRUE)*(F1369-Calc!F20)))/150)*(1-B1379/150)))/100</f>
        <v/>
      </c>
    </row>
    <row r="1381">
      <c r="A1381" t="inlineStr">
        <is>
          <t>Skill + Buff Cast Rate</t>
        </is>
      </c>
      <c r="B1381">
        <f>IF(AND(Inputs!$B$38&lt;&gt;"pvp",Inputs!$B$43&gt;0),SUMPRODUCT((Skills!E2:E26=TRUE)*(C1351:C1375=TRUE)*R1351:R1375*Skills!F2:F26)/Inputs!$B$43,SUMPRODUCT((Skills!E2:E26=TRUE)*(C1351:C1375=TRUE)*Q1351:Q1375*Skills!F2:F26))</f>
        <v/>
      </c>
    </row>
    <row r="1382">
      <c r="A1382" t="inlineStr">
        <is>
          <t>Raging Blow Casts Per Second</t>
        </is>
      </c>
      <c r="B1382">
        <f>MAX(0,B1380-B1381)</f>
        <v/>
      </c>
    </row>
    <row r="1383">
      <c r="A1383" t="inlineStr">
        <is>
          <t>Global Critical Damage Bonus % (Enrage)</t>
        </is>
      </c>
      <c r="B1383">
        <f>((C1367=TRUE)*F1367*IF(AND(Inputs!$B$38&lt;&gt;"pvp",Inputs!$B$43&gt;0),(((R1367-1)*(Skills!T18*(1+Inputs!$B$34/100))+MIN((Skills!T18*(1+Inputs!$B$34/100)),MAX(0,Inputs!$B$43-((R1367-1)*Skills!D18))))/Inputs!$B$43),IF(Inputs!$B$38="pvp",MIN((Skills!T18*(1+Inputs!$B$34/100)),15)/15,(Skills!T18*(1+Inputs!$B$34/100))/Skills!D18)))</f>
        <v/>
      </c>
    </row>
    <row r="1384">
      <c r="A1384" t="inlineStr">
        <is>
          <t>Global Final Damage Bonus % (Enrage + Combo Synergy)</t>
        </is>
      </c>
      <c r="B1384">
        <f>((C1366=TRUE)*F1366*IF(AND(Inputs!$B$38&lt;&gt;"pvp",Inputs!$B$43&gt;0),(((R1366-1)*(Skills!T17*(1+Inputs!$B$34/100))+MIN((Skills!T17*(1+Inputs!$B$34/100)),MAX(0,Inputs!$B$43-((R1366-1)*Skills!D17))))/Inputs!$B$43),IF(Inputs!$B$38="pvp",MIN((Skills!T17*(1+Inputs!$B$34/100)),15)/15,(Skills!T17*(1+Inputs!$B$34/100))/Skills!D17)))+((C1363=TRUE)*F1363*IF(Inputs!$B$3&gt;=110,7,5))</f>
        <v/>
      </c>
    </row>
    <row r="1385">
      <c r="A1385" t="inlineStr">
        <is>
          <t>Buff-Casting Startup Delay (s, fixed-duration only)</t>
        </is>
      </c>
      <c r="B1385">
        <f>IF(AND(Inputs!$B$38&lt;&gt;"pvp",Inputs!$B$43&gt;0),SUMPRODUCT((Skills!T2:T26&gt;0)*(Skills!E2:E26=TRUE)*(C1351:C1375=TRUE))/B1380,0)</f>
        <v/>
      </c>
    </row>
    <row r="1386">
      <c r="A1386" t="inlineStr">
        <is>
          <t>Boss-Only Total DPS (this block's swept value)</t>
        </is>
      </c>
      <c r="B1386">
        <f>SUM(T1351:T1375)</f>
        <v/>
      </c>
    </row>
    <row r="1387">
      <c r="A1387" t="inlineStr">
        <is>
          <t>Normal-Only Total DPS (this block's swept value)</t>
        </is>
      </c>
      <c r="B1387">
        <f>SUM(V1351:V1375)</f>
        <v/>
      </c>
    </row>
    <row r="1388">
      <c r="A1388" s="5" t="inlineStr">
        <is>
          <t>TOTAL DPS</t>
        </is>
      </c>
      <c r="B1388" s="5">
        <f>SUM(O1351:O1375)</f>
        <v/>
      </c>
    </row>
    <row r="1391">
      <c r="A1391" s="5" t="inlineStr">
        <is>
          <t>Stat: CDR = 3.5s</t>
        </is>
      </c>
    </row>
    <row r="1392">
      <c r="A1392" s="9" t="inlineStr">
        <is>
          <t>Key</t>
        </is>
      </c>
      <c r="B1392" s="9" t="inlineStr">
        <is>
          <t>Name</t>
        </is>
      </c>
      <c r="C1392" s="9" t="inlineStr">
        <is>
          <t>Unlocked</t>
        </is>
      </c>
      <c r="D1392" s="9" t="inlineStr">
        <is>
          <t>InputLevel</t>
        </is>
      </c>
      <c r="E1392" s="9" t="inlineStr">
        <is>
          <t>Factor</t>
        </is>
      </c>
      <c r="F1392" s="9" t="inlineStr">
        <is>
          <t>CoefficientPercent</t>
        </is>
      </c>
      <c r="G1392" s="9" t="inlineStr">
        <is>
          <t>EffectiveHits</t>
        </is>
      </c>
      <c r="H1392" s="9" t="inlineStr">
        <is>
          <t>ProcProbability</t>
        </is>
      </c>
      <c r="I1392" s="9" t="inlineStr">
        <is>
          <t>MapleHeroMultiplier</t>
        </is>
      </c>
      <c r="J1392" s="9" t="inlineStr">
        <is>
          <t>BaseDamage</t>
        </is>
      </c>
      <c r="K1392" s="9" t="inlineStr">
        <is>
          <t>BaseHitDamage</t>
        </is>
      </c>
      <c r="L1392" s="9" t="inlineStr">
        <is>
          <t>NonCritAvg</t>
        </is>
      </c>
      <c r="M1392" s="9" t="inlineStr">
        <is>
          <t>CritAvg</t>
        </is>
      </c>
      <c r="N1392" s="9" t="inlineStr">
        <is>
          <t>ExpectedDamage(perHit)</t>
        </is>
      </c>
      <c r="O1392" s="9" t="inlineStr">
        <is>
          <t>DPS</t>
        </is>
      </c>
      <c r="P1392" s="9" t="inlineStr">
        <is>
          <t>% of Total</t>
        </is>
      </c>
      <c r="Q1392" s="9" t="inlineStr">
        <is>
          <t>InvCooldown</t>
        </is>
      </c>
      <c r="R1392" s="9" t="inlineStr">
        <is>
          <t>CastsInFight</t>
        </is>
      </c>
      <c r="S1392" s="9" t="inlineStr">
        <is>
          <t>HitRate(perSec)</t>
        </is>
      </c>
      <c r="U1392" t="inlineStr">
        <is>
          <t>helpers</t>
        </is>
      </c>
    </row>
    <row r="1393">
      <c r="A1393">
        <f>Skills!A2</f>
        <v/>
      </c>
      <c r="B1393">
        <f>Skills!B2</f>
        <v/>
      </c>
      <c r="C1393">
        <f>Inputs!$B$3&gt;=100</f>
        <v/>
      </c>
      <c r="D1393" t="inlineStr"/>
      <c r="E1393" t="inlineStr"/>
      <c r="F1393">
        <f>U1395+Skills!O2</f>
        <v/>
      </c>
      <c r="G1393">
        <f>Skills!G2*IF(Skills!H2&gt;0,Skills!I2/Skills!H2,1)</f>
        <v/>
      </c>
      <c r="H1393">
        <f>1-(1-Skills!J2/100)^Skills!K2</f>
        <v/>
      </c>
      <c r="I1393" t="inlineStr">
        <is>
          <t>1</t>
        </is>
      </c>
      <c r="J1393">
        <f>((Inputs!$B$6*(1+Inputs!$B$7/100))+(((Inputs!$B$12*(1+Inputs!$B$13/100))-(Inputs!$B$12*(1+Inputs!$B$13/100)))+0.25*(Inputs!$B$14-Inputs!$B$14))*(1+Inputs!$B$7/100))*(F1393/100)</f>
        <v/>
      </c>
      <c r="K1393">
        <f>J1393*(1+((Inputs!$B$12*(1+Inputs!$B$13/100))*0.01+Inputs!$B$14*0.0025)/100)*(1+Inputs!$B$15/100)*(1+Inputs!$B$16/100)*(5000/(6000+Inputs!$B$42*(1-(Inputs!$B$19+0)/100)))*(1+(Inputs!$B$24+((C1416=TRUE)*(F1416-Calc!F25))+B1426)/100)*(1+IF(Skills!A2="ENHANCED_RAGING_BLOW",IF(Inputs!$B$3&gt;=134,MAX(0,IF(Inputs!$B$3&gt;=110,7,5)-5)*50,0),0)/100)*(1+(IF(Skills!A2="RAGING_BLOW",Inputs!$B$17+((C1412=TRUE)*(F1412-Calc!F21)),Inputs!$B$18+((C1414=TRUE)*(F1414-Calc!F23))))/100)*((1+(((C1404=TRUE)*F1404*IF(Inputs!$B$3&gt;=110,7,5))+((C1406=TRUE)*F1406*IF(AND(Inputs!$B$38&lt;&gt;"pvp",Inputs!$B$43&gt;0),(((R1406-1)*(Skills!T15*(1+Inputs!$B$34/100))+MIN((Skills!T15*(1+Inputs!$B$34/100)),MAX(0,Inputs!$B$43-((R1406-1)*Skills!D15))))/Inputs!$B$43),IF(Inputs!$B$38="pvp",MIN((Skills!T15*(1+Inputs!$B$34/100)),15)/15,(Skills!T15*(1+Inputs!$B$34/100))/Skills!D15)))+0)/100)*I1393)</f>
        <v/>
      </c>
      <c r="L1393">
        <f>K1393*(MIN(Inputs!$B$22+((C1413=TRUE)*(F1413-Calc!F22)),Inputs!$B$23+((C1415=TRUE)*(F1415-Calc!F24)))/100+(Inputs!$B$23+((C1415=TRUE)*(F1415-Calc!F24)))/100)/2</f>
        <v/>
      </c>
      <c r="M1393">
        <f>L1393*(1+(Inputs!$B$10+0+B1425)/100)</f>
        <v/>
      </c>
      <c r="N1393">
        <f>L1393*(1-MIN((Inputs!$B$9+((C1417=TRUE)*(F1417-Calc!F26))+B1420),100)/100)+M1393*(MIN((Inputs!$B$9+((C1417=TRUE)*(F1417-Calc!F26))+B1420),100)/100)</f>
        <v/>
      </c>
      <c r="O1393">
        <f>(1-Summary!$B$55)*T1393+Summary!$B$55*V1393</f>
        <v/>
      </c>
      <c r="P1393">
        <f>IF(B1430=0,0,O1393/B1430)</f>
        <v/>
      </c>
      <c r="Q1393" t="n">
        <v>0</v>
      </c>
      <c r="R1393" t="n">
        <v>0</v>
      </c>
      <c r="S1393">
        <f>IFERROR(O1393/N1393,0)</f>
        <v/>
      </c>
      <c r="T1393">
        <f>IF(C1393,(Skills!G2*N1393*B1424)*IF(Inputs!$B$38="pvp",1,1+(Inputs!$B$20+0+Skills!P2+Summary!$B$59)/100),0)</f>
        <v/>
      </c>
      <c r="U1393">
        <f>MAX(0,(Inputs!$B$3-100)*3)+Inputs!$B$28+Inputs!$B$29</f>
        <v/>
      </c>
      <c r="V1393">
        <f>IF(C1393,(Skills!G2*N1393*B1424)*IF(Inputs!$B$38="pvp",1,(1+(Inputs!$B$21+Skills!Q2+Summary!$B$59)/100)*(MIN((6+Inputs!$B$33),Inputs!$B$37))),0)</f>
        <v/>
      </c>
    </row>
    <row r="1394">
      <c r="A1394">
        <f>Skills!A3</f>
        <v/>
      </c>
      <c r="B1394">
        <f>Skills!B3</f>
        <v/>
      </c>
      <c r="C1394">
        <f>Inputs!$B$3&gt;=50</f>
        <v/>
      </c>
      <c r="D1394">
        <f>IF(Skills!C3=1,60+Inputs!$B$25+Inputs!$B$29,IF(Skills!C3=2,90+Inputs!$B$26+Inputs!$B$29,IF(Skills!C3=3,120+Inputs!$B$27+Inputs!$B$29,MAX(0,(Inputs!$B$3-100)*3)+Inputs!$B$28+Inputs!$B$29)))</f>
        <v/>
      </c>
      <c r="E1394">
        <f>INDEX(FactorTable!$B$2:$Y$301, MATCH(ROUND(MIN(300,MAX(1,D1394)),0), FactorTable!$A$2:$A$301,0), Skills!M3+1)</f>
        <v/>
      </c>
      <c r="F1394">
        <f>IF(Skills!N3=TRUE,(Skills!L3/10)*(E1394/1000),Skills!L3/10)+Skills!O3</f>
        <v/>
      </c>
      <c r="G1394" t="inlineStr"/>
      <c r="H1394" t="inlineStr"/>
      <c r="I1394" t="inlineStr">
        <is>
          <t>1</t>
        </is>
      </c>
      <c r="J1394" t="inlineStr"/>
      <c r="K1394" t="inlineStr"/>
      <c r="L1394" t="inlineStr"/>
      <c r="M1394" t="inlineStr"/>
      <c r="N1394" t="inlineStr"/>
      <c r="O1394" t="inlineStr"/>
      <c r="P1394" t="inlineStr"/>
      <c r="Q1394" t="inlineStr"/>
      <c r="R1394" t="inlineStr"/>
      <c r="S1394" t="inlineStr"/>
      <c r="U1394">
        <f>INDEX(FactorTable!$B$2:$Y$301, MATCH(ROUND(MIN(300,MAX(1,U1393)),0), FactorTable!$A$2:$A$301,0), 22)</f>
        <v/>
      </c>
    </row>
    <row r="1395">
      <c r="A1395">
        <f>Skills!A4</f>
        <v/>
      </c>
      <c r="B1395">
        <f>Skills!B4</f>
        <v/>
      </c>
      <c r="C1395">
        <f>Inputs!$B$3&gt;=105</f>
        <v/>
      </c>
      <c r="D1395">
        <f>IF(Skills!C4=1,60+Inputs!$B$25+Inputs!$B$29,IF(Skills!C4=2,90+Inputs!$B$26+Inputs!$B$29,IF(Skills!C4=3,120+Inputs!$B$27+Inputs!$B$29,MAX(0,(Inputs!$B$3-100)*3)+Inputs!$B$28+Inputs!$B$29)))</f>
        <v/>
      </c>
      <c r="E1395">
        <f>INDEX(FactorTable!$B$2:$Y$301, MATCH(ROUND(MIN(300,MAX(1,D1395)),0), FactorTable!$A$2:$A$301,0), Skills!M4+1)</f>
        <v/>
      </c>
      <c r="F1395">
        <f>IF(Skills!N4=TRUE,(Skills!L4/10)*(E1395/1000),Skills!L4/10)+Skills!O4</f>
        <v/>
      </c>
      <c r="G1395" t="inlineStr"/>
      <c r="H1395" t="inlineStr"/>
      <c r="I1395" t="inlineStr">
        <is>
          <t>1</t>
        </is>
      </c>
      <c r="J1395" t="inlineStr"/>
      <c r="K1395" t="inlineStr"/>
      <c r="L1395" t="inlineStr"/>
      <c r="M1395" t="inlineStr"/>
      <c r="N1395" t="inlineStr"/>
      <c r="O1395" t="inlineStr"/>
      <c r="P1395" t="inlineStr"/>
      <c r="Q1395" t="inlineStr"/>
      <c r="R1395" t="inlineStr"/>
      <c r="S1395" t="inlineStr"/>
      <c r="U1395">
        <f>290*U1394/1000</f>
        <v/>
      </c>
    </row>
    <row r="1396">
      <c r="A1396">
        <f>Skills!A5</f>
        <v/>
      </c>
      <c r="B1396">
        <f>Skills!B5</f>
        <v/>
      </c>
      <c r="C1396">
        <f>Inputs!$B$3&gt;=103</f>
        <v/>
      </c>
      <c r="D1396">
        <f>IF(Skills!C5=1,60+Inputs!$B$25+Inputs!$B$29,IF(Skills!C5=2,90+Inputs!$B$26+Inputs!$B$29,IF(Skills!C5=3,120+Inputs!$B$27+Inputs!$B$29,MAX(0,(Inputs!$B$3-100)*3)+Inputs!$B$28+Inputs!$B$29)))</f>
        <v/>
      </c>
      <c r="E1396">
        <f>INDEX(FactorTable!$B$2:$Y$301, MATCH(ROUND(MIN(300,MAX(1,D1396)),0), FactorTable!$A$2:$A$301,0), Skills!M5+1)</f>
        <v/>
      </c>
      <c r="F1396">
        <f>IF(Skills!N5=TRUE,(Skills!L5/10)*(E1396/1000),Skills!L5/10)+Skills!O5</f>
        <v/>
      </c>
      <c r="G1396">
        <f>Skills!G5*IF(Skills!H5&gt;0,Skills!I5/Skills!H5,1)</f>
        <v/>
      </c>
      <c r="H1396">
        <f>1-(1-Skills!J5/100)^Skills!K5</f>
        <v/>
      </c>
      <c r="I1396" t="inlineStr">
        <is>
          <t>1</t>
        </is>
      </c>
      <c r="J1396">
        <f>((Inputs!$B$6*(1+Inputs!$B$7/100))+(((Inputs!$B$12*(1+Inputs!$B$13/100))-(Inputs!$B$12*(1+Inputs!$B$13/100)))+0.25*(Inputs!$B$14-Inputs!$B$14))*(1+Inputs!$B$7/100))*(F1396/100)</f>
        <v/>
      </c>
      <c r="K1396">
        <f>J1396*(1+((Inputs!$B$12*(1+Inputs!$B$13/100))*0.01+Inputs!$B$14*0.0025)/100)*(1+Inputs!$B$15/100)*(1+Inputs!$B$16/100)*(5000/(6000+Inputs!$B$42*(1-(Inputs!$B$19+0)/100)))*(1+(Inputs!$B$24+((C1416=TRUE)*(F1416-Calc!F25))+B1426)/100)*(1+IF(Skills!A5="ENHANCED_RAGING_BLOW",IF(Inputs!$B$3&gt;=134,MAX(0,IF(Inputs!$B$3&gt;=110,7,5)-5)*50,0),0)/100)*(1+(IF(Skills!A5="RAGING_BLOW",Inputs!$B$17+((C1412=TRUE)*(F1412-Calc!F21)),Inputs!$B$18+((C1414=TRUE)*(F1414-Calc!F23))))/100)*((1+(((C1404=TRUE)*F1404*IF(Inputs!$B$3&gt;=110,7,5))+((C1406=TRUE)*F1406*IF(AND(Inputs!$B$38&lt;&gt;"pvp",Inputs!$B$43&gt;0),(((R1406-1)*(Skills!T15*(1+Inputs!$B$34/100))+MIN((Skills!T15*(1+Inputs!$B$34/100)),MAX(0,Inputs!$B$43-((R1406-1)*Skills!D15))))/Inputs!$B$43),IF(Inputs!$B$38="pvp",MIN((Skills!T15*(1+Inputs!$B$34/100)),15)/15,(Skills!T15*(1+Inputs!$B$34/100))/Skills!D15)))+0)/100)*I1396)</f>
        <v/>
      </c>
      <c r="L1396">
        <f>K1396*(MIN(Inputs!$B$22+((C1413=TRUE)*(F1413-Calc!F22)),Inputs!$B$23+((C1415=TRUE)*(F1415-Calc!F24)))/100+(Inputs!$B$23+((C1415=TRUE)*(F1415-Calc!F24)))/100)/2</f>
        <v/>
      </c>
      <c r="M1396">
        <f>L1396*(1+(Inputs!$B$10+0+B1425)/100)</f>
        <v/>
      </c>
      <c r="N1396">
        <f>L1396*(1-MIN((Inputs!$B$9+((C1417=TRUE)*(F1417-Calc!F26))+B1420),100)/100)+M1396*(MIN((Inputs!$B$9+((C1417=TRUE)*(F1417-Calc!F26))+B1420),100)/100)</f>
        <v/>
      </c>
      <c r="O1396">
        <f>(1-Summary!$B$55)*T1396+Summary!$B$55*V1396</f>
        <v/>
      </c>
      <c r="P1396">
        <f>IF(B1430=0,0,O1396/B1430)</f>
        <v/>
      </c>
      <c r="Q1396">
        <f>IFERROR(1/IF(Inputs!$B$38="pvp",15,MAX(0.1,Skills!D5-IF(Skills!E5=TRUE,3.5,0))),0)</f>
        <v/>
      </c>
      <c r="R1396">
        <f>IF(AND(Inputs!$B$38&lt;&gt;"pvp",Inputs!$B$43&gt;0),IF(MAX(0,Inputs!$B$43-B1427)&lt;=0,0,(INT(MAX(0,Inputs!$B$43-B1427)/IF(Inputs!$B$38="pvp",15,MAX(0.1,Skills!D5-IF(Skills!E5=TRUE,3.5,0))))+1)),0)</f>
        <v/>
      </c>
      <c r="S1396">
        <f>IFERROR(O1396/N1396,0)</f>
        <v/>
      </c>
      <c r="T1396">
        <f>IF(C1396,(H1396*N1396*IF(AND(Inputs!$B$38&lt;&gt;"pvp",Inputs!$B$43&gt;0),((Skills!G5*((R1396-1)*IF(Skills!H5&gt;0,Skills!I5/Skills!H5,1)+IF(Skills!H5&gt;0,MIN(Skills!I5,MAX(0,MAX(0,Inputs!$B$43-B1427)-((R1396-1)*IF(Inputs!$B$38="pvp",15,MAX(0.1,Skills!D5-IF(Skills!E5=TRUE,3.5,0))))))/Skills!H5,1)))/Inputs!$B$43),G1396*Q1396))*IF(Inputs!$B$38="pvp",1,1+(Inputs!$B$20+0+Skills!P5+Summary!$B$59)/100),0)</f>
        <v/>
      </c>
      <c r="V1396">
        <f>IF(C1396,(H1396*N1396*IF(AND(Inputs!$B$38&lt;&gt;"pvp",Inputs!$B$43&gt;0),((Skills!G5*((R1396-1)*IF(Skills!H5&gt;0,Skills!I5/Skills!H5,1)+IF(Skills!H5&gt;0,MIN(Skills!I5,MAX(0,MAX(0,Inputs!$B$43-B1427)-((R1396-1)*IF(Inputs!$B$38="pvp",15,MAX(0.1,Skills!D5-IF(Skills!E5=TRUE,3.5,0))))))/Skills!H5,1)))/Inputs!$B$43),G1396*Q1396))*IF(Inputs!$B$38="pvp",1,(1+(Inputs!$B$21+Skills!Q5+Summary!$B$59)/100)*(MIN(Skills!R5,Inputs!$B$37))),0)</f>
        <v/>
      </c>
    </row>
    <row r="1397">
      <c r="A1397">
        <f>Skills!A6</f>
        <v/>
      </c>
      <c r="B1397">
        <f>Skills!B6</f>
        <v/>
      </c>
      <c r="C1397">
        <f>Inputs!$B$3&gt;=103</f>
        <v/>
      </c>
      <c r="D1397">
        <f>IF(Skills!C6=1,60+Inputs!$B$25+Inputs!$B$29,IF(Skills!C6=2,90+Inputs!$B$26+Inputs!$B$29,IF(Skills!C6=3,120+Inputs!$B$27+Inputs!$B$29,MAX(0,(Inputs!$B$3-100)*3)+Inputs!$B$28+Inputs!$B$29)))</f>
        <v/>
      </c>
      <c r="E1397">
        <f>INDEX(FactorTable!$B$2:$Y$301, MATCH(ROUND(MIN(300,MAX(1,D1397)),0), FactorTable!$A$2:$A$301,0), Skills!M6+1)</f>
        <v/>
      </c>
      <c r="F1397">
        <f>IF(Skills!N6=TRUE,(Skills!L6/10)*(E1397/1000),Skills!L6/10)+Skills!O6</f>
        <v/>
      </c>
      <c r="G1397">
        <f>Skills!G6*IF(Skills!H6&gt;0,Skills!I6/Skills!H6,1)</f>
        <v/>
      </c>
      <c r="H1397">
        <f>1-(1-Skills!J6/100)^Skills!K6</f>
        <v/>
      </c>
      <c r="I1397" t="inlineStr">
        <is>
          <t>1</t>
        </is>
      </c>
      <c r="J1397">
        <f>((Inputs!$B$6*(1+Inputs!$B$7/100))+(((Inputs!$B$12*(1+Inputs!$B$13/100))-(Inputs!$B$12*(1+Inputs!$B$13/100)))+0.25*(Inputs!$B$14-Inputs!$B$14))*(1+Inputs!$B$7/100))*(F1397/100)</f>
        <v/>
      </c>
      <c r="K1397">
        <f>J1397*(1+((Inputs!$B$12*(1+Inputs!$B$13/100))*0.01+Inputs!$B$14*0.0025)/100)*(1+Inputs!$B$15/100)*(1+Inputs!$B$16/100)*(5000/(6000+Inputs!$B$42*(1-(Inputs!$B$19+0)/100)))*(1+(Inputs!$B$24+((C1416=TRUE)*(F1416-Calc!F25))+B1426)/100)*(1+IF(Skills!A6="ENHANCED_RAGING_BLOW",IF(Inputs!$B$3&gt;=134,MAX(0,IF(Inputs!$B$3&gt;=110,7,5)-5)*50,0),0)/100)*(1+(IF(Skills!A6="RAGING_BLOW",Inputs!$B$17+((C1412=TRUE)*(F1412-Calc!F21)),Inputs!$B$18+((C1414=TRUE)*(F1414-Calc!F23))))/100)*((1+(((C1404=TRUE)*F1404*IF(Inputs!$B$3&gt;=110,7,5))+((C1406=TRUE)*F1406*IF(AND(Inputs!$B$38&lt;&gt;"pvp",Inputs!$B$43&gt;0),(((R1406-1)*(Skills!T15*(1+Inputs!$B$34/100))+MIN((Skills!T15*(1+Inputs!$B$34/100)),MAX(0,Inputs!$B$43-((R1406-1)*Skills!D15))))/Inputs!$B$43),IF(Inputs!$B$38="pvp",MIN((Skills!T15*(1+Inputs!$B$34/100)),15)/15,(Skills!T15*(1+Inputs!$B$34/100))/Skills!D15)))+0)/100)*I1397)</f>
        <v/>
      </c>
      <c r="L1397">
        <f>K1397*(MIN(Inputs!$B$22+((C1413=TRUE)*(F1413-Calc!F22)),Inputs!$B$23+((C1415=TRUE)*(F1415-Calc!F24)))/100+(Inputs!$B$23+((C1415=TRUE)*(F1415-Calc!F24)))/100)/2</f>
        <v/>
      </c>
      <c r="M1397">
        <f>L1397*(1+(Inputs!$B$10+0+B1425)/100)</f>
        <v/>
      </c>
      <c r="N1397">
        <f>L1397*(1-MIN((Inputs!$B$9+((C1417=TRUE)*(F1417-Calc!F26))+B1420),100)/100)+M1397*(MIN((Inputs!$B$9+((C1417=TRUE)*(F1417-Calc!F26))+B1420),100)/100)</f>
        <v/>
      </c>
      <c r="O1397">
        <f>(1-Summary!$B$55)*T1397+Summary!$B$55*V1397</f>
        <v/>
      </c>
      <c r="P1397">
        <f>IF(B1430=0,0,O1397/B1430)</f>
        <v/>
      </c>
      <c r="Q1397">
        <f>IFERROR(1/IF(Inputs!$B$38="pvp",15,MAX(0.1,Skills!D6-IF(Skills!E6=TRUE,3.5,0))),0)</f>
        <v/>
      </c>
      <c r="R1397">
        <f>IF(AND(Inputs!$B$38&lt;&gt;"pvp",Inputs!$B$43&gt;0),IF(MAX(0,Inputs!$B$43-B1427)&lt;=0,0,(INT(MAX(0,Inputs!$B$43-B1427)/IF(Inputs!$B$38="pvp",15,MAX(0.1,Skills!D6-IF(Skills!E6=TRUE,3.5,0))))+1)),0)</f>
        <v/>
      </c>
      <c r="S1397">
        <f>IFERROR(O1397/N1397,0)</f>
        <v/>
      </c>
      <c r="T1397">
        <f>IF(C1397,(H1397*N1397*IF(AND(Inputs!$B$38&lt;&gt;"pvp",Inputs!$B$43&gt;0),((Skills!G6*((R1397-1)*IF(Skills!H6&gt;0,Skills!I6/Skills!H6,1)+IF(Skills!H6&gt;0,MIN(Skills!I6,MAX(0,MAX(0,Inputs!$B$43-B1427)-((R1397-1)*IF(Inputs!$B$38="pvp",15,MAX(0.1,Skills!D6-IF(Skills!E6=TRUE,3.5,0))))))/Skills!H6,1)))/Inputs!$B$43),G1397*Q1397))*IF(Inputs!$B$38="pvp",1,1+(Inputs!$B$20+0+Skills!P6+Summary!$B$59)/100),0)</f>
        <v/>
      </c>
      <c r="V1397">
        <f>IF(C1397,(H1397*N1397*IF(AND(Inputs!$B$38&lt;&gt;"pvp",Inputs!$B$43&gt;0),((Skills!G6*((R1397-1)*IF(Skills!H6&gt;0,Skills!I6/Skills!H6,1)+IF(Skills!H6&gt;0,MIN(Skills!I6,MAX(0,MAX(0,Inputs!$B$43-B1427)-((R1397-1)*IF(Inputs!$B$38="pvp",15,MAX(0.1,Skills!D6-IF(Skills!E6=TRUE,3.5,0))))))/Skills!H6,1)))/Inputs!$B$43),G1397*Q1397))*IF(Inputs!$B$38="pvp",1,(1+(Inputs!$B$21+Skills!Q6+Summary!$B$59)/100)*(MIN(Skills!R6,Inputs!$B$37))),0)</f>
        <v/>
      </c>
    </row>
    <row r="1398">
      <c r="A1398">
        <f>Skills!A7</f>
        <v/>
      </c>
      <c r="B1398">
        <f>Skills!B7</f>
        <v/>
      </c>
      <c r="C1398">
        <f>Inputs!$B$3&gt;=107</f>
        <v/>
      </c>
      <c r="D1398">
        <f>IF(Skills!C7=1,60+Inputs!$B$25+Inputs!$B$29,IF(Skills!C7=2,90+Inputs!$B$26+Inputs!$B$29,IF(Skills!C7=3,120+Inputs!$B$27+Inputs!$B$29,MAX(0,(Inputs!$B$3-100)*3)+Inputs!$B$28+Inputs!$B$29)))</f>
        <v/>
      </c>
      <c r="E1398">
        <f>INDEX(FactorTable!$B$2:$Y$301, MATCH(ROUND(MIN(300,MAX(1,D1398)),0), FactorTable!$A$2:$A$301,0), Skills!M7+1)</f>
        <v/>
      </c>
      <c r="F1398">
        <f>IF(Skills!N7=TRUE,(Skills!L7/10)*(E1398/1000),Skills!L7/10)+Skills!O7</f>
        <v/>
      </c>
      <c r="G1398">
        <f>Skills!G7*IF(Skills!H7&gt;0,Skills!I7/Skills!H7,1)</f>
        <v/>
      </c>
      <c r="H1398">
        <f>1-(1-Skills!J7/100)^Skills!K7</f>
        <v/>
      </c>
      <c r="I1398" t="inlineStr">
        <is>
          <t>1</t>
        </is>
      </c>
      <c r="J1398">
        <f>((Inputs!$B$6*(1+Inputs!$B$7/100))+(((Inputs!$B$12*(1+Inputs!$B$13/100))-(Inputs!$B$12*(1+Inputs!$B$13/100)))+0.25*(Inputs!$B$14-Inputs!$B$14))*(1+Inputs!$B$7/100))*(F1398/100)</f>
        <v/>
      </c>
      <c r="K1398">
        <f>J1398*(1+((Inputs!$B$12*(1+Inputs!$B$13/100))*0.01+Inputs!$B$14*0.0025)/100)*(1+Inputs!$B$15/100)*(1+Inputs!$B$16/100)*(5000/(6000+Inputs!$B$42*(1-(Inputs!$B$19+0)/100)))*(1+(Inputs!$B$24+((C1416=TRUE)*(F1416-Calc!F25))+B1426)/100)*(1+IF(Skills!A7="ENHANCED_RAGING_BLOW",IF(Inputs!$B$3&gt;=134,MAX(0,IF(Inputs!$B$3&gt;=110,7,5)-5)*50,0),0)/100)*(1+(IF(Skills!A7="RAGING_BLOW",Inputs!$B$17+((C1412=TRUE)*(F1412-Calc!F21)),Inputs!$B$18+((C1414=TRUE)*(F1414-Calc!F23))))/100)*((1+(((C1404=TRUE)*F1404*IF(Inputs!$B$3&gt;=110,7,5))+((C1406=TRUE)*F1406*IF(AND(Inputs!$B$38&lt;&gt;"pvp",Inputs!$B$43&gt;0),(((R1406-1)*(Skills!T15*(1+Inputs!$B$34/100))+MIN((Skills!T15*(1+Inputs!$B$34/100)),MAX(0,Inputs!$B$43-((R1406-1)*Skills!D15))))/Inputs!$B$43),IF(Inputs!$B$38="pvp",MIN((Skills!T15*(1+Inputs!$B$34/100)),15)/15,(Skills!T15*(1+Inputs!$B$34/100))/Skills!D15)))+0)/100)*I1398)</f>
        <v/>
      </c>
      <c r="L1398">
        <f>K1398*(MIN(Inputs!$B$22+((C1413=TRUE)*(F1413-Calc!F22)),Inputs!$B$23+((C1415=TRUE)*(F1415-Calc!F24)))/100+(Inputs!$B$23+((C1415=TRUE)*(F1415-Calc!F24)))/100)/2</f>
        <v/>
      </c>
      <c r="M1398">
        <f>L1398*(1+(Inputs!$B$10+0+B1425)/100)</f>
        <v/>
      </c>
      <c r="N1398">
        <f>L1398*(1-MIN((Inputs!$B$9+((C1417=TRUE)*(F1417-Calc!F26))+B1420),100)/100)+M1398*(MIN((Inputs!$B$9+((C1417=TRUE)*(F1417-Calc!F26))+B1420),100)/100)</f>
        <v/>
      </c>
      <c r="O1398">
        <f>(1-Summary!$B$55)*T1398+Summary!$B$55*V1398</f>
        <v/>
      </c>
      <c r="P1398">
        <f>IF(B1430=0,0,O1398/B1430)</f>
        <v/>
      </c>
      <c r="Q1398">
        <f>IFERROR(1/IF(Inputs!$B$38="pvp",15,MAX(0.1,Skills!D7-IF(Skills!E7=TRUE,3.5,0))),0)</f>
        <v/>
      </c>
      <c r="R1398">
        <f>IF(AND(Inputs!$B$38&lt;&gt;"pvp",Inputs!$B$43&gt;0),IF(MAX(0,Inputs!$B$43-B1427)&lt;=0,0,(INT(MAX(0,Inputs!$B$43-B1427)/IF(Inputs!$B$38="pvp",15,MAX(0.1,Skills!D7-IF(Skills!E7=TRUE,3.5,0))))+1)),0)</f>
        <v/>
      </c>
      <c r="S1398">
        <f>IFERROR(O1398/N1398,0)</f>
        <v/>
      </c>
      <c r="T1398">
        <f>IF(C1398,(H1398*N1398*IF(AND(Inputs!$B$38&lt;&gt;"pvp",Inputs!$B$43&gt;0),((Skills!G7*((R1398-1)*IF(Skills!H7&gt;0,Skills!I7/Skills!H7,1)+IF(Skills!H7&gt;0,MIN(Skills!I7,MAX(0,MAX(0,Inputs!$B$43-B1427)-((R1398-1)*IF(Inputs!$B$38="pvp",15,MAX(0.1,Skills!D7-IF(Skills!E7=TRUE,3.5,0))))))/Skills!H7,1)))/Inputs!$B$43),G1398*Q1398))*IF(Inputs!$B$38="pvp",1,1+(Inputs!$B$20+0+Skills!P7+Summary!$B$59)/100),0)</f>
        <v/>
      </c>
      <c r="V1398">
        <f>IF(C1398,(H1398*N1398*IF(AND(Inputs!$B$38&lt;&gt;"pvp",Inputs!$B$43&gt;0),((Skills!G7*((R1398-1)*IF(Skills!H7&gt;0,Skills!I7/Skills!H7,1)+IF(Skills!H7&gt;0,MIN(Skills!I7,MAX(0,MAX(0,Inputs!$B$43-B1427)-((R1398-1)*IF(Inputs!$B$38="pvp",15,MAX(0.1,Skills!D7-IF(Skills!E7=TRUE,3.5,0))))))/Skills!H7,1)))/Inputs!$B$43),G1398*Q1398))*IF(Inputs!$B$38="pvp",1,(1+(Inputs!$B$21+Skills!Q7+Summary!$B$59)/100)*(MIN(Skills!R7,Inputs!$B$37))),0)</f>
        <v/>
      </c>
    </row>
    <row r="1399">
      <c r="A1399">
        <f>Skills!A8</f>
        <v/>
      </c>
      <c r="B1399">
        <f>Skills!B8</f>
        <v/>
      </c>
      <c r="C1399">
        <f>Inputs!$B$3&gt;=117</f>
        <v/>
      </c>
      <c r="D1399">
        <f>IF(Skills!C8=1,60+Inputs!$B$25+Inputs!$B$29,IF(Skills!C8=2,90+Inputs!$B$26+Inputs!$B$29,IF(Skills!C8=3,120+Inputs!$B$27+Inputs!$B$29,MAX(0,(Inputs!$B$3-100)*3)+Inputs!$B$28+Inputs!$B$29)))</f>
        <v/>
      </c>
      <c r="E1399">
        <f>INDEX(FactorTable!$B$2:$Y$301, MATCH(ROUND(MIN(300,MAX(1,D1399)),0), FactorTable!$A$2:$A$301,0), Skills!M8+1)</f>
        <v/>
      </c>
      <c r="F1399">
        <f>IF(Skills!N8=TRUE,(Skills!L8/10)*(E1399/1000),Skills!L8/10)+Skills!O8</f>
        <v/>
      </c>
      <c r="G1399">
        <f>Skills!G8*IF(Skills!H8&gt;0,Skills!I8/Skills!H8,1)</f>
        <v/>
      </c>
      <c r="H1399">
        <f>1-(1-Skills!J8/100)^Skills!K8</f>
        <v/>
      </c>
      <c r="I1399" t="inlineStr">
        <is>
          <t>1</t>
        </is>
      </c>
      <c r="J1399">
        <f>((Inputs!$B$6*(1+Inputs!$B$7/100))+(((Inputs!$B$12*(1+Inputs!$B$13/100))-(Inputs!$B$12*(1+Inputs!$B$13/100)))+0.25*(Inputs!$B$14-Inputs!$B$14))*(1+Inputs!$B$7/100))*(F1399/100)</f>
        <v/>
      </c>
      <c r="K1399">
        <f>J1399*(1+((Inputs!$B$12*(1+Inputs!$B$13/100))*0.01+Inputs!$B$14*0.0025)/100)*(1+Inputs!$B$15/100)*(1+Inputs!$B$16/100)*(5000/(6000+Inputs!$B$42*(1-(Inputs!$B$19+0)/100)))*(1+(Inputs!$B$24+((C1416=TRUE)*(F1416-Calc!F25))+B1426)/100)*(1+IF(Skills!A8="ENHANCED_RAGING_BLOW",IF(Inputs!$B$3&gt;=134,MAX(0,IF(Inputs!$B$3&gt;=110,7,5)-5)*50,0),0)/100)*(1+(IF(Skills!A8="RAGING_BLOW",Inputs!$B$17+((C1412=TRUE)*(F1412-Calc!F21)),Inputs!$B$18+((C1414=TRUE)*(F1414-Calc!F23))))/100)*((1+(((C1404=TRUE)*F1404*IF(Inputs!$B$3&gt;=110,7,5))+((C1406=TRUE)*F1406*IF(AND(Inputs!$B$38&lt;&gt;"pvp",Inputs!$B$43&gt;0),(((R1406-1)*(Skills!T15*(1+Inputs!$B$34/100))+MIN((Skills!T15*(1+Inputs!$B$34/100)),MAX(0,Inputs!$B$43-((R1406-1)*Skills!D15))))/Inputs!$B$43),IF(Inputs!$B$38="pvp",MIN((Skills!T15*(1+Inputs!$B$34/100)),15)/15,(Skills!T15*(1+Inputs!$B$34/100))/Skills!D15)))+0)/100)*I1399)</f>
        <v/>
      </c>
      <c r="L1399">
        <f>K1399*(MIN(Inputs!$B$22+((C1413=TRUE)*(F1413-Calc!F22)),Inputs!$B$23+((C1415=TRUE)*(F1415-Calc!F24)))/100+(Inputs!$B$23+((C1415=TRUE)*(F1415-Calc!F24)))/100)/2</f>
        <v/>
      </c>
      <c r="M1399">
        <f>L1399*(1+(Inputs!$B$10+0+B1425)/100)</f>
        <v/>
      </c>
      <c r="N1399">
        <f>L1399*(1-MIN((Inputs!$B$9+((C1417=TRUE)*(F1417-Calc!F26))+B1420),100)/100)+M1399*(MIN((Inputs!$B$9+((C1417=TRUE)*(F1417-Calc!F26))+B1420),100)/100)</f>
        <v/>
      </c>
      <c r="O1399">
        <f>(1-Summary!$B$55)*T1399+Summary!$B$55*V1399</f>
        <v/>
      </c>
      <c r="P1399">
        <f>IF(B1430=0,0,O1399/B1430)</f>
        <v/>
      </c>
      <c r="Q1399">
        <f>IFERROR(1/IF(Inputs!$B$38="pvp",15,MAX(0.1,Skills!D8-IF(Skills!E8=TRUE,3.5,0))),0)</f>
        <v/>
      </c>
      <c r="R1399">
        <f>IF(AND(Inputs!$B$38&lt;&gt;"pvp",Inputs!$B$43&gt;0),IF(MAX(0,Inputs!$B$43-B1427)&lt;=0,0,(INT(MAX(0,Inputs!$B$43-B1427)/IF(Inputs!$B$38="pvp",15,MAX(0.1,Skills!D8-IF(Skills!E8=TRUE,3.5,0))))+1)),0)</f>
        <v/>
      </c>
      <c r="S1399">
        <f>IFERROR(O1399/N1399,0)</f>
        <v/>
      </c>
      <c r="T1399">
        <f>IF(C1399,(H1399*N1399*IF(AND(Inputs!$B$38&lt;&gt;"pvp",Inputs!$B$43&gt;0),((Skills!G8*((R1399-1)*IF(Skills!H8&gt;0,Skills!I8/Skills!H8,1)+IF(Skills!H8&gt;0,MIN(Skills!I8,MAX(0,MAX(0,Inputs!$B$43-B1427)-((R1399-1)*IF(Inputs!$B$38="pvp",15,MAX(0.1,Skills!D8-IF(Skills!E8=TRUE,3.5,0))))))/Skills!H8,1)))/Inputs!$B$43),G1399*Q1399))*IF(Inputs!$B$38="pvp",1,1+(Inputs!$B$20+0+Skills!P8+Summary!$B$59)/100),0)</f>
        <v/>
      </c>
      <c r="V1399">
        <f>IF(C1399,(H1399*N1399*IF(AND(Inputs!$B$38&lt;&gt;"pvp",Inputs!$B$43&gt;0),((Skills!G8*((R1399-1)*IF(Skills!H8&gt;0,Skills!I8/Skills!H8,1)+IF(Skills!H8&gt;0,MIN(Skills!I8,MAX(0,MAX(0,Inputs!$B$43-B1427)-((R1399-1)*IF(Inputs!$B$38="pvp",15,MAX(0.1,Skills!D8-IF(Skills!E8=TRUE,3.5,0))))))/Skills!H8,1)))/Inputs!$B$43),G1399*Q1399))*IF(Inputs!$B$38="pvp",1,(1+(Inputs!$B$21+Skills!Q8+Summary!$B$59)/100)*(MIN(Skills!R8,Inputs!$B$37))),0)</f>
        <v/>
      </c>
    </row>
    <row r="1400">
      <c r="A1400">
        <f>Skills!A9</f>
        <v/>
      </c>
      <c r="B1400">
        <f>Skills!B9</f>
        <v/>
      </c>
      <c r="C1400">
        <f>Inputs!$B$3&gt;=69</f>
        <v/>
      </c>
      <c r="D1400">
        <f>IF(Skills!C9=1,60+Inputs!$B$25+Inputs!$B$29,IF(Skills!C9=2,90+Inputs!$B$26+Inputs!$B$29,IF(Skills!C9=3,120+Inputs!$B$27+Inputs!$B$29,MAX(0,(Inputs!$B$3-100)*3)+Inputs!$B$28+Inputs!$B$29)))</f>
        <v/>
      </c>
      <c r="E1400">
        <f>INDEX(FactorTable!$B$2:$Y$301, MATCH(ROUND(MIN(300,MAX(1,D1400)),0), FactorTable!$A$2:$A$301,0), Skills!M9+1)</f>
        <v/>
      </c>
      <c r="F1400">
        <f>IF(Skills!N9=TRUE,(Skills!L9/10)*(E1400/1000),Skills!L9/10)+Skills!O9</f>
        <v/>
      </c>
      <c r="G1400">
        <f>Skills!G9*IF(Skills!H9&gt;0,Skills!I9/Skills!H9,1)</f>
        <v/>
      </c>
      <c r="H1400">
        <f>1-(1-Skills!J9/100)^Skills!K9</f>
        <v/>
      </c>
      <c r="I1400" t="inlineStr">
        <is>
          <t>1</t>
        </is>
      </c>
      <c r="J1400">
        <f>((Inputs!$B$6*(1+Inputs!$B$7/100))+(((Inputs!$B$12*(1+Inputs!$B$13/100))-(Inputs!$B$12*(1+Inputs!$B$13/100)))+0.25*(Inputs!$B$14-Inputs!$B$14))*(1+Inputs!$B$7/100))*(F1400/100)</f>
        <v/>
      </c>
      <c r="K1400">
        <f>J1400*(1+((Inputs!$B$12*(1+Inputs!$B$13/100))*0.01+Inputs!$B$14*0.0025)/100)*(1+Inputs!$B$15/100)*(1+Inputs!$B$16/100)*(5000/(6000+Inputs!$B$42*(1-(Inputs!$B$19+0)/100)))*(1+(Inputs!$B$24+((C1416=TRUE)*(F1416-Calc!F25))+B1426)/100)*(1+1.0*IF(C1403=TRUE,F1403,0)/100)*(1+IF(Skills!A9="ENHANCED_RAGING_BLOW",IF(Inputs!$B$3&gt;=134,MAX(0,IF(Inputs!$B$3&gt;=110,7,5)-5)*50,0),0)/100)*(1+(IF(Skills!A9="RAGING_BLOW",Inputs!$B$17+((C1412=TRUE)*(F1412-Calc!F21)),Inputs!$B$18+((C1414=TRUE)*(F1414-Calc!F23))))/100)*((1+(((C1404=TRUE)*F1404*IF(Inputs!$B$3&gt;=110,7,5))+((C1406=TRUE)*F1406*IF(AND(Inputs!$B$38&lt;&gt;"pvp",Inputs!$B$43&gt;0),(((R1406-1)*(Skills!T15*(1+Inputs!$B$34/100))+MIN((Skills!T15*(1+Inputs!$B$34/100)),MAX(0,Inputs!$B$43-((R1406-1)*Skills!D15))))/Inputs!$B$43),IF(Inputs!$B$38="pvp",MIN((Skills!T15*(1+Inputs!$B$34/100)),15)/15,(Skills!T15*(1+Inputs!$B$34/100))/Skills!D15)))+0)/100)*I1400)</f>
        <v/>
      </c>
      <c r="L1400">
        <f>K1400*(MIN(Inputs!$B$22+((C1413=TRUE)*(F1413-Calc!F22)),Inputs!$B$23+((C1415=TRUE)*(F1415-Calc!F24)))/100+(Inputs!$B$23+((C1415=TRUE)*(F1415-Calc!F24)))/100)/2</f>
        <v/>
      </c>
      <c r="M1400">
        <f>L1400*(1+(Inputs!$B$10+0+B1425)/100)</f>
        <v/>
      </c>
      <c r="N1400">
        <f>L1400*(1-MIN((Inputs!$B$9+((C1417=TRUE)*(F1417-Calc!F26))+B1420),100)/100)+M1400*(MIN((Inputs!$B$9+((C1417=TRUE)*(F1417-Calc!F26))+B1420),100)/100)</f>
        <v/>
      </c>
      <c r="O1400">
        <f>(1-Summary!$B$55)*T1400+Summary!$B$55*V1400</f>
        <v/>
      </c>
      <c r="P1400">
        <f>IF(B1430=0,0,O1400/B1430)</f>
        <v/>
      </c>
      <c r="Q1400">
        <f>IFERROR(1/IF(Inputs!$B$38="pvp",15,MAX(0.1,Skills!D9-IF(Skills!E9=TRUE,3.5,0))),0)</f>
        <v/>
      </c>
      <c r="R1400">
        <f>IF(AND(Inputs!$B$38&lt;&gt;"pvp",Inputs!$B$43&gt;0),IF(MAX(0,Inputs!$B$43-B1427)&lt;=0,0,(INT(MAX(0,Inputs!$B$43-B1427)/IF(Inputs!$B$38="pvp",15,MAX(0.1,Skills!D9-IF(Skills!E9=TRUE,3.5,0))))+1)),0)</f>
        <v/>
      </c>
      <c r="S1400">
        <f>IFERROR(O1400/N1400,0)</f>
        <v/>
      </c>
      <c r="T1400">
        <f>IF(C1400,(H1400*N1400*IF(AND(Inputs!$B$38&lt;&gt;"pvp",Inputs!$B$43&gt;0),((Skills!G9*((R1400-1)*IF(Skills!H9&gt;0,Skills!I9/Skills!H9,1)+IF(Skills!H9&gt;0,MIN(Skills!I9,MAX(0,MAX(0,Inputs!$B$43-B1427)-((R1400-1)*IF(Inputs!$B$38="pvp",15,MAX(0.1,Skills!D9-IF(Skills!E9=TRUE,3.5,0))))))/Skills!H9,1)))/Inputs!$B$43),G1400*Q1400))*IF(Inputs!$B$38="pvp",1,1+(Inputs!$B$20+0+Skills!P9+Summary!$B$59)/100),0)</f>
        <v/>
      </c>
      <c r="V1400">
        <f>IF(C1400,(H1400*N1400*IF(AND(Inputs!$B$38&lt;&gt;"pvp",Inputs!$B$43&gt;0),((Skills!G9*((R1400-1)*IF(Skills!H9&gt;0,Skills!I9/Skills!H9,1)+IF(Skills!H9&gt;0,MIN(Skills!I9,MAX(0,MAX(0,Inputs!$B$43-B1427)-((R1400-1)*IF(Inputs!$B$38="pvp",15,MAX(0.1,Skills!D9-IF(Skills!E9=TRUE,3.5,0))))))/Skills!H9,1)))/Inputs!$B$43),G1400*Q1400))*IF(Inputs!$B$38="pvp",1,(1+(Inputs!$B$21+Skills!Q9+Summary!$B$59)/100)*(MIN(Skills!R9,Inputs!$B$37))),0)</f>
        <v/>
      </c>
    </row>
    <row r="1401">
      <c r="A1401">
        <f>Skills!A10</f>
        <v/>
      </c>
      <c r="B1401">
        <f>Skills!B10</f>
        <v/>
      </c>
      <c r="C1401">
        <f>Inputs!$B$3&gt;=63</f>
        <v/>
      </c>
      <c r="D1401">
        <f>IF(Skills!C10=1,60+Inputs!$B$25+Inputs!$B$29,IF(Skills!C10=2,90+Inputs!$B$26+Inputs!$B$29,IF(Skills!C10=3,120+Inputs!$B$27+Inputs!$B$29,MAX(0,(Inputs!$B$3-100)*3)+Inputs!$B$28+Inputs!$B$29)))</f>
        <v/>
      </c>
      <c r="E1401">
        <f>INDEX(FactorTable!$B$2:$Y$301, MATCH(ROUND(MIN(300,MAX(1,D1401)),0), FactorTable!$A$2:$A$301,0), Skills!M10+1)</f>
        <v/>
      </c>
      <c r="F1401">
        <f>IF(Skills!N10=TRUE,(Skills!L10/10)*(E1401/1000),Skills!L10/10)+Skills!O10</f>
        <v/>
      </c>
      <c r="G1401">
        <f>Skills!G10*IF(Skills!H10&gt;0,Skills!I10/Skills!H10,1)</f>
        <v/>
      </c>
      <c r="H1401">
        <f>1-(1-Skills!J10/100)^Skills!K10</f>
        <v/>
      </c>
      <c r="I1401" t="inlineStr">
        <is>
          <t>1</t>
        </is>
      </c>
      <c r="J1401">
        <f>((Inputs!$B$6*(1+Inputs!$B$7/100))+(((Inputs!$B$12*(1+Inputs!$B$13/100))-(Inputs!$B$12*(1+Inputs!$B$13/100)))+0.25*(Inputs!$B$14-Inputs!$B$14))*(1+Inputs!$B$7/100))*(F1401/100)</f>
        <v/>
      </c>
      <c r="K1401">
        <f>J1401*(1+((Inputs!$B$12*(1+Inputs!$B$13/100))*0.01+Inputs!$B$14*0.0025)/100)*(1+Inputs!$B$15/100)*(1+Inputs!$B$16/100)*(5000/(6000+Inputs!$B$42*(1-(Inputs!$B$19+0)/100)))*(1+(Inputs!$B$24+((C1416=TRUE)*(F1416-Calc!F25))+B1426)/100)*(1+1.5*IF(C1403=TRUE,F1403,0)/100)*(1+IF(Skills!A10="ENHANCED_RAGING_BLOW",IF(Inputs!$B$3&gt;=134,MAX(0,IF(Inputs!$B$3&gt;=110,7,5)-5)*50,0),0)/100)*(1+(IF(Skills!A10="RAGING_BLOW",Inputs!$B$17+((C1412=TRUE)*(F1412-Calc!F21)),Inputs!$B$18+((C1414=TRUE)*(F1414-Calc!F23))))/100)*((1+(((C1404=TRUE)*F1404*IF(Inputs!$B$3&gt;=110,7,5))+((C1406=TRUE)*F1406*IF(AND(Inputs!$B$38&lt;&gt;"pvp",Inputs!$B$43&gt;0),(((R1406-1)*(Skills!T15*(1+Inputs!$B$34/100))+MIN((Skills!T15*(1+Inputs!$B$34/100)),MAX(0,Inputs!$B$43-((R1406-1)*Skills!D15))))/Inputs!$B$43),IF(Inputs!$B$38="pvp",MIN((Skills!T15*(1+Inputs!$B$34/100)),15)/15,(Skills!T15*(1+Inputs!$B$34/100))/Skills!D15)))+0)/100)*I1401)</f>
        <v/>
      </c>
      <c r="L1401">
        <f>K1401*(MIN(Inputs!$B$22+((C1413=TRUE)*(F1413-Calc!F22)),Inputs!$B$23+((C1415=TRUE)*(F1415-Calc!F24)))/100+(Inputs!$B$23+((C1415=TRUE)*(F1415-Calc!F24)))/100)/2</f>
        <v/>
      </c>
      <c r="M1401">
        <f>L1401*(1+(Inputs!$B$10+0+B1425)/100)</f>
        <v/>
      </c>
      <c r="N1401">
        <f>L1401*(1-MIN((Inputs!$B$9+((C1417=TRUE)*(F1417-Calc!F26))+B1420),100)/100)+M1401*(MIN((Inputs!$B$9+((C1417=TRUE)*(F1417-Calc!F26))+B1420),100)/100)</f>
        <v/>
      </c>
      <c r="O1401">
        <f>(1-Summary!$B$55)*T1401+Summary!$B$55*V1401</f>
        <v/>
      </c>
      <c r="P1401">
        <f>IF(B1430=0,0,O1401/B1430)</f>
        <v/>
      </c>
      <c r="Q1401">
        <f>IFERROR(1/IF(Inputs!$B$38="pvp",15,MAX(0.1,Skills!D10-IF(Skills!E10=TRUE,3.5,0))),0)</f>
        <v/>
      </c>
      <c r="R1401">
        <f>IF(AND(Inputs!$B$38&lt;&gt;"pvp",Inputs!$B$43&gt;0),IF(MAX(0,Inputs!$B$43-B1427)&lt;=0,0,(INT(MAX(0,Inputs!$B$43-B1427)/IF(Inputs!$B$38="pvp",15,MAX(0.1,Skills!D10-IF(Skills!E10=TRUE,3.5,0))))+1)),0)</f>
        <v/>
      </c>
      <c r="S1401">
        <f>IFERROR(O1401/N1401,0)</f>
        <v/>
      </c>
      <c r="T1401">
        <f>IF(C1401,(H1401*N1401*IF(AND(Inputs!$B$38&lt;&gt;"pvp",Inputs!$B$43&gt;0),((Skills!G10*((R1401-1)*IF(Skills!H10&gt;0,Skills!I10/Skills!H10,1)+IF(Skills!H10&gt;0,MIN(Skills!I10,MAX(0,MAX(0,Inputs!$B$43-B1427)-((R1401-1)*IF(Inputs!$B$38="pvp",15,MAX(0.1,Skills!D10-IF(Skills!E10=TRUE,3.5,0))))))/Skills!H10,1)))/Inputs!$B$43),G1401*Q1401))*IF(Inputs!$B$38="pvp",1,1+(Inputs!$B$20+0+Skills!P10+Summary!$B$59)/100),0)</f>
        <v/>
      </c>
      <c r="V1401">
        <f>IF(C1401,(H1401*N1401*IF(AND(Inputs!$B$38&lt;&gt;"pvp",Inputs!$B$43&gt;0),((Skills!G10*((R1401-1)*IF(Skills!H10&gt;0,Skills!I10/Skills!H10,1)+IF(Skills!H10&gt;0,MIN(Skills!I10,MAX(0,MAX(0,Inputs!$B$43-B1427)-((R1401-1)*IF(Inputs!$B$38="pvp",15,MAX(0.1,Skills!D10-IF(Skills!E10=TRUE,3.5,0))))))/Skills!H10,1)))/Inputs!$B$43),G1401*Q1401))*IF(Inputs!$B$38="pvp",1,(1+(Inputs!$B$21+Skills!Q10+Summary!$B$59)/100)*(MIN(Skills!R10,Inputs!$B$37))),0)</f>
        <v/>
      </c>
    </row>
    <row r="1402">
      <c r="A1402">
        <f>Skills!A11</f>
        <v/>
      </c>
      <c r="B1402">
        <f>Skills!B11</f>
        <v/>
      </c>
      <c r="C1402">
        <f>Inputs!$B$3&gt;=35</f>
        <v/>
      </c>
      <c r="D1402">
        <f>IF(Skills!C11=1,60+Inputs!$B$25+Inputs!$B$29,IF(Skills!C11=2,90+Inputs!$B$26+Inputs!$B$29,IF(Skills!C11=3,120+Inputs!$B$27+Inputs!$B$29,MAX(0,(Inputs!$B$3-100)*3)+Inputs!$B$28+Inputs!$B$29)))</f>
        <v/>
      </c>
      <c r="E1402">
        <f>INDEX(FactorTable!$B$2:$Y$301, MATCH(ROUND(MIN(300,MAX(1,D1402)),0), FactorTable!$A$2:$A$301,0), Skills!M11+1)</f>
        <v/>
      </c>
      <c r="F1402">
        <f>IF(Skills!N11=TRUE,(Skills!L11/10)*(E1402/1000),Skills!L11/10)+Skills!O11</f>
        <v/>
      </c>
      <c r="G1402">
        <f>Skills!G11*IF(Skills!H11&gt;0,Skills!I11/Skills!H11,1)</f>
        <v/>
      </c>
      <c r="H1402">
        <f>1-(1-Skills!J11/100)^Skills!K11</f>
        <v/>
      </c>
      <c r="I1402" t="inlineStr">
        <is>
          <t>1</t>
        </is>
      </c>
      <c r="J1402">
        <f>((Inputs!$B$6*(1+Inputs!$B$7/100))+(((Inputs!$B$12*(1+Inputs!$B$13/100))-(Inputs!$B$12*(1+Inputs!$B$13/100)))+0.25*(Inputs!$B$14-Inputs!$B$14))*(1+Inputs!$B$7/100))*(F1402/100)</f>
        <v/>
      </c>
      <c r="K1402">
        <f>J1402*(1+((Inputs!$B$12*(1+Inputs!$B$13/100))*0.01+Inputs!$B$14*0.0025)/100)*(1+Inputs!$B$15/100)*(1+Inputs!$B$16/100)*(5000/(6000+Inputs!$B$42*(1-(Inputs!$B$19+0)/100)))*(1+(Inputs!$B$24+((C1416=TRUE)*(F1416-Calc!F25))+B1426)/100)*(1+4.0*IF(C1403=TRUE,F1403,0)/100)*(1+IF(Skills!A11="ENHANCED_RAGING_BLOW",IF(Inputs!$B$3&gt;=134,MAX(0,IF(Inputs!$B$3&gt;=110,7,5)-5)*50,0),0)/100)*(1+(IF(Skills!A11="RAGING_BLOW",Inputs!$B$17+((C1412=TRUE)*(F1412-Calc!F21)),Inputs!$B$18+((C1414=TRUE)*(F1414-Calc!F23))))/100)*((1+(((C1404=TRUE)*F1404*IF(Inputs!$B$3&gt;=110,7,5))+((C1406=TRUE)*F1406*IF(AND(Inputs!$B$38&lt;&gt;"pvp",Inputs!$B$43&gt;0),(((R1406-1)*(Skills!T15*(1+Inputs!$B$34/100))+MIN((Skills!T15*(1+Inputs!$B$34/100)),MAX(0,Inputs!$B$43-((R1406-1)*Skills!D15))))/Inputs!$B$43),IF(Inputs!$B$38="pvp",MIN((Skills!T15*(1+Inputs!$B$34/100)),15)/15,(Skills!T15*(1+Inputs!$B$34/100))/Skills!D15)))+0)/100)*I1402)</f>
        <v/>
      </c>
      <c r="L1402">
        <f>K1402*(MIN(Inputs!$B$22+((C1413=TRUE)*(F1413-Calc!F22)),Inputs!$B$23+((C1415=TRUE)*(F1415-Calc!F24)))/100+(Inputs!$B$23+((C1415=TRUE)*(F1415-Calc!F24)))/100)/2</f>
        <v/>
      </c>
      <c r="M1402">
        <f>L1402*(1+(Inputs!$B$10+0+B1425)/100)</f>
        <v/>
      </c>
      <c r="N1402">
        <f>L1402*(1-MIN((Inputs!$B$9+((C1417=TRUE)*(F1417-Calc!F26))+B1420),100)/100)+M1402*(MIN((Inputs!$B$9+((C1417=TRUE)*(F1417-Calc!F26))+B1420),100)/100)</f>
        <v/>
      </c>
      <c r="O1402">
        <f>(1-Summary!$B$55)*T1402+Summary!$B$55*V1402</f>
        <v/>
      </c>
      <c r="P1402">
        <f>IF(B1430=0,0,O1402/B1430)</f>
        <v/>
      </c>
      <c r="Q1402">
        <f>IFERROR(1/IF(Inputs!$B$38="pvp",15,MAX(0.1,Skills!D11-IF(Skills!E11=TRUE,3.5,0))),0)</f>
        <v/>
      </c>
      <c r="R1402">
        <f>IF(AND(Inputs!$B$38&lt;&gt;"pvp",Inputs!$B$43&gt;0),IF(MAX(0,Inputs!$B$43-B1427)&lt;=0,0,(INT(MAX(0,Inputs!$B$43-B1427)/IF(Inputs!$B$38="pvp",15,MAX(0.1,Skills!D11-IF(Skills!E11=TRUE,3.5,0))))+1)),0)</f>
        <v/>
      </c>
      <c r="S1402">
        <f>IFERROR(O1402/N1402,0)</f>
        <v/>
      </c>
      <c r="T1402">
        <f>IF(C1402,(H1402*N1402*IF(AND(Inputs!$B$38&lt;&gt;"pvp",Inputs!$B$43&gt;0),((Skills!G11*((R1402-1)*IF(Skills!H11&gt;0,Skills!I11/Skills!H11,1)+IF(Skills!H11&gt;0,MIN(Skills!I11,MAX(0,MAX(0,Inputs!$B$43-B1427)-((R1402-1)*IF(Inputs!$B$38="pvp",15,MAX(0.1,Skills!D11-IF(Skills!E11=TRUE,3.5,0))))))/Skills!H11,1)))/Inputs!$B$43),G1402*Q1402))*IF(Inputs!$B$38="pvp",1,1+(Inputs!$B$20+0+Skills!P11+Summary!$B$59)/100),0)</f>
        <v/>
      </c>
      <c r="V1402">
        <f>IF(C1402,(H1402*N1402*IF(AND(Inputs!$B$38&lt;&gt;"pvp",Inputs!$B$43&gt;0),((Skills!G11*((R1402-1)*IF(Skills!H11&gt;0,Skills!I11/Skills!H11,1)+IF(Skills!H11&gt;0,MIN(Skills!I11,MAX(0,MAX(0,Inputs!$B$43-B1427)-((R1402-1)*IF(Inputs!$B$38="pvp",15,MAX(0.1,Skills!D11-IF(Skills!E11=TRUE,3.5,0))))))/Skills!H11,1)))/Inputs!$B$43),G1402*Q1402))*IF(Inputs!$B$38="pvp",1,(1+(Inputs!$B$21+Skills!Q11+Summary!$B$59)/100)*(MIN(Skills!R11,Inputs!$B$37))),0)</f>
        <v/>
      </c>
    </row>
    <row r="1403">
      <c r="A1403">
        <f>Skills!A12</f>
        <v/>
      </c>
      <c r="B1403">
        <f>Skills!B12</f>
        <v/>
      </c>
      <c r="C1403">
        <f>Inputs!$B$3&gt;=100</f>
        <v/>
      </c>
      <c r="D1403">
        <f>IF(Skills!C12=1,60+Inputs!$B$25+Inputs!$B$29,IF(Skills!C12=2,90+Inputs!$B$26+Inputs!$B$29,IF(Skills!C12=3,120+Inputs!$B$27+Inputs!$B$29,MAX(0,(Inputs!$B$3-100)*3)+Inputs!$B$28+Inputs!$B$29)))</f>
        <v/>
      </c>
      <c r="E1403">
        <f>INDEX(FactorTable!$B$2:$Y$301, MATCH(ROUND(MIN(300,MAX(1,D1403)),0), FactorTable!$A$2:$A$301,0), Skills!M12+1)</f>
        <v/>
      </c>
      <c r="F1403">
        <f>IF(Skills!N12=TRUE,(Skills!L12/10)*(E1403/1000),Skills!L12/10)+Skills!O12</f>
        <v/>
      </c>
      <c r="G1403" t="inlineStr"/>
      <c r="H1403" t="inlineStr"/>
      <c r="I1403" t="inlineStr">
        <is>
          <t>1</t>
        </is>
      </c>
      <c r="J1403" t="inlineStr"/>
      <c r="K1403" t="inlineStr"/>
      <c r="L1403" t="inlineStr"/>
      <c r="M1403" t="inlineStr"/>
      <c r="N1403" t="inlineStr"/>
      <c r="O1403" t="inlineStr"/>
      <c r="P1403" t="inlineStr"/>
      <c r="Q1403" t="inlineStr"/>
      <c r="R1403" t="inlineStr"/>
      <c r="S1403" t="inlineStr"/>
    </row>
    <row r="1404">
      <c r="A1404">
        <f>Skills!A13</f>
        <v/>
      </c>
      <c r="B1404">
        <f>Skills!B13</f>
        <v/>
      </c>
      <c r="C1404">
        <f>Inputs!$B$3&gt;=45</f>
        <v/>
      </c>
      <c r="D1404">
        <f>IF(Skills!C13=1,60+Inputs!$B$25+Inputs!$B$29,IF(Skills!C13=2,90+Inputs!$B$26+Inputs!$B$29,IF(Skills!C13=3,120+Inputs!$B$27+Inputs!$B$29,MAX(0,(Inputs!$B$3-100)*3)+Inputs!$B$28+Inputs!$B$29)))</f>
        <v/>
      </c>
      <c r="E1404">
        <f>INDEX(FactorTable!$B$2:$Y$301, MATCH(ROUND(MIN(300,MAX(1,D1404)),0), FactorTable!$A$2:$A$301,0), Skills!M13+1)</f>
        <v/>
      </c>
      <c r="F1404">
        <f>IF(Skills!N13=TRUE,(Skills!L13/10)*(E1404/1000),Skills!L13/10)+Skills!O13</f>
        <v/>
      </c>
      <c r="G1404">
        <f>Skills!G13*IF(Skills!H13&gt;0,Skills!I13/Skills!H13,1)</f>
        <v/>
      </c>
      <c r="H1404">
        <f>1-(1-Skills!J13/100)^Skills!K13</f>
        <v/>
      </c>
      <c r="I1404" t="inlineStr">
        <is>
          <t>1</t>
        </is>
      </c>
      <c r="J1404" t="inlineStr"/>
      <c r="K1404" t="inlineStr"/>
      <c r="L1404" t="inlineStr"/>
      <c r="M1404" t="inlineStr"/>
      <c r="N1404" t="inlineStr"/>
      <c r="O1404">
        <f>(1-Summary!$B$55)*T1404+Summary!$B$55*V1404</f>
        <v/>
      </c>
      <c r="P1404">
        <f>IF(B1430=0,0,O1404/B1430)</f>
        <v/>
      </c>
      <c r="Q1404" t="n">
        <v>0</v>
      </c>
      <c r="R1404" t="n">
        <v>0</v>
      </c>
      <c r="S1404">
        <f>IFERROR(O1404/N1404,0)</f>
        <v/>
      </c>
      <c r="T1404" t="n">
        <v>0</v>
      </c>
      <c r="V1404" t="n">
        <v>0</v>
      </c>
    </row>
    <row r="1405">
      <c r="A1405">
        <f>Skills!A14</f>
        <v/>
      </c>
      <c r="B1405">
        <f>Skills!B14</f>
        <v/>
      </c>
      <c r="C1405">
        <f>Inputs!$B$3&gt;=75</f>
        <v/>
      </c>
      <c r="D1405">
        <f>IF(Skills!C14=1,60+Inputs!$B$25+Inputs!$B$29,IF(Skills!C14=2,90+Inputs!$B$26+Inputs!$B$29,IF(Skills!C14=3,120+Inputs!$B$27+Inputs!$B$29,MAX(0,(Inputs!$B$3-100)*3)+Inputs!$B$28+Inputs!$B$29)))</f>
        <v/>
      </c>
      <c r="E1405">
        <f>INDEX(FactorTable!$B$2:$Y$301, MATCH(ROUND(MIN(300,MAX(1,D1405)),0), FactorTable!$A$2:$A$301,0), Skills!M14+1)</f>
        <v/>
      </c>
      <c r="F1405">
        <f>IF(Skills!N14=TRUE,(Skills!L14/10)*(E1405/1000),Skills!L14/10)+Skills!O14</f>
        <v/>
      </c>
      <c r="G1405">
        <f>Skills!G14*IF(Skills!H14&gt;0,Skills!I14/Skills!H14,1)</f>
        <v/>
      </c>
      <c r="H1405">
        <f>1-(1-Skills!J14/100)^Skills!K14</f>
        <v/>
      </c>
      <c r="I1405" t="inlineStr">
        <is>
          <t>1</t>
        </is>
      </c>
      <c r="J1405" t="inlineStr"/>
      <c r="K1405" t="inlineStr"/>
      <c r="L1405" t="inlineStr"/>
      <c r="M1405" t="inlineStr"/>
      <c r="N1405" t="inlineStr"/>
      <c r="O1405">
        <f>(1-Summary!$B$55)*T1405+Summary!$B$55*V1405</f>
        <v/>
      </c>
      <c r="P1405">
        <f>IF(B1430=0,0,O1405/B1430)</f>
        <v/>
      </c>
      <c r="Q1405" t="n">
        <v>0</v>
      </c>
      <c r="R1405" t="n">
        <v>0</v>
      </c>
      <c r="S1405">
        <f>IFERROR(O1405/N1405,0)</f>
        <v/>
      </c>
      <c r="T1405" t="n">
        <v>0</v>
      </c>
      <c r="V1405" t="n">
        <v>0</v>
      </c>
    </row>
    <row r="1406">
      <c r="A1406">
        <f>Skills!A15</f>
        <v/>
      </c>
      <c r="B1406">
        <f>Skills!B15</f>
        <v/>
      </c>
      <c r="C1406">
        <f>Inputs!$B$3&gt;=40</f>
        <v/>
      </c>
      <c r="D1406">
        <f>IF(Skills!C15=1,60+Inputs!$B$25+Inputs!$B$29,IF(Skills!C15=2,90+Inputs!$B$26+Inputs!$B$29,IF(Skills!C15=3,120+Inputs!$B$27+Inputs!$B$29,MAX(0,(Inputs!$B$3-100)*3)+Inputs!$B$28+Inputs!$B$29)))</f>
        <v/>
      </c>
      <c r="E1406">
        <f>INDEX(FactorTable!$B$2:$Y$301, MATCH(ROUND(MIN(300,MAX(1,D1406)),0), FactorTable!$A$2:$A$301,0), Skills!M15+1)</f>
        <v/>
      </c>
      <c r="F1406">
        <f>IF(Skills!N15=TRUE,(Skills!L15/10)*(E1406/1000),Skills!L15/10)+Skills!O15</f>
        <v/>
      </c>
      <c r="G1406">
        <f>Skills!G15*IF(Skills!H15&gt;0,Skills!I15/Skills!H15,1)</f>
        <v/>
      </c>
      <c r="H1406">
        <f>1-(1-Skills!J15/100)^Skills!K15</f>
        <v/>
      </c>
      <c r="I1406" t="inlineStr">
        <is>
          <t>1</t>
        </is>
      </c>
      <c r="J1406" t="inlineStr"/>
      <c r="K1406" t="inlineStr"/>
      <c r="L1406" t="inlineStr"/>
      <c r="M1406" t="inlineStr"/>
      <c r="N1406" t="inlineStr"/>
      <c r="O1406">
        <f>(1-Summary!$B$55)*T1406+Summary!$B$55*V1406</f>
        <v/>
      </c>
      <c r="P1406">
        <f>IF(B1430=0,0,O1406/B1430)</f>
        <v/>
      </c>
      <c r="Q1406">
        <f>IFERROR(1/IF(Inputs!$B$38="pvp",15,MAX(0.1,Skills!D15-IF(Skills!E15=TRUE,3.5,0))),0)</f>
        <v/>
      </c>
      <c r="R1406">
        <f>IF(AND(Inputs!$B$38&lt;&gt;"pvp",Inputs!$B$43&gt;0),IF(Inputs!$B$43&lt;=0,0,(INT(Inputs!$B$43/IF(Inputs!$B$38="pvp",15,MAX(0.1,Skills!D15-IF(Skills!E15=TRUE,3.5,0))))+1)),0)</f>
        <v/>
      </c>
      <c r="S1406">
        <f>IFERROR(O1406/N1406,0)</f>
        <v/>
      </c>
      <c r="T1406" t="n">
        <v>0</v>
      </c>
      <c r="V1406" t="n">
        <v>0</v>
      </c>
    </row>
    <row r="1407">
      <c r="A1407">
        <f>Skills!A16</f>
        <v/>
      </c>
      <c r="B1407">
        <f>Skills!B16</f>
        <v/>
      </c>
      <c r="C1407">
        <f>Inputs!$B$3&gt;=66</f>
        <v/>
      </c>
      <c r="D1407">
        <f>IF(Skills!C16=1,60+Inputs!$B$25+Inputs!$B$29,IF(Skills!C16=2,90+Inputs!$B$26+Inputs!$B$29,IF(Skills!C16=3,120+Inputs!$B$27+Inputs!$B$29,MAX(0,(Inputs!$B$3-100)*3)+Inputs!$B$28+Inputs!$B$29)))</f>
        <v/>
      </c>
      <c r="E1407">
        <f>INDEX(FactorTable!$B$2:$Y$301, MATCH(ROUND(MIN(300,MAX(1,D1407)),0), FactorTable!$A$2:$A$301,0), Skills!M16+1)</f>
        <v/>
      </c>
      <c r="F1407">
        <f>IF(Skills!N16=TRUE,(Skills!L16/10)*(E1407/1000),Skills!L16/10)+Skills!O16</f>
        <v/>
      </c>
      <c r="G1407">
        <f>Skills!G16*IF(Skills!H16&gt;0,Skills!I16/Skills!H16,1)</f>
        <v/>
      </c>
      <c r="H1407">
        <f>1-(1-Skills!J16/100)^Skills!K16</f>
        <v/>
      </c>
      <c r="I1407" t="inlineStr">
        <is>
          <t>1</t>
        </is>
      </c>
      <c r="J1407" t="inlineStr"/>
      <c r="K1407" t="inlineStr"/>
      <c r="L1407" t="inlineStr"/>
      <c r="M1407" t="inlineStr"/>
      <c r="N1407" t="inlineStr"/>
      <c r="O1407">
        <f>(1-Summary!$B$55)*T1407+Summary!$B$55*V1407</f>
        <v/>
      </c>
      <c r="P1407">
        <f>IF(B1430=0,0,O1407/B1430)</f>
        <v/>
      </c>
      <c r="Q1407">
        <f>IFERROR(1/IF(Inputs!$B$38="pvp",15,MAX(0.1,Skills!D16-IF(Skills!E16=TRUE,3.5,0))),0)</f>
        <v/>
      </c>
      <c r="R1407">
        <f>IF(AND(Inputs!$B$38&lt;&gt;"pvp",Inputs!$B$43&gt;0),IF(Inputs!$B$43&lt;=0,0,(INT(Inputs!$B$43/IF(Inputs!$B$38="pvp",15,MAX(0.1,Skills!D16-IF(Skills!E16=TRUE,3.5,0))))+1)),0)</f>
        <v/>
      </c>
      <c r="S1407">
        <f>IFERROR(O1407/N1407,0)</f>
        <v/>
      </c>
      <c r="T1407" t="n">
        <v>0</v>
      </c>
      <c r="V1407" t="n">
        <v>0</v>
      </c>
    </row>
    <row r="1408">
      <c r="A1408">
        <f>Skills!A17</f>
        <v/>
      </c>
      <c r="B1408">
        <f>Skills!B17</f>
        <v/>
      </c>
      <c r="C1408">
        <f>Inputs!$B$3&gt;=115</f>
        <v/>
      </c>
      <c r="D1408">
        <f>IF(Skills!C17=1,60+Inputs!$B$25+Inputs!$B$29,IF(Skills!C17=2,90+Inputs!$B$26+Inputs!$B$29,IF(Skills!C17=3,120+Inputs!$B$27+Inputs!$B$29,MAX(0,(Inputs!$B$3-100)*3)+Inputs!$B$28+Inputs!$B$29)))</f>
        <v/>
      </c>
      <c r="E1408">
        <f>INDEX(FactorTable!$B$2:$Y$301, MATCH(ROUND(MIN(300,MAX(1,D1408)),0), FactorTable!$A$2:$A$301,0), Skills!M17+1)</f>
        <v/>
      </c>
      <c r="F1408">
        <f>IF(Skills!N17=TRUE,(Skills!L17/10)*(E1408/1000),Skills!L17/10)+Skills!O17</f>
        <v/>
      </c>
      <c r="G1408">
        <f>Skills!G17*IF(Skills!H17&gt;0,Skills!I17/Skills!H17,1)</f>
        <v/>
      </c>
      <c r="H1408">
        <f>1-(1-Skills!J17/100)^Skills!K17</f>
        <v/>
      </c>
      <c r="I1408" t="inlineStr">
        <is>
          <t>1</t>
        </is>
      </c>
      <c r="J1408" t="inlineStr"/>
      <c r="K1408" t="inlineStr"/>
      <c r="L1408" t="inlineStr"/>
      <c r="M1408" t="inlineStr"/>
      <c r="N1408" t="inlineStr"/>
      <c r="O1408">
        <f>(1-Summary!$B$55)*T1408+Summary!$B$55*V1408</f>
        <v/>
      </c>
      <c r="P1408">
        <f>IF(B1430=0,0,O1408/B1430)</f>
        <v/>
      </c>
      <c r="Q1408">
        <f>IFERROR(1/IF(Inputs!$B$38="pvp",15,MAX(0.1,Skills!D17-IF(Skills!E17=TRUE,3.5,0))),0)</f>
        <v/>
      </c>
      <c r="R1408">
        <f>IF(AND(Inputs!$B$38&lt;&gt;"pvp",Inputs!$B$43&gt;0),IF(Inputs!$B$43&lt;=0,0,(INT(Inputs!$B$43/IF(Inputs!$B$38="pvp",15,MAX(0.1,Skills!D17-IF(Skills!E17=TRUE,3.5,0))))+1)),0)</f>
        <v/>
      </c>
      <c r="S1408">
        <f>IFERROR(O1408/N1408,0)</f>
        <v/>
      </c>
      <c r="T1408" t="n">
        <v>0</v>
      </c>
      <c r="V1408" t="n">
        <v>0</v>
      </c>
    </row>
    <row r="1409">
      <c r="A1409">
        <f>Skills!A18</f>
        <v/>
      </c>
      <c r="B1409">
        <f>Skills!B18</f>
        <v/>
      </c>
      <c r="C1409">
        <f>Inputs!$B$3&gt;=115</f>
        <v/>
      </c>
      <c r="D1409">
        <f>IF(Skills!C18=1,60+Inputs!$B$25+Inputs!$B$29,IF(Skills!C18=2,90+Inputs!$B$26+Inputs!$B$29,IF(Skills!C18=3,120+Inputs!$B$27+Inputs!$B$29,MAX(0,(Inputs!$B$3-100)*3)+Inputs!$B$28+Inputs!$B$29)))</f>
        <v/>
      </c>
      <c r="E1409">
        <f>INDEX(FactorTable!$B$2:$Y$301, MATCH(ROUND(MIN(300,MAX(1,D1409)),0), FactorTable!$A$2:$A$301,0), Skills!M18+1)</f>
        <v/>
      </c>
      <c r="F1409">
        <f>IF(Skills!N18=TRUE,(Skills!L18/10)*(E1409/1000),Skills!L18/10)+Skills!O18</f>
        <v/>
      </c>
      <c r="G1409">
        <f>Skills!G18*IF(Skills!H18&gt;0,Skills!I18/Skills!H18,1)</f>
        <v/>
      </c>
      <c r="H1409">
        <f>1-(1-Skills!J18/100)^Skills!K18</f>
        <v/>
      </c>
      <c r="I1409" t="inlineStr">
        <is>
          <t>1</t>
        </is>
      </c>
      <c r="J1409" t="inlineStr"/>
      <c r="K1409" t="inlineStr"/>
      <c r="L1409" t="inlineStr"/>
      <c r="M1409" t="inlineStr"/>
      <c r="N1409" t="inlineStr"/>
      <c r="O1409">
        <f>(1-Summary!$B$55)*T1409+Summary!$B$55*V1409</f>
        <v/>
      </c>
      <c r="P1409">
        <f>IF(B1430=0,0,O1409/B1430)</f>
        <v/>
      </c>
      <c r="Q1409">
        <f>IFERROR(1/IF(Inputs!$B$38="pvp",15,MAX(0.1,Skills!D18-IF(Skills!E18=TRUE,3.5,0))),0)</f>
        <v/>
      </c>
      <c r="R1409">
        <f>IF(AND(Inputs!$B$38&lt;&gt;"pvp",Inputs!$B$43&gt;0),IF(Inputs!$B$43&lt;=0,0,(INT(Inputs!$B$43/IF(Inputs!$B$38="pvp",15,MAX(0.1,Skills!D18-IF(Skills!E18=TRUE,3.5,0))))+1)),0)</f>
        <v/>
      </c>
      <c r="S1409">
        <f>IFERROR(O1409/N1409,0)</f>
        <v/>
      </c>
      <c r="T1409" t="n">
        <v>0</v>
      </c>
      <c r="V1409" t="n">
        <v>0</v>
      </c>
    </row>
    <row r="1410">
      <c r="A1410">
        <f>Skills!A19</f>
        <v/>
      </c>
      <c r="B1410">
        <f>Skills!B19</f>
        <v/>
      </c>
      <c r="C1410">
        <f>TRUE</f>
        <v/>
      </c>
      <c r="D1410">
        <f>IF(Skills!C19=1,60+Inputs!$B$25+Inputs!$B$29,IF(Skills!C19=2,90+Inputs!$B$26+Inputs!$B$29,IF(Skills!C19=3,120+Inputs!$B$27+Inputs!$B$29,MAX(0,(Inputs!$B$3-100)*3)+Inputs!$B$28+Inputs!$B$29)))</f>
        <v/>
      </c>
      <c r="E1410">
        <f>INDEX(FactorTable!$B$2:$Y$301, MATCH(ROUND(MIN(300,MAX(1,D1410)),0), FactorTable!$A$2:$A$301,0), Skills!M19+1)</f>
        <v/>
      </c>
      <c r="F1410">
        <f>IF(Skills!N19=TRUE,(Skills!L19/10)*(E1410/1000),Skills!L19/10)+Skills!O19</f>
        <v/>
      </c>
      <c r="G1410">
        <f>Skills!G19*IF(Skills!H19&gt;0,Skills!I19/Skills!H19,1)</f>
        <v/>
      </c>
      <c r="H1410">
        <f>1-(1-Skills!J19/100)^Skills!K19</f>
        <v/>
      </c>
      <c r="I1410" t="inlineStr">
        <is>
          <t>1</t>
        </is>
      </c>
      <c r="J1410" t="inlineStr"/>
      <c r="K1410" t="inlineStr"/>
      <c r="L1410" t="inlineStr"/>
      <c r="M1410" t="inlineStr"/>
      <c r="N1410" t="inlineStr"/>
      <c r="O1410">
        <f>(1-Summary!$B$55)*T1410+Summary!$B$55*V1410</f>
        <v/>
      </c>
      <c r="P1410">
        <f>IF(B1430=0,0,O1410/B1430)</f>
        <v/>
      </c>
      <c r="Q1410">
        <f>IFERROR(1/IF(Inputs!$B$38="pvp",15,MAX(0.1,Skills!D19-IF(Skills!E19=TRUE,3.5,0))),0)</f>
        <v/>
      </c>
      <c r="R1410">
        <f>IF(AND(Inputs!$B$38&lt;&gt;"pvp",Inputs!$B$43&gt;0),IF(Inputs!$B$43&lt;=0,0,(INT(Inputs!$B$43/IF(Inputs!$B$38="pvp",15,MAX(0.1,Skills!D19-IF(Skills!E19=TRUE,3.5,0))))+1)),0)</f>
        <v/>
      </c>
      <c r="S1410">
        <f>IFERROR(O1410/N1410,0)</f>
        <v/>
      </c>
      <c r="T1410" t="n">
        <v>0</v>
      </c>
      <c r="V1410" t="n">
        <v>0</v>
      </c>
    </row>
    <row r="1411">
      <c r="A1411">
        <f>Skills!A20</f>
        <v/>
      </c>
      <c r="B1411">
        <f>Skills!B20</f>
        <v/>
      </c>
      <c r="C1411">
        <f>Inputs!$B$3&gt;=33</f>
        <v/>
      </c>
      <c r="D1411">
        <f>IF(Skills!C20=1,60+Inputs!$B$25+Inputs!$B$29,IF(Skills!C20=2,90+Inputs!$B$26+Inputs!$B$29,IF(Skills!C20=3,120+Inputs!$B$27+Inputs!$B$29,MAX(0,(Inputs!$B$3-100)*3)+Inputs!$B$28+Inputs!$B$29)))</f>
        <v/>
      </c>
      <c r="E1411">
        <f>INDEX(FactorTable!$B$2:$Y$301, MATCH(ROUND(MIN(300,MAX(1,D1411)),0), FactorTable!$A$2:$A$301,0), Skills!M20+1)</f>
        <v/>
      </c>
      <c r="F1411">
        <f>IF(Skills!N20=TRUE,(Skills!L20/10)*(E1411/1000),Skills!L20/10)+Skills!O20</f>
        <v/>
      </c>
      <c r="G1411">
        <f>Skills!G20*IF(Skills!H20&gt;0,Skills!I20/Skills!H20,1)</f>
        <v/>
      </c>
      <c r="H1411">
        <f>1-(1-Skills!J20/100)^Skills!K20</f>
        <v/>
      </c>
      <c r="I1411" t="inlineStr">
        <is>
          <t>1</t>
        </is>
      </c>
      <c r="J1411" t="inlineStr"/>
      <c r="K1411" t="inlineStr"/>
      <c r="L1411" t="inlineStr"/>
      <c r="M1411" t="inlineStr"/>
      <c r="N1411" t="inlineStr"/>
      <c r="O1411">
        <f>(1-Summary!$B$55)*T1411+Summary!$B$55*V1411</f>
        <v/>
      </c>
      <c r="P1411">
        <f>IF(B1430=0,0,O1411/B1430)</f>
        <v/>
      </c>
      <c r="Q1411" t="n">
        <v>0</v>
      </c>
      <c r="R1411" t="n">
        <v>0</v>
      </c>
      <c r="S1411">
        <f>IFERROR(O1411/N1411,0)</f>
        <v/>
      </c>
      <c r="T1411" t="n">
        <v>0</v>
      </c>
      <c r="V1411" t="n">
        <v>0</v>
      </c>
    </row>
    <row r="1412">
      <c r="A1412">
        <f>Skills!A21</f>
        <v/>
      </c>
      <c r="B1412">
        <f>Skills!B21</f>
        <v/>
      </c>
      <c r="C1412">
        <f>Inputs!$B$3&gt;=38</f>
        <v/>
      </c>
      <c r="D1412">
        <f>IF(Skills!C21=1,60+Inputs!$B$25+Inputs!$B$29,IF(Skills!C21=2,90+Inputs!$B$26+Inputs!$B$29,IF(Skills!C21=3,120+Inputs!$B$27+Inputs!$B$29,MAX(0,(Inputs!$B$3-100)*3)+Inputs!$B$28+Inputs!$B$29)))</f>
        <v/>
      </c>
      <c r="E1412">
        <f>INDEX(FactorTable!$B$2:$Y$301, MATCH(ROUND(MIN(300,MAX(1,D1412)),0), FactorTable!$A$2:$A$301,0), Skills!M21+1)</f>
        <v/>
      </c>
      <c r="F1412">
        <f>IF(Skills!N21=TRUE,(Skills!L21/10)*(E1412/1000),Skills!L21/10)+Skills!O21</f>
        <v/>
      </c>
      <c r="G1412">
        <f>Skills!G21*IF(Skills!H21&gt;0,Skills!I21/Skills!H21,1)</f>
        <v/>
      </c>
      <c r="H1412">
        <f>1-(1-Skills!J21/100)^Skills!K21</f>
        <v/>
      </c>
      <c r="I1412" t="inlineStr">
        <is>
          <t>1</t>
        </is>
      </c>
      <c r="J1412" t="inlineStr"/>
      <c r="K1412" t="inlineStr"/>
      <c r="L1412" t="inlineStr"/>
      <c r="M1412" t="inlineStr"/>
      <c r="N1412" t="inlineStr"/>
      <c r="O1412">
        <f>(1-Summary!$B$55)*T1412+Summary!$B$55*V1412</f>
        <v/>
      </c>
      <c r="P1412">
        <f>IF(B1430=0,0,O1412/B1430)</f>
        <v/>
      </c>
      <c r="Q1412" t="n">
        <v>0</v>
      </c>
      <c r="R1412" t="n">
        <v>0</v>
      </c>
      <c r="S1412">
        <f>IFERROR(O1412/N1412,0)</f>
        <v/>
      </c>
      <c r="T1412" t="n">
        <v>0</v>
      </c>
      <c r="V1412" t="n">
        <v>0</v>
      </c>
    </row>
    <row r="1413">
      <c r="A1413">
        <f>Skills!A22</f>
        <v/>
      </c>
      <c r="B1413">
        <f>Skills!B22</f>
        <v/>
      </c>
      <c r="C1413">
        <f>Inputs!$B$3&gt;=43</f>
        <v/>
      </c>
      <c r="D1413">
        <f>IF(Skills!C22=1,60+Inputs!$B$25+Inputs!$B$29,IF(Skills!C22=2,90+Inputs!$B$26+Inputs!$B$29,IF(Skills!C22=3,120+Inputs!$B$27+Inputs!$B$29,MAX(0,(Inputs!$B$3-100)*3)+Inputs!$B$28+Inputs!$B$29)))</f>
        <v/>
      </c>
      <c r="E1413">
        <f>INDEX(FactorTable!$B$2:$Y$301, MATCH(ROUND(MIN(300,MAX(1,D1413)),0), FactorTable!$A$2:$A$301,0), Skills!M22+1)</f>
        <v/>
      </c>
      <c r="F1413">
        <f>IF(Skills!N22=TRUE,(Skills!L22/10)*(E1413/1000),Skills!L22/10)+Skills!O22</f>
        <v/>
      </c>
      <c r="G1413">
        <f>Skills!G22*IF(Skills!H22&gt;0,Skills!I22/Skills!H22,1)</f>
        <v/>
      </c>
      <c r="H1413">
        <f>1-(1-Skills!J22/100)^Skills!K22</f>
        <v/>
      </c>
      <c r="I1413" t="inlineStr">
        <is>
          <t>1</t>
        </is>
      </c>
      <c r="J1413" t="inlineStr"/>
      <c r="K1413" t="inlineStr"/>
      <c r="L1413" t="inlineStr"/>
      <c r="M1413" t="inlineStr"/>
      <c r="N1413" t="inlineStr"/>
      <c r="O1413">
        <f>(1-Summary!$B$55)*T1413+Summary!$B$55*V1413</f>
        <v/>
      </c>
      <c r="P1413">
        <f>IF(B1430=0,0,O1413/B1430)</f>
        <v/>
      </c>
      <c r="Q1413" t="n">
        <v>0</v>
      </c>
      <c r="R1413" t="n">
        <v>0</v>
      </c>
      <c r="S1413">
        <f>IFERROR(O1413/N1413,0)</f>
        <v/>
      </c>
      <c r="T1413" t="n">
        <v>0</v>
      </c>
      <c r="V1413" t="n">
        <v>0</v>
      </c>
    </row>
    <row r="1414">
      <c r="A1414">
        <f>Skills!A23</f>
        <v/>
      </c>
      <c r="B1414">
        <f>Skills!B23</f>
        <v/>
      </c>
      <c r="C1414">
        <f>Inputs!$B$3&gt;=120</f>
        <v/>
      </c>
      <c r="D1414">
        <f>IF(Skills!C23=1,60+Inputs!$B$25+Inputs!$B$29,IF(Skills!C23=2,90+Inputs!$B$26+Inputs!$B$29,IF(Skills!C23=3,120+Inputs!$B$27+Inputs!$B$29,MAX(0,(Inputs!$B$3-100)*3)+Inputs!$B$28+Inputs!$B$29)))</f>
        <v/>
      </c>
      <c r="E1414">
        <f>INDEX(FactorTable!$B$2:$Y$301, MATCH(ROUND(MIN(300,MAX(1,D1414)),0), FactorTable!$A$2:$A$301,0), Skills!M23+1)</f>
        <v/>
      </c>
      <c r="F1414">
        <f>IF(Skills!N23=TRUE,(Skills!L23/10)*(E1414/1000),Skills!L23/10)+Skills!O23</f>
        <v/>
      </c>
      <c r="G1414">
        <f>Skills!G23*IF(Skills!H23&gt;0,Skills!I23/Skills!H23,1)</f>
        <v/>
      </c>
      <c r="H1414">
        <f>1-(1-Skills!J23/100)^Skills!K23</f>
        <v/>
      </c>
      <c r="I1414" t="inlineStr">
        <is>
          <t>1</t>
        </is>
      </c>
      <c r="J1414" t="inlineStr"/>
      <c r="K1414" t="inlineStr"/>
      <c r="L1414" t="inlineStr"/>
      <c r="M1414" t="inlineStr"/>
      <c r="N1414" t="inlineStr"/>
      <c r="O1414">
        <f>(1-Summary!$B$55)*T1414+Summary!$B$55*V1414</f>
        <v/>
      </c>
      <c r="P1414">
        <f>IF(B1430=0,0,O1414/B1430)</f>
        <v/>
      </c>
      <c r="Q1414" t="n">
        <v>0</v>
      </c>
      <c r="R1414" t="n">
        <v>0</v>
      </c>
      <c r="S1414">
        <f>IFERROR(O1414/N1414,0)</f>
        <v/>
      </c>
      <c r="T1414" t="n">
        <v>0</v>
      </c>
      <c r="V1414" t="n">
        <v>0</v>
      </c>
    </row>
    <row r="1415">
      <c r="A1415">
        <f>Skills!A24</f>
        <v/>
      </c>
      <c r="B1415">
        <f>Skills!B24</f>
        <v/>
      </c>
      <c r="C1415">
        <f>Inputs!$B$3&gt;=120</f>
        <v/>
      </c>
      <c r="D1415">
        <f>IF(Skills!C24=1,60+Inputs!$B$25+Inputs!$B$29,IF(Skills!C24=2,90+Inputs!$B$26+Inputs!$B$29,IF(Skills!C24=3,120+Inputs!$B$27+Inputs!$B$29,MAX(0,(Inputs!$B$3-100)*3)+Inputs!$B$28+Inputs!$B$29)))</f>
        <v/>
      </c>
      <c r="E1415">
        <f>INDEX(FactorTable!$B$2:$Y$301, MATCH(ROUND(MIN(300,MAX(1,D1415)),0), FactorTable!$A$2:$A$301,0), Skills!M24+1)</f>
        <v/>
      </c>
      <c r="F1415">
        <f>IF(Skills!N24=TRUE,(Skills!L24/10)*(E1415/1000),Skills!L24/10)+Skills!O24</f>
        <v/>
      </c>
      <c r="G1415">
        <f>Skills!G24*IF(Skills!H24&gt;0,Skills!I24/Skills!H24,1)</f>
        <v/>
      </c>
      <c r="H1415">
        <f>1-(1-Skills!J24/100)^Skills!K24</f>
        <v/>
      </c>
      <c r="I1415" t="inlineStr">
        <is>
          <t>1</t>
        </is>
      </c>
      <c r="J1415" t="inlineStr"/>
      <c r="K1415" t="inlineStr"/>
      <c r="L1415" t="inlineStr"/>
      <c r="M1415" t="inlineStr"/>
      <c r="N1415" t="inlineStr"/>
      <c r="O1415">
        <f>(1-Summary!$B$55)*T1415+Summary!$B$55*V1415</f>
        <v/>
      </c>
      <c r="P1415">
        <f>IF(B1430=0,0,O1415/B1430)</f>
        <v/>
      </c>
      <c r="Q1415" t="n">
        <v>0</v>
      </c>
      <c r="R1415" t="n">
        <v>0</v>
      </c>
      <c r="S1415">
        <f>IFERROR(O1415/N1415,0)</f>
        <v/>
      </c>
      <c r="T1415" t="n">
        <v>0</v>
      </c>
      <c r="V1415" t="n">
        <v>0</v>
      </c>
    </row>
    <row r="1416">
      <c r="A1416">
        <f>Skills!A25</f>
        <v/>
      </c>
      <c r="B1416">
        <f>Skills!B25</f>
        <v/>
      </c>
      <c r="C1416">
        <f>Inputs!$B$3&gt;=125</f>
        <v/>
      </c>
      <c r="D1416">
        <f>IF(Skills!C25=1,60+Inputs!$B$25+Inputs!$B$29,IF(Skills!C25=2,90+Inputs!$B$26+Inputs!$B$29,IF(Skills!C25=3,120+Inputs!$B$27+Inputs!$B$29,MAX(0,(Inputs!$B$3-100)*3)+Inputs!$B$28+Inputs!$B$29)))</f>
        <v/>
      </c>
      <c r="E1416">
        <f>INDEX(FactorTable!$B$2:$Y$301, MATCH(ROUND(MIN(300,MAX(1,D1416)),0), FactorTable!$A$2:$A$301,0), Skills!M25+1)</f>
        <v/>
      </c>
      <c r="F1416">
        <f>IF(Skills!N25=TRUE,(Skills!L25/10)*(E1416/1000),Skills!L25/10)+Skills!O25</f>
        <v/>
      </c>
      <c r="G1416">
        <f>Skills!G25*IF(Skills!H25&gt;0,Skills!I25/Skills!H25,1)</f>
        <v/>
      </c>
      <c r="H1416">
        <f>1-(1-Skills!J25/100)^Skills!K25</f>
        <v/>
      </c>
      <c r="I1416" t="inlineStr">
        <is>
          <t>1</t>
        </is>
      </c>
      <c r="J1416" t="inlineStr"/>
      <c r="K1416" t="inlineStr"/>
      <c r="L1416" t="inlineStr"/>
      <c r="M1416" t="inlineStr"/>
      <c r="N1416" t="inlineStr"/>
      <c r="O1416">
        <f>(1-Summary!$B$55)*T1416+Summary!$B$55*V1416</f>
        <v/>
      </c>
      <c r="P1416">
        <f>IF(B1430=0,0,O1416/B1430)</f>
        <v/>
      </c>
      <c r="Q1416" t="n">
        <v>0</v>
      </c>
      <c r="R1416" t="n">
        <v>0</v>
      </c>
      <c r="S1416">
        <f>IFERROR(O1416/N1416,0)</f>
        <v/>
      </c>
      <c r="T1416" t="n">
        <v>0</v>
      </c>
      <c r="V1416" t="n">
        <v>0</v>
      </c>
    </row>
    <row r="1417">
      <c r="A1417">
        <f>Skills!A26</f>
        <v/>
      </c>
      <c r="B1417">
        <f>Skills!B26</f>
        <v/>
      </c>
      <c r="C1417">
        <f>Inputs!$B$3&gt;=72</f>
        <v/>
      </c>
      <c r="D1417">
        <f>IF(Skills!C26=1,60+Inputs!$B$25+Inputs!$B$29,IF(Skills!C26=2,90+Inputs!$B$26+Inputs!$B$29,IF(Skills!C26=3,120+Inputs!$B$27+Inputs!$B$29,MAX(0,(Inputs!$B$3-100)*3)+Inputs!$B$28+Inputs!$B$29)))</f>
        <v/>
      </c>
      <c r="E1417">
        <f>INDEX(FactorTable!$B$2:$Y$301, MATCH(ROUND(MIN(300,MAX(1,D1417)),0), FactorTable!$A$2:$A$301,0), Skills!M26+1)</f>
        <v/>
      </c>
      <c r="F1417">
        <f>IF(Skills!N26=TRUE,(Skills!L26/10)*(E1417/1000),Skills!L26/10)+Skills!O26</f>
        <v/>
      </c>
      <c r="G1417">
        <f>Skills!G26*IF(Skills!H26&gt;0,Skills!I26/Skills!H26,1)</f>
        <v/>
      </c>
      <c r="H1417">
        <f>1-(1-Skills!J26/100)^Skills!K26</f>
        <v/>
      </c>
      <c r="I1417" t="inlineStr">
        <is>
          <t>1</t>
        </is>
      </c>
      <c r="J1417" t="inlineStr"/>
      <c r="K1417" t="inlineStr"/>
      <c r="L1417" t="inlineStr"/>
      <c r="M1417" t="inlineStr"/>
      <c r="N1417" t="inlineStr"/>
      <c r="O1417">
        <f>(1-Summary!$B$55)*T1417+Summary!$B$55*V1417</f>
        <v/>
      </c>
      <c r="P1417">
        <f>IF(B1430=0,0,O1417/B1430)</f>
        <v/>
      </c>
      <c r="Q1417" t="n">
        <v>0</v>
      </c>
      <c r="R1417" t="n">
        <v>0</v>
      </c>
      <c r="S1417">
        <f>IFERROR(O1417/N1417,0)</f>
        <v/>
      </c>
      <c r="T1417" t="n">
        <v>0</v>
      </c>
      <c r="V1417" t="n">
        <v>0</v>
      </c>
    </row>
    <row r="1419">
      <c r="A1419" t="inlineStr">
        <is>
          <t>Attack% Bucket Multiplier</t>
        </is>
      </c>
      <c r="B1419">
        <f>(1+(((C1404=TRUE)*F1404*IF(Inputs!$B$3&gt;=110,7,5))+((C1406=TRUE)*F1406*IF(AND(Inputs!$B$38&lt;&gt;"pvp",Inputs!$B$43&gt;0),(((R1406-1)*(Skills!T15*(1+Inputs!$B$34/100))+MIN((Skills!T15*(1+Inputs!$B$34/100)),MAX(0,Inputs!$B$43-((R1406-1)*Skills!D15))))/Inputs!$B$43),IF(Inputs!$B$38="pvp",MIN((Skills!T15*(1+Inputs!$B$34/100)),15)/15,(Skills!T15*(1+Inputs!$B$34/100))/Skills!D15)))+0)/100)</f>
        <v/>
      </c>
    </row>
    <row r="1420">
      <c r="A1420" t="inlineStr">
        <is>
          <t>Global Crit Rate Bonus %</t>
        </is>
      </c>
      <c r="B1420" t="n">
        <v>0</v>
      </c>
    </row>
    <row r="1421">
      <c r="A1421" t="inlineStr">
        <is>
          <t>Attack Speed Buff Bonus %</t>
        </is>
      </c>
      <c r="B1421">
        <f>((C1410=TRUE)*F1410*IF(AND(Inputs!$B$38&lt;&gt;"pvp",Inputs!$B$43&gt;0),(((R1410-1)*(Skills!T19*(1+Inputs!$B$34/100))+MIN((Skills!T19*(1+Inputs!$B$34/100)),MAX(0,Inputs!$B$43-((R1410-1)*Skills!D19))))/Inputs!$B$43),IF(Inputs!$B$38="pvp",MIN((Skills!T19*(1+Inputs!$B$34/100)),15)/15,(Skills!T19*(1+Inputs!$B$34/100))/Skills!D19)))</f>
        <v/>
      </c>
    </row>
    <row r="1422">
      <c r="A1422" t="inlineStr">
        <is>
          <t>Actions Per Second</t>
        </is>
      </c>
      <c r="B1422">
        <f>1+MIN(150,150*(1-(1-(Inputs!$B$11+((C1411=TRUE)*(F1411-Calc!F20)))/150)*(1-B1421/150)))/100</f>
        <v/>
      </c>
    </row>
    <row r="1423">
      <c r="A1423" t="inlineStr">
        <is>
          <t>Skill + Buff Cast Rate</t>
        </is>
      </c>
      <c r="B1423">
        <f>IF(AND(Inputs!$B$38&lt;&gt;"pvp",Inputs!$B$43&gt;0),SUMPRODUCT((Skills!E2:E26=TRUE)*(C1393:C1417=TRUE)*R1393:R1417*Skills!F2:F26)/Inputs!$B$43,SUMPRODUCT((Skills!E2:E26=TRUE)*(C1393:C1417=TRUE)*Q1393:Q1417*Skills!F2:F26))</f>
        <v/>
      </c>
    </row>
    <row r="1424">
      <c r="A1424" t="inlineStr">
        <is>
          <t>Raging Blow Casts Per Second</t>
        </is>
      </c>
      <c r="B1424">
        <f>MAX(0,B1422-B1423)</f>
        <v/>
      </c>
    </row>
    <row r="1425">
      <c r="A1425" t="inlineStr">
        <is>
          <t>Global Critical Damage Bonus % (Enrage)</t>
        </is>
      </c>
      <c r="B1425">
        <f>((C1409=TRUE)*F1409*IF(AND(Inputs!$B$38&lt;&gt;"pvp",Inputs!$B$43&gt;0),(((R1409-1)*(Skills!T18*(1+Inputs!$B$34/100))+MIN((Skills!T18*(1+Inputs!$B$34/100)),MAX(0,Inputs!$B$43-((R1409-1)*Skills!D18))))/Inputs!$B$43),IF(Inputs!$B$38="pvp",MIN((Skills!T18*(1+Inputs!$B$34/100)),15)/15,(Skills!T18*(1+Inputs!$B$34/100))/Skills!D18)))</f>
        <v/>
      </c>
    </row>
    <row r="1426">
      <c r="A1426" t="inlineStr">
        <is>
          <t>Global Final Damage Bonus % (Enrage + Combo Synergy)</t>
        </is>
      </c>
      <c r="B1426">
        <f>((C1408=TRUE)*F1408*IF(AND(Inputs!$B$38&lt;&gt;"pvp",Inputs!$B$43&gt;0),(((R1408-1)*(Skills!T17*(1+Inputs!$B$34/100))+MIN((Skills!T17*(1+Inputs!$B$34/100)),MAX(0,Inputs!$B$43-((R1408-1)*Skills!D17))))/Inputs!$B$43),IF(Inputs!$B$38="pvp",MIN((Skills!T17*(1+Inputs!$B$34/100)),15)/15,(Skills!T17*(1+Inputs!$B$34/100))/Skills!D17)))+((C1405=TRUE)*F1405*IF(Inputs!$B$3&gt;=110,7,5))</f>
        <v/>
      </c>
    </row>
    <row r="1427">
      <c r="A1427" t="inlineStr">
        <is>
          <t>Buff-Casting Startup Delay (s, fixed-duration only)</t>
        </is>
      </c>
      <c r="B1427">
        <f>IF(AND(Inputs!$B$38&lt;&gt;"pvp",Inputs!$B$43&gt;0),SUMPRODUCT((Skills!T2:T26&gt;0)*(Skills!E2:E26=TRUE)*(C1393:C1417=TRUE))/B1422,0)</f>
        <v/>
      </c>
    </row>
    <row r="1428">
      <c r="A1428" t="inlineStr">
        <is>
          <t>Boss-Only Total DPS (this block's swept value)</t>
        </is>
      </c>
      <c r="B1428">
        <f>SUM(T1393:T1417)</f>
        <v/>
      </c>
    </row>
    <row r="1429">
      <c r="A1429" t="inlineStr">
        <is>
          <t>Normal-Only Total DPS (this block's swept value)</t>
        </is>
      </c>
      <c r="B1429">
        <f>SUM(V1393:V1417)</f>
        <v/>
      </c>
    </row>
    <row r="1430">
      <c r="A1430" s="5" t="inlineStr">
        <is>
          <t>TOTAL DPS</t>
        </is>
      </c>
      <c r="B1430" s="5">
        <f>SUM(O1393:O1417)</f>
        <v/>
      </c>
    </row>
    <row r="1433">
      <c r="A1433" s="5" t="inlineStr">
        <is>
          <t>Stat: CDR = 4.0s</t>
        </is>
      </c>
    </row>
    <row r="1434">
      <c r="A1434" s="9" t="inlineStr">
        <is>
          <t>Key</t>
        </is>
      </c>
      <c r="B1434" s="9" t="inlineStr">
        <is>
          <t>Name</t>
        </is>
      </c>
      <c r="C1434" s="9" t="inlineStr">
        <is>
          <t>Unlocked</t>
        </is>
      </c>
      <c r="D1434" s="9" t="inlineStr">
        <is>
          <t>InputLevel</t>
        </is>
      </c>
      <c r="E1434" s="9" t="inlineStr">
        <is>
          <t>Factor</t>
        </is>
      </c>
      <c r="F1434" s="9" t="inlineStr">
        <is>
          <t>CoefficientPercent</t>
        </is>
      </c>
      <c r="G1434" s="9" t="inlineStr">
        <is>
          <t>EffectiveHits</t>
        </is>
      </c>
      <c r="H1434" s="9" t="inlineStr">
        <is>
          <t>ProcProbability</t>
        </is>
      </c>
      <c r="I1434" s="9" t="inlineStr">
        <is>
          <t>MapleHeroMultiplier</t>
        </is>
      </c>
      <c r="J1434" s="9" t="inlineStr">
        <is>
          <t>BaseDamage</t>
        </is>
      </c>
      <c r="K1434" s="9" t="inlineStr">
        <is>
          <t>BaseHitDamage</t>
        </is>
      </c>
      <c r="L1434" s="9" t="inlineStr">
        <is>
          <t>NonCritAvg</t>
        </is>
      </c>
      <c r="M1434" s="9" t="inlineStr">
        <is>
          <t>CritAvg</t>
        </is>
      </c>
      <c r="N1434" s="9" t="inlineStr">
        <is>
          <t>ExpectedDamage(perHit)</t>
        </is>
      </c>
      <c r="O1434" s="9" t="inlineStr">
        <is>
          <t>DPS</t>
        </is>
      </c>
      <c r="P1434" s="9" t="inlineStr">
        <is>
          <t>% of Total</t>
        </is>
      </c>
      <c r="Q1434" s="9" t="inlineStr">
        <is>
          <t>InvCooldown</t>
        </is>
      </c>
      <c r="R1434" s="9" t="inlineStr">
        <is>
          <t>CastsInFight</t>
        </is>
      </c>
      <c r="S1434" s="9" t="inlineStr">
        <is>
          <t>HitRate(perSec)</t>
        </is>
      </c>
      <c r="U1434" t="inlineStr">
        <is>
          <t>helpers</t>
        </is>
      </c>
    </row>
    <row r="1435">
      <c r="A1435">
        <f>Skills!A2</f>
        <v/>
      </c>
      <c r="B1435">
        <f>Skills!B2</f>
        <v/>
      </c>
      <c r="C1435">
        <f>Inputs!$B$3&gt;=100</f>
        <v/>
      </c>
      <c r="D1435" t="inlineStr"/>
      <c r="E1435" t="inlineStr"/>
      <c r="F1435">
        <f>U1437+Skills!O2</f>
        <v/>
      </c>
      <c r="G1435">
        <f>Skills!G2*IF(Skills!H2&gt;0,Skills!I2/Skills!H2,1)</f>
        <v/>
      </c>
      <c r="H1435">
        <f>1-(1-Skills!J2/100)^Skills!K2</f>
        <v/>
      </c>
      <c r="I1435" t="inlineStr">
        <is>
          <t>1</t>
        </is>
      </c>
      <c r="J1435">
        <f>((Inputs!$B$6*(1+Inputs!$B$7/100))+(((Inputs!$B$12*(1+Inputs!$B$13/100))-(Inputs!$B$12*(1+Inputs!$B$13/100)))+0.25*(Inputs!$B$14-Inputs!$B$14))*(1+Inputs!$B$7/100))*(F1435/100)</f>
        <v/>
      </c>
      <c r="K1435">
        <f>J1435*(1+((Inputs!$B$12*(1+Inputs!$B$13/100))*0.01+Inputs!$B$14*0.0025)/100)*(1+Inputs!$B$15/100)*(1+Inputs!$B$16/100)*(5000/(6000+Inputs!$B$42*(1-(Inputs!$B$19+0)/100)))*(1+(Inputs!$B$24+((C1458=TRUE)*(F1458-Calc!F25))+B1468)/100)*(1+IF(Skills!A2="ENHANCED_RAGING_BLOW",IF(Inputs!$B$3&gt;=134,MAX(0,IF(Inputs!$B$3&gt;=110,7,5)-5)*50,0),0)/100)*(1+(IF(Skills!A2="RAGING_BLOW",Inputs!$B$17+((C1454=TRUE)*(F1454-Calc!F21)),Inputs!$B$18+((C1456=TRUE)*(F1456-Calc!F23))))/100)*((1+(((C1446=TRUE)*F1446*IF(Inputs!$B$3&gt;=110,7,5))+((C1448=TRUE)*F1448*IF(AND(Inputs!$B$38&lt;&gt;"pvp",Inputs!$B$43&gt;0),(((R1448-1)*(Skills!T15*(1+Inputs!$B$34/100))+MIN((Skills!T15*(1+Inputs!$B$34/100)),MAX(0,Inputs!$B$43-((R1448-1)*Skills!D15))))/Inputs!$B$43),IF(Inputs!$B$38="pvp",MIN((Skills!T15*(1+Inputs!$B$34/100)),15)/15,(Skills!T15*(1+Inputs!$B$34/100))/Skills!D15)))+0)/100)*I1435)</f>
        <v/>
      </c>
      <c r="L1435">
        <f>K1435*(MIN(Inputs!$B$22+((C1455=TRUE)*(F1455-Calc!F22)),Inputs!$B$23+((C1457=TRUE)*(F1457-Calc!F24)))/100+(Inputs!$B$23+((C1457=TRUE)*(F1457-Calc!F24)))/100)/2</f>
        <v/>
      </c>
      <c r="M1435">
        <f>L1435*(1+(Inputs!$B$10+0+B1467)/100)</f>
        <v/>
      </c>
      <c r="N1435">
        <f>L1435*(1-MIN((Inputs!$B$9+((C1459=TRUE)*(F1459-Calc!F26))+B1462),100)/100)+M1435*(MIN((Inputs!$B$9+((C1459=TRUE)*(F1459-Calc!F26))+B1462),100)/100)</f>
        <v/>
      </c>
      <c r="O1435">
        <f>(1-Summary!$B$55)*T1435+Summary!$B$55*V1435</f>
        <v/>
      </c>
      <c r="P1435">
        <f>IF(B1472=0,0,O1435/B1472)</f>
        <v/>
      </c>
      <c r="Q1435" t="n">
        <v>0</v>
      </c>
      <c r="R1435" t="n">
        <v>0</v>
      </c>
      <c r="S1435">
        <f>IFERROR(O1435/N1435,0)</f>
        <v/>
      </c>
      <c r="T1435">
        <f>IF(C1435,(Skills!G2*N1435*B1466)*IF(Inputs!$B$38="pvp",1,1+(Inputs!$B$20+0+Skills!P2+Summary!$B$59)/100),0)</f>
        <v/>
      </c>
      <c r="U1435">
        <f>MAX(0,(Inputs!$B$3-100)*3)+Inputs!$B$28+Inputs!$B$29</f>
        <v/>
      </c>
      <c r="V1435">
        <f>IF(C1435,(Skills!G2*N1435*B1466)*IF(Inputs!$B$38="pvp",1,(1+(Inputs!$B$21+Skills!Q2+Summary!$B$59)/100)*(MIN((6+Inputs!$B$33),Inputs!$B$37))),0)</f>
        <v/>
      </c>
    </row>
    <row r="1436">
      <c r="A1436">
        <f>Skills!A3</f>
        <v/>
      </c>
      <c r="B1436">
        <f>Skills!B3</f>
        <v/>
      </c>
      <c r="C1436">
        <f>Inputs!$B$3&gt;=50</f>
        <v/>
      </c>
      <c r="D1436">
        <f>IF(Skills!C3=1,60+Inputs!$B$25+Inputs!$B$29,IF(Skills!C3=2,90+Inputs!$B$26+Inputs!$B$29,IF(Skills!C3=3,120+Inputs!$B$27+Inputs!$B$29,MAX(0,(Inputs!$B$3-100)*3)+Inputs!$B$28+Inputs!$B$29)))</f>
        <v/>
      </c>
      <c r="E1436">
        <f>INDEX(FactorTable!$B$2:$Y$301, MATCH(ROUND(MIN(300,MAX(1,D1436)),0), FactorTable!$A$2:$A$301,0), Skills!M3+1)</f>
        <v/>
      </c>
      <c r="F1436">
        <f>IF(Skills!N3=TRUE,(Skills!L3/10)*(E1436/1000),Skills!L3/10)+Skills!O3</f>
        <v/>
      </c>
      <c r="G1436" t="inlineStr"/>
      <c r="H1436" t="inlineStr"/>
      <c r="I1436" t="inlineStr">
        <is>
          <t>1</t>
        </is>
      </c>
      <c r="J1436" t="inlineStr"/>
      <c r="K1436" t="inlineStr"/>
      <c r="L1436" t="inlineStr"/>
      <c r="M1436" t="inlineStr"/>
      <c r="N1436" t="inlineStr"/>
      <c r="O1436" t="inlineStr"/>
      <c r="P1436" t="inlineStr"/>
      <c r="Q1436" t="inlineStr"/>
      <c r="R1436" t="inlineStr"/>
      <c r="S1436" t="inlineStr"/>
      <c r="U1436">
        <f>INDEX(FactorTable!$B$2:$Y$301, MATCH(ROUND(MIN(300,MAX(1,U1435)),0), FactorTable!$A$2:$A$301,0), 22)</f>
        <v/>
      </c>
    </row>
    <row r="1437">
      <c r="A1437">
        <f>Skills!A4</f>
        <v/>
      </c>
      <c r="B1437">
        <f>Skills!B4</f>
        <v/>
      </c>
      <c r="C1437">
        <f>Inputs!$B$3&gt;=105</f>
        <v/>
      </c>
      <c r="D1437">
        <f>IF(Skills!C4=1,60+Inputs!$B$25+Inputs!$B$29,IF(Skills!C4=2,90+Inputs!$B$26+Inputs!$B$29,IF(Skills!C4=3,120+Inputs!$B$27+Inputs!$B$29,MAX(0,(Inputs!$B$3-100)*3)+Inputs!$B$28+Inputs!$B$29)))</f>
        <v/>
      </c>
      <c r="E1437">
        <f>INDEX(FactorTable!$B$2:$Y$301, MATCH(ROUND(MIN(300,MAX(1,D1437)),0), FactorTable!$A$2:$A$301,0), Skills!M4+1)</f>
        <v/>
      </c>
      <c r="F1437">
        <f>IF(Skills!N4=TRUE,(Skills!L4/10)*(E1437/1000),Skills!L4/10)+Skills!O4</f>
        <v/>
      </c>
      <c r="G1437" t="inlineStr"/>
      <c r="H1437" t="inlineStr"/>
      <c r="I1437" t="inlineStr">
        <is>
          <t>1</t>
        </is>
      </c>
      <c r="J1437" t="inlineStr"/>
      <c r="K1437" t="inlineStr"/>
      <c r="L1437" t="inlineStr"/>
      <c r="M1437" t="inlineStr"/>
      <c r="N1437" t="inlineStr"/>
      <c r="O1437" t="inlineStr"/>
      <c r="P1437" t="inlineStr"/>
      <c r="Q1437" t="inlineStr"/>
      <c r="R1437" t="inlineStr"/>
      <c r="S1437" t="inlineStr"/>
      <c r="U1437">
        <f>290*U1436/1000</f>
        <v/>
      </c>
    </row>
    <row r="1438">
      <c r="A1438">
        <f>Skills!A5</f>
        <v/>
      </c>
      <c r="B1438">
        <f>Skills!B5</f>
        <v/>
      </c>
      <c r="C1438">
        <f>Inputs!$B$3&gt;=103</f>
        <v/>
      </c>
      <c r="D1438">
        <f>IF(Skills!C5=1,60+Inputs!$B$25+Inputs!$B$29,IF(Skills!C5=2,90+Inputs!$B$26+Inputs!$B$29,IF(Skills!C5=3,120+Inputs!$B$27+Inputs!$B$29,MAX(0,(Inputs!$B$3-100)*3)+Inputs!$B$28+Inputs!$B$29)))</f>
        <v/>
      </c>
      <c r="E1438">
        <f>INDEX(FactorTable!$B$2:$Y$301, MATCH(ROUND(MIN(300,MAX(1,D1438)),0), FactorTable!$A$2:$A$301,0), Skills!M5+1)</f>
        <v/>
      </c>
      <c r="F1438">
        <f>IF(Skills!N5=TRUE,(Skills!L5/10)*(E1438/1000),Skills!L5/10)+Skills!O5</f>
        <v/>
      </c>
      <c r="G1438">
        <f>Skills!G5*IF(Skills!H5&gt;0,Skills!I5/Skills!H5,1)</f>
        <v/>
      </c>
      <c r="H1438">
        <f>1-(1-Skills!J5/100)^Skills!K5</f>
        <v/>
      </c>
      <c r="I1438" t="inlineStr">
        <is>
          <t>1</t>
        </is>
      </c>
      <c r="J1438">
        <f>((Inputs!$B$6*(1+Inputs!$B$7/100))+(((Inputs!$B$12*(1+Inputs!$B$13/100))-(Inputs!$B$12*(1+Inputs!$B$13/100)))+0.25*(Inputs!$B$14-Inputs!$B$14))*(1+Inputs!$B$7/100))*(F1438/100)</f>
        <v/>
      </c>
      <c r="K1438">
        <f>J1438*(1+((Inputs!$B$12*(1+Inputs!$B$13/100))*0.01+Inputs!$B$14*0.0025)/100)*(1+Inputs!$B$15/100)*(1+Inputs!$B$16/100)*(5000/(6000+Inputs!$B$42*(1-(Inputs!$B$19+0)/100)))*(1+(Inputs!$B$24+((C1458=TRUE)*(F1458-Calc!F25))+B1468)/100)*(1+IF(Skills!A5="ENHANCED_RAGING_BLOW",IF(Inputs!$B$3&gt;=134,MAX(0,IF(Inputs!$B$3&gt;=110,7,5)-5)*50,0),0)/100)*(1+(IF(Skills!A5="RAGING_BLOW",Inputs!$B$17+((C1454=TRUE)*(F1454-Calc!F21)),Inputs!$B$18+((C1456=TRUE)*(F1456-Calc!F23))))/100)*((1+(((C1446=TRUE)*F1446*IF(Inputs!$B$3&gt;=110,7,5))+((C1448=TRUE)*F1448*IF(AND(Inputs!$B$38&lt;&gt;"pvp",Inputs!$B$43&gt;0),(((R1448-1)*(Skills!T15*(1+Inputs!$B$34/100))+MIN((Skills!T15*(1+Inputs!$B$34/100)),MAX(0,Inputs!$B$43-((R1448-1)*Skills!D15))))/Inputs!$B$43),IF(Inputs!$B$38="pvp",MIN((Skills!T15*(1+Inputs!$B$34/100)),15)/15,(Skills!T15*(1+Inputs!$B$34/100))/Skills!D15)))+0)/100)*I1438)</f>
        <v/>
      </c>
      <c r="L1438">
        <f>K1438*(MIN(Inputs!$B$22+((C1455=TRUE)*(F1455-Calc!F22)),Inputs!$B$23+((C1457=TRUE)*(F1457-Calc!F24)))/100+(Inputs!$B$23+((C1457=TRUE)*(F1457-Calc!F24)))/100)/2</f>
        <v/>
      </c>
      <c r="M1438">
        <f>L1438*(1+(Inputs!$B$10+0+B1467)/100)</f>
        <v/>
      </c>
      <c r="N1438">
        <f>L1438*(1-MIN((Inputs!$B$9+((C1459=TRUE)*(F1459-Calc!F26))+B1462),100)/100)+M1438*(MIN((Inputs!$B$9+((C1459=TRUE)*(F1459-Calc!F26))+B1462),100)/100)</f>
        <v/>
      </c>
      <c r="O1438">
        <f>(1-Summary!$B$55)*T1438+Summary!$B$55*V1438</f>
        <v/>
      </c>
      <c r="P1438">
        <f>IF(B1472=0,0,O1438/B1472)</f>
        <v/>
      </c>
      <c r="Q1438">
        <f>IFERROR(1/IF(Inputs!$B$38="pvp",15,MAX(0.1,Skills!D5-IF(Skills!E5=TRUE,4.0,0))),0)</f>
        <v/>
      </c>
      <c r="R1438">
        <f>IF(AND(Inputs!$B$38&lt;&gt;"pvp",Inputs!$B$43&gt;0),IF(MAX(0,Inputs!$B$43-B1469)&lt;=0,0,(INT(MAX(0,Inputs!$B$43-B1469)/IF(Inputs!$B$38="pvp",15,MAX(0.1,Skills!D5-IF(Skills!E5=TRUE,4.0,0))))+1)),0)</f>
        <v/>
      </c>
      <c r="S1438">
        <f>IFERROR(O1438/N1438,0)</f>
        <v/>
      </c>
      <c r="T1438">
        <f>IF(C1438,(H1438*N1438*IF(AND(Inputs!$B$38&lt;&gt;"pvp",Inputs!$B$43&gt;0),((Skills!G5*((R1438-1)*IF(Skills!H5&gt;0,Skills!I5/Skills!H5,1)+IF(Skills!H5&gt;0,MIN(Skills!I5,MAX(0,MAX(0,Inputs!$B$43-B1469)-((R1438-1)*IF(Inputs!$B$38="pvp",15,MAX(0.1,Skills!D5-IF(Skills!E5=TRUE,4.0,0))))))/Skills!H5,1)))/Inputs!$B$43),G1438*Q1438))*IF(Inputs!$B$38="pvp",1,1+(Inputs!$B$20+0+Skills!P5+Summary!$B$59)/100),0)</f>
        <v/>
      </c>
      <c r="V1438">
        <f>IF(C1438,(H1438*N1438*IF(AND(Inputs!$B$38&lt;&gt;"pvp",Inputs!$B$43&gt;0),((Skills!G5*((R1438-1)*IF(Skills!H5&gt;0,Skills!I5/Skills!H5,1)+IF(Skills!H5&gt;0,MIN(Skills!I5,MAX(0,MAX(0,Inputs!$B$43-B1469)-((R1438-1)*IF(Inputs!$B$38="pvp",15,MAX(0.1,Skills!D5-IF(Skills!E5=TRUE,4.0,0))))))/Skills!H5,1)))/Inputs!$B$43),G1438*Q1438))*IF(Inputs!$B$38="pvp",1,(1+(Inputs!$B$21+Skills!Q5+Summary!$B$59)/100)*(MIN(Skills!R5,Inputs!$B$37))),0)</f>
        <v/>
      </c>
    </row>
    <row r="1439">
      <c r="A1439">
        <f>Skills!A6</f>
        <v/>
      </c>
      <c r="B1439">
        <f>Skills!B6</f>
        <v/>
      </c>
      <c r="C1439">
        <f>Inputs!$B$3&gt;=103</f>
        <v/>
      </c>
      <c r="D1439">
        <f>IF(Skills!C6=1,60+Inputs!$B$25+Inputs!$B$29,IF(Skills!C6=2,90+Inputs!$B$26+Inputs!$B$29,IF(Skills!C6=3,120+Inputs!$B$27+Inputs!$B$29,MAX(0,(Inputs!$B$3-100)*3)+Inputs!$B$28+Inputs!$B$29)))</f>
        <v/>
      </c>
      <c r="E1439">
        <f>INDEX(FactorTable!$B$2:$Y$301, MATCH(ROUND(MIN(300,MAX(1,D1439)),0), FactorTable!$A$2:$A$301,0), Skills!M6+1)</f>
        <v/>
      </c>
      <c r="F1439">
        <f>IF(Skills!N6=TRUE,(Skills!L6/10)*(E1439/1000),Skills!L6/10)+Skills!O6</f>
        <v/>
      </c>
      <c r="G1439">
        <f>Skills!G6*IF(Skills!H6&gt;0,Skills!I6/Skills!H6,1)</f>
        <v/>
      </c>
      <c r="H1439">
        <f>1-(1-Skills!J6/100)^Skills!K6</f>
        <v/>
      </c>
      <c r="I1439" t="inlineStr">
        <is>
          <t>1</t>
        </is>
      </c>
      <c r="J1439">
        <f>((Inputs!$B$6*(1+Inputs!$B$7/100))+(((Inputs!$B$12*(1+Inputs!$B$13/100))-(Inputs!$B$12*(1+Inputs!$B$13/100)))+0.25*(Inputs!$B$14-Inputs!$B$14))*(1+Inputs!$B$7/100))*(F1439/100)</f>
        <v/>
      </c>
      <c r="K1439">
        <f>J1439*(1+((Inputs!$B$12*(1+Inputs!$B$13/100))*0.01+Inputs!$B$14*0.0025)/100)*(1+Inputs!$B$15/100)*(1+Inputs!$B$16/100)*(5000/(6000+Inputs!$B$42*(1-(Inputs!$B$19+0)/100)))*(1+(Inputs!$B$24+((C1458=TRUE)*(F1458-Calc!F25))+B1468)/100)*(1+IF(Skills!A6="ENHANCED_RAGING_BLOW",IF(Inputs!$B$3&gt;=134,MAX(0,IF(Inputs!$B$3&gt;=110,7,5)-5)*50,0),0)/100)*(1+(IF(Skills!A6="RAGING_BLOW",Inputs!$B$17+((C1454=TRUE)*(F1454-Calc!F21)),Inputs!$B$18+((C1456=TRUE)*(F1456-Calc!F23))))/100)*((1+(((C1446=TRUE)*F1446*IF(Inputs!$B$3&gt;=110,7,5))+((C1448=TRUE)*F1448*IF(AND(Inputs!$B$38&lt;&gt;"pvp",Inputs!$B$43&gt;0),(((R1448-1)*(Skills!T15*(1+Inputs!$B$34/100))+MIN((Skills!T15*(1+Inputs!$B$34/100)),MAX(0,Inputs!$B$43-((R1448-1)*Skills!D15))))/Inputs!$B$43),IF(Inputs!$B$38="pvp",MIN((Skills!T15*(1+Inputs!$B$34/100)),15)/15,(Skills!T15*(1+Inputs!$B$34/100))/Skills!D15)))+0)/100)*I1439)</f>
        <v/>
      </c>
      <c r="L1439">
        <f>K1439*(MIN(Inputs!$B$22+((C1455=TRUE)*(F1455-Calc!F22)),Inputs!$B$23+((C1457=TRUE)*(F1457-Calc!F24)))/100+(Inputs!$B$23+((C1457=TRUE)*(F1457-Calc!F24)))/100)/2</f>
        <v/>
      </c>
      <c r="M1439">
        <f>L1439*(1+(Inputs!$B$10+0+B1467)/100)</f>
        <v/>
      </c>
      <c r="N1439">
        <f>L1439*(1-MIN((Inputs!$B$9+((C1459=TRUE)*(F1459-Calc!F26))+B1462),100)/100)+M1439*(MIN((Inputs!$B$9+((C1459=TRUE)*(F1459-Calc!F26))+B1462),100)/100)</f>
        <v/>
      </c>
      <c r="O1439">
        <f>(1-Summary!$B$55)*T1439+Summary!$B$55*V1439</f>
        <v/>
      </c>
      <c r="P1439">
        <f>IF(B1472=0,0,O1439/B1472)</f>
        <v/>
      </c>
      <c r="Q1439">
        <f>IFERROR(1/IF(Inputs!$B$38="pvp",15,MAX(0.1,Skills!D6-IF(Skills!E6=TRUE,4.0,0))),0)</f>
        <v/>
      </c>
      <c r="R1439">
        <f>IF(AND(Inputs!$B$38&lt;&gt;"pvp",Inputs!$B$43&gt;0),IF(MAX(0,Inputs!$B$43-B1469)&lt;=0,0,(INT(MAX(0,Inputs!$B$43-B1469)/IF(Inputs!$B$38="pvp",15,MAX(0.1,Skills!D6-IF(Skills!E6=TRUE,4.0,0))))+1)),0)</f>
        <v/>
      </c>
      <c r="S1439">
        <f>IFERROR(O1439/N1439,0)</f>
        <v/>
      </c>
      <c r="T1439">
        <f>IF(C1439,(H1439*N1439*IF(AND(Inputs!$B$38&lt;&gt;"pvp",Inputs!$B$43&gt;0),((Skills!G6*((R1439-1)*IF(Skills!H6&gt;0,Skills!I6/Skills!H6,1)+IF(Skills!H6&gt;0,MIN(Skills!I6,MAX(0,MAX(0,Inputs!$B$43-B1469)-((R1439-1)*IF(Inputs!$B$38="pvp",15,MAX(0.1,Skills!D6-IF(Skills!E6=TRUE,4.0,0))))))/Skills!H6,1)))/Inputs!$B$43),G1439*Q1439))*IF(Inputs!$B$38="pvp",1,1+(Inputs!$B$20+0+Skills!P6+Summary!$B$59)/100),0)</f>
        <v/>
      </c>
      <c r="V1439">
        <f>IF(C1439,(H1439*N1439*IF(AND(Inputs!$B$38&lt;&gt;"pvp",Inputs!$B$43&gt;0),((Skills!G6*((R1439-1)*IF(Skills!H6&gt;0,Skills!I6/Skills!H6,1)+IF(Skills!H6&gt;0,MIN(Skills!I6,MAX(0,MAX(0,Inputs!$B$43-B1469)-((R1439-1)*IF(Inputs!$B$38="pvp",15,MAX(0.1,Skills!D6-IF(Skills!E6=TRUE,4.0,0))))))/Skills!H6,1)))/Inputs!$B$43),G1439*Q1439))*IF(Inputs!$B$38="pvp",1,(1+(Inputs!$B$21+Skills!Q6+Summary!$B$59)/100)*(MIN(Skills!R6,Inputs!$B$37))),0)</f>
        <v/>
      </c>
    </row>
    <row r="1440">
      <c r="A1440">
        <f>Skills!A7</f>
        <v/>
      </c>
      <c r="B1440">
        <f>Skills!B7</f>
        <v/>
      </c>
      <c r="C1440">
        <f>Inputs!$B$3&gt;=107</f>
        <v/>
      </c>
      <c r="D1440">
        <f>IF(Skills!C7=1,60+Inputs!$B$25+Inputs!$B$29,IF(Skills!C7=2,90+Inputs!$B$26+Inputs!$B$29,IF(Skills!C7=3,120+Inputs!$B$27+Inputs!$B$29,MAX(0,(Inputs!$B$3-100)*3)+Inputs!$B$28+Inputs!$B$29)))</f>
        <v/>
      </c>
      <c r="E1440">
        <f>INDEX(FactorTable!$B$2:$Y$301, MATCH(ROUND(MIN(300,MAX(1,D1440)),0), FactorTable!$A$2:$A$301,0), Skills!M7+1)</f>
        <v/>
      </c>
      <c r="F1440">
        <f>IF(Skills!N7=TRUE,(Skills!L7/10)*(E1440/1000),Skills!L7/10)+Skills!O7</f>
        <v/>
      </c>
      <c r="G1440">
        <f>Skills!G7*IF(Skills!H7&gt;0,Skills!I7/Skills!H7,1)</f>
        <v/>
      </c>
      <c r="H1440">
        <f>1-(1-Skills!J7/100)^Skills!K7</f>
        <v/>
      </c>
      <c r="I1440" t="inlineStr">
        <is>
          <t>1</t>
        </is>
      </c>
      <c r="J1440">
        <f>((Inputs!$B$6*(1+Inputs!$B$7/100))+(((Inputs!$B$12*(1+Inputs!$B$13/100))-(Inputs!$B$12*(1+Inputs!$B$13/100)))+0.25*(Inputs!$B$14-Inputs!$B$14))*(1+Inputs!$B$7/100))*(F1440/100)</f>
        <v/>
      </c>
      <c r="K1440">
        <f>J1440*(1+((Inputs!$B$12*(1+Inputs!$B$13/100))*0.01+Inputs!$B$14*0.0025)/100)*(1+Inputs!$B$15/100)*(1+Inputs!$B$16/100)*(5000/(6000+Inputs!$B$42*(1-(Inputs!$B$19+0)/100)))*(1+(Inputs!$B$24+((C1458=TRUE)*(F1458-Calc!F25))+B1468)/100)*(1+IF(Skills!A7="ENHANCED_RAGING_BLOW",IF(Inputs!$B$3&gt;=134,MAX(0,IF(Inputs!$B$3&gt;=110,7,5)-5)*50,0),0)/100)*(1+(IF(Skills!A7="RAGING_BLOW",Inputs!$B$17+((C1454=TRUE)*(F1454-Calc!F21)),Inputs!$B$18+((C1456=TRUE)*(F1456-Calc!F23))))/100)*((1+(((C1446=TRUE)*F1446*IF(Inputs!$B$3&gt;=110,7,5))+((C1448=TRUE)*F1448*IF(AND(Inputs!$B$38&lt;&gt;"pvp",Inputs!$B$43&gt;0),(((R1448-1)*(Skills!T15*(1+Inputs!$B$34/100))+MIN((Skills!T15*(1+Inputs!$B$34/100)),MAX(0,Inputs!$B$43-((R1448-1)*Skills!D15))))/Inputs!$B$43),IF(Inputs!$B$38="pvp",MIN((Skills!T15*(1+Inputs!$B$34/100)),15)/15,(Skills!T15*(1+Inputs!$B$34/100))/Skills!D15)))+0)/100)*I1440)</f>
        <v/>
      </c>
      <c r="L1440">
        <f>K1440*(MIN(Inputs!$B$22+((C1455=TRUE)*(F1455-Calc!F22)),Inputs!$B$23+((C1457=TRUE)*(F1457-Calc!F24)))/100+(Inputs!$B$23+((C1457=TRUE)*(F1457-Calc!F24)))/100)/2</f>
        <v/>
      </c>
      <c r="M1440">
        <f>L1440*(1+(Inputs!$B$10+0+B1467)/100)</f>
        <v/>
      </c>
      <c r="N1440">
        <f>L1440*(1-MIN((Inputs!$B$9+((C1459=TRUE)*(F1459-Calc!F26))+B1462),100)/100)+M1440*(MIN((Inputs!$B$9+((C1459=TRUE)*(F1459-Calc!F26))+B1462),100)/100)</f>
        <v/>
      </c>
      <c r="O1440">
        <f>(1-Summary!$B$55)*T1440+Summary!$B$55*V1440</f>
        <v/>
      </c>
      <c r="P1440">
        <f>IF(B1472=0,0,O1440/B1472)</f>
        <v/>
      </c>
      <c r="Q1440">
        <f>IFERROR(1/IF(Inputs!$B$38="pvp",15,MAX(0.1,Skills!D7-IF(Skills!E7=TRUE,4.0,0))),0)</f>
        <v/>
      </c>
      <c r="R1440">
        <f>IF(AND(Inputs!$B$38&lt;&gt;"pvp",Inputs!$B$43&gt;0),IF(MAX(0,Inputs!$B$43-B1469)&lt;=0,0,(INT(MAX(0,Inputs!$B$43-B1469)/IF(Inputs!$B$38="pvp",15,MAX(0.1,Skills!D7-IF(Skills!E7=TRUE,4.0,0))))+1)),0)</f>
        <v/>
      </c>
      <c r="S1440">
        <f>IFERROR(O1440/N1440,0)</f>
        <v/>
      </c>
      <c r="T1440">
        <f>IF(C1440,(H1440*N1440*IF(AND(Inputs!$B$38&lt;&gt;"pvp",Inputs!$B$43&gt;0),((Skills!G7*((R1440-1)*IF(Skills!H7&gt;0,Skills!I7/Skills!H7,1)+IF(Skills!H7&gt;0,MIN(Skills!I7,MAX(0,MAX(0,Inputs!$B$43-B1469)-((R1440-1)*IF(Inputs!$B$38="pvp",15,MAX(0.1,Skills!D7-IF(Skills!E7=TRUE,4.0,0))))))/Skills!H7,1)))/Inputs!$B$43),G1440*Q1440))*IF(Inputs!$B$38="pvp",1,1+(Inputs!$B$20+0+Skills!P7+Summary!$B$59)/100),0)</f>
        <v/>
      </c>
      <c r="V1440">
        <f>IF(C1440,(H1440*N1440*IF(AND(Inputs!$B$38&lt;&gt;"pvp",Inputs!$B$43&gt;0),((Skills!G7*((R1440-1)*IF(Skills!H7&gt;0,Skills!I7/Skills!H7,1)+IF(Skills!H7&gt;0,MIN(Skills!I7,MAX(0,MAX(0,Inputs!$B$43-B1469)-((R1440-1)*IF(Inputs!$B$38="pvp",15,MAX(0.1,Skills!D7-IF(Skills!E7=TRUE,4.0,0))))))/Skills!H7,1)))/Inputs!$B$43),G1440*Q1440))*IF(Inputs!$B$38="pvp",1,(1+(Inputs!$B$21+Skills!Q7+Summary!$B$59)/100)*(MIN(Skills!R7,Inputs!$B$37))),0)</f>
        <v/>
      </c>
    </row>
    <row r="1441">
      <c r="A1441">
        <f>Skills!A8</f>
        <v/>
      </c>
      <c r="B1441">
        <f>Skills!B8</f>
        <v/>
      </c>
      <c r="C1441">
        <f>Inputs!$B$3&gt;=117</f>
        <v/>
      </c>
      <c r="D1441">
        <f>IF(Skills!C8=1,60+Inputs!$B$25+Inputs!$B$29,IF(Skills!C8=2,90+Inputs!$B$26+Inputs!$B$29,IF(Skills!C8=3,120+Inputs!$B$27+Inputs!$B$29,MAX(0,(Inputs!$B$3-100)*3)+Inputs!$B$28+Inputs!$B$29)))</f>
        <v/>
      </c>
      <c r="E1441">
        <f>INDEX(FactorTable!$B$2:$Y$301, MATCH(ROUND(MIN(300,MAX(1,D1441)),0), FactorTable!$A$2:$A$301,0), Skills!M8+1)</f>
        <v/>
      </c>
      <c r="F1441">
        <f>IF(Skills!N8=TRUE,(Skills!L8/10)*(E1441/1000),Skills!L8/10)+Skills!O8</f>
        <v/>
      </c>
      <c r="G1441">
        <f>Skills!G8*IF(Skills!H8&gt;0,Skills!I8/Skills!H8,1)</f>
        <v/>
      </c>
      <c r="H1441">
        <f>1-(1-Skills!J8/100)^Skills!K8</f>
        <v/>
      </c>
      <c r="I1441" t="inlineStr">
        <is>
          <t>1</t>
        </is>
      </c>
      <c r="J1441">
        <f>((Inputs!$B$6*(1+Inputs!$B$7/100))+(((Inputs!$B$12*(1+Inputs!$B$13/100))-(Inputs!$B$12*(1+Inputs!$B$13/100)))+0.25*(Inputs!$B$14-Inputs!$B$14))*(1+Inputs!$B$7/100))*(F1441/100)</f>
        <v/>
      </c>
      <c r="K1441">
        <f>J1441*(1+((Inputs!$B$12*(1+Inputs!$B$13/100))*0.01+Inputs!$B$14*0.0025)/100)*(1+Inputs!$B$15/100)*(1+Inputs!$B$16/100)*(5000/(6000+Inputs!$B$42*(1-(Inputs!$B$19+0)/100)))*(1+(Inputs!$B$24+((C1458=TRUE)*(F1458-Calc!F25))+B1468)/100)*(1+IF(Skills!A8="ENHANCED_RAGING_BLOW",IF(Inputs!$B$3&gt;=134,MAX(0,IF(Inputs!$B$3&gt;=110,7,5)-5)*50,0),0)/100)*(1+(IF(Skills!A8="RAGING_BLOW",Inputs!$B$17+((C1454=TRUE)*(F1454-Calc!F21)),Inputs!$B$18+((C1456=TRUE)*(F1456-Calc!F23))))/100)*((1+(((C1446=TRUE)*F1446*IF(Inputs!$B$3&gt;=110,7,5))+((C1448=TRUE)*F1448*IF(AND(Inputs!$B$38&lt;&gt;"pvp",Inputs!$B$43&gt;0),(((R1448-1)*(Skills!T15*(1+Inputs!$B$34/100))+MIN((Skills!T15*(1+Inputs!$B$34/100)),MAX(0,Inputs!$B$43-((R1448-1)*Skills!D15))))/Inputs!$B$43),IF(Inputs!$B$38="pvp",MIN((Skills!T15*(1+Inputs!$B$34/100)),15)/15,(Skills!T15*(1+Inputs!$B$34/100))/Skills!D15)))+0)/100)*I1441)</f>
        <v/>
      </c>
      <c r="L1441">
        <f>K1441*(MIN(Inputs!$B$22+((C1455=TRUE)*(F1455-Calc!F22)),Inputs!$B$23+((C1457=TRUE)*(F1457-Calc!F24)))/100+(Inputs!$B$23+((C1457=TRUE)*(F1457-Calc!F24)))/100)/2</f>
        <v/>
      </c>
      <c r="M1441">
        <f>L1441*(1+(Inputs!$B$10+0+B1467)/100)</f>
        <v/>
      </c>
      <c r="N1441">
        <f>L1441*(1-MIN((Inputs!$B$9+((C1459=TRUE)*(F1459-Calc!F26))+B1462),100)/100)+M1441*(MIN((Inputs!$B$9+((C1459=TRUE)*(F1459-Calc!F26))+B1462),100)/100)</f>
        <v/>
      </c>
      <c r="O1441">
        <f>(1-Summary!$B$55)*T1441+Summary!$B$55*V1441</f>
        <v/>
      </c>
      <c r="P1441">
        <f>IF(B1472=0,0,O1441/B1472)</f>
        <v/>
      </c>
      <c r="Q1441">
        <f>IFERROR(1/IF(Inputs!$B$38="pvp",15,MAX(0.1,Skills!D8-IF(Skills!E8=TRUE,4.0,0))),0)</f>
        <v/>
      </c>
      <c r="R1441">
        <f>IF(AND(Inputs!$B$38&lt;&gt;"pvp",Inputs!$B$43&gt;0),IF(MAX(0,Inputs!$B$43-B1469)&lt;=0,0,(INT(MAX(0,Inputs!$B$43-B1469)/IF(Inputs!$B$38="pvp",15,MAX(0.1,Skills!D8-IF(Skills!E8=TRUE,4.0,0))))+1)),0)</f>
        <v/>
      </c>
      <c r="S1441">
        <f>IFERROR(O1441/N1441,0)</f>
        <v/>
      </c>
      <c r="T1441">
        <f>IF(C1441,(H1441*N1441*IF(AND(Inputs!$B$38&lt;&gt;"pvp",Inputs!$B$43&gt;0),((Skills!G8*((R1441-1)*IF(Skills!H8&gt;0,Skills!I8/Skills!H8,1)+IF(Skills!H8&gt;0,MIN(Skills!I8,MAX(0,MAX(0,Inputs!$B$43-B1469)-((R1441-1)*IF(Inputs!$B$38="pvp",15,MAX(0.1,Skills!D8-IF(Skills!E8=TRUE,4.0,0))))))/Skills!H8,1)))/Inputs!$B$43),G1441*Q1441))*IF(Inputs!$B$38="pvp",1,1+(Inputs!$B$20+0+Skills!P8+Summary!$B$59)/100),0)</f>
        <v/>
      </c>
      <c r="V1441">
        <f>IF(C1441,(H1441*N1441*IF(AND(Inputs!$B$38&lt;&gt;"pvp",Inputs!$B$43&gt;0),((Skills!G8*((R1441-1)*IF(Skills!H8&gt;0,Skills!I8/Skills!H8,1)+IF(Skills!H8&gt;0,MIN(Skills!I8,MAX(0,MAX(0,Inputs!$B$43-B1469)-((R1441-1)*IF(Inputs!$B$38="pvp",15,MAX(0.1,Skills!D8-IF(Skills!E8=TRUE,4.0,0))))))/Skills!H8,1)))/Inputs!$B$43),G1441*Q1441))*IF(Inputs!$B$38="pvp",1,(1+(Inputs!$B$21+Skills!Q8+Summary!$B$59)/100)*(MIN(Skills!R8,Inputs!$B$37))),0)</f>
        <v/>
      </c>
    </row>
    <row r="1442">
      <c r="A1442">
        <f>Skills!A9</f>
        <v/>
      </c>
      <c r="B1442">
        <f>Skills!B9</f>
        <v/>
      </c>
      <c r="C1442">
        <f>Inputs!$B$3&gt;=69</f>
        <v/>
      </c>
      <c r="D1442">
        <f>IF(Skills!C9=1,60+Inputs!$B$25+Inputs!$B$29,IF(Skills!C9=2,90+Inputs!$B$26+Inputs!$B$29,IF(Skills!C9=3,120+Inputs!$B$27+Inputs!$B$29,MAX(0,(Inputs!$B$3-100)*3)+Inputs!$B$28+Inputs!$B$29)))</f>
        <v/>
      </c>
      <c r="E1442">
        <f>INDEX(FactorTable!$B$2:$Y$301, MATCH(ROUND(MIN(300,MAX(1,D1442)),0), FactorTable!$A$2:$A$301,0), Skills!M9+1)</f>
        <v/>
      </c>
      <c r="F1442">
        <f>IF(Skills!N9=TRUE,(Skills!L9/10)*(E1442/1000),Skills!L9/10)+Skills!O9</f>
        <v/>
      </c>
      <c r="G1442">
        <f>Skills!G9*IF(Skills!H9&gt;0,Skills!I9/Skills!H9,1)</f>
        <v/>
      </c>
      <c r="H1442">
        <f>1-(1-Skills!J9/100)^Skills!K9</f>
        <v/>
      </c>
      <c r="I1442" t="inlineStr">
        <is>
          <t>1</t>
        </is>
      </c>
      <c r="J1442">
        <f>((Inputs!$B$6*(1+Inputs!$B$7/100))+(((Inputs!$B$12*(1+Inputs!$B$13/100))-(Inputs!$B$12*(1+Inputs!$B$13/100)))+0.25*(Inputs!$B$14-Inputs!$B$14))*(1+Inputs!$B$7/100))*(F1442/100)</f>
        <v/>
      </c>
      <c r="K1442">
        <f>J1442*(1+((Inputs!$B$12*(1+Inputs!$B$13/100))*0.01+Inputs!$B$14*0.0025)/100)*(1+Inputs!$B$15/100)*(1+Inputs!$B$16/100)*(5000/(6000+Inputs!$B$42*(1-(Inputs!$B$19+0)/100)))*(1+(Inputs!$B$24+((C1458=TRUE)*(F1458-Calc!F25))+B1468)/100)*(1+1.0*IF(C1445=TRUE,F1445,0)/100)*(1+IF(Skills!A9="ENHANCED_RAGING_BLOW",IF(Inputs!$B$3&gt;=134,MAX(0,IF(Inputs!$B$3&gt;=110,7,5)-5)*50,0),0)/100)*(1+(IF(Skills!A9="RAGING_BLOW",Inputs!$B$17+((C1454=TRUE)*(F1454-Calc!F21)),Inputs!$B$18+((C1456=TRUE)*(F1456-Calc!F23))))/100)*((1+(((C1446=TRUE)*F1446*IF(Inputs!$B$3&gt;=110,7,5))+((C1448=TRUE)*F1448*IF(AND(Inputs!$B$38&lt;&gt;"pvp",Inputs!$B$43&gt;0),(((R1448-1)*(Skills!T15*(1+Inputs!$B$34/100))+MIN((Skills!T15*(1+Inputs!$B$34/100)),MAX(0,Inputs!$B$43-((R1448-1)*Skills!D15))))/Inputs!$B$43),IF(Inputs!$B$38="pvp",MIN((Skills!T15*(1+Inputs!$B$34/100)),15)/15,(Skills!T15*(1+Inputs!$B$34/100))/Skills!D15)))+0)/100)*I1442)</f>
        <v/>
      </c>
      <c r="L1442">
        <f>K1442*(MIN(Inputs!$B$22+((C1455=TRUE)*(F1455-Calc!F22)),Inputs!$B$23+((C1457=TRUE)*(F1457-Calc!F24)))/100+(Inputs!$B$23+((C1457=TRUE)*(F1457-Calc!F24)))/100)/2</f>
        <v/>
      </c>
      <c r="M1442">
        <f>L1442*(1+(Inputs!$B$10+0+B1467)/100)</f>
        <v/>
      </c>
      <c r="N1442">
        <f>L1442*(1-MIN((Inputs!$B$9+((C1459=TRUE)*(F1459-Calc!F26))+B1462),100)/100)+M1442*(MIN((Inputs!$B$9+((C1459=TRUE)*(F1459-Calc!F26))+B1462),100)/100)</f>
        <v/>
      </c>
      <c r="O1442">
        <f>(1-Summary!$B$55)*T1442+Summary!$B$55*V1442</f>
        <v/>
      </c>
      <c r="P1442">
        <f>IF(B1472=0,0,O1442/B1472)</f>
        <v/>
      </c>
      <c r="Q1442">
        <f>IFERROR(1/IF(Inputs!$B$38="pvp",15,MAX(0.1,Skills!D9-IF(Skills!E9=TRUE,4.0,0))),0)</f>
        <v/>
      </c>
      <c r="R1442">
        <f>IF(AND(Inputs!$B$38&lt;&gt;"pvp",Inputs!$B$43&gt;0),IF(MAX(0,Inputs!$B$43-B1469)&lt;=0,0,(INT(MAX(0,Inputs!$B$43-B1469)/IF(Inputs!$B$38="pvp",15,MAX(0.1,Skills!D9-IF(Skills!E9=TRUE,4.0,0))))+1)),0)</f>
        <v/>
      </c>
      <c r="S1442">
        <f>IFERROR(O1442/N1442,0)</f>
        <v/>
      </c>
      <c r="T1442">
        <f>IF(C1442,(H1442*N1442*IF(AND(Inputs!$B$38&lt;&gt;"pvp",Inputs!$B$43&gt;0),((Skills!G9*((R1442-1)*IF(Skills!H9&gt;0,Skills!I9/Skills!H9,1)+IF(Skills!H9&gt;0,MIN(Skills!I9,MAX(0,MAX(0,Inputs!$B$43-B1469)-((R1442-1)*IF(Inputs!$B$38="pvp",15,MAX(0.1,Skills!D9-IF(Skills!E9=TRUE,4.0,0))))))/Skills!H9,1)))/Inputs!$B$43),G1442*Q1442))*IF(Inputs!$B$38="pvp",1,1+(Inputs!$B$20+0+Skills!P9+Summary!$B$59)/100),0)</f>
        <v/>
      </c>
      <c r="V1442">
        <f>IF(C1442,(H1442*N1442*IF(AND(Inputs!$B$38&lt;&gt;"pvp",Inputs!$B$43&gt;0),((Skills!G9*((R1442-1)*IF(Skills!H9&gt;0,Skills!I9/Skills!H9,1)+IF(Skills!H9&gt;0,MIN(Skills!I9,MAX(0,MAX(0,Inputs!$B$43-B1469)-((R1442-1)*IF(Inputs!$B$38="pvp",15,MAX(0.1,Skills!D9-IF(Skills!E9=TRUE,4.0,0))))))/Skills!H9,1)))/Inputs!$B$43),G1442*Q1442))*IF(Inputs!$B$38="pvp",1,(1+(Inputs!$B$21+Skills!Q9+Summary!$B$59)/100)*(MIN(Skills!R9,Inputs!$B$37))),0)</f>
        <v/>
      </c>
    </row>
    <row r="1443">
      <c r="A1443">
        <f>Skills!A10</f>
        <v/>
      </c>
      <c r="B1443">
        <f>Skills!B10</f>
        <v/>
      </c>
      <c r="C1443">
        <f>Inputs!$B$3&gt;=63</f>
        <v/>
      </c>
      <c r="D1443">
        <f>IF(Skills!C10=1,60+Inputs!$B$25+Inputs!$B$29,IF(Skills!C10=2,90+Inputs!$B$26+Inputs!$B$29,IF(Skills!C10=3,120+Inputs!$B$27+Inputs!$B$29,MAX(0,(Inputs!$B$3-100)*3)+Inputs!$B$28+Inputs!$B$29)))</f>
        <v/>
      </c>
      <c r="E1443">
        <f>INDEX(FactorTable!$B$2:$Y$301, MATCH(ROUND(MIN(300,MAX(1,D1443)),0), FactorTable!$A$2:$A$301,0), Skills!M10+1)</f>
        <v/>
      </c>
      <c r="F1443">
        <f>IF(Skills!N10=TRUE,(Skills!L10/10)*(E1443/1000),Skills!L10/10)+Skills!O10</f>
        <v/>
      </c>
      <c r="G1443">
        <f>Skills!G10*IF(Skills!H10&gt;0,Skills!I10/Skills!H10,1)</f>
        <v/>
      </c>
      <c r="H1443">
        <f>1-(1-Skills!J10/100)^Skills!K10</f>
        <v/>
      </c>
      <c r="I1443" t="inlineStr">
        <is>
          <t>1</t>
        </is>
      </c>
      <c r="J1443">
        <f>((Inputs!$B$6*(1+Inputs!$B$7/100))+(((Inputs!$B$12*(1+Inputs!$B$13/100))-(Inputs!$B$12*(1+Inputs!$B$13/100)))+0.25*(Inputs!$B$14-Inputs!$B$14))*(1+Inputs!$B$7/100))*(F1443/100)</f>
        <v/>
      </c>
      <c r="K1443">
        <f>J1443*(1+((Inputs!$B$12*(1+Inputs!$B$13/100))*0.01+Inputs!$B$14*0.0025)/100)*(1+Inputs!$B$15/100)*(1+Inputs!$B$16/100)*(5000/(6000+Inputs!$B$42*(1-(Inputs!$B$19+0)/100)))*(1+(Inputs!$B$24+((C1458=TRUE)*(F1458-Calc!F25))+B1468)/100)*(1+1.5*IF(C1445=TRUE,F1445,0)/100)*(1+IF(Skills!A10="ENHANCED_RAGING_BLOW",IF(Inputs!$B$3&gt;=134,MAX(0,IF(Inputs!$B$3&gt;=110,7,5)-5)*50,0),0)/100)*(1+(IF(Skills!A10="RAGING_BLOW",Inputs!$B$17+((C1454=TRUE)*(F1454-Calc!F21)),Inputs!$B$18+((C1456=TRUE)*(F1456-Calc!F23))))/100)*((1+(((C1446=TRUE)*F1446*IF(Inputs!$B$3&gt;=110,7,5))+((C1448=TRUE)*F1448*IF(AND(Inputs!$B$38&lt;&gt;"pvp",Inputs!$B$43&gt;0),(((R1448-1)*(Skills!T15*(1+Inputs!$B$34/100))+MIN((Skills!T15*(1+Inputs!$B$34/100)),MAX(0,Inputs!$B$43-((R1448-1)*Skills!D15))))/Inputs!$B$43),IF(Inputs!$B$38="pvp",MIN((Skills!T15*(1+Inputs!$B$34/100)),15)/15,(Skills!T15*(1+Inputs!$B$34/100))/Skills!D15)))+0)/100)*I1443)</f>
        <v/>
      </c>
      <c r="L1443">
        <f>K1443*(MIN(Inputs!$B$22+((C1455=TRUE)*(F1455-Calc!F22)),Inputs!$B$23+((C1457=TRUE)*(F1457-Calc!F24)))/100+(Inputs!$B$23+((C1457=TRUE)*(F1457-Calc!F24)))/100)/2</f>
        <v/>
      </c>
      <c r="M1443">
        <f>L1443*(1+(Inputs!$B$10+0+B1467)/100)</f>
        <v/>
      </c>
      <c r="N1443">
        <f>L1443*(1-MIN((Inputs!$B$9+((C1459=TRUE)*(F1459-Calc!F26))+B1462),100)/100)+M1443*(MIN((Inputs!$B$9+((C1459=TRUE)*(F1459-Calc!F26))+B1462),100)/100)</f>
        <v/>
      </c>
      <c r="O1443">
        <f>(1-Summary!$B$55)*T1443+Summary!$B$55*V1443</f>
        <v/>
      </c>
      <c r="P1443">
        <f>IF(B1472=0,0,O1443/B1472)</f>
        <v/>
      </c>
      <c r="Q1443">
        <f>IFERROR(1/IF(Inputs!$B$38="pvp",15,MAX(0.1,Skills!D10-IF(Skills!E10=TRUE,4.0,0))),0)</f>
        <v/>
      </c>
      <c r="R1443">
        <f>IF(AND(Inputs!$B$38&lt;&gt;"pvp",Inputs!$B$43&gt;0),IF(MAX(0,Inputs!$B$43-B1469)&lt;=0,0,(INT(MAX(0,Inputs!$B$43-B1469)/IF(Inputs!$B$38="pvp",15,MAX(0.1,Skills!D10-IF(Skills!E10=TRUE,4.0,0))))+1)),0)</f>
        <v/>
      </c>
      <c r="S1443">
        <f>IFERROR(O1443/N1443,0)</f>
        <v/>
      </c>
      <c r="T1443">
        <f>IF(C1443,(H1443*N1443*IF(AND(Inputs!$B$38&lt;&gt;"pvp",Inputs!$B$43&gt;0),((Skills!G10*((R1443-1)*IF(Skills!H10&gt;0,Skills!I10/Skills!H10,1)+IF(Skills!H10&gt;0,MIN(Skills!I10,MAX(0,MAX(0,Inputs!$B$43-B1469)-((R1443-1)*IF(Inputs!$B$38="pvp",15,MAX(0.1,Skills!D10-IF(Skills!E10=TRUE,4.0,0))))))/Skills!H10,1)))/Inputs!$B$43),G1443*Q1443))*IF(Inputs!$B$38="pvp",1,1+(Inputs!$B$20+0+Skills!P10+Summary!$B$59)/100),0)</f>
        <v/>
      </c>
      <c r="V1443">
        <f>IF(C1443,(H1443*N1443*IF(AND(Inputs!$B$38&lt;&gt;"pvp",Inputs!$B$43&gt;0),((Skills!G10*((R1443-1)*IF(Skills!H10&gt;0,Skills!I10/Skills!H10,1)+IF(Skills!H10&gt;0,MIN(Skills!I10,MAX(0,MAX(0,Inputs!$B$43-B1469)-((R1443-1)*IF(Inputs!$B$38="pvp",15,MAX(0.1,Skills!D10-IF(Skills!E10=TRUE,4.0,0))))))/Skills!H10,1)))/Inputs!$B$43),G1443*Q1443))*IF(Inputs!$B$38="pvp",1,(1+(Inputs!$B$21+Skills!Q10+Summary!$B$59)/100)*(MIN(Skills!R10,Inputs!$B$37))),0)</f>
        <v/>
      </c>
    </row>
    <row r="1444">
      <c r="A1444">
        <f>Skills!A11</f>
        <v/>
      </c>
      <c r="B1444">
        <f>Skills!B11</f>
        <v/>
      </c>
      <c r="C1444">
        <f>Inputs!$B$3&gt;=35</f>
        <v/>
      </c>
      <c r="D1444">
        <f>IF(Skills!C11=1,60+Inputs!$B$25+Inputs!$B$29,IF(Skills!C11=2,90+Inputs!$B$26+Inputs!$B$29,IF(Skills!C11=3,120+Inputs!$B$27+Inputs!$B$29,MAX(0,(Inputs!$B$3-100)*3)+Inputs!$B$28+Inputs!$B$29)))</f>
        <v/>
      </c>
      <c r="E1444">
        <f>INDEX(FactorTable!$B$2:$Y$301, MATCH(ROUND(MIN(300,MAX(1,D1444)),0), FactorTable!$A$2:$A$301,0), Skills!M11+1)</f>
        <v/>
      </c>
      <c r="F1444">
        <f>IF(Skills!N11=TRUE,(Skills!L11/10)*(E1444/1000),Skills!L11/10)+Skills!O11</f>
        <v/>
      </c>
      <c r="G1444">
        <f>Skills!G11*IF(Skills!H11&gt;0,Skills!I11/Skills!H11,1)</f>
        <v/>
      </c>
      <c r="H1444">
        <f>1-(1-Skills!J11/100)^Skills!K11</f>
        <v/>
      </c>
      <c r="I1444" t="inlineStr">
        <is>
          <t>1</t>
        </is>
      </c>
      <c r="J1444">
        <f>((Inputs!$B$6*(1+Inputs!$B$7/100))+(((Inputs!$B$12*(1+Inputs!$B$13/100))-(Inputs!$B$12*(1+Inputs!$B$13/100)))+0.25*(Inputs!$B$14-Inputs!$B$14))*(1+Inputs!$B$7/100))*(F1444/100)</f>
        <v/>
      </c>
      <c r="K1444">
        <f>J1444*(1+((Inputs!$B$12*(1+Inputs!$B$13/100))*0.01+Inputs!$B$14*0.0025)/100)*(1+Inputs!$B$15/100)*(1+Inputs!$B$16/100)*(5000/(6000+Inputs!$B$42*(1-(Inputs!$B$19+0)/100)))*(1+(Inputs!$B$24+((C1458=TRUE)*(F1458-Calc!F25))+B1468)/100)*(1+4.0*IF(C1445=TRUE,F1445,0)/100)*(1+IF(Skills!A11="ENHANCED_RAGING_BLOW",IF(Inputs!$B$3&gt;=134,MAX(0,IF(Inputs!$B$3&gt;=110,7,5)-5)*50,0),0)/100)*(1+(IF(Skills!A11="RAGING_BLOW",Inputs!$B$17+((C1454=TRUE)*(F1454-Calc!F21)),Inputs!$B$18+((C1456=TRUE)*(F1456-Calc!F23))))/100)*((1+(((C1446=TRUE)*F1446*IF(Inputs!$B$3&gt;=110,7,5))+((C1448=TRUE)*F1448*IF(AND(Inputs!$B$38&lt;&gt;"pvp",Inputs!$B$43&gt;0),(((R1448-1)*(Skills!T15*(1+Inputs!$B$34/100))+MIN((Skills!T15*(1+Inputs!$B$34/100)),MAX(0,Inputs!$B$43-((R1448-1)*Skills!D15))))/Inputs!$B$43),IF(Inputs!$B$38="pvp",MIN((Skills!T15*(1+Inputs!$B$34/100)),15)/15,(Skills!T15*(1+Inputs!$B$34/100))/Skills!D15)))+0)/100)*I1444)</f>
        <v/>
      </c>
      <c r="L1444">
        <f>K1444*(MIN(Inputs!$B$22+((C1455=TRUE)*(F1455-Calc!F22)),Inputs!$B$23+((C1457=TRUE)*(F1457-Calc!F24)))/100+(Inputs!$B$23+((C1457=TRUE)*(F1457-Calc!F24)))/100)/2</f>
        <v/>
      </c>
      <c r="M1444">
        <f>L1444*(1+(Inputs!$B$10+0+B1467)/100)</f>
        <v/>
      </c>
      <c r="N1444">
        <f>L1444*(1-MIN((Inputs!$B$9+((C1459=TRUE)*(F1459-Calc!F26))+B1462),100)/100)+M1444*(MIN((Inputs!$B$9+((C1459=TRUE)*(F1459-Calc!F26))+B1462),100)/100)</f>
        <v/>
      </c>
      <c r="O1444">
        <f>(1-Summary!$B$55)*T1444+Summary!$B$55*V1444</f>
        <v/>
      </c>
      <c r="P1444">
        <f>IF(B1472=0,0,O1444/B1472)</f>
        <v/>
      </c>
      <c r="Q1444">
        <f>IFERROR(1/IF(Inputs!$B$38="pvp",15,MAX(0.1,Skills!D11-IF(Skills!E11=TRUE,4.0,0))),0)</f>
        <v/>
      </c>
      <c r="R1444">
        <f>IF(AND(Inputs!$B$38&lt;&gt;"pvp",Inputs!$B$43&gt;0),IF(MAX(0,Inputs!$B$43-B1469)&lt;=0,0,(INT(MAX(0,Inputs!$B$43-B1469)/IF(Inputs!$B$38="pvp",15,MAX(0.1,Skills!D11-IF(Skills!E11=TRUE,4.0,0))))+1)),0)</f>
        <v/>
      </c>
      <c r="S1444">
        <f>IFERROR(O1444/N1444,0)</f>
        <v/>
      </c>
      <c r="T1444">
        <f>IF(C1444,(H1444*N1444*IF(AND(Inputs!$B$38&lt;&gt;"pvp",Inputs!$B$43&gt;0),((Skills!G11*((R1444-1)*IF(Skills!H11&gt;0,Skills!I11/Skills!H11,1)+IF(Skills!H11&gt;0,MIN(Skills!I11,MAX(0,MAX(0,Inputs!$B$43-B1469)-((R1444-1)*IF(Inputs!$B$38="pvp",15,MAX(0.1,Skills!D11-IF(Skills!E11=TRUE,4.0,0))))))/Skills!H11,1)))/Inputs!$B$43),G1444*Q1444))*IF(Inputs!$B$38="pvp",1,1+(Inputs!$B$20+0+Skills!P11+Summary!$B$59)/100),0)</f>
        <v/>
      </c>
      <c r="V1444">
        <f>IF(C1444,(H1444*N1444*IF(AND(Inputs!$B$38&lt;&gt;"pvp",Inputs!$B$43&gt;0),((Skills!G11*((R1444-1)*IF(Skills!H11&gt;0,Skills!I11/Skills!H11,1)+IF(Skills!H11&gt;0,MIN(Skills!I11,MAX(0,MAX(0,Inputs!$B$43-B1469)-((R1444-1)*IF(Inputs!$B$38="pvp",15,MAX(0.1,Skills!D11-IF(Skills!E11=TRUE,4.0,0))))))/Skills!H11,1)))/Inputs!$B$43),G1444*Q1444))*IF(Inputs!$B$38="pvp",1,(1+(Inputs!$B$21+Skills!Q11+Summary!$B$59)/100)*(MIN(Skills!R11,Inputs!$B$37))),0)</f>
        <v/>
      </c>
    </row>
    <row r="1445">
      <c r="A1445">
        <f>Skills!A12</f>
        <v/>
      </c>
      <c r="B1445">
        <f>Skills!B12</f>
        <v/>
      </c>
      <c r="C1445">
        <f>Inputs!$B$3&gt;=100</f>
        <v/>
      </c>
      <c r="D1445">
        <f>IF(Skills!C12=1,60+Inputs!$B$25+Inputs!$B$29,IF(Skills!C12=2,90+Inputs!$B$26+Inputs!$B$29,IF(Skills!C12=3,120+Inputs!$B$27+Inputs!$B$29,MAX(0,(Inputs!$B$3-100)*3)+Inputs!$B$28+Inputs!$B$29)))</f>
        <v/>
      </c>
      <c r="E1445">
        <f>INDEX(FactorTable!$B$2:$Y$301, MATCH(ROUND(MIN(300,MAX(1,D1445)),0), FactorTable!$A$2:$A$301,0), Skills!M12+1)</f>
        <v/>
      </c>
      <c r="F1445">
        <f>IF(Skills!N12=TRUE,(Skills!L12/10)*(E1445/1000),Skills!L12/10)+Skills!O12</f>
        <v/>
      </c>
      <c r="G1445" t="inlineStr"/>
      <c r="H1445" t="inlineStr"/>
      <c r="I1445" t="inlineStr">
        <is>
          <t>1</t>
        </is>
      </c>
      <c r="J1445" t="inlineStr"/>
      <c r="K1445" t="inlineStr"/>
      <c r="L1445" t="inlineStr"/>
      <c r="M1445" t="inlineStr"/>
      <c r="N1445" t="inlineStr"/>
      <c r="O1445" t="inlineStr"/>
      <c r="P1445" t="inlineStr"/>
      <c r="Q1445" t="inlineStr"/>
      <c r="R1445" t="inlineStr"/>
      <c r="S1445" t="inlineStr"/>
    </row>
    <row r="1446">
      <c r="A1446">
        <f>Skills!A13</f>
        <v/>
      </c>
      <c r="B1446">
        <f>Skills!B13</f>
        <v/>
      </c>
      <c r="C1446">
        <f>Inputs!$B$3&gt;=45</f>
        <v/>
      </c>
      <c r="D1446">
        <f>IF(Skills!C13=1,60+Inputs!$B$25+Inputs!$B$29,IF(Skills!C13=2,90+Inputs!$B$26+Inputs!$B$29,IF(Skills!C13=3,120+Inputs!$B$27+Inputs!$B$29,MAX(0,(Inputs!$B$3-100)*3)+Inputs!$B$28+Inputs!$B$29)))</f>
        <v/>
      </c>
      <c r="E1446">
        <f>INDEX(FactorTable!$B$2:$Y$301, MATCH(ROUND(MIN(300,MAX(1,D1446)),0), FactorTable!$A$2:$A$301,0), Skills!M13+1)</f>
        <v/>
      </c>
      <c r="F1446">
        <f>IF(Skills!N13=TRUE,(Skills!L13/10)*(E1446/1000),Skills!L13/10)+Skills!O13</f>
        <v/>
      </c>
      <c r="G1446">
        <f>Skills!G13*IF(Skills!H13&gt;0,Skills!I13/Skills!H13,1)</f>
        <v/>
      </c>
      <c r="H1446">
        <f>1-(1-Skills!J13/100)^Skills!K13</f>
        <v/>
      </c>
      <c r="I1446" t="inlineStr">
        <is>
          <t>1</t>
        </is>
      </c>
      <c r="J1446" t="inlineStr"/>
      <c r="K1446" t="inlineStr"/>
      <c r="L1446" t="inlineStr"/>
      <c r="M1446" t="inlineStr"/>
      <c r="N1446" t="inlineStr"/>
      <c r="O1446">
        <f>(1-Summary!$B$55)*T1446+Summary!$B$55*V1446</f>
        <v/>
      </c>
      <c r="P1446">
        <f>IF(B1472=0,0,O1446/B1472)</f>
        <v/>
      </c>
      <c r="Q1446" t="n">
        <v>0</v>
      </c>
      <c r="R1446" t="n">
        <v>0</v>
      </c>
      <c r="S1446">
        <f>IFERROR(O1446/N1446,0)</f>
        <v/>
      </c>
      <c r="T1446" t="n">
        <v>0</v>
      </c>
      <c r="V1446" t="n">
        <v>0</v>
      </c>
    </row>
    <row r="1447">
      <c r="A1447">
        <f>Skills!A14</f>
        <v/>
      </c>
      <c r="B1447">
        <f>Skills!B14</f>
        <v/>
      </c>
      <c r="C1447">
        <f>Inputs!$B$3&gt;=75</f>
        <v/>
      </c>
      <c r="D1447">
        <f>IF(Skills!C14=1,60+Inputs!$B$25+Inputs!$B$29,IF(Skills!C14=2,90+Inputs!$B$26+Inputs!$B$29,IF(Skills!C14=3,120+Inputs!$B$27+Inputs!$B$29,MAX(0,(Inputs!$B$3-100)*3)+Inputs!$B$28+Inputs!$B$29)))</f>
        <v/>
      </c>
      <c r="E1447">
        <f>INDEX(FactorTable!$B$2:$Y$301, MATCH(ROUND(MIN(300,MAX(1,D1447)),0), FactorTable!$A$2:$A$301,0), Skills!M14+1)</f>
        <v/>
      </c>
      <c r="F1447">
        <f>IF(Skills!N14=TRUE,(Skills!L14/10)*(E1447/1000),Skills!L14/10)+Skills!O14</f>
        <v/>
      </c>
      <c r="G1447">
        <f>Skills!G14*IF(Skills!H14&gt;0,Skills!I14/Skills!H14,1)</f>
        <v/>
      </c>
      <c r="H1447">
        <f>1-(1-Skills!J14/100)^Skills!K14</f>
        <v/>
      </c>
      <c r="I1447" t="inlineStr">
        <is>
          <t>1</t>
        </is>
      </c>
      <c r="J1447" t="inlineStr"/>
      <c r="K1447" t="inlineStr"/>
      <c r="L1447" t="inlineStr"/>
      <c r="M1447" t="inlineStr"/>
      <c r="N1447" t="inlineStr"/>
      <c r="O1447">
        <f>(1-Summary!$B$55)*T1447+Summary!$B$55*V1447</f>
        <v/>
      </c>
      <c r="P1447">
        <f>IF(B1472=0,0,O1447/B1472)</f>
        <v/>
      </c>
      <c r="Q1447" t="n">
        <v>0</v>
      </c>
      <c r="R1447" t="n">
        <v>0</v>
      </c>
      <c r="S1447">
        <f>IFERROR(O1447/N1447,0)</f>
        <v/>
      </c>
      <c r="T1447" t="n">
        <v>0</v>
      </c>
      <c r="V1447" t="n">
        <v>0</v>
      </c>
    </row>
    <row r="1448">
      <c r="A1448">
        <f>Skills!A15</f>
        <v/>
      </c>
      <c r="B1448">
        <f>Skills!B15</f>
        <v/>
      </c>
      <c r="C1448">
        <f>Inputs!$B$3&gt;=40</f>
        <v/>
      </c>
      <c r="D1448">
        <f>IF(Skills!C15=1,60+Inputs!$B$25+Inputs!$B$29,IF(Skills!C15=2,90+Inputs!$B$26+Inputs!$B$29,IF(Skills!C15=3,120+Inputs!$B$27+Inputs!$B$29,MAX(0,(Inputs!$B$3-100)*3)+Inputs!$B$28+Inputs!$B$29)))</f>
        <v/>
      </c>
      <c r="E1448">
        <f>INDEX(FactorTable!$B$2:$Y$301, MATCH(ROUND(MIN(300,MAX(1,D1448)),0), FactorTable!$A$2:$A$301,0), Skills!M15+1)</f>
        <v/>
      </c>
      <c r="F1448">
        <f>IF(Skills!N15=TRUE,(Skills!L15/10)*(E1448/1000),Skills!L15/10)+Skills!O15</f>
        <v/>
      </c>
      <c r="G1448">
        <f>Skills!G15*IF(Skills!H15&gt;0,Skills!I15/Skills!H15,1)</f>
        <v/>
      </c>
      <c r="H1448">
        <f>1-(1-Skills!J15/100)^Skills!K15</f>
        <v/>
      </c>
      <c r="I1448" t="inlineStr">
        <is>
          <t>1</t>
        </is>
      </c>
      <c r="J1448" t="inlineStr"/>
      <c r="K1448" t="inlineStr"/>
      <c r="L1448" t="inlineStr"/>
      <c r="M1448" t="inlineStr"/>
      <c r="N1448" t="inlineStr"/>
      <c r="O1448">
        <f>(1-Summary!$B$55)*T1448+Summary!$B$55*V1448</f>
        <v/>
      </c>
      <c r="P1448">
        <f>IF(B1472=0,0,O1448/B1472)</f>
        <v/>
      </c>
      <c r="Q1448">
        <f>IFERROR(1/IF(Inputs!$B$38="pvp",15,MAX(0.1,Skills!D15-IF(Skills!E15=TRUE,4.0,0))),0)</f>
        <v/>
      </c>
      <c r="R1448">
        <f>IF(AND(Inputs!$B$38&lt;&gt;"pvp",Inputs!$B$43&gt;0),IF(Inputs!$B$43&lt;=0,0,(INT(Inputs!$B$43/IF(Inputs!$B$38="pvp",15,MAX(0.1,Skills!D15-IF(Skills!E15=TRUE,4.0,0))))+1)),0)</f>
        <v/>
      </c>
      <c r="S1448">
        <f>IFERROR(O1448/N1448,0)</f>
        <v/>
      </c>
      <c r="T1448" t="n">
        <v>0</v>
      </c>
      <c r="V1448" t="n">
        <v>0</v>
      </c>
    </row>
    <row r="1449">
      <c r="A1449">
        <f>Skills!A16</f>
        <v/>
      </c>
      <c r="B1449">
        <f>Skills!B16</f>
        <v/>
      </c>
      <c r="C1449">
        <f>Inputs!$B$3&gt;=66</f>
        <v/>
      </c>
      <c r="D1449">
        <f>IF(Skills!C16=1,60+Inputs!$B$25+Inputs!$B$29,IF(Skills!C16=2,90+Inputs!$B$26+Inputs!$B$29,IF(Skills!C16=3,120+Inputs!$B$27+Inputs!$B$29,MAX(0,(Inputs!$B$3-100)*3)+Inputs!$B$28+Inputs!$B$29)))</f>
        <v/>
      </c>
      <c r="E1449">
        <f>INDEX(FactorTable!$B$2:$Y$301, MATCH(ROUND(MIN(300,MAX(1,D1449)),0), FactorTable!$A$2:$A$301,0), Skills!M16+1)</f>
        <v/>
      </c>
      <c r="F1449">
        <f>IF(Skills!N16=TRUE,(Skills!L16/10)*(E1449/1000),Skills!L16/10)+Skills!O16</f>
        <v/>
      </c>
      <c r="G1449">
        <f>Skills!G16*IF(Skills!H16&gt;0,Skills!I16/Skills!H16,1)</f>
        <v/>
      </c>
      <c r="H1449">
        <f>1-(1-Skills!J16/100)^Skills!K16</f>
        <v/>
      </c>
      <c r="I1449" t="inlineStr">
        <is>
          <t>1</t>
        </is>
      </c>
      <c r="J1449" t="inlineStr"/>
      <c r="K1449" t="inlineStr"/>
      <c r="L1449" t="inlineStr"/>
      <c r="M1449" t="inlineStr"/>
      <c r="N1449" t="inlineStr"/>
      <c r="O1449">
        <f>(1-Summary!$B$55)*T1449+Summary!$B$55*V1449</f>
        <v/>
      </c>
      <c r="P1449">
        <f>IF(B1472=0,0,O1449/B1472)</f>
        <v/>
      </c>
      <c r="Q1449">
        <f>IFERROR(1/IF(Inputs!$B$38="pvp",15,MAX(0.1,Skills!D16-IF(Skills!E16=TRUE,4.0,0))),0)</f>
        <v/>
      </c>
      <c r="R1449">
        <f>IF(AND(Inputs!$B$38&lt;&gt;"pvp",Inputs!$B$43&gt;0),IF(Inputs!$B$43&lt;=0,0,(INT(Inputs!$B$43/IF(Inputs!$B$38="pvp",15,MAX(0.1,Skills!D16-IF(Skills!E16=TRUE,4.0,0))))+1)),0)</f>
        <v/>
      </c>
      <c r="S1449">
        <f>IFERROR(O1449/N1449,0)</f>
        <v/>
      </c>
      <c r="T1449" t="n">
        <v>0</v>
      </c>
      <c r="V1449" t="n">
        <v>0</v>
      </c>
    </row>
    <row r="1450">
      <c r="A1450">
        <f>Skills!A17</f>
        <v/>
      </c>
      <c r="B1450">
        <f>Skills!B17</f>
        <v/>
      </c>
      <c r="C1450">
        <f>Inputs!$B$3&gt;=115</f>
        <v/>
      </c>
      <c r="D1450">
        <f>IF(Skills!C17=1,60+Inputs!$B$25+Inputs!$B$29,IF(Skills!C17=2,90+Inputs!$B$26+Inputs!$B$29,IF(Skills!C17=3,120+Inputs!$B$27+Inputs!$B$29,MAX(0,(Inputs!$B$3-100)*3)+Inputs!$B$28+Inputs!$B$29)))</f>
        <v/>
      </c>
      <c r="E1450">
        <f>INDEX(FactorTable!$B$2:$Y$301, MATCH(ROUND(MIN(300,MAX(1,D1450)),0), FactorTable!$A$2:$A$301,0), Skills!M17+1)</f>
        <v/>
      </c>
      <c r="F1450">
        <f>IF(Skills!N17=TRUE,(Skills!L17/10)*(E1450/1000),Skills!L17/10)+Skills!O17</f>
        <v/>
      </c>
      <c r="G1450">
        <f>Skills!G17*IF(Skills!H17&gt;0,Skills!I17/Skills!H17,1)</f>
        <v/>
      </c>
      <c r="H1450">
        <f>1-(1-Skills!J17/100)^Skills!K17</f>
        <v/>
      </c>
      <c r="I1450" t="inlineStr">
        <is>
          <t>1</t>
        </is>
      </c>
      <c r="J1450" t="inlineStr"/>
      <c r="K1450" t="inlineStr"/>
      <c r="L1450" t="inlineStr"/>
      <c r="M1450" t="inlineStr"/>
      <c r="N1450" t="inlineStr"/>
      <c r="O1450">
        <f>(1-Summary!$B$55)*T1450+Summary!$B$55*V1450</f>
        <v/>
      </c>
      <c r="P1450">
        <f>IF(B1472=0,0,O1450/B1472)</f>
        <v/>
      </c>
      <c r="Q1450">
        <f>IFERROR(1/IF(Inputs!$B$38="pvp",15,MAX(0.1,Skills!D17-IF(Skills!E17=TRUE,4.0,0))),0)</f>
        <v/>
      </c>
      <c r="R1450">
        <f>IF(AND(Inputs!$B$38&lt;&gt;"pvp",Inputs!$B$43&gt;0),IF(Inputs!$B$43&lt;=0,0,(INT(Inputs!$B$43/IF(Inputs!$B$38="pvp",15,MAX(0.1,Skills!D17-IF(Skills!E17=TRUE,4.0,0))))+1)),0)</f>
        <v/>
      </c>
      <c r="S1450">
        <f>IFERROR(O1450/N1450,0)</f>
        <v/>
      </c>
      <c r="T1450" t="n">
        <v>0</v>
      </c>
      <c r="V1450" t="n">
        <v>0</v>
      </c>
    </row>
    <row r="1451">
      <c r="A1451">
        <f>Skills!A18</f>
        <v/>
      </c>
      <c r="B1451">
        <f>Skills!B18</f>
        <v/>
      </c>
      <c r="C1451">
        <f>Inputs!$B$3&gt;=115</f>
        <v/>
      </c>
      <c r="D1451">
        <f>IF(Skills!C18=1,60+Inputs!$B$25+Inputs!$B$29,IF(Skills!C18=2,90+Inputs!$B$26+Inputs!$B$29,IF(Skills!C18=3,120+Inputs!$B$27+Inputs!$B$29,MAX(0,(Inputs!$B$3-100)*3)+Inputs!$B$28+Inputs!$B$29)))</f>
        <v/>
      </c>
      <c r="E1451">
        <f>INDEX(FactorTable!$B$2:$Y$301, MATCH(ROUND(MIN(300,MAX(1,D1451)),0), FactorTable!$A$2:$A$301,0), Skills!M18+1)</f>
        <v/>
      </c>
      <c r="F1451">
        <f>IF(Skills!N18=TRUE,(Skills!L18/10)*(E1451/1000),Skills!L18/10)+Skills!O18</f>
        <v/>
      </c>
      <c r="G1451">
        <f>Skills!G18*IF(Skills!H18&gt;0,Skills!I18/Skills!H18,1)</f>
        <v/>
      </c>
      <c r="H1451">
        <f>1-(1-Skills!J18/100)^Skills!K18</f>
        <v/>
      </c>
      <c r="I1451" t="inlineStr">
        <is>
          <t>1</t>
        </is>
      </c>
      <c r="J1451" t="inlineStr"/>
      <c r="K1451" t="inlineStr"/>
      <c r="L1451" t="inlineStr"/>
      <c r="M1451" t="inlineStr"/>
      <c r="N1451" t="inlineStr"/>
      <c r="O1451">
        <f>(1-Summary!$B$55)*T1451+Summary!$B$55*V1451</f>
        <v/>
      </c>
      <c r="P1451">
        <f>IF(B1472=0,0,O1451/B1472)</f>
        <v/>
      </c>
      <c r="Q1451">
        <f>IFERROR(1/IF(Inputs!$B$38="pvp",15,MAX(0.1,Skills!D18-IF(Skills!E18=TRUE,4.0,0))),0)</f>
        <v/>
      </c>
      <c r="R1451">
        <f>IF(AND(Inputs!$B$38&lt;&gt;"pvp",Inputs!$B$43&gt;0),IF(Inputs!$B$43&lt;=0,0,(INT(Inputs!$B$43/IF(Inputs!$B$38="pvp",15,MAX(0.1,Skills!D18-IF(Skills!E18=TRUE,4.0,0))))+1)),0)</f>
        <v/>
      </c>
      <c r="S1451">
        <f>IFERROR(O1451/N1451,0)</f>
        <v/>
      </c>
      <c r="T1451" t="n">
        <v>0</v>
      </c>
      <c r="V1451" t="n">
        <v>0</v>
      </c>
    </row>
    <row r="1452">
      <c r="A1452">
        <f>Skills!A19</f>
        <v/>
      </c>
      <c r="B1452">
        <f>Skills!B19</f>
        <v/>
      </c>
      <c r="C1452">
        <f>TRUE</f>
        <v/>
      </c>
      <c r="D1452">
        <f>IF(Skills!C19=1,60+Inputs!$B$25+Inputs!$B$29,IF(Skills!C19=2,90+Inputs!$B$26+Inputs!$B$29,IF(Skills!C19=3,120+Inputs!$B$27+Inputs!$B$29,MAX(0,(Inputs!$B$3-100)*3)+Inputs!$B$28+Inputs!$B$29)))</f>
        <v/>
      </c>
      <c r="E1452">
        <f>INDEX(FactorTable!$B$2:$Y$301, MATCH(ROUND(MIN(300,MAX(1,D1452)),0), FactorTable!$A$2:$A$301,0), Skills!M19+1)</f>
        <v/>
      </c>
      <c r="F1452">
        <f>IF(Skills!N19=TRUE,(Skills!L19/10)*(E1452/1000),Skills!L19/10)+Skills!O19</f>
        <v/>
      </c>
      <c r="G1452">
        <f>Skills!G19*IF(Skills!H19&gt;0,Skills!I19/Skills!H19,1)</f>
        <v/>
      </c>
      <c r="H1452">
        <f>1-(1-Skills!J19/100)^Skills!K19</f>
        <v/>
      </c>
      <c r="I1452" t="inlineStr">
        <is>
          <t>1</t>
        </is>
      </c>
      <c r="J1452" t="inlineStr"/>
      <c r="K1452" t="inlineStr"/>
      <c r="L1452" t="inlineStr"/>
      <c r="M1452" t="inlineStr"/>
      <c r="N1452" t="inlineStr"/>
      <c r="O1452">
        <f>(1-Summary!$B$55)*T1452+Summary!$B$55*V1452</f>
        <v/>
      </c>
      <c r="P1452">
        <f>IF(B1472=0,0,O1452/B1472)</f>
        <v/>
      </c>
      <c r="Q1452">
        <f>IFERROR(1/IF(Inputs!$B$38="pvp",15,MAX(0.1,Skills!D19-IF(Skills!E19=TRUE,4.0,0))),0)</f>
        <v/>
      </c>
      <c r="R1452">
        <f>IF(AND(Inputs!$B$38&lt;&gt;"pvp",Inputs!$B$43&gt;0),IF(Inputs!$B$43&lt;=0,0,(INT(Inputs!$B$43/IF(Inputs!$B$38="pvp",15,MAX(0.1,Skills!D19-IF(Skills!E19=TRUE,4.0,0))))+1)),0)</f>
        <v/>
      </c>
      <c r="S1452">
        <f>IFERROR(O1452/N1452,0)</f>
        <v/>
      </c>
      <c r="T1452" t="n">
        <v>0</v>
      </c>
      <c r="V1452" t="n">
        <v>0</v>
      </c>
    </row>
    <row r="1453">
      <c r="A1453">
        <f>Skills!A20</f>
        <v/>
      </c>
      <c r="B1453">
        <f>Skills!B20</f>
        <v/>
      </c>
      <c r="C1453">
        <f>Inputs!$B$3&gt;=33</f>
        <v/>
      </c>
      <c r="D1453">
        <f>IF(Skills!C20=1,60+Inputs!$B$25+Inputs!$B$29,IF(Skills!C20=2,90+Inputs!$B$26+Inputs!$B$29,IF(Skills!C20=3,120+Inputs!$B$27+Inputs!$B$29,MAX(0,(Inputs!$B$3-100)*3)+Inputs!$B$28+Inputs!$B$29)))</f>
        <v/>
      </c>
      <c r="E1453">
        <f>INDEX(FactorTable!$B$2:$Y$301, MATCH(ROUND(MIN(300,MAX(1,D1453)),0), FactorTable!$A$2:$A$301,0), Skills!M20+1)</f>
        <v/>
      </c>
      <c r="F1453">
        <f>IF(Skills!N20=TRUE,(Skills!L20/10)*(E1453/1000),Skills!L20/10)+Skills!O20</f>
        <v/>
      </c>
      <c r="G1453">
        <f>Skills!G20*IF(Skills!H20&gt;0,Skills!I20/Skills!H20,1)</f>
        <v/>
      </c>
      <c r="H1453">
        <f>1-(1-Skills!J20/100)^Skills!K20</f>
        <v/>
      </c>
      <c r="I1453" t="inlineStr">
        <is>
          <t>1</t>
        </is>
      </c>
      <c r="J1453" t="inlineStr"/>
      <c r="K1453" t="inlineStr"/>
      <c r="L1453" t="inlineStr"/>
      <c r="M1453" t="inlineStr"/>
      <c r="N1453" t="inlineStr"/>
      <c r="O1453">
        <f>(1-Summary!$B$55)*T1453+Summary!$B$55*V1453</f>
        <v/>
      </c>
      <c r="P1453">
        <f>IF(B1472=0,0,O1453/B1472)</f>
        <v/>
      </c>
      <c r="Q1453" t="n">
        <v>0</v>
      </c>
      <c r="R1453" t="n">
        <v>0</v>
      </c>
      <c r="S1453">
        <f>IFERROR(O1453/N1453,0)</f>
        <v/>
      </c>
      <c r="T1453" t="n">
        <v>0</v>
      </c>
      <c r="V1453" t="n">
        <v>0</v>
      </c>
    </row>
    <row r="1454">
      <c r="A1454">
        <f>Skills!A21</f>
        <v/>
      </c>
      <c r="B1454">
        <f>Skills!B21</f>
        <v/>
      </c>
      <c r="C1454">
        <f>Inputs!$B$3&gt;=38</f>
        <v/>
      </c>
      <c r="D1454">
        <f>IF(Skills!C21=1,60+Inputs!$B$25+Inputs!$B$29,IF(Skills!C21=2,90+Inputs!$B$26+Inputs!$B$29,IF(Skills!C21=3,120+Inputs!$B$27+Inputs!$B$29,MAX(0,(Inputs!$B$3-100)*3)+Inputs!$B$28+Inputs!$B$29)))</f>
        <v/>
      </c>
      <c r="E1454">
        <f>INDEX(FactorTable!$B$2:$Y$301, MATCH(ROUND(MIN(300,MAX(1,D1454)),0), FactorTable!$A$2:$A$301,0), Skills!M21+1)</f>
        <v/>
      </c>
      <c r="F1454">
        <f>IF(Skills!N21=TRUE,(Skills!L21/10)*(E1454/1000),Skills!L21/10)+Skills!O21</f>
        <v/>
      </c>
      <c r="G1454">
        <f>Skills!G21*IF(Skills!H21&gt;0,Skills!I21/Skills!H21,1)</f>
        <v/>
      </c>
      <c r="H1454">
        <f>1-(1-Skills!J21/100)^Skills!K21</f>
        <v/>
      </c>
      <c r="I1454" t="inlineStr">
        <is>
          <t>1</t>
        </is>
      </c>
      <c r="J1454" t="inlineStr"/>
      <c r="K1454" t="inlineStr"/>
      <c r="L1454" t="inlineStr"/>
      <c r="M1454" t="inlineStr"/>
      <c r="N1454" t="inlineStr"/>
      <c r="O1454">
        <f>(1-Summary!$B$55)*T1454+Summary!$B$55*V1454</f>
        <v/>
      </c>
      <c r="P1454">
        <f>IF(B1472=0,0,O1454/B1472)</f>
        <v/>
      </c>
      <c r="Q1454" t="n">
        <v>0</v>
      </c>
      <c r="R1454" t="n">
        <v>0</v>
      </c>
      <c r="S1454">
        <f>IFERROR(O1454/N1454,0)</f>
        <v/>
      </c>
      <c r="T1454" t="n">
        <v>0</v>
      </c>
      <c r="V1454" t="n">
        <v>0</v>
      </c>
    </row>
    <row r="1455">
      <c r="A1455">
        <f>Skills!A22</f>
        <v/>
      </c>
      <c r="B1455">
        <f>Skills!B22</f>
        <v/>
      </c>
      <c r="C1455">
        <f>Inputs!$B$3&gt;=43</f>
        <v/>
      </c>
      <c r="D1455">
        <f>IF(Skills!C22=1,60+Inputs!$B$25+Inputs!$B$29,IF(Skills!C22=2,90+Inputs!$B$26+Inputs!$B$29,IF(Skills!C22=3,120+Inputs!$B$27+Inputs!$B$29,MAX(0,(Inputs!$B$3-100)*3)+Inputs!$B$28+Inputs!$B$29)))</f>
        <v/>
      </c>
      <c r="E1455">
        <f>INDEX(FactorTable!$B$2:$Y$301, MATCH(ROUND(MIN(300,MAX(1,D1455)),0), FactorTable!$A$2:$A$301,0), Skills!M22+1)</f>
        <v/>
      </c>
      <c r="F1455">
        <f>IF(Skills!N22=TRUE,(Skills!L22/10)*(E1455/1000),Skills!L22/10)+Skills!O22</f>
        <v/>
      </c>
      <c r="G1455">
        <f>Skills!G22*IF(Skills!H22&gt;0,Skills!I22/Skills!H22,1)</f>
        <v/>
      </c>
      <c r="H1455">
        <f>1-(1-Skills!J22/100)^Skills!K22</f>
        <v/>
      </c>
      <c r="I1455" t="inlineStr">
        <is>
          <t>1</t>
        </is>
      </c>
      <c r="J1455" t="inlineStr"/>
      <c r="K1455" t="inlineStr"/>
      <c r="L1455" t="inlineStr"/>
      <c r="M1455" t="inlineStr"/>
      <c r="N1455" t="inlineStr"/>
      <c r="O1455">
        <f>(1-Summary!$B$55)*T1455+Summary!$B$55*V1455</f>
        <v/>
      </c>
      <c r="P1455">
        <f>IF(B1472=0,0,O1455/B1472)</f>
        <v/>
      </c>
      <c r="Q1455" t="n">
        <v>0</v>
      </c>
      <c r="R1455" t="n">
        <v>0</v>
      </c>
      <c r="S1455">
        <f>IFERROR(O1455/N1455,0)</f>
        <v/>
      </c>
      <c r="T1455" t="n">
        <v>0</v>
      </c>
      <c r="V1455" t="n">
        <v>0</v>
      </c>
    </row>
    <row r="1456">
      <c r="A1456">
        <f>Skills!A23</f>
        <v/>
      </c>
      <c r="B1456">
        <f>Skills!B23</f>
        <v/>
      </c>
      <c r="C1456">
        <f>Inputs!$B$3&gt;=120</f>
        <v/>
      </c>
      <c r="D1456">
        <f>IF(Skills!C23=1,60+Inputs!$B$25+Inputs!$B$29,IF(Skills!C23=2,90+Inputs!$B$26+Inputs!$B$29,IF(Skills!C23=3,120+Inputs!$B$27+Inputs!$B$29,MAX(0,(Inputs!$B$3-100)*3)+Inputs!$B$28+Inputs!$B$29)))</f>
        <v/>
      </c>
      <c r="E1456">
        <f>INDEX(FactorTable!$B$2:$Y$301, MATCH(ROUND(MIN(300,MAX(1,D1456)),0), FactorTable!$A$2:$A$301,0), Skills!M23+1)</f>
        <v/>
      </c>
      <c r="F1456">
        <f>IF(Skills!N23=TRUE,(Skills!L23/10)*(E1456/1000),Skills!L23/10)+Skills!O23</f>
        <v/>
      </c>
      <c r="G1456">
        <f>Skills!G23*IF(Skills!H23&gt;0,Skills!I23/Skills!H23,1)</f>
        <v/>
      </c>
      <c r="H1456">
        <f>1-(1-Skills!J23/100)^Skills!K23</f>
        <v/>
      </c>
      <c r="I1456" t="inlineStr">
        <is>
          <t>1</t>
        </is>
      </c>
      <c r="J1456" t="inlineStr"/>
      <c r="K1456" t="inlineStr"/>
      <c r="L1456" t="inlineStr"/>
      <c r="M1456" t="inlineStr"/>
      <c r="N1456" t="inlineStr"/>
      <c r="O1456">
        <f>(1-Summary!$B$55)*T1456+Summary!$B$55*V1456</f>
        <v/>
      </c>
      <c r="P1456">
        <f>IF(B1472=0,0,O1456/B1472)</f>
        <v/>
      </c>
      <c r="Q1456" t="n">
        <v>0</v>
      </c>
      <c r="R1456" t="n">
        <v>0</v>
      </c>
      <c r="S1456">
        <f>IFERROR(O1456/N1456,0)</f>
        <v/>
      </c>
      <c r="T1456" t="n">
        <v>0</v>
      </c>
      <c r="V1456" t="n">
        <v>0</v>
      </c>
    </row>
    <row r="1457">
      <c r="A1457">
        <f>Skills!A24</f>
        <v/>
      </c>
      <c r="B1457">
        <f>Skills!B24</f>
        <v/>
      </c>
      <c r="C1457">
        <f>Inputs!$B$3&gt;=120</f>
        <v/>
      </c>
      <c r="D1457">
        <f>IF(Skills!C24=1,60+Inputs!$B$25+Inputs!$B$29,IF(Skills!C24=2,90+Inputs!$B$26+Inputs!$B$29,IF(Skills!C24=3,120+Inputs!$B$27+Inputs!$B$29,MAX(0,(Inputs!$B$3-100)*3)+Inputs!$B$28+Inputs!$B$29)))</f>
        <v/>
      </c>
      <c r="E1457">
        <f>INDEX(FactorTable!$B$2:$Y$301, MATCH(ROUND(MIN(300,MAX(1,D1457)),0), FactorTable!$A$2:$A$301,0), Skills!M24+1)</f>
        <v/>
      </c>
      <c r="F1457">
        <f>IF(Skills!N24=TRUE,(Skills!L24/10)*(E1457/1000),Skills!L24/10)+Skills!O24</f>
        <v/>
      </c>
      <c r="G1457">
        <f>Skills!G24*IF(Skills!H24&gt;0,Skills!I24/Skills!H24,1)</f>
        <v/>
      </c>
      <c r="H1457">
        <f>1-(1-Skills!J24/100)^Skills!K24</f>
        <v/>
      </c>
      <c r="I1457" t="inlineStr">
        <is>
          <t>1</t>
        </is>
      </c>
      <c r="J1457" t="inlineStr"/>
      <c r="K1457" t="inlineStr"/>
      <c r="L1457" t="inlineStr"/>
      <c r="M1457" t="inlineStr"/>
      <c r="N1457" t="inlineStr"/>
      <c r="O1457">
        <f>(1-Summary!$B$55)*T1457+Summary!$B$55*V1457</f>
        <v/>
      </c>
      <c r="P1457">
        <f>IF(B1472=0,0,O1457/B1472)</f>
        <v/>
      </c>
      <c r="Q1457" t="n">
        <v>0</v>
      </c>
      <c r="R1457" t="n">
        <v>0</v>
      </c>
      <c r="S1457">
        <f>IFERROR(O1457/N1457,0)</f>
        <v/>
      </c>
      <c r="T1457" t="n">
        <v>0</v>
      </c>
      <c r="V1457" t="n">
        <v>0</v>
      </c>
    </row>
    <row r="1458">
      <c r="A1458">
        <f>Skills!A25</f>
        <v/>
      </c>
      <c r="B1458">
        <f>Skills!B25</f>
        <v/>
      </c>
      <c r="C1458">
        <f>Inputs!$B$3&gt;=125</f>
        <v/>
      </c>
      <c r="D1458">
        <f>IF(Skills!C25=1,60+Inputs!$B$25+Inputs!$B$29,IF(Skills!C25=2,90+Inputs!$B$26+Inputs!$B$29,IF(Skills!C25=3,120+Inputs!$B$27+Inputs!$B$29,MAX(0,(Inputs!$B$3-100)*3)+Inputs!$B$28+Inputs!$B$29)))</f>
        <v/>
      </c>
      <c r="E1458">
        <f>INDEX(FactorTable!$B$2:$Y$301, MATCH(ROUND(MIN(300,MAX(1,D1458)),0), FactorTable!$A$2:$A$301,0), Skills!M25+1)</f>
        <v/>
      </c>
      <c r="F1458">
        <f>IF(Skills!N25=TRUE,(Skills!L25/10)*(E1458/1000),Skills!L25/10)+Skills!O25</f>
        <v/>
      </c>
      <c r="G1458">
        <f>Skills!G25*IF(Skills!H25&gt;0,Skills!I25/Skills!H25,1)</f>
        <v/>
      </c>
      <c r="H1458">
        <f>1-(1-Skills!J25/100)^Skills!K25</f>
        <v/>
      </c>
      <c r="I1458" t="inlineStr">
        <is>
          <t>1</t>
        </is>
      </c>
      <c r="J1458" t="inlineStr"/>
      <c r="K1458" t="inlineStr"/>
      <c r="L1458" t="inlineStr"/>
      <c r="M1458" t="inlineStr"/>
      <c r="N1458" t="inlineStr"/>
      <c r="O1458">
        <f>(1-Summary!$B$55)*T1458+Summary!$B$55*V1458</f>
        <v/>
      </c>
      <c r="P1458">
        <f>IF(B1472=0,0,O1458/B1472)</f>
        <v/>
      </c>
      <c r="Q1458" t="n">
        <v>0</v>
      </c>
      <c r="R1458" t="n">
        <v>0</v>
      </c>
      <c r="S1458">
        <f>IFERROR(O1458/N1458,0)</f>
        <v/>
      </c>
      <c r="T1458" t="n">
        <v>0</v>
      </c>
      <c r="V1458" t="n">
        <v>0</v>
      </c>
    </row>
    <row r="1459">
      <c r="A1459">
        <f>Skills!A26</f>
        <v/>
      </c>
      <c r="B1459">
        <f>Skills!B26</f>
        <v/>
      </c>
      <c r="C1459">
        <f>Inputs!$B$3&gt;=72</f>
        <v/>
      </c>
      <c r="D1459">
        <f>IF(Skills!C26=1,60+Inputs!$B$25+Inputs!$B$29,IF(Skills!C26=2,90+Inputs!$B$26+Inputs!$B$29,IF(Skills!C26=3,120+Inputs!$B$27+Inputs!$B$29,MAX(0,(Inputs!$B$3-100)*3)+Inputs!$B$28+Inputs!$B$29)))</f>
        <v/>
      </c>
      <c r="E1459">
        <f>INDEX(FactorTable!$B$2:$Y$301, MATCH(ROUND(MIN(300,MAX(1,D1459)),0), FactorTable!$A$2:$A$301,0), Skills!M26+1)</f>
        <v/>
      </c>
      <c r="F1459">
        <f>IF(Skills!N26=TRUE,(Skills!L26/10)*(E1459/1000),Skills!L26/10)+Skills!O26</f>
        <v/>
      </c>
      <c r="G1459">
        <f>Skills!G26*IF(Skills!H26&gt;0,Skills!I26/Skills!H26,1)</f>
        <v/>
      </c>
      <c r="H1459">
        <f>1-(1-Skills!J26/100)^Skills!K26</f>
        <v/>
      </c>
      <c r="I1459" t="inlineStr">
        <is>
          <t>1</t>
        </is>
      </c>
      <c r="J1459" t="inlineStr"/>
      <c r="K1459" t="inlineStr"/>
      <c r="L1459" t="inlineStr"/>
      <c r="M1459" t="inlineStr"/>
      <c r="N1459" t="inlineStr"/>
      <c r="O1459">
        <f>(1-Summary!$B$55)*T1459+Summary!$B$55*V1459</f>
        <v/>
      </c>
      <c r="P1459">
        <f>IF(B1472=0,0,O1459/B1472)</f>
        <v/>
      </c>
      <c r="Q1459" t="n">
        <v>0</v>
      </c>
      <c r="R1459" t="n">
        <v>0</v>
      </c>
      <c r="S1459">
        <f>IFERROR(O1459/N1459,0)</f>
        <v/>
      </c>
      <c r="T1459" t="n">
        <v>0</v>
      </c>
      <c r="V1459" t="n">
        <v>0</v>
      </c>
    </row>
    <row r="1461">
      <c r="A1461" t="inlineStr">
        <is>
          <t>Attack% Bucket Multiplier</t>
        </is>
      </c>
      <c r="B1461">
        <f>(1+(((C1446=TRUE)*F1446*IF(Inputs!$B$3&gt;=110,7,5))+((C1448=TRUE)*F1448*IF(AND(Inputs!$B$38&lt;&gt;"pvp",Inputs!$B$43&gt;0),(((R1448-1)*(Skills!T15*(1+Inputs!$B$34/100))+MIN((Skills!T15*(1+Inputs!$B$34/100)),MAX(0,Inputs!$B$43-((R1448-1)*Skills!D15))))/Inputs!$B$43),IF(Inputs!$B$38="pvp",MIN((Skills!T15*(1+Inputs!$B$34/100)),15)/15,(Skills!T15*(1+Inputs!$B$34/100))/Skills!D15)))+0)/100)</f>
        <v/>
      </c>
    </row>
    <row r="1462">
      <c r="A1462" t="inlineStr">
        <is>
          <t>Global Crit Rate Bonus %</t>
        </is>
      </c>
      <c r="B1462" t="n">
        <v>0</v>
      </c>
    </row>
    <row r="1463">
      <c r="A1463" t="inlineStr">
        <is>
          <t>Attack Speed Buff Bonus %</t>
        </is>
      </c>
      <c r="B1463">
        <f>((C1452=TRUE)*F1452*IF(AND(Inputs!$B$38&lt;&gt;"pvp",Inputs!$B$43&gt;0),(((R1452-1)*(Skills!T19*(1+Inputs!$B$34/100))+MIN((Skills!T19*(1+Inputs!$B$34/100)),MAX(0,Inputs!$B$43-((R1452-1)*Skills!D19))))/Inputs!$B$43),IF(Inputs!$B$38="pvp",MIN((Skills!T19*(1+Inputs!$B$34/100)),15)/15,(Skills!T19*(1+Inputs!$B$34/100))/Skills!D19)))</f>
        <v/>
      </c>
    </row>
    <row r="1464">
      <c r="A1464" t="inlineStr">
        <is>
          <t>Actions Per Second</t>
        </is>
      </c>
      <c r="B1464">
        <f>1+MIN(150,150*(1-(1-(Inputs!$B$11+((C1453=TRUE)*(F1453-Calc!F20)))/150)*(1-B1463/150)))/100</f>
        <v/>
      </c>
    </row>
    <row r="1465">
      <c r="A1465" t="inlineStr">
        <is>
          <t>Skill + Buff Cast Rate</t>
        </is>
      </c>
      <c r="B1465">
        <f>IF(AND(Inputs!$B$38&lt;&gt;"pvp",Inputs!$B$43&gt;0),SUMPRODUCT((Skills!E2:E26=TRUE)*(C1435:C1459=TRUE)*R1435:R1459*Skills!F2:F26)/Inputs!$B$43,SUMPRODUCT((Skills!E2:E26=TRUE)*(C1435:C1459=TRUE)*Q1435:Q1459*Skills!F2:F26))</f>
        <v/>
      </c>
    </row>
    <row r="1466">
      <c r="A1466" t="inlineStr">
        <is>
          <t>Raging Blow Casts Per Second</t>
        </is>
      </c>
      <c r="B1466">
        <f>MAX(0,B1464-B1465)</f>
        <v/>
      </c>
    </row>
    <row r="1467">
      <c r="A1467" t="inlineStr">
        <is>
          <t>Global Critical Damage Bonus % (Enrage)</t>
        </is>
      </c>
      <c r="B1467">
        <f>((C1451=TRUE)*F1451*IF(AND(Inputs!$B$38&lt;&gt;"pvp",Inputs!$B$43&gt;0),(((R1451-1)*(Skills!T18*(1+Inputs!$B$34/100))+MIN((Skills!T18*(1+Inputs!$B$34/100)),MAX(0,Inputs!$B$43-((R1451-1)*Skills!D18))))/Inputs!$B$43),IF(Inputs!$B$38="pvp",MIN((Skills!T18*(1+Inputs!$B$34/100)),15)/15,(Skills!T18*(1+Inputs!$B$34/100))/Skills!D18)))</f>
        <v/>
      </c>
    </row>
    <row r="1468">
      <c r="A1468" t="inlineStr">
        <is>
          <t>Global Final Damage Bonus % (Enrage + Combo Synergy)</t>
        </is>
      </c>
      <c r="B1468">
        <f>((C1450=TRUE)*F1450*IF(AND(Inputs!$B$38&lt;&gt;"pvp",Inputs!$B$43&gt;0),(((R1450-1)*(Skills!T17*(1+Inputs!$B$34/100))+MIN((Skills!T17*(1+Inputs!$B$34/100)),MAX(0,Inputs!$B$43-((R1450-1)*Skills!D17))))/Inputs!$B$43),IF(Inputs!$B$38="pvp",MIN((Skills!T17*(1+Inputs!$B$34/100)),15)/15,(Skills!T17*(1+Inputs!$B$34/100))/Skills!D17)))+((C1447=TRUE)*F1447*IF(Inputs!$B$3&gt;=110,7,5))</f>
        <v/>
      </c>
    </row>
    <row r="1469">
      <c r="A1469" t="inlineStr">
        <is>
          <t>Buff-Casting Startup Delay (s, fixed-duration only)</t>
        </is>
      </c>
      <c r="B1469">
        <f>IF(AND(Inputs!$B$38&lt;&gt;"pvp",Inputs!$B$43&gt;0),SUMPRODUCT((Skills!T2:T26&gt;0)*(Skills!E2:E26=TRUE)*(C1435:C1459=TRUE))/B1464,0)</f>
        <v/>
      </c>
    </row>
    <row r="1470">
      <c r="A1470" t="inlineStr">
        <is>
          <t>Boss-Only Total DPS (this block's swept value)</t>
        </is>
      </c>
      <c r="B1470">
        <f>SUM(T1435:T1459)</f>
        <v/>
      </c>
    </row>
    <row r="1471">
      <c r="A1471" t="inlineStr">
        <is>
          <t>Normal-Only Total DPS (this block's swept value)</t>
        </is>
      </c>
      <c r="B1471">
        <f>SUM(V1435:V1459)</f>
        <v/>
      </c>
    </row>
    <row r="1472">
      <c r="A1472" s="5" t="inlineStr">
        <is>
          <t>TOTAL DPS</t>
        </is>
      </c>
      <c r="B1472" s="5">
        <f>SUM(O1435:O1459)</f>
        <v/>
      </c>
    </row>
    <row r="1475">
      <c r="A1475" s="5" t="inlineStr">
        <is>
          <t>Stat: CDR = 4.5s</t>
        </is>
      </c>
    </row>
    <row r="1476">
      <c r="A1476" s="9" t="inlineStr">
        <is>
          <t>Key</t>
        </is>
      </c>
      <c r="B1476" s="9" t="inlineStr">
        <is>
          <t>Name</t>
        </is>
      </c>
      <c r="C1476" s="9" t="inlineStr">
        <is>
          <t>Unlocked</t>
        </is>
      </c>
      <c r="D1476" s="9" t="inlineStr">
        <is>
          <t>InputLevel</t>
        </is>
      </c>
      <c r="E1476" s="9" t="inlineStr">
        <is>
          <t>Factor</t>
        </is>
      </c>
      <c r="F1476" s="9" t="inlineStr">
        <is>
          <t>CoefficientPercent</t>
        </is>
      </c>
      <c r="G1476" s="9" t="inlineStr">
        <is>
          <t>EffectiveHits</t>
        </is>
      </c>
      <c r="H1476" s="9" t="inlineStr">
        <is>
          <t>ProcProbability</t>
        </is>
      </c>
      <c r="I1476" s="9" t="inlineStr">
        <is>
          <t>MapleHeroMultiplier</t>
        </is>
      </c>
      <c r="J1476" s="9" t="inlineStr">
        <is>
          <t>BaseDamage</t>
        </is>
      </c>
      <c r="K1476" s="9" t="inlineStr">
        <is>
          <t>BaseHitDamage</t>
        </is>
      </c>
      <c r="L1476" s="9" t="inlineStr">
        <is>
          <t>NonCritAvg</t>
        </is>
      </c>
      <c r="M1476" s="9" t="inlineStr">
        <is>
          <t>CritAvg</t>
        </is>
      </c>
      <c r="N1476" s="9" t="inlineStr">
        <is>
          <t>ExpectedDamage(perHit)</t>
        </is>
      </c>
      <c r="O1476" s="9" t="inlineStr">
        <is>
          <t>DPS</t>
        </is>
      </c>
      <c r="P1476" s="9" t="inlineStr">
        <is>
          <t>% of Total</t>
        </is>
      </c>
      <c r="Q1476" s="9" t="inlineStr">
        <is>
          <t>InvCooldown</t>
        </is>
      </c>
      <c r="R1476" s="9" t="inlineStr">
        <is>
          <t>CastsInFight</t>
        </is>
      </c>
      <c r="S1476" s="9" t="inlineStr">
        <is>
          <t>HitRate(perSec)</t>
        </is>
      </c>
      <c r="U1476" t="inlineStr">
        <is>
          <t>helpers</t>
        </is>
      </c>
    </row>
    <row r="1477">
      <c r="A1477">
        <f>Skills!A2</f>
        <v/>
      </c>
      <c r="B1477">
        <f>Skills!B2</f>
        <v/>
      </c>
      <c r="C1477">
        <f>Inputs!$B$3&gt;=100</f>
        <v/>
      </c>
      <c r="D1477" t="inlineStr"/>
      <c r="E1477" t="inlineStr"/>
      <c r="F1477">
        <f>U1479+Skills!O2</f>
        <v/>
      </c>
      <c r="G1477">
        <f>Skills!G2*IF(Skills!H2&gt;0,Skills!I2/Skills!H2,1)</f>
        <v/>
      </c>
      <c r="H1477">
        <f>1-(1-Skills!J2/100)^Skills!K2</f>
        <v/>
      </c>
      <c r="I1477" t="inlineStr">
        <is>
          <t>1</t>
        </is>
      </c>
      <c r="J1477">
        <f>((Inputs!$B$6*(1+Inputs!$B$7/100))+(((Inputs!$B$12*(1+Inputs!$B$13/100))-(Inputs!$B$12*(1+Inputs!$B$13/100)))+0.25*(Inputs!$B$14-Inputs!$B$14))*(1+Inputs!$B$7/100))*(F1477/100)</f>
        <v/>
      </c>
      <c r="K1477">
        <f>J1477*(1+((Inputs!$B$12*(1+Inputs!$B$13/100))*0.01+Inputs!$B$14*0.0025)/100)*(1+Inputs!$B$15/100)*(1+Inputs!$B$16/100)*(5000/(6000+Inputs!$B$42*(1-(Inputs!$B$19+0)/100)))*(1+(Inputs!$B$24+((C1500=TRUE)*(F1500-Calc!F25))+B1510)/100)*(1+IF(Skills!A2="ENHANCED_RAGING_BLOW",IF(Inputs!$B$3&gt;=134,MAX(0,IF(Inputs!$B$3&gt;=110,7,5)-5)*50,0),0)/100)*(1+(IF(Skills!A2="RAGING_BLOW",Inputs!$B$17+((C1496=TRUE)*(F1496-Calc!F21)),Inputs!$B$18+((C1498=TRUE)*(F1498-Calc!F23))))/100)*((1+(((C1488=TRUE)*F1488*IF(Inputs!$B$3&gt;=110,7,5))+((C1490=TRUE)*F1490*IF(AND(Inputs!$B$38&lt;&gt;"pvp",Inputs!$B$43&gt;0),(((R1490-1)*(Skills!T15*(1+Inputs!$B$34/100))+MIN((Skills!T15*(1+Inputs!$B$34/100)),MAX(0,Inputs!$B$43-((R1490-1)*Skills!D15))))/Inputs!$B$43),IF(Inputs!$B$38="pvp",MIN((Skills!T15*(1+Inputs!$B$34/100)),15)/15,(Skills!T15*(1+Inputs!$B$34/100))/Skills!D15)))+0)/100)*I1477)</f>
        <v/>
      </c>
      <c r="L1477">
        <f>K1477*(MIN(Inputs!$B$22+((C1497=TRUE)*(F1497-Calc!F22)),Inputs!$B$23+((C1499=TRUE)*(F1499-Calc!F24)))/100+(Inputs!$B$23+((C1499=TRUE)*(F1499-Calc!F24)))/100)/2</f>
        <v/>
      </c>
      <c r="M1477">
        <f>L1477*(1+(Inputs!$B$10+0+B1509)/100)</f>
        <v/>
      </c>
      <c r="N1477">
        <f>L1477*(1-MIN((Inputs!$B$9+((C1501=TRUE)*(F1501-Calc!F26))+B1504),100)/100)+M1477*(MIN((Inputs!$B$9+((C1501=TRUE)*(F1501-Calc!F26))+B1504),100)/100)</f>
        <v/>
      </c>
      <c r="O1477">
        <f>(1-Summary!$B$55)*T1477+Summary!$B$55*V1477</f>
        <v/>
      </c>
      <c r="P1477">
        <f>IF(B1514=0,0,O1477/B1514)</f>
        <v/>
      </c>
      <c r="Q1477" t="n">
        <v>0</v>
      </c>
      <c r="R1477" t="n">
        <v>0</v>
      </c>
      <c r="S1477">
        <f>IFERROR(O1477/N1477,0)</f>
        <v/>
      </c>
      <c r="T1477">
        <f>IF(C1477,(Skills!G2*N1477*B1508)*IF(Inputs!$B$38="pvp",1,1+(Inputs!$B$20+0+Skills!P2+Summary!$B$59)/100),0)</f>
        <v/>
      </c>
      <c r="U1477">
        <f>MAX(0,(Inputs!$B$3-100)*3)+Inputs!$B$28+Inputs!$B$29</f>
        <v/>
      </c>
      <c r="V1477">
        <f>IF(C1477,(Skills!G2*N1477*B1508)*IF(Inputs!$B$38="pvp",1,(1+(Inputs!$B$21+Skills!Q2+Summary!$B$59)/100)*(MIN((6+Inputs!$B$33),Inputs!$B$37))),0)</f>
        <v/>
      </c>
    </row>
    <row r="1478">
      <c r="A1478">
        <f>Skills!A3</f>
        <v/>
      </c>
      <c r="B1478">
        <f>Skills!B3</f>
        <v/>
      </c>
      <c r="C1478">
        <f>Inputs!$B$3&gt;=50</f>
        <v/>
      </c>
      <c r="D1478">
        <f>IF(Skills!C3=1,60+Inputs!$B$25+Inputs!$B$29,IF(Skills!C3=2,90+Inputs!$B$26+Inputs!$B$29,IF(Skills!C3=3,120+Inputs!$B$27+Inputs!$B$29,MAX(0,(Inputs!$B$3-100)*3)+Inputs!$B$28+Inputs!$B$29)))</f>
        <v/>
      </c>
      <c r="E1478">
        <f>INDEX(FactorTable!$B$2:$Y$301, MATCH(ROUND(MIN(300,MAX(1,D1478)),0), FactorTable!$A$2:$A$301,0), Skills!M3+1)</f>
        <v/>
      </c>
      <c r="F1478">
        <f>IF(Skills!N3=TRUE,(Skills!L3/10)*(E1478/1000),Skills!L3/10)+Skills!O3</f>
        <v/>
      </c>
      <c r="G1478" t="inlineStr"/>
      <c r="H1478" t="inlineStr"/>
      <c r="I1478" t="inlineStr">
        <is>
          <t>1</t>
        </is>
      </c>
      <c r="J1478" t="inlineStr"/>
      <c r="K1478" t="inlineStr"/>
      <c r="L1478" t="inlineStr"/>
      <c r="M1478" t="inlineStr"/>
      <c r="N1478" t="inlineStr"/>
      <c r="O1478" t="inlineStr"/>
      <c r="P1478" t="inlineStr"/>
      <c r="Q1478" t="inlineStr"/>
      <c r="R1478" t="inlineStr"/>
      <c r="S1478" t="inlineStr"/>
      <c r="U1478">
        <f>INDEX(FactorTable!$B$2:$Y$301, MATCH(ROUND(MIN(300,MAX(1,U1477)),0), FactorTable!$A$2:$A$301,0), 22)</f>
        <v/>
      </c>
    </row>
    <row r="1479">
      <c r="A1479">
        <f>Skills!A4</f>
        <v/>
      </c>
      <c r="B1479">
        <f>Skills!B4</f>
        <v/>
      </c>
      <c r="C1479">
        <f>Inputs!$B$3&gt;=105</f>
        <v/>
      </c>
      <c r="D1479">
        <f>IF(Skills!C4=1,60+Inputs!$B$25+Inputs!$B$29,IF(Skills!C4=2,90+Inputs!$B$26+Inputs!$B$29,IF(Skills!C4=3,120+Inputs!$B$27+Inputs!$B$29,MAX(0,(Inputs!$B$3-100)*3)+Inputs!$B$28+Inputs!$B$29)))</f>
        <v/>
      </c>
      <c r="E1479">
        <f>INDEX(FactorTable!$B$2:$Y$301, MATCH(ROUND(MIN(300,MAX(1,D1479)),0), FactorTable!$A$2:$A$301,0), Skills!M4+1)</f>
        <v/>
      </c>
      <c r="F1479">
        <f>IF(Skills!N4=TRUE,(Skills!L4/10)*(E1479/1000),Skills!L4/10)+Skills!O4</f>
        <v/>
      </c>
      <c r="G1479" t="inlineStr"/>
      <c r="H1479" t="inlineStr"/>
      <c r="I1479" t="inlineStr">
        <is>
          <t>1</t>
        </is>
      </c>
      <c r="J1479" t="inlineStr"/>
      <c r="K1479" t="inlineStr"/>
      <c r="L1479" t="inlineStr"/>
      <c r="M1479" t="inlineStr"/>
      <c r="N1479" t="inlineStr"/>
      <c r="O1479" t="inlineStr"/>
      <c r="P1479" t="inlineStr"/>
      <c r="Q1479" t="inlineStr"/>
      <c r="R1479" t="inlineStr"/>
      <c r="S1479" t="inlineStr"/>
      <c r="U1479">
        <f>290*U1478/1000</f>
        <v/>
      </c>
    </row>
    <row r="1480">
      <c r="A1480">
        <f>Skills!A5</f>
        <v/>
      </c>
      <c r="B1480">
        <f>Skills!B5</f>
        <v/>
      </c>
      <c r="C1480">
        <f>Inputs!$B$3&gt;=103</f>
        <v/>
      </c>
      <c r="D1480">
        <f>IF(Skills!C5=1,60+Inputs!$B$25+Inputs!$B$29,IF(Skills!C5=2,90+Inputs!$B$26+Inputs!$B$29,IF(Skills!C5=3,120+Inputs!$B$27+Inputs!$B$29,MAX(0,(Inputs!$B$3-100)*3)+Inputs!$B$28+Inputs!$B$29)))</f>
        <v/>
      </c>
      <c r="E1480">
        <f>INDEX(FactorTable!$B$2:$Y$301, MATCH(ROUND(MIN(300,MAX(1,D1480)),0), FactorTable!$A$2:$A$301,0), Skills!M5+1)</f>
        <v/>
      </c>
      <c r="F1480">
        <f>IF(Skills!N5=TRUE,(Skills!L5/10)*(E1480/1000),Skills!L5/10)+Skills!O5</f>
        <v/>
      </c>
      <c r="G1480">
        <f>Skills!G5*IF(Skills!H5&gt;0,Skills!I5/Skills!H5,1)</f>
        <v/>
      </c>
      <c r="H1480">
        <f>1-(1-Skills!J5/100)^Skills!K5</f>
        <v/>
      </c>
      <c r="I1480" t="inlineStr">
        <is>
          <t>1</t>
        </is>
      </c>
      <c r="J1480">
        <f>((Inputs!$B$6*(1+Inputs!$B$7/100))+(((Inputs!$B$12*(1+Inputs!$B$13/100))-(Inputs!$B$12*(1+Inputs!$B$13/100)))+0.25*(Inputs!$B$14-Inputs!$B$14))*(1+Inputs!$B$7/100))*(F1480/100)</f>
        <v/>
      </c>
      <c r="K1480">
        <f>J1480*(1+((Inputs!$B$12*(1+Inputs!$B$13/100))*0.01+Inputs!$B$14*0.0025)/100)*(1+Inputs!$B$15/100)*(1+Inputs!$B$16/100)*(5000/(6000+Inputs!$B$42*(1-(Inputs!$B$19+0)/100)))*(1+(Inputs!$B$24+((C1500=TRUE)*(F1500-Calc!F25))+B1510)/100)*(1+IF(Skills!A5="ENHANCED_RAGING_BLOW",IF(Inputs!$B$3&gt;=134,MAX(0,IF(Inputs!$B$3&gt;=110,7,5)-5)*50,0),0)/100)*(1+(IF(Skills!A5="RAGING_BLOW",Inputs!$B$17+((C1496=TRUE)*(F1496-Calc!F21)),Inputs!$B$18+((C1498=TRUE)*(F1498-Calc!F23))))/100)*((1+(((C1488=TRUE)*F1488*IF(Inputs!$B$3&gt;=110,7,5))+((C1490=TRUE)*F1490*IF(AND(Inputs!$B$38&lt;&gt;"pvp",Inputs!$B$43&gt;0),(((R1490-1)*(Skills!T15*(1+Inputs!$B$34/100))+MIN((Skills!T15*(1+Inputs!$B$34/100)),MAX(0,Inputs!$B$43-((R1490-1)*Skills!D15))))/Inputs!$B$43),IF(Inputs!$B$38="pvp",MIN((Skills!T15*(1+Inputs!$B$34/100)),15)/15,(Skills!T15*(1+Inputs!$B$34/100))/Skills!D15)))+0)/100)*I1480)</f>
        <v/>
      </c>
      <c r="L1480">
        <f>K1480*(MIN(Inputs!$B$22+((C1497=TRUE)*(F1497-Calc!F22)),Inputs!$B$23+((C1499=TRUE)*(F1499-Calc!F24)))/100+(Inputs!$B$23+((C1499=TRUE)*(F1499-Calc!F24)))/100)/2</f>
        <v/>
      </c>
      <c r="M1480">
        <f>L1480*(1+(Inputs!$B$10+0+B1509)/100)</f>
        <v/>
      </c>
      <c r="N1480">
        <f>L1480*(1-MIN((Inputs!$B$9+((C1501=TRUE)*(F1501-Calc!F26))+B1504),100)/100)+M1480*(MIN((Inputs!$B$9+((C1501=TRUE)*(F1501-Calc!F26))+B1504),100)/100)</f>
        <v/>
      </c>
      <c r="O1480">
        <f>(1-Summary!$B$55)*T1480+Summary!$B$55*V1480</f>
        <v/>
      </c>
      <c r="P1480">
        <f>IF(B1514=0,0,O1480/B1514)</f>
        <v/>
      </c>
      <c r="Q1480">
        <f>IFERROR(1/IF(Inputs!$B$38="pvp",15,MAX(0.1,Skills!D5-IF(Skills!E5=TRUE,4.5,0))),0)</f>
        <v/>
      </c>
      <c r="R1480">
        <f>IF(AND(Inputs!$B$38&lt;&gt;"pvp",Inputs!$B$43&gt;0),IF(MAX(0,Inputs!$B$43-B1511)&lt;=0,0,(INT(MAX(0,Inputs!$B$43-B1511)/IF(Inputs!$B$38="pvp",15,MAX(0.1,Skills!D5-IF(Skills!E5=TRUE,4.5,0))))+1)),0)</f>
        <v/>
      </c>
      <c r="S1480">
        <f>IFERROR(O1480/N1480,0)</f>
        <v/>
      </c>
      <c r="T1480">
        <f>IF(C1480,(H1480*N1480*IF(AND(Inputs!$B$38&lt;&gt;"pvp",Inputs!$B$43&gt;0),((Skills!G5*((R1480-1)*IF(Skills!H5&gt;0,Skills!I5/Skills!H5,1)+IF(Skills!H5&gt;0,MIN(Skills!I5,MAX(0,MAX(0,Inputs!$B$43-B1511)-((R1480-1)*IF(Inputs!$B$38="pvp",15,MAX(0.1,Skills!D5-IF(Skills!E5=TRUE,4.5,0))))))/Skills!H5,1)))/Inputs!$B$43),G1480*Q1480))*IF(Inputs!$B$38="pvp",1,1+(Inputs!$B$20+0+Skills!P5+Summary!$B$59)/100),0)</f>
        <v/>
      </c>
      <c r="V1480">
        <f>IF(C1480,(H1480*N1480*IF(AND(Inputs!$B$38&lt;&gt;"pvp",Inputs!$B$43&gt;0),((Skills!G5*((R1480-1)*IF(Skills!H5&gt;0,Skills!I5/Skills!H5,1)+IF(Skills!H5&gt;0,MIN(Skills!I5,MAX(0,MAX(0,Inputs!$B$43-B1511)-((R1480-1)*IF(Inputs!$B$38="pvp",15,MAX(0.1,Skills!D5-IF(Skills!E5=TRUE,4.5,0))))))/Skills!H5,1)))/Inputs!$B$43),G1480*Q1480))*IF(Inputs!$B$38="pvp",1,(1+(Inputs!$B$21+Skills!Q5+Summary!$B$59)/100)*(MIN(Skills!R5,Inputs!$B$37))),0)</f>
        <v/>
      </c>
    </row>
    <row r="1481">
      <c r="A1481">
        <f>Skills!A6</f>
        <v/>
      </c>
      <c r="B1481">
        <f>Skills!B6</f>
        <v/>
      </c>
      <c r="C1481">
        <f>Inputs!$B$3&gt;=103</f>
        <v/>
      </c>
      <c r="D1481">
        <f>IF(Skills!C6=1,60+Inputs!$B$25+Inputs!$B$29,IF(Skills!C6=2,90+Inputs!$B$26+Inputs!$B$29,IF(Skills!C6=3,120+Inputs!$B$27+Inputs!$B$29,MAX(0,(Inputs!$B$3-100)*3)+Inputs!$B$28+Inputs!$B$29)))</f>
        <v/>
      </c>
      <c r="E1481">
        <f>INDEX(FactorTable!$B$2:$Y$301, MATCH(ROUND(MIN(300,MAX(1,D1481)),0), FactorTable!$A$2:$A$301,0), Skills!M6+1)</f>
        <v/>
      </c>
      <c r="F1481">
        <f>IF(Skills!N6=TRUE,(Skills!L6/10)*(E1481/1000),Skills!L6/10)+Skills!O6</f>
        <v/>
      </c>
      <c r="G1481">
        <f>Skills!G6*IF(Skills!H6&gt;0,Skills!I6/Skills!H6,1)</f>
        <v/>
      </c>
      <c r="H1481">
        <f>1-(1-Skills!J6/100)^Skills!K6</f>
        <v/>
      </c>
      <c r="I1481" t="inlineStr">
        <is>
          <t>1</t>
        </is>
      </c>
      <c r="J1481">
        <f>((Inputs!$B$6*(1+Inputs!$B$7/100))+(((Inputs!$B$12*(1+Inputs!$B$13/100))-(Inputs!$B$12*(1+Inputs!$B$13/100)))+0.25*(Inputs!$B$14-Inputs!$B$14))*(1+Inputs!$B$7/100))*(F1481/100)</f>
        <v/>
      </c>
      <c r="K1481">
        <f>J1481*(1+((Inputs!$B$12*(1+Inputs!$B$13/100))*0.01+Inputs!$B$14*0.0025)/100)*(1+Inputs!$B$15/100)*(1+Inputs!$B$16/100)*(5000/(6000+Inputs!$B$42*(1-(Inputs!$B$19+0)/100)))*(1+(Inputs!$B$24+((C1500=TRUE)*(F1500-Calc!F25))+B1510)/100)*(1+IF(Skills!A6="ENHANCED_RAGING_BLOW",IF(Inputs!$B$3&gt;=134,MAX(0,IF(Inputs!$B$3&gt;=110,7,5)-5)*50,0),0)/100)*(1+(IF(Skills!A6="RAGING_BLOW",Inputs!$B$17+((C1496=TRUE)*(F1496-Calc!F21)),Inputs!$B$18+((C1498=TRUE)*(F1498-Calc!F23))))/100)*((1+(((C1488=TRUE)*F1488*IF(Inputs!$B$3&gt;=110,7,5))+((C1490=TRUE)*F1490*IF(AND(Inputs!$B$38&lt;&gt;"pvp",Inputs!$B$43&gt;0),(((R1490-1)*(Skills!T15*(1+Inputs!$B$34/100))+MIN((Skills!T15*(1+Inputs!$B$34/100)),MAX(0,Inputs!$B$43-((R1490-1)*Skills!D15))))/Inputs!$B$43),IF(Inputs!$B$38="pvp",MIN((Skills!T15*(1+Inputs!$B$34/100)),15)/15,(Skills!T15*(1+Inputs!$B$34/100))/Skills!D15)))+0)/100)*I1481)</f>
        <v/>
      </c>
      <c r="L1481">
        <f>K1481*(MIN(Inputs!$B$22+((C1497=TRUE)*(F1497-Calc!F22)),Inputs!$B$23+((C1499=TRUE)*(F1499-Calc!F24)))/100+(Inputs!$B$23+((C1499=TRUE)*(F1499-Calc!F24)))/100)/2</f>
        <v/>
      </c>
      <c r="M1481">
        <f>L1481*(1+(Inputs!$B$10+0+B1509)/100)</f>
        <v/>
      </c>
      <c r="N1481">
        <f>L1481*(1-MIN((Inputs!$B$9+((C1501=TRUE)*(F1501-Calc!F26))+B1504),100)/100)+M1481*(MIN((Inputs!$B$9+((C1501=TRUE)*(F1501-Calc!F26))+B1504),100)/100)</f>
        <v/>
      </c>
      <c r="O1481">
        <f>(1-Summary!$B$55)*T1481+Summary!$B$55*V1481</f>
        <v/>
      </c>
      <c r="P1481">
        <f>IF(B1514=0,0,O1481/B1514)</f>
        <v/>
      </c>
      <c r="Q1481">
        <f>IFERROR(1/IF(Inputs!$B$38="pvp",15,MAX(0.1,Skills!D6-IF(Skills!E6=TRUE,4.5,0))),0)</f>
        <v/>
      </c>
      <c r="R1481">
        <f>IF(AND(Inputs!$B$38&lt;&gt;"pvp",Inputs!$B$43&gt;0),IF(MAX(0,Inputs!$B$43-B1511)&lt;=0,0,(INT(MAX(0,Inputs!$B$43-B1511)/IF(Inputs!$B$38="pvp",15,MAX(0.1,Skills!D6-IF(Skills!E6=TRUE,4.5,0))))+1)),0)</f>
        <v/>
      </c>
      <c r="S1481">
        <f>IFERROR(O1481/N1481,0)</f>
        <v/>
      </c>
      <c r="T1481">
        <f>IF(C1481,(H1481*N1481*IF(AND(Inputs!$B$38&lt;&gt;"pvp",Inputs!$B$43&gt;0),((Skills!G6*((R1481-1)*IF(Skills!H6&gt;0,Skills!I6/Skills!H6,1)+IF(Skills!H6&gt;0,MIN(Skills!I6,MAX(0,MAX(0,Inputs!$B$43-B1511)-((R1481-1)*IF(Inputs!$B$38="pvp",15,MAX(0.1,Skills!D6-IF(Skills!E6=TRUE,4.5,0))))))/Skills!H6,1)))/Inputs!$B$43),G1481*Q1481))*IF(Inputs!$B$38="pvp",1,1+(Inputs!$B$20+0+Skills!P6+Summary!$B$59)/100),0)</f>
        <v/>
      </c>
      <c r="V1481">
        <f>IF(C1481,(H1481*N1481*IF(AND(Inputs!$B$38&lt;&gt;"pvp",Inputs!$B$43&gt;0),((Skills!G6*((R1481-1)*IF(Skills!H6&gt;0,Skills!I6/Skills!H6,1)+IF(Skills!H6&gt;0,MIN(Skills!I6,MAX(0,MAX(0,Inputs!$B$43-B1511)-((R1481-1)*IF(Inputs!$B$38="pvp",15,MAX(0.1,Skills!D6-IF(Skills!E6=TRUE,4.5,0))))))/Skills!H6,1)))/Inputs!$B$43),G1481*Q1481))*IF(Inputs!$B$38="pvp",1,(1+(Inputs!$B$21+Skills!Q6+Summary!$B$59)/100)*(MIN(Skills!R6,Inputs!$B$37))),0)</f>
        <v/>
      </c>
    </row>
    <row r="1482">
      <c r="A1482">
        <f>Skills!A7</f>
        <v/>
      </c>
      <c r="B1482">
        <f>Skills!B7</f>
        <v/>
      </c>
      <c r="C1482">
        <f>Inputs!$B$3&gt;=107</f>
        <v/>
      </c>
      <c r="D1482">
        <f>IF(Skills!C7=1,60+Inputs!$B$25+Inputs!$B$29,IF(Skills!C7=2,90+Inputs!$B$26+Inputs!$B$29,IF(Skills!C7=3,120+Inputs!$B$27+Inputs!$B$29,MAX(0,(Inputs!$B$3-100)*3)+Inputs!$B$28+Inputs!$B$29)))</f>
        <v/>
      </c>
      <c r="E1482">
        <f>INDEX(FactorTable!$B$2:$Y$301, MATCH(ROUND(MIN(300,MAX(1,D1482)),0), FactorTable!$A$2:$A$301,0), Skills!M7+1)</f>
        <v/>
      </c>
      <c r="F1482">
        <f>IF(Skills!N7=TRUE,(Skills!L7/10)*(E1482/1000),Skills!L7/10)+Skills!O7</f>
        <v/>
      </c>
      <c r="G1482">
        <f>Skills!G7*IF(Skills!H7&gt;0,Skills!I7/Skills!H7,1)</f>
        <v/>
      </c>
      <c r="H1482">
        <f>1-(1-Skills!J7/100)^Skills!K7</f>
        <v/>
      </c>
      <c r="I1482" t="inlineStr">
        <is>
          <t>1</t>
        </is>
      </c>
      <c r="J1482">
        <f>((Inputs!$B$6*(1+Inputs!$B$7/100))+(((Inputs!$B$12*(1+Inputs!$B$13/100))-(Inputs!$B$12*(1+Inputs!$B$13/100)))+0.25*(Inputs!$B$14-Inputs!$B$14))*(1+Inputs!$B$7/100))*(F1482/100)</f>
        <v/>
      </c>
      <c r="K1482">
        <f>J1482*(1+((Inputs!$B$12*(1+Inputs!$B$13/100))*0.01+Inputs!$B$14*0.0025)/100)*(1+Inputs!$B$15/100)*(1+Inputs!$B$16/100)*(5000/(6000+Inputs!$B$42*(1-(Inputs!$B$19+0)/100)))*(1+(Inputs!$B$24+((C1500=TRUE)*(F1500-Calc!F25))+B1510)/100)*(1+IF(Skills!A7="ENHANCED_RAGING_BLOW",IF(Inputs!$B$3&gt;=134,MAX(0,IF(Inputs!$B$3&gt;=110,7,5)-5)*50,0),0)/100)*(1+(IF(Skills!A7="RAGING_BLOW",Inputs!$B$17+((C1496=TRUE)*(F1496-Calc!F21)),Inputs!$B$18+((C1498=TRUE)*(F1498-Calc!F23))))/100)*((1+(((C1488=TRUE)*F1488*IF(Inputs!$B$3&gt;=110,7,5))+((C1490=TRUE)*F1490*IF(AND(Inputs!$B$38&lt;&gt;"pvp",Inputs!$B$43&gt;0),(((R1490-1)*(Skills!T15*(1+Inputs!$B$34/100))+MIN((Skills!T15*(1+Inputs!$B$34/100)),MAX(0,Inputs!$B$43-((R1490-1)*Skills!D15))))/Inputs!$B$43),IF(Inputs!$B$38="pvp",MIN((Skills!T15*(1+Inputs!$B$34/100)),15)/15,(Skills!T15*(1+Inputs!$B$34/100))/Skills!D15)))+0)/100)*I1482)</f>
        <v/>
      </c>
      <c r="L1482">
        <f>K1482*(MIN(Inputs!$B$22+((C1497=TRUE)*(F1497-Calc!F22)),Inputs!$B$23+((C1499=TRUE)*(F1499-Calc!F24)))/100+(Inputs!$B$23+((C1499=TRUE)*(F1499-Calc!F24)))/100)/2</f>
        <v/>
      </c>
      <c r="M1482">
        <f>L1482*(1+(Inputs!$B$10+0+B1509)/100)</f>
        <v/>
      </c>
      <c r="N1482">
        <f>L1482*(1-MIN((Inputs!$B$9+((C1501=TRUE)*(F1501-Calc!F26))+B1504),100)/100)+M1482*(MIN((Inputs!$B$9+((C1501=TRUE)*(F1501-Calc!F26))+B1504),100)/100)</f>
        <v/>
      </c>
      <c r="O1482">
        <f>(1-Summary!$B$55)*T1482+Summary!$B$55*V1482</f>
        <v/>
      </c>
      <c r="P1482">
        <f>IF(B1514=0,0,O1482/B1514)</f>
        <v/>
      </c>
      <c r="Q1482">
        <f>IFERROR(1/IF(Inputs!$B$38="pvp",15,MAX(0.1,Skills!D7-IF(Skills!E7=TRUE,4.5,0))),0)</f>
        <v/>
      </c>
      <c r="R1482">
        <f>IF(AND(Inputs!$B$38&lt;&gt;"pvp",Inputs!$B$43&gt;0),IF(MAX(0,Inputs!$B$43-B1511)&lt;=0,0,(INT(MAX(0,Inputs!$B$43-B1511)/IF(Inputs!$B$38="pvp",15,MAX(0.1,Skills!D7-IF(Skills!E7=TRUE,4.5,0))))+1)),0)</f>
        <v/>
      </c>
      <c r="S1482">
        <f>IFERROR(O1482/N1482,0)</f>
        <v/>
      </c>
      <c r="T1482">
        <f>IF(C1482,(H1482*N1482*IF(AND(Inputs!$B$38&lt;&gt;"pvp",Inputs!$B$43&gt;0),((Skills!G7*((R1482-1)*IF(Skills!H7&gt;0,Skills!I7/Skills!H7,1)+IF(Skills!H7&gt;0,MIN(Skills!I7,MAX(0,MAX(0,Inputs!$B$43-B1511)-((R1482-1)*IF(Inputs!$B$38="pvp",15,MAX(0.1,Skills!D7-IF(Skills!E7=TRUE,4.5,0))))))/Skills!H7,1)))/Inputs!$B$43),G1482*Q1482))*IF(Inputs!$B$38="pvp",1,1+(Inputs!$B$20+0+Skills!P7+Summary!$B$59)/100),0)</f>
        <v/>
      </c>
      <c r="V1482">
        <f>IF(C1482,(H1482*N1482*IF(AND(Inputs!$B$38&lt;&gt;"pvp",Inputs!$B$43&gt;0),((Skills!G7*((R1482-1)*IF(Skills!H7&gt;0,Skills!I7/Skills!H7,1)+IF(Skills!H7&gt;0,MIN(Skills!I7,MAX(0,MAX(0,Inputs!$B$43-B1511)-((R1482-1)*IF(Inputs!$B$38="pvp",15,MAX(0.1,Skills!D7-IF(Skills!E7=TRUE,4.5,0))))))/Skills!H7,1)))/Inputs!$B$43),G1482*Q1482))*IF(Inputs!$B$38="pvp",1,(1+(Inputs!$B$21+Skills!Q7+Summary!$B$59)/100)*(MIN(Skills!R7,Inputs!$B$37))),0)</f>
        <v/>
      </c>
    </row>
    <row r="1483">
      <c r="A1483">
        <f>Skills!A8</f>
        <v/>
      </c>
      <c r="B1483">
        <f>Skills!B8</f>
        <v/>
      </c>
      <c r="C1483">
        <f>Inputs!$B$3&gt;=117</f>
        <v/>
      </c>
      <c r="D1483">
        <f>IF(Skills!C8=1,60+Inputs!$B$25+Inputs!$B$29,IF(Skills!C8=2,90+Inputs!$B$26+Inputs!$B$29,IF(Skills!C8=3,120+Inputs!$B$27+Inputs!$B$29,MAX(0,(Inputs!$B$3-100)*3)+Inputs!$B$28+Inputs!$B$29)))</f>
        <v/>
      </c>
      <c r="E1483">
        <f>INDEX(FactorTable!$B$2:$Y$301, MATCH(ROUND(MIN(300,MAX(1,D1483)),0), FactorTable!$A$2:$A$301,0), Skills!M8+1)</f>
        <v/>
      </c>
      <c r="F1483">
        <f>IF(Skills!N8=TRUE,(Skills!L8/10)*(E1483/1000),Skills!L8/10)+Skills!O8</f>
        <v/>
      </c>
      <c r="G1483">
        <f>Skills!G8*IF(Skills!H8&gt;0,Skills!I8/Skills!H8,1)</f>
        <v/>
      </c>
      <c r="H1483">
        <f>1-(1-Skills!J8/100)^Skills!K8</f>
        <v/>
      </c>
      <c r="I1483" t="inlineStr">
        <is>
          <t>1</t>
        </is>
      </c>
      <c r="J1483">
        <f>((Inputs!$B$6*(1+Inputs!$B$7/100))+(((Inputs!$B$12*(1+Inputs!$B$13/100))-(Inputs!$B$12*(1+Inputs!$B$13/100)))+0.25*(Inputs!$B$14-Inputs!$B$14))*(1+Inputs!$B$7/100))*(F1483/100)</f>
        <v/>
      </c>
      <c r="K1483">
        <f>J1483*(1+((Inputs!$B$12*(1+Inputs!$B$13/100))*0.01+Inputs!$B$14*0.0025)/100)*(1+Inputs!$B$15/100)*(1+Inputs!$B$16/100)*(5000/(6000+Inputs!$B$42*(1-(Inputs!$B$19+0)/100)))*(1+(Inputs!$B$24+((C1500=TRUE)*(F1500-Calc!F25))+B1510)/100)*(1+IF(Skills!A8="ENHANCED_RAGING_BLOW",IF(Inputs!$B$3&gt;=134,MAX(0,IF(Inputs!$B$3&gt;=110,7,5)-5)*50,0),0)/100)*(1+(IF(Skills!A8="RAGING_BLOW",Inputs!$B$17+((C1496=TRUE)*(F1496-Calc!F21)),Inputs!$B$18+((C1498=TRUE)*(F1498-Calc!F23))))/100)*((1+(((C1488=TRUE)*F1488*IF(Inputs!$B$3&gt;=110,7,5))+((C1490=TRUE)*F1490*IF(AND(Inputs!$B$38&lt;&gt;"pvp",Inputs!$B$43&gt;0),(((R1490-1)*(Skills!T15*(1+Inputs!$B$34/100))+MIN((Skills!T15*(1+Inputs!$B$34/100)),MAX(0,Inputs!$B$43-((R1490-1)*Skills!D15))))/Inputs!$B$43),IF(Inputs!$B$38="pvp",MIN((Skills!T15*(1+Inputs!$B$34/100)),15)/15,(Skills!T15*(1+Inputs!$B$34/100))/Skills!D15)))+0)/100)*I1483)</f>
        <v/>
      </c>
      <c r="L1483">
        <f>K1483*(MIN(Inputs!$B$22+((C1497=TRUE)*(F1497-Calc!F22)),Inputs!$B$23+((C1499=TRUE)*(F1499-Calc!F24)))/100+(Inputs!$B$23+((C1499=TRUE)*(F1499-Calc!F24)))/100)/2</f>
        <v/>
      </c>
      <c r="M1483">
        <f>L1483*(1+(Inputs!$B$10+0+B1509)/100)</f>
        <v/>
      </c>
      <c r="N1483">
        <f>L1483*(1-MIN((Inputs!$B$9+((C1501=TRUE)*(F1501-Calc!F26))+B1504),100)/100)+M1483*(MIN((Inputs!$B$9+((C1501=TRUE)*(F1501-Calc!F26))+B1504),100)/100)</f>
        <v/>
      </c>
      <c r="O1483">
        <f>(1-Summary!$B$55)*T1483+Summary!$B$55*V1483</f>
        <v/>
      </c>
      <c r="P1483">
        <f>IF(B1514=0,0,O1483/B1514)</f>
        <v/>
      </c>
      <c r="Q1483">
        <f>IFERROR(1/IF(Inputs!$B$38="pvp",15,MAX(0.1,Skills!D8-IF(Skills!E8=TRUE,4.5,0))),0)</f>
        <v/>
      </c>
      <c r="R1483">
        <f>IF(AND(Inputs!$B$38&lt;&gt;"pvp",Inputs!$B$43&gt;0),IF(MAX(0,Inputs!$B$43-B1511)&lt;=0,0,(INT(MAX(0,Inputs!$B$43-B1511)/IF(Inputs!$B$38="pvp",15,MAX(0.1,Skills!D8-IF(Skills!E8=TRUE,4.5,0))))+1)),0)</f>
        <v/>
      </c>
      <c r="S1483">
        <f>IFERROR(O1483/N1483,0)</f>
        <v/>
      </c>
      <c r="T1483">
        <f>IF(C1483,(H1483*N1483*IF(AND(Inputs!$B$38&lt;&gt;"pvp",Inputs!$B$43&gt;0),((Skills!G8*((R1483-1)*IF(Skills!H8&gt;0,Skills!I8/Skills!H8,1)+IF(Skills!H8&gt;0,MIN(Skills!I8,MAX(0,MAX(0,Inputs!$B$43-B1511)-((R1483-1)*IF(Inputs!$B$38="pvp",15,MAX(0.1,Skills!D8-IF(Skills!E8=TRUE,4.5,0))))))/Skills!H8,1)))/Inputs!$B$43),G1483*Q1483))*IF(Inputs!$B$38="pvp",1,1+(Inputs!$B$20+0+Skills!P8+Summary!$B$59)/100),0)</f>
        <v/>
      </c>
      <c r="V1483">
        <f>IF(C1483,(H1483*N1483*IF(AND(Inputs!$B$38&lt;&gt;"pvp",Inputs!$B$43&gt;0),((Skills!G8*((R1483-1)*IF(Skills!H8&gt;0,Skills!I8/Skills!H8,1)+IF(Skills!H8&gt;0,MIN(Skills!I8,MAX(0,MAX(0,Inputs!$B$43-B1511)-((R1483-1)*IF(Inputs!$B$38="pvp",15,MAX(0.1,Skills!D8-IF(Skills!E8=TRUE,4.5,0))))))/Skills!H8,1)))/Inputs!$B$43),G1483*Q1483))*IF(Inputs!$B$38="pvp",1,(1+(Inputs!$B$21+Skills!Q8+Summary!$B$59)/100)*(MIN(Skills!R8,Inputs!$B$37))),0)</f>
        <v/>
      </c>
    </row>
    <row r="1484">
      <c r="A1484">
        <f>Skills!A9</f>
        <v/>
      </c>
      <c r="B1484">
        <f>Skills!B9</f>
        <v/>
      </c>
      <c r="C1484">
        <f>Inputs!$B$3&gt;=69</f>
        <v/>
      </c>
      <c r="D1484">
        <f>IF(Skills!C9=1,60+Inputs!$B$25+Inputs!$B$29,IF(Skills!C9=2,90+Inputs!$B$26+Inputs!$B$29,IF(Skills!C9=3,120+Inputs!$B$27+Inputs!$B$29,MAX(0,(Inputs!$B$3-100)*3)+Inputs!$B$28+Inputs!$B$29)))</f>
        <v/>
      </c>
      <c r="E1484">
        <f>INDEX(FactorTable!$B$2:$Y$301, MATCH(ROUND(MIN(300,MAX(1,D1484)),0), FactorTable!$A$2:$A$301,0), Skills!M9+1)</f>
        <v/>
      </c>
      <c r="F1484">
        <f>IF(Skills!N9=TRUE,(Skills!L9/10)*(E1484/1000),Skills!L9/10)+Skills!O9</f>
        <v/>
      </c>
      <c r="G1484">
        <f>Skills!G9*IF(Skills!H9&gt;0,Skills!I9/Skills!H9,1)</f>
        <v/>
      </c>
      <c r="H1484">
        <f>1-(1-Skills!J9/100)^Skills!K9</f>
        <v/>
      </c>
      <c r="I1484" t="inlineStr">
        <is>
          <t>1</t>
        </is>
      </c>
      <c r="J1484">
        <f>((Inputs!$B$6*(1+Inputs!$B$7/100))+(((Inputs!$B$12*(1+Inputs!$B$13/100))-(Inputs!$B$12*(1+Inputs!$B$13/100)))+0.25*(Inputs!$B$14-Inputs!$B$14))*(1+Inputs!$B$7/100))*(F1484/100)</f>
        <v/>
      </c>
      <c r="K1484">
        <f>J1484*(1+((Inputs!$B$12*(1+Inputs!$B$13/100))*0.01+Inputs!$B$14*0.0025)/100)*(1+Inputs!$B$15/100)*(1+Inputs!$B$16/100)*(5000/(6000+Inputs!$B$42*(1-(Inputs!$B$19+0)/100)))*(1+(Inputs!$B$24+((C1500=TRUE)*(F1500-Calc!F25))+B1510)/100)*(1+1.0*IF(C1487=TRUE,F1487,0)/100)*(1+IF(Skills!A9="ENHANCED_RAGING_BLOW",IF(Inputs!$B$3&gt;=134,MAX(0,IF(Inputs!$B$3&gt;=110,7,5)-5)*50,0),0)/100)*(1+(IF(Skills!A9="RAGING_BLOW",Inputs!$B$17+((C1496=TRUE)*(F1496-Calc!F21)),Inputs!$B$18+((C1498=TRUE)*(F1498-Calc!F23))))/100)*((1+(((C1488=TRUE)*F1488*IF(Inputs!$B$3&gt;=110,7,5))+((C1490=TRUE)*F1490*IF(AND(Inputs!$B$38&lt;&gt;"pvp",Inputs!$B$43&gt;0),(((R1490-1)*(Skills!T15*(1+Inputs!$B$34/100))+MIN((Skills!T15*(1+Inputs!$B$34/100)),MAX(0,Inputs!$B$43-((R1490-1)*Skills!D15))))/Inputs!$B$43),IF(Inputs!$B$38="pvp",MIN((Skills!T15*(1+Inputs!$B$34/100)),15)/15,(Skills!T15*(1+Inputs!$B$34/100))/Skills!D15)))+0)/100)*I1484)</f>
        <v/>
      </c>
      <c r="L1484">
        <f>K1484*(MIN(Inputs!$B$22+((C1497=TRUE)*(F1497-Calc!F22)),Inputs!$B$23+((C1499=TRUE)*(F1499-Calc!F24)))/100+(Inputs!$B$23+((C1499=TRUE)*(F1499-Calc!F24)))/100)/2</f>
        <v/>
      </c>
      <c r="M1484">
        <f>L1484*(1+(Inputs!$B$10+0+B1509)/100)</f>
        <v/>
      </c>
      <c r="N1484">
        <f>L1484*(1-MIN((Inputs!$B$9+((C1501=TRUE)*(F1501-Calc!F26))+B1504),100)/100)+M1484*(MIN((Inputs!$B$9+((C1501=TRUE)*(F1501-Calc!F26))+B1504),100)/100)</f>
        <v/>
      </c>
      <c r="O1484">
        <f>(1-Summary!$B$55)*T1484+Summary!$B$55*V1484</f>
        <v/>
      </c>
      <c r="P1484">
        <f>IF(B1514=0,0,O1484/B1514)</f>
        <v/>
      </c>
      <c r="Q1484">
        <f>IFERROR(1/IF(Inputs!$B$38="pvp",15,MAX(0.1,Skills!D9-IF(Skills!E9=TRUE,4.5,0))),0)</f>
        <v/>
      </c>
      <c r="R1484">
        <f>IF(AND(Inputs!$B$38&lt;&gt;"pvp",Inputs!$B$43&gt;0),IF(MAX(0,Inputs!$B$43-B1511)&lt;=0,0,(INT(MAX(0,Inputs!$B$43-B1511)/IF(Inputs!$B$38="pvp",15,MAX(0.1,Skills!D9-IF(Skills!E9=TRUE,4.5,0))))+1)),0)</f>
        <v/>
      </c>
      <c r="S1484">
        <f>IFERROR(O1484/N1484,0)</f>
        <v/>
      </c>
      <c r="T1484">
        <f>IF(C1484,(H1484*N1484*IF(AND(Inputs!$B$38&lt;&gt;"pvp",Inputs!$B$43&gt;0),((Skills!G9*((R1484-1)*IF(Skills!H9&gt;0,Skills!I9/Skills!H9,1)+IF(Skills!H9&gt;0,MIN(Skills!I9,MAX(0,MAX(0,Inputs!$B$43-B1511)-((R1484-1)*IF(Inputs!$B$38="pvp",15,MAX(0.1,Skills!D9-IF(Skills!E9=TRUE,4.5,0))))))/Skills!H9,1)))/Inputs!$B$43),G1484*Q1484))*IF(Inputs!$B$38="pvp",1,1+(Inputs!$B$20+0+Skills!P9+Summary!$B$59)/100),0)</f>
        <v/>
      </c>
      <c r="V1484">
        <f>IF(C1484,(H1484*N1484*IF(AND(Inputs!$B$38&lt;&gt;"pvp",Inputs!$B$43&gt;0),((Skills!G9*((R1484-1)*IF(Skills!H9&gt;0,Skills!I9/Skills!H9,1)+IF(Skills!H9&gt;0,MIN(Skills!I9,MAX(0,MAX(0,Inputs!$B$43-B1511)-((R1484-1)*IF(Inputs!$B$38="pvp",15,MAX(0.1,Skills!D9-IF(Skills!E9=TRUE,4.5,0))))))/Skills!H9,1)))/Inputs!$B$43),G1484*Q1484))*IF(Inputs!$B$38="pvp",1,(1+(Inputs!$B$21+Skills!Q9+Summary!$B$59)/100)*(MIN(Skills!R9,Inputs!$B$37))),0)</f>
        <v/>
      </c>
    </row>
    <row r="1485">
      <c r="A1485">
        <f>Skills!A10</f>
        <v/>
      </c>
      <c r="B1485">
        <f>Skills!B10</f>
        <v/>
      </c>
      <c r="C1485">
        <f>Inputs!$B$3&gt;=63</f>
        <v/>
      </c>
      <c r="D1485">
        <f>IF(Skills!C10=1,60+Inputs!$B$25+Inputs!$B$29,IF(Skills!C10=2,90+Inputs!$B$26+Inputs!$B$29,IF(Skills!C10=3,120+Inputs!$B$27+Inputs!$B$29,MAX(0,(Inputs!$B$3-100)*3)+Inputs!$B$28+Inputs!$B$29)))</f>
        <v/>
      </c>
      <c r="E1485">
        <f>INDEX(FactorTable!$B$2:$Y$301, MATCH(ROUND(MIN(300,MAX(1,D1485)),0), FactorTable!$A$2:$A$301,0), Skills!M10+1)</f>
        <v/>
      </c>
      <c r="F1485">
        <f>IF(Skills!N10=TRUE,(Skills!L10/10)*(E1485/1000),Skills!L10/10)+Skills!O10</f>
        <v/>
      </c>
      <c r="G1485">
        <f>Skills!G10*IF(Skills!H10&gt;0,Skills!I10/Skills!H10,1)</f>
        <v/>
      </c>
      <c r="H1485">
        <f>1-(1-Skills!J10/100)^Skills!K10</f>
        <v/>
      </c>
      <c r="I1485" t="inlineStr">
        <is>
          <t>1</t>
        </is>
      </c>
      <c r="J1485">
        <f>((Inputs!$B$6*(1+Inputs!$B$7/100))+(((Inputs!$B$12*(1+Inputs!$B$13/100))-(Inputs!$B$12*(1+Inputs!$B$13/100)))+0.25*(Inputs!$B$14-Inputs!$B$14))*(1+Inputs!$B$7/100))*(F1485/100)</f>
        <v/>
      </c>
      <c r="K1485">
        <f>J1485*(1+((Inputs!$B$12*(1+Inputs!$B$13/100))*0.01+Inputs!$B$14*0.0025)/100)*(1+Inputs!$B$15/100)*(1+Inputs!$B$16/100)*(5000/(6000+Inputs!$B$42*(1-(Inputs!$B$19+0)/100)))*(1+(Inputs!$B$24+((C1500=TRUE)*(F1500-Calc!F25))+B1510)/100)*(1+1.5*IF(C1487=TRUE,F1487,0)/100)*(1+IF(Skills!A10="ENHANCED_RAGING_BLOW",IF(Inputs!$B$3&gt;=134,MAX(0,IF(Inputs!$B$3&gt;=110,7,5)-5)*50,0),0)/100)*(1+(IF(Skills!A10="RAGING_BLOW",Inputs!$B$17+((C1496=TRUE)*(F1496-Calc!F21)),Inputs!$B$18+((C1498=TRUE)*(F1498-Calc!F23))))/100)*((1+(((C1488=TRUE)*F1488*IF(Inputs!$B$3&gt;=110,7,5))+((C1490=TRUE)*F1490*IF(AND(Inputs!$B$38&lt;&gt;"pvp",Inputs!$B$43&gt;0),(((R1490-1)*(Skills!T15*(1+Inputs!$B$34/100))+MIN((Skills!T15*(1+Inputs!$B$34/100)),MAX(0,Inputs!$B$43-((R1490-1)*Skills!D15))))/Inputs!$B$43),IF(Inputs!$B$38="pvp",MIN((Skills!T15*(1+Inputs!$B$34/100)),15)/15,(Skills!T15*(1+Inputs!$B$34/100))/Skills!D15)))+0)/100)*I1485)</f>
        <v/>
      </c>
      <c r="L1485">
        <f>K1485*(MIN(Inputs!$B$22+((C1497=TRUE)*(F1497-Calc!F22)),Inputs!$B$23+((C1499=TRUE)*(F1499-Calc!F24)))/100+(Inputs!$B$23+((C1499=TRUE)*(F1499-Calc!F24)))/100)/2</f>
        <v/>
      </c>
      <c r="M1485">
        <f>L1485*(1+(Inputs!$B$10+0+B1509)/100)</f>
        <v/>
      </c>
      <c r="N1485">
        <f>L1485*(1-MIN((Inputs!$B$9+((C1501=TRUE)*(F1501-Calc!F26))+B1504),100)/100)+M1485*(MIN((Inputs!$B$9+((C1501=TRUE)*(F1501-Calc!F26))+B1504),100)/100)</f>
        <v/>
      </c>
      <c r="O1485">
        <f>(1-Summary!$B$55)*T1485+Summary!$B$55*V1485</f>
        <v/>
      </c>
      <c r="P1485">
        <f>IF(B1514=0,0,O1485/B1514)</f>
        <v/>
      </c>
      <c r="Q1485">
        <f>IFERROR(1/IF(Inputs!$B$38="pvp",15,MAX(0.1,Skills!D10-IF(Skills!E10=TRUE,4.5,0))),0)</f>
        <v/>
      </c>
      <c r="R1485">
        <f>IF(AND(Inputs!$B$38&lt;&gt;"pvp",Inputs!$B$43&gt;0),IF(MAX(0,Inputs!$B$43-B1511)&lt;=0,0,(INT(MAX(0,Inputs!$B$43-B1511)/IF(Inputs!$B$38="pvp",15,MAX(0.1,Skills!D10-IF(Skills!E10=TRUE,4.5,0))))+1)),0)</f>
        <v/>
      </c>
      <c r="S1485">
        <f>IFERROR(O1485/N1485,0)</f>
        <v/>
      </c>
      <c r="T1485">
        <f>IF(C1485,(H1485*N1485*IF(AND(Inputs!$B$38&lt;&gt;"pvp",Inputs!$B$43&gt;0),((Skills!G10*((R1485-1)*IF(Skills!H10&gt;0,Skills!I10/Skills!H10,1)+IF(Skills!H10&gt;0,MIN(Skills!I10,MAX(0,MAX(0,Inputs!$B$43-B1511)-((R1485-1)*IF(Inputs!$B$38="pvp",15,MAX(0.1,Skills!D10-IF(Skills!E10=TRUE,4.5,0))))))/Skills!H10,1)))/Inputs!$B$43),G1485*Q1485))*IF(Inputs!$B$38="pvp",1,1+(Inputs!$B$20+0+Skills!P10+Summary!$B$59)/100),0)</f>
        <v/>
      </c>
      <c r="V1485">
        <f>IF(C1485,(H1485*N1485*IF(AND(Inputs!$B$38&lt;&gt;"pvp",Inputs!$B$43&gt;0),((Skills!G10*((R1485-1)*IF(Skills!H10&gt;0,Skills!I10/Skills!H10,1)+IF(Skills!H10&gt;0,MIN(Skills!I10,MAX(0,MAX(0,Inputs!$B$43-B1511)-((R1485-1)*IF(Inputs!$B$38="pvp",15,MAX(0.1,Skills!D10-IF(Skills!E10=TRUE,4.5,0))))))/Skills!H10,1)))/Inputs!$B$43),G1485*Q1485))*IF(Inputs!$B$38="pvp",1,(1+(Inputs!$B$21+Skills!Q10+Summary!$B$59)/100)*(MIN(Skills!R10,Inputs!$B$37))),0)</f>
        <v/>
      </c>
    </row>
    <row r="1486">
      <c r="A1486">
        <f>Skills!A11</f>
        <v/>
      </c>
      <c r="B1486">
        <f>Skills!B11</f>
        <v/>
      </c>
      <c r="C1486">
        <f>Inputs!$B$3&gt;=35</f>
        <v/>
      </c>
      <c r="D1486">
        <f>IF(Skills!C11=1,60+Inputs!$B$25+Inputs!$B$29,IF(Skills!C11=2,90+Inputs!$B$26+Inputs!$B$29,IF(Skills!C11=3,120+Inputs!$B$27+Inputs!$B$29,MAX(0,(Inputs!$B$3-100)*3)+Inputs!$B$28+Inputs!$B$29)))</f>
        <v/>
      </c>
      <c r="E1486">
        <f>INDEX(FactorTable!$B$2:$Y$301, MATCH(ROUND(MIN(300,MAX(1,D1486)),0), FactorTable!$A$2:$A$301,0), Skills!M11+1)</f>
        <v/>
      </c>
      <c r="F1486">
        <f>IF(Skills!N11=TRUE,(Skills!L11/10)*(E1486/1000),Skills!L11/10)+Skills!O11</f>
        <v/>
      </c>
      <c r="G1486">
        <f>Skills!G11*IF(Skills!H11&gt;0,Skills!I11/Skills!H11,1)</f>
        <v/>
      </c>
      <c r="H1486">
        <f>1-(1-Skills!J11/100)^Skills!K11</f>
        <v/>
      </c>
      <c r="I1486" t="inlineStr">
        <is>
          <t>1</t>
        </is>
      </c>
      <c r="J1486">
        <f>((Inputs!$B$6*(1+Inputs!$B$7/100))+(((Inputs!$B$12*(1+Inputs!$B$13/100))-(Inputs!$B$12*(1+Inputs!$B$13/100)))+0.25*(Inputs!$B$14-Inputs!$B$14))*(1+Inputs!$B$7/100))*(F1486/100)</f>
        <v/>
      </c>
      <c r="K1486">
        <f>J1486*(1+((Inputs!$B$12*(1+Inputs!$B$13/100))*0.01+Inputs!$B$14*0.0025)/100)*(1+Inputs!$B$15/100)*(1+Inputs!$B$16/100)*(5000/(6000+Inputs!$B$42*(1-(Inputs!$B$19+0)/100)))*(1+(Inputs!$B$24+((C1500=TRUE)*(F1500-Calc!F25))+B1510)/100)*(1+4.0*IF(C1487=TRUE,F1487,0)/100)*(1+IF(Skills!A11="ENHANCED_RAGING_BLOW",IF(Inputs!$B$3&gt;=134,MAX(0,IF(Inputs!$B$3&gt;=110,7,5)-5)*50,0),0)/100)*(1+(IF(Skills!A11="RAGING_BLOW",Inputs!$B$17+((C1496=TRUE)*(F1496-Calc!F21)),Inputs!$B$18+((C1498=TRUE)*(F1498-Calc!F23))))/100)*((1+(((C1488=TRUE)*F1488*IF(Inputs!$B$3&gt;=110,7,5))+((C1490=TRUE)*F1490*IF(AND(Inputs!$B$38&lt;&gt;"pvp",Inputs!$B$43&gt;0),(((R1490-1)*(Skills!T15*(1+Inputs!$B$34/100))+MIN((Skills!T15*(1+Inputs!$B$34/100)),MAX(0,Inputs!$B$43-((R1490-1)*Skills!D15))))/Inputs!$B$43),IF(Inputs!$B$38="pvp",MIN((Skills!T15*(1+Inputs!$B$34/100)),15)/15,(Skills!T15*(1+Inputs!$B$34/100))/Skills!D15)))+0)/100)*I1486)</f>
        <v/>
      </c>
      <c r="L1486">
        <f>K1486*(MIN(Inputs!$B$22+((C1497=TRUE)*(F1497-Calc!F22)),Inputs!$B$23+((C1499=TRUE)*(F1499-Calc!F24)))/100+(Inputs!$B$23+((C1499=TRUE)*(F1499-Calc!F24)))/100)/2</f>
        <v/>
      </c>
      <c r="M1486">
        <f>L1486*(1+(Inputs!$B$10+0+B1509)/100)</f>
        <v/>
      </c>
      <c r="N1486">
        <f>L1486*(1-MIN((Inputs!$B$9+((C1501=TRUE)*(F1501-Calc!F26))+B1504),100)/100)+M1486*(MIN((Inputs!$B$9+((C1501=TRUE)*(F1501-Calc!F26))+B1504),100)/100)</f>
        <v/>
      </c>
      <c r="O1486">
        <f>(1-Summary!$B$55)*T1486+Summary!$B$55*V1486</f>
        <v/>
      </c>
      <c r="P1486">
        <f>IF(B1514=0,0,O1486/B1514)</f>
        <v/>
      </c>
      <c r="Q1486">
        <f>IFERROR(1/IF(Inputs!$B$38="pvp",15,MAX(0.1,Skills!D11-IF(Skills!E11=TRUE,4.5,0))),0)</f>
        <v/>
      </c>
      <c r="R1486">
        <f>IF(AND(Inputs!$B$38&lt;&gt;"pvp",Inputs!$B$43&gt;0),IF(MAX(0,Inputs!$B$43-B1511)&lt;=0,0,(INT(MAX(0,Inputs!$B$43-B1511)/IF(Inputs!$B$38="pvp",15,MAX(0.1,Skills!D11-IF(Skills!E11=TRUE,4.5,0))))+1)),0)</f>
        <v/>
      </c>
      <c r="S1486">
        <f>IFERROR(O1486/N1486,0)</f>
        <v/>
      </c>
      <c r="T1486">
        <f>IF(C1486,(H1486*N1486*IF(AND(Inputs!$B$38&lt;&gt;"pvp",Inputs!$B$43&gt;0),((Skills!G11*((R1486-1)*IF(Skills!H11&gt;0,Skills!I11/Skills!H11,1)+IF(Skills!H11&gt;0,MIN(Skills!I11,MAX(0,MAX(0,Inputs!$B$43-B1511)-((R1486-1)*IF(Inputs!$B$38="pvp",15,MAX(0.1,Skills!D11-IF(Skills!E11=TRUE,4.5,0))))))/Skills!H11,1)))/Inputs!$B$43),G1486*Q1486))*IF(Inputs!$B$38="pvp",1,1+(Inputs!$B$20+0+Skills!P11+Summary!$B$59)/100),0)</f>
        <v/>
      </c>
      <c r="V1486">
        <f>IF(C1486,(H1486*N1486*IF(AND(Inputs!$B$38&lt;&gt;"pvp",Inputs!$B$43&gt;0),((Skills!G11*((R1486-1)*IF(Skills!H11&gt;0,Skills!I11/Skills!H11,1)+IF(Skills!H11&gt;0,MIN(Skills!I11,MAX(0,MAX(0,Inputs!$B$43-B1511)-((R1486-1)*IF(Inputs!$B$38="pvp",15,MAX(0.1,Skills!D11-IF(Skills!E11=TRUE,4.5,0))))))/Skills!H11,1)))/Inputs!$B$43),G1486*Q1486))*IF(Inputs!$B$38="pvp",1,(1+(Inputs!$B$21+Skills!Q11+Summary!$B$59)/100)*(MIN(Skills!R11,Inputs!$B$37))),0)</f>
        <v/>
      </c>
    </row>
    <row r="1487">
      <c r="A1487">
        <f>Skills!A12</f>
        <v/>
      </c>
      <c r="B1487">
        <f>Skills!B12</f>
        <v/>
      </c>
      <c r="C1487">
        <f>Inputs!$B$3&gt;=100</f>
        <v/>
      </c>
      <c r="D1487">
        <f>IF(Skills!C12=1,60+Inputs!$B$25+Inputs!$B$29,IF(Skills!C12=2,90+Inputs!$B$26+Inputs!$B$29,IF(Skills!C12=3,120+Inputs!$B$27+Inputs!$B$29,MAX(0,(Inputs!$B$3-100)*3)+Inputs!$B$28+Inputs!$B$29)))</f>
        <v/>
      </c>
      <c r="E1487">
        <f>INDEX(FactorTable!$B$2:$Y$301, MATCH(ROUND(MIN(300,MAX(1,D1487)),0), FactorTable!$A$2:$A$301,0), Skills!M12+1)</f>
        <v/>
      </c>
      <c r="F1487">
        <f>IF(Skills!N12=TRUE,(Skills!L12/10)*(E1487/1000),Skills!L12/10)+Skills!O12</f>
        <v/>
      </c>
      <c r="G1487" t="inlineStr"/>
      <c r="H1487" t="inlineStr"/>
      <c r="I1487" t="inlineStr">
        <is>
          <t>1</t>
        </is>
      </c>
      <c r="J1487" t="inlineStr"/>
      <c r="K1487" t="inlineStr"/>
      <c r="L1487" t="inlineStr"/>
      <c r="M1487" t="inlineStr"/>
      <c r="N1487" t="inlineStr"/>
      <c r="O1487" t="inlineStr"/>
      <c r="P1487" t="inlineStr"/>
      <c r="Q1487" t="inlineStr"/>
      <c r="R1487" t="inlineStr"/>
      <c r="S1487" t="inlineStr"/>
    </row>
    <row r="1488">
      <c r="A1488">
        <f>Skills!A13</f>
        <v/>
      </c>
      <c r="B1488">
        <f>Skills!B13</f>
        <v/>
      </c>
      <c r="C1488">
        <f>Inputs!$B$3&gt;=45</f>
        <v/>
      </c>
      <c r="D1488">
        <f>IF(Skills!C13=1,60+Inputs!$B$25+Inputs!$B$29,IF(Skills!C13=2,90+Inputs!$B$26+Inputs!$B$29,IF(Skills!C13=3,120+Inputs!$B$27+Inputs!$B$29,MAX(0,(Inputs!$B$3-100)*3)+Inputs!$B$28+Inputs!$B$29)))</f>
        <v/>
      </c>
      <c r="E1488">
        <f>INDEX(FactorTable!$B$2:$Y$301, MATCH(ROUND(MIN(300,MAX(1,D1488)),0), FactorTable!$A$2:$A$301,0), Skills!M13+1)</f>
        <v/>
      </c>
      <c r="F1488">
        <f>IF(Skills!N13=TRUE,(Skills!L13/10)*(E1488/1000),Skills!L13/10)+Skills!O13</f>
        <v/>
      </c>
      <c r="G1488">
        <f>Skills!G13*IF(Skills!H13&gt;0,Skills!I13/Skills!H13,1)</f>
        <v/>
      </c>
      <c r="H1488">
        <f>1-(1-Skills!J13/100)^Skills!K13</f>
        <v/>
      </c>
      <c r="I1488" t="inlineStr">
        <is>
          <t>1</t>
        </is>
      </c>
      <c r="J1488" t="inlineStr"/>
      <c r="K1488" t="inlineStr"/>
      <c r="L1488" t="inlineStr"/>
      <c r="M1488" t="inlineStr"/>
      <c r="N1488" t="inlineStr"/>
      <c r="O1488">
        <f>(1-Summary!$B$55)*T1488+Summary!$B$55*V1488</f>
        <v/>
      </c>
      <c r="P1488">
        <f>IF(B1514=0,0,O1488/B1514)</f>
        <v/>
      </c>
      <c r="Q1488" t="n">
        <v>0</v>
      </c>
      <c r="R1488" t="n">
        <v>0</v>
      </c>
      <c r="S1488">
        <f>IFERROR(O1488/N1488,0)</f>
        <v/>
      </c>
      <c r="T1488" t="n">
        <v>0</v>
      </c>
      <c r="V1488" t="n">
        <v>0</v>
      </c>
    </row>
    <row r="1489">
      <c r="A1489">
        <f>Skills!A14</f>
        <v/>
      </c>
      <c r="B1489">
        <f>Skills!B14</f>
        <v/>
      </c>
      <c r="C1489">
        <f>Inputs!$B$3&gt;=75</f>
        <v/>
      </c>
      <c r="D1489">
        <f>IF(Skills!C14=1,60+Inputs!$B$25+Inputs!$B$29,IF(Skills!C14=2,90+Inputs!$B$26+Inputs!$B$29,IF(Skills!C14=3,120+Inputs!$B$27+Inputs!$B$29,MAX(0,(Inputs!$B$3-100)*3)+Inputs!$B$28+Inputs!$B$29)))</f>
        <v/>
      </c>
      <c r="E1489">
        <f>INDEX(FactorTable!$B$2:$Y$301, MATCH(ROUND(MIN(300,MAX(1,D1489)),0), FactorTable!$A$2:$A$301,0), Skills!M14+1)</f>
        <v/>
      </c>
      <c r="F1489">
        <f>IF(Skills!N14=TRUE,(Skills!L14/10)*(E1489/1000),Skills!L14/10)+Skills!O14</f>
        <v/>
      </c>
      <c r="G1489">
        <f>Skills!G14*IF(Skills!H14&gt;0,Skills!I14/Skills!H14,1)</f>
        <v/>
      </c>
      <c r="H1489">
        <f>1-(1-Skills!J14/100)^Skills!K14</f>
        <v/>
      </c>
      <c r="I1489" t="inlineStr">
        <is>
          <t>1</t>
        </is>
      </c>
      <c r="J1489" t="inlineStr"/>
      <c r="K1489" t="inlineStr"/>
      <c r="L1489" t="inlineStr"/>
      <c r="M1489" t="inlineStr"/>
      <c r="N1489" t="inlineStr"/>
      <c r="O1489">
        <f>(1-Summary!$B$55)*T1489+Summary!$B$55*V1489</f>
        <v/>
      </c>
      <c r="P1489">
        <f>IF(B1514=0,0,O1489/B1514)</f>
        <v/>
      </c>
      <c r="Q1489" t="n">
        <v>0</v>
      </c>
      <c r="R1489" t="n">
        <v>0</v>
      </c>
      <c r="S1489">
        <f>IFERROR(O1489/N1489,0)</f>
        <v/>
      </c>
      <c r="T1489" t="n">
        <v>0</v>
      </c>
      <c r="V1489" t="n">
        <v>0</v>
      </c>
    </row>
    <row r="1490">
      <c r="A1490">
        <f>Skills!A15</f>
        <v/>
      </c>
      <c r="B1490">
        <f>Skills!B15</f>
        <v/>
      </c>
      <c r="C1490">
        <f>Inputs!$B$3&gt;=40</f>
        <v/>
      </c>
      <c r="D1490">
        <f>IF(Skills!C15=1,60+Inputs!$B$25+Inputs!$B$29,IF(Skills!C15=2,90+Inputs!$B$26+Inputs!$B$29,IF(Skills!C15=3,120+Inputs!$B$27+Inputs!$B$29,MAX(0,(Inputs!$B$3-100)*3)+Inputs!$B$28+Inputs!$B$29)))</f>
        <v/>
      </c>
      <c r="E1490">
        <f>INDEX(FactorTable!$B$2:$Y$301, MATCH(ROUND(MIN(300,MAX(1,D1490)),0), FactorTable!$A$2:$A$301,0), Skills!M15+1)</f>
        <v/>
      </c>
      <c r="F1490">
        <f>IF(Skills!N15=TRUE,(Skills!L15/10)*(E1490/1000),Skills!L15/10)+Skills!O15</f>
        <v/>
      </c>
      <c r="G1490">
        <f>Skills!G15*IF(Skills!H15&gt;0,Skills!I15/Skills!H15,1)</f>
        <v/>
      </c>
      <c r="H1490">
        <f>1-(1-Skills!J15/100)^Skills!K15</f>
        <v/>
      </c>
      <c r="I1490" t="inlineStr">
        <is>
          <t>1</t>
        </is>
      </c>
      <c r="J1490" t="inlineStr"/>
      <c r="K1490" t="inlineStr"/>
      <c r="L1490" t="inlineStr"/>
      <c r="M1490" t="inlineStr"/>
      <c r="N1490" t="inlineStr"/>
      <c r="O1490">
        <f>(1-Summary!$B$55)*T1490+Summary!$B$55*V1490</f>
        <v/>
      </c>
      <c r="P1490">
        <f>IF(B1514=0,0,O1490/B1514)</f>
        <v/>
      </c>
      <c r="Q1490">
        <f>IFERROR(1/IF(Inputs!$B$38="pvp",15,MAX(0.1,Skills!D15-IF(Skills!E15=TRUE,4.5,0))),0)</f>
        <v/>
      </c>
      <c r="R1490">
        <f>IF(AND(Inputs!$B$38&lt;&gt;"pvp",Inputs!$B$43&gt;0),IF(Inputs!$B$43&lt;=0,0,(INT(Inputs!$B$43/IF(Inputs!$B$38="pvp",15,MAX(0.1,Skills!D15-IF(Skills!E15=TRUE,4.5,0))))+1)),0)</f>
        <v/>
      </c>
      <c r="S1490">
        <f>IFERROR(O1490/N1490,0)</f>
        <v/>
      </c>
      <c r="T1490" t="n">
        <v>0</v>
      </c>
      <c r="V1490" t="n">
        <v>0</v>
      </c>
    </row>
    <row r="1491">
      <c r="A1491">
        <f>Skills!A16</f>
        <v/>
      </c>
      <c r="B1491">
        <f>Skills!B16</f>
        <v/>
      </c>
      <c r="C1491">
        <f>Inputs!$B$3&gt;=66</f>
        <v/>
      </c>
      <c r="D1491">
        <f>IF(Skills!C16=1,60+Inputs!$B$25+Inputs!$B$29,IF(Skills!C16=2,90+Inputs!$B$26+Inputs!$B$29,IF(Skills!C16=3,120+Inputs!$B$27+Inputs!$B$29,MAX(0,(Inputs!$B$3-100)*3)+Inputs!$B$28+Inputs!$B$29)))</f>
        <v/>
      </c>
      <c r="E1491">
        <f>INDEX(FactorTable!$B$2:$Y$301, MATCH(ROUND(MIN(300,MAX(1,D1491)),0), FactorTable!$A$2:$A$301,0), Skills!M16+1)</f>
        <v/>
      </c>
      <c r="F1491">
        <f>IF(Skills!N16=TRUE,(Skills!L16/10)*(E1491/1000),Skills!L16/10)+Skills!O16</f>
        <v/>
      </c>
      <c r="G1491">
        <f>Skills!G16*IF(Skills!H16&gt;0,Skills!I16/Skills!H16,1)</f>
        <v/>
      </c>
      <c r="H1491">
        <f>1-(1-Skills!J16/100)^Skills!K16</f>
        <v/>
      </c>
      <c r="I1491" t="inlineStr">
        <is>
          <t>1</t>
        </is>
      </c>
      <c r="J1491" t="inlineStr"/>
      <c r="K1491" t="inlineStr"/>
      <c r="L1491" t="inlineStr"/>
      <c r="M1491" t="inlineStr"/>
      <c r="N1491" t="inlineStr"/>
      <c r="O1491">
        <f>(1-Summary!$B$55)*T1491+Summary!$B$55*V1491</f>
        <v/>
      </c>
      <c r="P1491">
        <f>IF(B1514=0,0,O1491/B1514)</f>
        <v/>
      </c>
      <c r="Q1491">
        <f>IFERROR(1/IF(Inputs!$B$38="pvp",15,MAX(0.1,Skills!D16-IF(Skills!E16=TRUE,4.5,0))),0)</f>
        <v/>
      </c>
      <c r="R1491">
        <f>IF(AND(Inputs!$B$38&lt;&gt;"pvp",Inputs!$B$43&gt;0),IF(Inputs!$B$43&lt;=0,0,(INT(Inputs!$B$43/IF(Inputs!$B$38="pvp",15,MAX(0.1,Skills!D16-IF(Skills!E16=TRUE,4.5,0))))+1)),0)</f>
        <v/>
      </c>
      <c r="S1491">
        <f>IFERROR(O1491/N1491,0)</f>
        <v/>
      </c>
      <c r="T1491" t="n">
        <v>0</v>
      </c>
      <c r="V1491" t="n">
        <v>0</v>
      </c>
    </row>
    <row r="1492">
      <c r="A1492">
        <f>Skills!A17</f>
        <v/>
      </c>
      <c r="B1492">
        <f>Skills!B17</f>
        <v/>
      </c>
      <c r="C1492">
        <f>Inputs!$B$3&gt;=115</f>
        <v/>
      </c>
      <c r="D1492">
        <f>IF(Skills!C17=1,60+Inputs!$B$25+Inputs!$B$29,IF(Skills!C17=2,90+Inputs!$B$26+Inputs!$B$29,IF(Skills!C17=3,120+Inputs!$B$27+Inputs!$B$29,MAX(0,(Inputs!$B$3-100)*3)+Inputs!$B$28+Inputs!$B$29)))</f>
        <v/>
      </c>
      <c r="E1492">
        <f>INDEX(FactorTable!$B$2:$Y$301, MATCH(ROUND(MIN(300,MAX(1,D1492)),0), FactorTable!$A$2:$A$301,0), Skills!M17+1)</f>
        <v/>
      </c>
      <c r="F1492">
        <f>IF(Skills!N17=TRUE,(Skills!L17/10)*(E1492/1000),Skills!L17/10)+Skills!O17</f>
        <v/>
      </c>
      <c r="G1492">
        <f>Skills!G17*IF(Skills!H17&gt;0,Skills!I17/Skills!H17,1)</f>
        <v/>
      </c>
      <c r="H1492">
        <f>1-(1-Skills!J17/100)^Skills!K17</f>
        <v/>
      </c>
      <c r="I1492" t="inlineStr">
        <is>
          <t>1</t>
        </is>
      </c>
      <c r="J1492" t="inlineStr"/>
      <c r="K1492" t="inlineStr"/>
      <c r="L1492" t="inlineStr"/>
      <c r="M1492" t="inlineStr"/>
      <c r="N1492" t="inlineStr"/>
      <c r="O1492">
        <f>(1-Summary!$B$55)*T1492+Summary!$B$55*V1492</f>
        <v/>
      </c>
      <c r="P1492">
        <f>IF(B1514=0,0,O1492/B1514)</f>
        <v/>
      </c>
      <c r="Q1492">
        <f>IFERROR(1/IF(Inputs!$B$38="pvp",15,MAX(0.1,Skills!D17-IF(Skills!E17=TRUE,4.5,0))),0)</f>
        <v/>
      </c>
      <c r="R1492">
        <f>IF(AND(Inputs!$B$38&lt;&gt;"pvp",Inputs!$B$43&gt;0),IF(Inputs!$B$43&lt;=0,0,(INT(Inputs!$B$43/IF(Inputs!$B$38="pvp",15,MAX(0.1,Skills!D17-IF(Skills!E17=TRUE,4.5,0))))+1)),0)</f>
        <v/>
      </c>
      <c r="S1492">
        <f>IFERROR(O1492/N1492,0)</f>
        <v/>
      </c>
      <c r="T1492" t="n">
        <v>0</v>
      </c>
      <c r="V1492" t="n">
        <v>0</v>
      </c>
    </row>
    <row r="1493">
      <c r="A1493">
        <f>Skills!A18</f>
        <v/>
      </c>
      <c r="B1493">
        <f>Skills!B18</f>
        <v/>
      </c>
      <c r="C1493">
        <f>Inputs!$B$3&gt;=115</f>
        <v/>
      </c>
      <c r="D1493">
        <f>IF(Skills!C18=1,60+Inputs!$B$25+Inputs!$B$29,IF(Skills!C18=2,90+Inputs!$B$26+Inputs!$B$29,IF(Skills!C18=3,120+Inputs!$B$27+Inputs!$B$29,MAX(0,(Inputs!$B$3-100)*3)+Inputs!$B$28+Inputs!$B$29)))</f>
        <v/>
      </c>
      <c r="E1493">
        <f>INDEX(FactorTable!$B$2:$Y$301, MATCH(ROUND(MIN(300,MAX(1,D1493)),0), FactorTable!$A$2:$A$301,0), Skills!M18+1)</f>
        <v/>
      </c>
      <c r="F1493">
        <f>IF(Skills!N18=TRUE,(Skills!L18/10)*(E1493/1000),Skills!L18/10)+Skills!O18</f>
        <v/>
      </c>
      <c r="G1493">
        <f>Skills!G18*IF(Skills!H18&gt;0,Skills!I18/Skills!H18,1)</f>
        <v/>
      </c>
      <c r="H1493">
        <f>1-(1-Skills!J18/100)^Skills!K18</f>
        <v/>
      </c>
      <c r="I1493" t="inlineStr">
        <is>
          <t>1</t>
        </is>
      </c>
      <c r="J1493" t="inlineStr"/>
      <c r="K1493" t="inlineStr"/>
      <c r="L1493" t="inlineStr"/>
      <c r="M1493" t="inlineStr"/>
      <c r="N1493" t="inlineStr"/>
      <c r="O1493">
        <f>(1-Summary!$B$55)*T1493+Summary!$B$55*V1493</f>
        <v/>
      </c>
      <c r="P1493">
        <f>IF(B1514=0,0,O1493/B1514)</f>
        <v/>
      </c>
      <c r="Q1493">
        <f>IFERROR(1/IF(Inputs!$B$38="pvp",15,MAX(0.1,Skills!D18-IF(Skills!E18=TRUE,4.5,0))),0)</f>
        <v/>
      </c>
      <c r="R1493">
        <f>IF(AND(Inputs!$B$38&lt;&gt;"pvp",Inputs!$B$43&gt;0),IF(Inputs!$B$43&lt;=0,0,(INT(Inputs!$B$43/IF(Inputs!$B$38="pvp",15,MAX(0.1,Skills!D18-IF(Skills!E18=TRUE,4.5,0))))+1)),0)</f>
        <v/>
      </c>
      <c r="S1493">
        <f>IFERROR(O1493/N1493,0)</f>
        <v/>
      </c>
      <c r="T1493" t="n">
        <v>0</v>
      </c>
      <c r="V1493" t="n">
        <v>0</v>
      </c>
    </row>
    <row r="1494">
      <c r="A1494">
        <f>Skills!A19</f>
        <v/>
      </c>
      <c r="B1494">
        <f>Skills!B19</f>
        <v/>
      </c>
      <c r="C1494">
        <f>TRUE</f>
        <v/>
      </c>
      <c r="D1494">
        <f>IF(Skills!C19=1,60+Inputs!$B$25+Inputs!$B$29,IF(Skills!C19=2,90+Inputs!$B$26+Inputs!$B$29,IF(Skills!C19=3,120+Inputs!$B$27+Inputs!$B$29,MAX(0,(Inputs!$B$3-100)*3)+Inputs!$B$28+Inputs!$B$29)))</f>
        <v/>
      </c>
      <c r="E1494">
        <f>INDEX(FactorTable!$B$2:$Y$301, MATCH(ROUND(MIN(300,MAX(1,D1494)),0), FactorTable!$A$2:$A$301,0), Skills!M19+1)</f>
        <v/>
      </c>
      <c r="F1494">
        <f>IF(Skills!N19=TRUE,(Skills!L19/10)*(E1494/1000),Skills!L19/10)+Skills!O19</f>
        <v/>
      </c>
      <c r="G1494">
        <f>Skills!G19*IF(Skills!H19&gt;0,Skills!I19/Skills!H19,1)</f>
        <v/>
      </c>
      <c r="H1494">
        <f>1-(1-Skills!J19/100)^Skills!K19</f>
        <v/>
      </c>
      <c r="I1494" t="inlineStr">
        <is>
          <t>1</t>
        </is>
      </c>
      <c r="J1494" t="inlineStr"/>
      <c r="K1494" t="inlineStr"/>
      <c r="L1494" t="inlineStr"/>
      <c r="M1494" t="inlineStr"/>
      <c r="N1494" t="inlineStr"/>
      <c r="O1494">
        <f>(1-Summary!$B$55)*T1494+Summary!$B$55*V1494</f>
        <v/>
      </c>
      <c r="P1494">
        <f>IF(B1514=0,0,O1494/B1514)</f>
        <v/>
      </c>
      <c r="Q1494">
        <f>IFERROR(1/IF(Inputs!$B$38="pvp",15,MAX(0.1,Skills!D19-IF(Skills!E19=TRUE,4.5,0))),0)</f>
        <v/>
      </c>
      <c r="R1494">
        <f>IF(AND(Inputs!$B$38&lt;&gt;"pvp",Inputs!$B$43&gt;0),IF(Inputs!$B$43&lt;=0,0,(INT(Inputs!$B$43/IF(Inputs!$B$38="pvp",15,MAX(0.1,Skills!D19-IF(Skills!E19=TRUE,4.5,0))))+1)),0)</f>
        <v/>
      </c>
      <c r="S1494">
        <f>IFERROR(O1494/N1494,0)</f>
        <v/>
      </c>
      <c r="T1494" t="n">
        <v>0</v>
      </c>
      <c r="V1494" t="n">
        <v>0</v>
      </c>
    </row>
    <row r="1495">
      <c r="A1495">
        <f>Skills!A20</f>
        <v/>
      </c>
      <c r="B1495">
        <f>Skills!B20</f>
        <v/>
      </c>
      <c r="C1495">
        <f>Inputs!$B$3&gt;=33</f>
        <v/>
      </c>
      <c r="D1495">
        <f>IF(Skills!C20=1,60+Inputs!$B$25+Inputs!$B$29,IF(Skills!C20=2,90+Inputs!$B$26+Inputs!$B$29,IF(Skills!C20=3,120+Inputs!$B$27+Inputs!$B$29,MAX(0,(Inputs!$B$3-100)*3)+Inputs!$B$28+Inputs!$B$29)))</f>
        <v/>
      </c>
      <c r="E1495">
        <f>INDEX(FactorTable!$B$2:$Y$301, MATCH(ROUND(MIN(300,MAX(1,D1495)),0), FactorTable!$A$2:$A$301,0), Skills!M20+1)</f>
        <v/>
      </c>
      <c r="F1495">
        <f>IF(Skills!N20=TRUE,(Skills!L20/10)*(E1495/1000),Skills!L20/10)+Skills!O20</f>
        <v/>
      </c>
      <c r="G1495">
        <f>Skills!G20*IF(Skills!H20&gt;0,Skills!I20/Skills!H20,1)</f>
        <v/>
      </c>
      <c r="H1495">
        <f>1-(1-Skills!J20/100)^Skills!K20</f>
        <v/>
      </c>
      <c r="I1495" t="inlineStr">
        <is>
          <t>1</t>
        </is>
      </c>
      <c r="J1495" t="inlineStr"/>
      <c r="K1495" t="inlineStr"/>
      <c r="L1495" t="inlineStr"/>
      <c r="M1495" t="inlineStr"/>
      <c r="N1495" t="inlineStr"/>
      <c r="O1495">
        <f>(1-Summary!$B$55)*T1495+Summary!$B$55*V1495</f>
        <v/>
      </c>
      <c r="P1495">
        <f>IF(B1514=0,0,O1495/B1514)</f>
        <v/>
      </c>
      <c r="Q1495" t="n">
        <v>0</v>
      </c>
      <c r="R1495" t="n">
        <v>0</v>
      </c>
      <c r="S1495">
        <f>IFERROR(O1495/N1495,0)</f>
        <v/>
      </c>
      <c r="T1495" t="n">
        <v>0</v>
      </c>
      <c r="V1495" t="n">
        <v>0</v>
      </c>
    </row>
    <row r="1496">
      <c r="A1496">
        <f>Skills!A21</f>
        <v/>
      </c>
      <c r="B1496">
        <f>Skills!B21</f>
        <v/>
      </c>
      <c r="C1496">
        <f>Inputs!$B$3&gt;=38</f>
        <v/>
      </c>
      <c r="D1496">
        <f>IF(Skills!C21=1,60+Inputs!$B$25+Inputs!$B$29,IF(Skills!C21=2,90+Inputs!$B$26+Inputs!$B$29,IF(Skills!C21=3,120+Inputs!$B$27+Inputs!$B$29,MAX(0,(Inputs!$B$3-100)*3)+Inputs!$B$28+Inputs!$B$29)))</f>
        <v/>
      </c>
      <c r="E1496">
        <f>INDEX(FactorTable!$B$2:$Y$301, MATCH(ROUND(MIN(300,MAX(1,D1496)),0), FactorTable!$A$2:$A$301,0), Skills!M21+1)</f>
        <v/>
      </c>
      <c r="F1496">
        <f>IF(Skills!N21=TRUE,(Skills!L21/10)*(E1496/1000),Skills!L21/10)+Skills!O21</f>
        <v/>
      </c>
      <c r="G1496">
        <f>Skills!G21*IF(Skills!H21&gt;0,Skills!I21/Skills!H21,1)</f>
        <v/>
      </c>
      <c r="H1496">
        <f>1-(1-Skills!J21/100)^Skills!K21</f>
        <v/>
      </c>
      <c r="I1496" t="inlineStr">
        <is>
          <t>1</t>
        </is>
      </c>
      <c r="J1496" t="inlineStr"/>
      <c r="K1496" t="inlineStr"/>
      <c r="L1496" t="inlineStr"/>
      <c r="M1496" t="inlineStr"/>
      <c r="N1496" t="inlineStr"/>
      <c r="O1496">
        <f>(1-Summary!$B$55)*T1496+Summary!$B$55*V1496</f>
        <v/>
      </c>
      <c r="P1496">
        <f>IF(B1514=0,0,O1496/B1514)</f>
        <v/>
      </c>
      <c r="Q1496" t="n">
        <v>0</v>
      </c>
      <c r="R1496" t="n">
        <v>0</v>
      </c>
      <c r="S1496">
        <f>IFERROR(O1496/N1496,0)</f>
        <v/>
      </c>
      <c r="T1496" t="n">
        <v>0</v>
      </c>
      <c r="V1496" t="n">
        <v>0</v>
      </c>
    </row>
    <row r="1497">
      <c r="A1497">
        <f>Skills!A22</f>
        <v/>
      </c>
      <c r="B1497">
        <f>Skills!B22</f>
        <v/>
      </c>
      <c r="C1497">
        <f>Inputs!$B$3&gt;=43</f>
        <v/>
      </c>
      <c r="D1497">
        <f>IF(Skills!C22=1,60+Inputs!$B$25+Inputs!$B$29,IF(Skills!C22=2,90+Inputs!$B$26+Inputs!$B$29,IF(Skills!C22=3,120+Inputs!$B$27+Inputs!$B$29,MAX(0,(Inputs!$B$3-100)*3)+Inputs!$B$28+Inputs!$B$29)))</f>
        <v/>
      </c>
      <c r="E1497">
        <f>INDEX(FactorTable!$B$2:$Y$301, MATCH(ROUND(MIN(300,MAX(1,D1497)),0), FactorTable!$A$2:$A$301,0), Skills!M22+1)</f>
        <v/>
      </c>
      <c r="F1497">
        <f>IF(Skills!N22=TRUE,(Skills!L22/10)*(E1497/1000),Skills!L22/10)+Skills!O22</f>
        <v/>
      </c>
      <c r="G1497">
        <f>Skills!G22*IF(Skills!H22&gt;0,Skills!I22/Skills!H22,1)</f>
        <v/>
      </c>
      <c r="H1497">
        <f>1-(1-Skills!J22/100)^Skills!K22</f>
        <v/>
      </c>
      <c r="I1497" t="inlineStr">
        <is>
          <t>1</t>
        </is>
      </c>
      <c r="J1497" t="inlineStr"/>
      <c r="K1497" t="inlineStr"/>
      <c r="L1497" t="inlineStr"/>
      <c r="M1497" t="inlineStr"/>
      <c r="N1497" t="inlineStr"/>
      <c r="O1497">
        <f>(1-Summary!$B$55)*T1497+Summary!$B$55*V1497</f>
        <v/>
      </c>
      <c r="P1497">
        <f>IF(B1514=0,0,O1497/B1514)</f>
        <v/>
      </c>
      <c r="Q1497" t="n">
        <v>0</v>
      </c>
      <c r="R1497" t="n">
        <v>0</v>
      </c>
      <c r="S1497">
        <f>IFERROR(O1497/N1497,0)</f>
        <v/>
      </c>
      <c r="T1497" t="n">
        <v>0</v>
      </c>
      <c r="V1497" t="n">
        <v>0</v>
      </c>
    </row>
    <row r="1498">
      <c r="A1498">
        <f>Skills!A23</f>
        <v/>
      </c>
      <c r="B1498">
        <f>Skills!B23</f>
        <v/>
      </c>
      <c r="C1498">
        <f>Inputs!$B$3&gt;=120</f>
        <v/>
      </c>
      <c r="D1498">
        <f>IF(Skills!C23=1,60+Inputs!$B$25+Inputs!$B$29,IF(Skills!C23=2,90+Inputs!$B$26+Inputs!$B$29,IF(Skills!C23=3,120+Inputs!$B$27+Inputs!$B$29,MAX(0,(Inputs!$B$3-100)*3)+Inputs!$B$28+Inputs!$B$29)))</f>
        <v/>
      </c>
      <c r="E1498">
        <f>INDEX(FactorTable!$B$2:$Y$301, MATCH(ROUND(MIN(300,MAX(1,D1498)),0), FactorTable!$A$2:$A$301,0), Skills!M23+1)</f>
        <v/>
      </c>
      <c r="F1498">
        <f>IF(Skills!N23=TRUE,(Skills!L23/10)*(E1498/1000),Skills!L23/10)+Skills!O23</f>
        <v/>
      </c>
      <c r="G1498">
        <f>Skills!G23*IF(Skills!H23&gt;0,Skills!I23/Skills!H23,1)</f>
        <v/>
      </c>
      <c r="H1498">
        <f>1-(1-Skills!J23/100)^Skills!K23</f>
        <v/>
      </c>
      <c r="I1498" t="inlineStr">
        <is>
          <t>1</t>
        </is>
      </c>
      <c r="J1498" t="inlineStr"/>
      <c r="K1498" t="inlineStr"/>
      <c r="L1498" t="inlineStr"/>
      <c r="M1498" t="inlineStr"/>
      <c r="N1498" t="inlineStr"/>
      <c r="O1498">
        <f>(1-Summary!$B$55)*T1498+Summary!$B$55*V1498</f>
        <v/>
      </c>
      <c r="P1498">
        <f>IF(B1514=0,0,O1498/B1514)</f>
        <v/>
      </c>
      <c r="Q1498" t="n">
        <v>0</v>
      </c>
      <c r="R1498" t="n">
        <v>0</v>
      </c>
      <c r="S1498">
        <f>IFERROR(O1498/N1498,0)</f>
        <v/>
      </c>
      <c r="T1498" t="n">
        <v>0</v>
      </c>
      <c r="V1498" t="n">
        <v>0</v>
      </c>
    </row>
    <row r="1499">
      <c r="A1499">
        <f>Skills!A24</f>
        <v/>
      </c>
      <c r="B1499">
        <f>Skills!B24</f>
        <v/>
      </c>
      <c r="C1499">
        <f>Inputs!$B$3&gt;=120</f>
        <v/>
      </c>
      <c r="D1499">
        <f>IF(Skills!C24=1,60+Inputs!$B$25+Inputs!$B$29,IF(Skills!C24=2,90+Inputs!$B$26+Inputs!$B$29,IF(Skills!C24=3,120+Inputs!$B$27+Inputs!$B$29,MAX(0,(Inputs!$B$3-100)*3)+Inputs!$B$28+Inputs!$B$29)))</f>
        <v/>
      </c>
      <c r="E1499">
        <f>INDEX(FactorTable!$B$2:$Y$301, MATCH(ROUND(MIN(300,MAX(1,D1499)),0), FactorTable!$A$2:$A$301,0), Skills!M24+1)</f>
        <v/>
      </c>
      <c r="F1499">
        <f>IF(Skills!N24=TRUE,(Skills!L24/10)*(E1499/1000),Skills!L24/10)+Skills!O24</f>
        <v/>
      </c>
      <c r="G1499">
        <f>Skills!G24*IF(Skills!H24&gt;0,Skills!I24/Skills!H24,1)</f>
        <v/>
      </c>
      <c r="H1499">
        <f>1-(1-Skills!J24/100)^Skills!K24</f>
        <v/>
      </c>
      <c r="I1499" t="inlineStr">
        <is>
          <t>1</t>
        </is>
      </c>
      <c r="J1499" t="inlineStr"/>
      <c r="K1499" t="inlineStr"/>
      <c r="L1499" t="inlineStr"/>
      <c r="M1499" t="inlineStr"/>
      <c r="N1499" t="inlineStr"/>
      <c r="O1499">
        <f>(1-Summary!$B$55)*T1499+Summary!$B$55*V1499</f>
        <v/>
      </c>
      <c r="P1499">
        <f>IF(B1514=0,0,O1499/B1514)</f>
        <v/>
      </c>
      <c r="Q1499" t="n">
        <v>0</v>
      </c>
      <c r="R1499" t="n">
        <v>0</v>
      </c>
      <c r="S1499">
        <f>IFERROR(O1499/N1499,0)</f>
        <v/>
      </c>
      <c r="T1499" t="n">
        <v>0</v>
      </c>
      <c r="V1499" t="n">
        <v>0</v>
      </c>
    </row>
    <row r="1500">
      <c r="A1500">
        <f>Skills!A25</f>
        <v/>
      </c>
      <c r="B1500">
        <f>Skills!B25</f>
        <v/>
      </c>
      <c r="C1500">
        <f>Inputs!$B$3&gt;=125</f>
        <v/>
      </c>
      <c r="D1500">
        <f>IF(Skills!C25=1,60+Inputs!$B$25+Inputs!$B$29,IF(Skills!C25=2,90+Inputs!$B$26+Inputs!$B$29,IF(Skills!C25=3,120+Inputs!$B$27+Inputs!$B$29,MAX(0,(Inputs!$B$3-100)*3)+Inputs!$B$28+Inputs!$B$29)))</f>
        <v/>
      </c>
      <c r="E1500">
        <f>INDEX(FactorTable!$B$2:$Y$301, MATCH(ROUND(MIN(300,MAX(1,D1500)),0), FactorTable!$A$2:$A$301,0), Skills!M25+1)</f>
        <v/>
      </c>
      <c r="F1500">
        <f>IF(Skills!N25=TRUE,(Skills!L25/10)*(E1500/1000),Skills!L25/10)+Skills!O25</f>
        <v/>
      </c>
      <c r="G1500">
        <f>Skills!G25*IF(Skills!H25&gt;0,Skills!I25/Skills!H25,1)</f>
        <v/>
      </c>
      <c r="H1500">
        <f>1-(1-Skills!J25/100)^Skills!K25</f>
        <v/>
      </c>
      <c r="I1500" t="inlineStr">
        <is>
          <t>1</t>
        </is>
      </c>
      <c r="J1500" t="inlineStr"/>
      <c r="K1500" t="inlineStr"/>
      <c r="L1500" t="inlineStr"/>
      <c r="M1500" t="inlineStr"/>
      <c r="N1500" t="inlineStr"/>
      <c r="O1500">
        <f>(1-Summary!$B$55)*T1500+Summary!$B$55*V1500</f>
        <v/>
      </c>
      <c r="P1500">
        <f>IF(B1514=0,0,O1500/B1514)</f>
        <v/>
      </c>
      <c r="Q1500" t="n">
        <v>0</v>
      </c>
      <c r="R1500" t="n">
        <v>0</v>
      </c>
      <c r="S1500">
        <f>IFERROR(O1500/N1500,0)</f>
        <v/>
      </c>
      <c r="T1500" t="n">
        <v>0</v>
      </c>
      <c r="V1500" t="n">
        <v>0</v>
      </c>
    </row>
    <row r="1501">
      <c r="A1501">
        <f>Skills!A26</f>
        <v/>
      </c>
      <c r="B1501">
        <f>Skills!B26</f>
        <v/>
      </c>
      <c r="C1501">
        <f>Inputs!$B$3&gt;=72</f>
        <v/>
      </c>
      <c r="D1501">
        <f>IF(Skills!C26=1,60+Inputs!$B$25+Inputs!$B$29,IF(Skills!C26=2,90+Inputs!$B$26+Inputs!$B$29,IF(Skills!C26=3,120+Inputs!$B$27+Inputs!$B$29,MAX(0,(Inputs!$B$3-100)*3)+Inputs!$B$28+Inputs!$B$29)))</f>
        <v/>
      </c>
      <c r="E1501">
        <f>INDEX(FactorTable!$B$2:$Y$301, MATCH(ROUND(MIN(300,MAX(1,D1501)),0), FactorTable!$A$2:$A$301,0), Skills!M26+1)</f>
        <v/>
      </c>
      <c r="F1501">
        <f>IF(Skills!N26=TRUE,(Skills!L26/10)*(E1501/1000),Skills!L26/10)+Skills!O26</f>
        <v/>
      </c>
      <c r="G1501">
        <f>Skills!G26*IF(Skills!H26&gt;0,Skills!I26/Skills!H26,1)</f>
        <v/>
      </c>
      <c r="H1501">
        <f>1-(1-Skills!J26/100)^Skills!K26</f>
        <v/>
      </c>
      <c r="I1501" t="inlineStr">
        <is>
          <t>1</t>
        </is>
      </c>
      <c r="J1501" t="inlineStr"/>
      <c r="K1501" t="inlineStr"/>
      <c r="L1501" t="inlineStr"/>
      <c r="M1501" t="inlineStr"/>
      <c r="N1501" t="inlineStr"/>
      <c r="O1501">
        <f>(1-Summary!$B$55)*T1501+Summary!$B$55*V1501</f>
        <v/>
      </c>
      <c r="P1501">
        <f>IF(B1514=0,0,O1501/B1514)</f>
        <v/>
      </c>
      <c r="Q1501" t="n">
        <v>0</v>
      </c>
      <c r="R1501" t="n">
        <v>0</v>
      </c>
      <c r="S1501">
        <f>IFERROR(O1501/N1501,0)</f>
        <v/>
      </c>
      <c r="T1501" t="n">
        <v>0</v>
      </c>
      <c r="V1501" t="n">
        <v>0</v>
      </c>
    </row>
    <row r="1503">
      <c r="A1503" t="inlineStr">
        <is>
          <t>Attack% Bucket Multiplier</t>
        </is>
      </c>
      <c r="B1503">
        <f>(1+(((C1488=TRUE)*F1488*IF(Inputs!$B$3&gt;=110,7,5))+((C1490=TRUE)*F1490*IF(AND(Inputs!$B$38&lt;&gt;"pvp",Inputs!$B$43&gt;0),(((R1490-1)*(Skills!T15*(1+Inputs!$B$34/100))+MIN((Skills!T15*(1+Inputs!$B$34/100)),MAX(0,Inputs!$B$43-((R1490-1)*Skills!D15))))/Inputs!$B$43),IF(Inputs!$B$38="pvp",MIN((Skills!T15*(1+Inputs!$B$34/100)),15)/15,(Skills!T15*(1+Inputs!$B$34/100))/Skills!D15)))+0)/100)</f>
        <v/>
      </c>
    </row>
    <row r="1504">
      <c r="A1504" t="inlineStr">
        <is>
          <t>Global Crit Rate Bonus %</t>
        </is>
      </c>
      <c r="B1504" t="n">
        <v>0</v>
      </c>
    </row>
    <row r="1505">
      <c r="A1505" t="inlineStr">
        <is>
          <t>Attack Speed Buff Bonus %</t>
        </is>
      </c>
      <c r="B1505">
        <f>((C1494=TRUE)*F1494*IF(AND(Inputs!$B$38&lt;&gt;"pvp",Inputs!$B$43&gt;0),(((R1494-1)*(Skills!T19*(1+Inputs!$B$34/100))+MIN((Skills!T19*(1+Inputs!$B$34/100)),MAX(0,Inputs!$B$43-((R1494-1)*Skills!D19))))/Inputs!$B$43),IF(Inputs!$B$38="pvp",MIN((Skills!T19*(1+Inputs!$B$34/100)),15)/15,(Skills!T19*(1+Inputs!$B$34/100))/Skills!D19)))</f>
        <v/>
      </c>
    </row>
    <row r="1506">
      <c r="A1506" t="inlineStr">
        <is>
          <t>Actions Per Second</t>
        </is>
      </c>
      <c r="B1506">
        <f>1+MIN(150,150*(1-(1-(Inputs!$B$11+((C1495=TRUE)*(F1495-Calc!F20)))/150)*(1-B1505/150)))/100</f>
        <v/>
      </c>
    </row>
    <row r="1507">
      <c r="A1507" t="inlineStr">
        <is>
          <t>Skill + Buff Cast Rate</t>
        </is>
      </c>
      <c r="B1507">
        <f>IF(AND(Inputs!$B$38&lt;&gt;"pvp",Inputs!$B$43&gt;0),SUMPRODUCT((Skills!E2:E26=TRUE)*(C1477:C1501=TRUE)*R1477:R1501*Skills!F2:F26)/Inputs!$B$43,SUMPRODUCT((Skills!E2:E26=TRUE)*(C1477:C1501=TRUE)*Q1477:Q1501*Skills!F2:F26))</f>
        <v/>
      </c>
    </row>
    <row r="1508">
      <c r="A1508" t="inlineStr">
        <is>
          <t>Raging Blow Casts Per Second</t>
        </is>
      </c>
      <c r="B1508">
        <f>MAX(0,B1506-B1507)</f>
        <v/>
      </c>
    </row>
    <row r="1509">
      <c r="A1509" t="inlineStr">
        <is>
          <t>Global Critical Damage Bonus % (Enrage)</t>
        </is>
      </c>
      <c r="B1509">
        <f>((C1493=TRUE)*F1493*IF(AND(Inputs!$B$38&lt;&gt;"pvp",Inputs!$B$43&gt;0),(((R1493-1)*(Skills!T18*(1+Inputs!$B$34/100))+MIN((Skills!T18*(1+Inputs!$B$34/100)),MAX(0,Inputs!$B$43-((R1493-1)*Skills!D18))))/Inputs!$B$43),IF(Inputs!$B$38="pvp",MIN((Skills!T18*(1+Inputs!$B$34/100)),15)/15,(Skills!T18*(1+Inputs!$B$34/100))/Skills!D18)))</f>
        <v/>
      </c>
    </row>
    <row r="1510">
      <c r="A1510" t="inlineStr">
        <is>
          <t>Global Final Damage Bonus % (Enrage + Combo Synergy)</t>
        </is>
      </c>
      <c r="B1510">
        <f>((C1492=TRUE)*F1492*IF(AND(Inputs!$B$38&lt;&gt;"pvp",Inputs!$B$43&gt;0),(((R1492-1)*(Skills!T17*(1+Inputs!$B$34/100))+MIN((Skills!T17*(1+Inputs!$B$34/100)),MAX(0,Inputs!$B$43-((R1492-1)*Skills!D17))))/Inputs!$B$43),IF(Inputs!$B$38="pvp",MIN((Skills!T17*(1+Inputs!$B$34/100)),15)/15,(Skills!T17*(1+Inputs!$B$34/100))/Skills!D17)))+((C1489=TRUE)*F1489*IF(Inputs!$B$3&gt;=110,7,5))</f>
        <v/>
      </c>
    </row>
    <row r="1511">
      <c r="A1511" t="inlineStr">
        <is>
          <t>Buff-Casting Startup Delay (s, fixed-duration only)</t>
        </is>
      </c>
      <c r="B1511">
        <f>IF(AND(Inputs!$B$38&lt;&gt;"pvp",Inputs!$B$43&gt;0),SUMPRODUCT((Skills!T2:T26&gt;0)*(Skills!E2:E26=TRUE)*(C1477:C1501=TRUE))/B1506,0)</f>
        <v/>
      </c>
    </row>
    <row r="1512">
      <c r="A1512" t="inlineStr">
        <is>
          <t>Boss-Only Total DPS (this block's swept value)</t>
        </is>
      </c>
      <c r="B1512">
        <f>SUM(T1477:T1501)</f>
        <v/>
      </c>
    </row>
    <row r="1513">
      <c r="A1513" t="inlineStr">
        <is>
          <t>Normal-Only Total DPS (this block's swept value)</t>
        </is>
      </c>
      <c r="B1513">
        <f>SUM(V1477:V1501)</f>
        <v/>
      </c>
    </row>
    <row r="1514">
      <c r="A1514" s="5" t="inlineStr">
        <is>
          <t>TOTAL DPS</t>
        </is>
      </c>
      <c r="B1514" s="5">
        <f>SUM(O1477:O1501)</f>
        <v/>
      </c>
    </row>
    <row r="1517">
      <c r="A1517" s="5" t="inlineStr">
        <is>
          <t>Stat: CDR = 5.0s</t>
        </is>
      </c>
    </row>
    <row r="1518">
      <c r="A1518" s="9" t="inlineStr">
        <is>
          <t>Key</t>
        </is>
      </c>
      <c r="B1518" s="9" t="inlineStr">
        <is>
          <t>Name</t>
        </is>
      </c>
      <c r="C1518" s="9" t="inlineStr">
        <is>
          <t>Unlocked</t>
        </is>
      </c>
      <c r="D1518" s="9" t="inlineStr">
        <is>
          <t>InputLevel</t>
        </is>
      </c>
      <c r="E1518" s="9" t="inlineStr">
        <is>
          <t>Factor</t>
        </is>
      </c>
      <c r="F1518" s="9" t="inlineStr">
        <is>
          <t>CoefficientPercent</t>
        </is>
      </c>
      <c r="G1518" s="9" t="inlineStr">
        <is>
          <t>EffectiveHits</t>
        </is>
      </c>
      <c r="H1518" s="9" t="inlineStr">
        <is>
          <t>ProcProbability</t>
        </is>
      </c>
      <c r="I1518" s="9" t="inlineStr">
        <is>
          <t>MapleHeroMultiplier</t>
        </is>
      </c>
      <c r="J1518" s="9" t="inlineStr">
        <is>
          <t>BaseDamage</t>
        </is>
      </c>
      <c r="K1518" s="9" t="inlineStr">
        <is>
          <t>BaseHitDamage</t>
        </is>
      </c>
      <c r="L1518" s="9" t="inlineStr">
        <is>
          <t>NonCritAvg</t>
        </is>
      </c>
      <c r="M1518" s="9" t="inlineStr">
        <is>
          <t>CritAvg</t>
        </is>
      </c>
      <c r="N1518" s="9" t="inlineStr">
        <is>
          <t>ExpectedDamage(perHit)</t>
        </is>
      </c>
      <c r="O1518" s="9" t="inlineStr">
        <is>
          <t>DPS</t>
        </is>
      </c>
      <c r="P1518" s="9" t="inlineStr">
        <is>
          <t>% of Total</t>
        </is>
      </c>
      <c r="Q1518" s="9" t="inlineStr">
        <is>
          <t>InvCooldown</t>
        </is>
      </c>
      <c r="R1518" s="9" t="inlineStr">
        <is>
          <t>CastsInFight</t>
        </is>
      </c>
      <c r="S1518" s="9" t="inlineStr">
        <is>
          <t>HitRate(perSec)</t>
        </is>
      </c>
      <c r="U1518" t="inlineStr">
        <is>
          <t>helpers</t>
        </is>
      </c>
    </row>
    <row r="1519">
      <c r="A1519">
        <f>Skills!A2</f>
        <v/>
      </c>
      <c r="B1519">
        <f>Skills!B2</f>
        <v/>
      </c>
      <c r="C1519">
        <f>Inputs!$B$3&gt;=100</f>
        <v/>
      </c>
      <c r="D1519" t="inlineStr"/>
      <c r="E1519" t="inlineStr"/>
      <c r="F1519">
        <f>U1521+Skills!O2</f>
        <v/>
      </c>
      <c r="G1519">
        <f>Skills!G2*IF(Skills!H2&gt;0,Skills!I2/Skills!H2,1)</f>
        <v/>
      </c>
      <c r="H1519">
        <f>1-(1-Skills!J2/100)^Skills!K2</f>
        <v/>
      </c>
      <c r="I1519" t="inlineStr">
        <is>
          <t>1</t>
        </is>
      </c>
      <c r="J1519">
        <f>((Inputs!$B$6*(1+Inputs!$B$7/100))+(((Inputs!$B$12*(1+Inputs!$B$13/100))-(Inputs!$B$12*(1+Inputs!$B$13/100)))+0.25*(Inputs!$B$14-Inputs!$B$14))*(1+Inputs!$B$7/100))*(F1519/100)</f>
        <v/>
      </c>
      <c r="K1519">
        <f>J1519*(1+((Inputs!$B$12*(1+Inputs!$B$13/100))*0.01+Inputs!$B$14*0.0025)/100)*(1+Inputs!$B$15/100)*(1+Inputs!$B$16/100)*(5000/(6000+Inputs!$B$42*(1-(Inputs!$B$19+0)/100)))*(1+(Inputs!$B$24+((C1542=TRUE)*(F1542-Calc!F25))+B1552)/100)*(1+IF(Skills!A2="ENHANCED_RAGING_BLOW",IF(Inputs!$B$3&gt;=134,MAX(0,IF(Inputs!$B$3&gt;=110,7,5)-5)*50,0),0)/100)*(1+(IF(Skills!A2="RAGING_BLOW",Inputs!$B$17+((C1538=TRUE)*(F1538-Calc!F21)),Inputs!$B$18+((C1540=TRUE)*(F1540-Calc!F23))))/100)*((1+(((C1530=TRUE)*F1530*IF(Inputs!$B$3&gt;=110,7,5))+((C1532=TRUE)*F1532*IF(AND(Inputs!$B$38&lt;&gt;"pvp",Inputs!$B$43&gt;0),(((R1532-1)*(Skills!T15*(1+Inputs!$B$34/100))+MIN((Skills!T15*(1+Inputs!$B$34/100)),MAX(0,Inputs!$B$43-((R1532-1)*Skills!D15))))/Inputs!$B$43),IF(Inputs!$B$38="pvp",MIN((Skills!T15*(1+Inputs!$B$34/100)),15)/15,(Skills!T15*(1+Inputs!$B$34/100))/Skills!D15)))+0)/100)*I1519)</f>
        <v/>
      </c>
      <c r="L1519">
        <f>K1519*(MIN(Inputs!$B$22+((C1539=TRUE)*(F1539-Calc!F22)),Inputs!$B$23+((C1541=TRUE)*(F1541-Calc!F24)))/100+(Inputs!$B$23+((C1541=TRUE)*(F1541-Calc!F24)))/100)/2</f>
        <v/>
      </c>
      <c r="M1519">
        <f>L1519*(1+(Inputs!$B$10+0+B1551)/100)</f>
        <v/>
      </c>
      <c r="N1519">
        <f>L1519*(1-MIN((Inputs!$B$9+((C1543=TRUE)*(F1543-Calc!F26))+B1546),100)/100)+M1519*(MIN((Inputs!$B$9+((C1543=TRUE)*(F1543-Calc!F26))+B1546),100)/100)</f>
        <v/>
      </c>
      <c r="O1519">
        <f>(1-Summary!$B$55)*T1519+Summary!$B$55*V1519</f>
        <v/>
      </c>
      <c r="P1519">
        <f>IF(B1556=0,0,O1519/B1556)</f>
        <v/>
      </c>
      <c r="Q1519" t="n">
        <v>0</v>
      </c>
      <c r="R1519" t="n">
        <v>0</v>
      </c>
      <c r="S1519">
        <f>IFERROR(O1519/N1519,0)</f>
        <v/>
      </c>
      <c r="T1519">
        <f>IF(C1519,(Skills!G2*N1519*B1550)*IF(Inputs!$B$38="pvp",1,1+(Inputs!$B$20+0+Skills!P2+Summary!$B$59)/100),0)</f>
        <v/>
      </c>
      <c r="U1519">
        <f>MAX(0,(Inputs!$B$3-100)*3)+Inputs!$B$28+Inputs!$B$29</f>
        <v/>
      </c>
      <c r="V1519">
        <f>IF(C1519,(Skills!G2*N1519*B1550)*IF(Inputs!$B$38="pvp",1,(1+(Inputs!$B$21+Skills!Q2+Summary!$B$59)/100)*(MIN((6+Inputs!$B$33),Inputs!$B$37))),0)</f>
        <v/>
      </c>
    </row>
    <row r="1520">
      <c r="A1520">
        <f>Skills!A3</f>
        <v/>
      </c>
      <c r="B1520">
        <f>Skills!B3</f>
        <v/>
      </c>
      <c r="C1520">
        <f>Inputs!$B$3&gt;=50</f>
        <v/>
      </c>
      <c r="D1520">
        <f>IF(Skills!C3=1,60+Inputs!$B$25+Inputs!$B$29,IF(Skills!C3=2,90+Inputs!$B$26+Inputs!$B$29,IF(Skills!C3=3,120+Inputs!$B$27+Inputs!$B$29,MAX(0,(Inputs!$B$3-100)*3)+Inputs!$B$28+Inputs!$B$29)))</f>
        <v/>
      </c>
      <c r="E1520">
        <f>INDEX(FactorTable!$B$2:$Y$301, MATCH(ROUND(MIN(300,MAX(1,D1520)),0), FactorTable!$A$2:$A$301,0), Skills!M3+1)</f>
        <v/>
      </c>
      <c r="F1520">
        <f>IF(Skills!N3=TRUE,(Skills!L3/10)*(E1520/1000),Skills!L3/10)+Skills!O3</f>
        <v/>
      </c>
      <c r="G1520" t="inlineStr"/>
      <c r="H1520" t="inlineStr"/>
      <c r="I1520" t="inlineStr">
        <is>
          <t>1</t>
        </is>
      </c>
      <c r="J1520" t="inlineStr"/>
      <c r="K1520" t="inlineStr"/>
      <c r="L1520" t="inlineStr"/>
      <c r="M1520" t="inlineStr"/>
      <c r="N1520" t="inlineStr"/>
      <c r="O1520" t="inlineStr"/>
      <c r="P1520" t="inlineStr"/>
      <c r="Q1520" t="inlineStr"/>
      <c r="R1520" t="inlineStr"/>
      <c r="S1520" t="inlineStr"/>
      <c r="U1520">
        <f>INDEX(FactorTable!$B$2:$Y$301, MATCH(ROUND(MIN(300,MAX(1,U1519)),0), FactorTable!$A$2:$A$301,0), 22)</f>
        <v/>
      </c>
    </row>
    <row r="1521">
      <c r="A1521">
        <f>Skills!A4</f>
        <v/>
      </c>
      <c r="B1521">
        <f>Skills!B4</f>
        <v/>
      </c>
      <c r="C1521">
        <f>Inputs!$B$3&gt;=105</f>
        <v/>
      </c>
      <c r="D1521">
        <f>IF(Skills!C4=1,60+Inputs!$B$25+Inputs!$B$29,IF(Skills!C4=2,90+Inputs!$B$26+Inputs!$B$29,IF(Skills!C4=3,120+Inputs!$B$27+Inputs!$B$29,MAX(0,(Inputs!$B$3-100)*3)+Inputs!$B$28+Inputs!$B$29)))</f>
        <v/>
      </c>
      <c r="E1521">
        <f>INDEX(FactorTable!$B$2:$Y$301, MATCH(ROUND(MIN(300,MAX(1,D1521)),0), FactorTable!$A$2:$A$301,0), Skills!M4+1)</f>
        <v/>
      </c>
      <c r="F1521">
        <f>IF(Skills!N4=TRUE,(Skills!L4/10)*(E1521/1000),Skills!L4/10)+Skills!O4</f>
        <v/>
      </c>
      <c r="G1521" t="inlineStr"/>
      <c r="H1521" t="inlineStr"/>
      <c r="I1521" t="inlineStr">
        <is>
          <t>1</t>
        </is>
      </c>
      <c r="J1521" t="inlineStr"/>
      <c r="K1521" t="inlineStr"/>
      <c r="L1521" t="inlineStr"/>
      <c r="M1521" t="inlineStr"/>
      <c r="N1521" t="inlineStr"/>
      <c r="O1521" t="inlineStr"/>
      <c r="P1521" t="inlineStr"/>
      <c r="Q1521" t="inlineStr"/>
      <c r="R1521" t="inlineStr"/>
      <c r="S1521" t="inlineStr"/>
      <c r="U1521">
        <f>290*U1520/1000</f>
        <v/>
      </c>
    </row>
    <row r="1522">
      <c r="A1522">
        <f>Skills!A5</f>
        <v/>
      </c>
      <c r="B1522">
        <f>Skills!B5</f>
        <v/>
      </c>
      <c r="C1522">
        <f>Inputs!$B$3&gt;=103</f>
        <v/>
      </c>
      <c r="D1522">
        <f>IF(Skills!C5=1,60+Inputs!$B$25+Inputs!$B$29,IF(Skills!C5=2,90+Inputs!$B$26+Inputs!$B$29,IF(Skills!C5=3,120+Inputs!$B$27+Inputs!$B$29,MAX(0,(Inputs!$B$3-100)*3)+Inputs!$B$28+Inputs!$B$29)))</f>
        <v/>
      </c>
      <c r="E1522">
        <f>INDEX(FactorTable!$B$2:$Y$301, MATCH(ROUND(MIN(300,MAX(1,D1522)),0), FactorTable!$A$2:$A$301,0), Skills!M5+1)</f>
        <v/>
      </c>
      <c r="F1522">
        <f>IF(Skills!N5=TRUE,(Skills!L5/10)*(E1522/1000),Skills!L5/10)+Skills!O5</f>
        <v/>
      </c>
      <c r="G1522">
        <f>Skills!G5*IF(Skills!H5&gt;0,Skills!I5/Skills!H5,1)</f>
        <v/>
      </c>
      <c r="H1522">
        <f>1-(1-Skills!J5/100)^Skills!K5</f>
        <v/>
      </c>
      <c r="I1522" t="inlineStr">
        <is>
          <t>1</t>
        </is>
      </c>
      <c r="J1522">
        <f>((Inputs!$B$6*(1+Inputs!$B$7/100))+(((Inputs!$B$12*(1+Inputs!$B$13/100))-(Inputs!$B$12*(1+Inputs!$B$13/100)))+0.25*(Inputs!$B$14-Inputs!$B$14))*(1+Inputs!$B$7/100))*(F1522/100)</f>
        <v/>
      </c>
      <c r="K1522">
        <f>J1522*(1+((Inputs!$B$12*(1+Inputs!$B$13/100))*0.01+Inputs!$B$14*0.0025)/100)*(1+Inputs!$B$15/100)*(1+Inputs!$B$16/100)*(5000/(6000+Inputs!$B$42*(1-(Inputs!$B$19+0)/100)))*(1+(Inputs!$B$24+((C1542=TRUE)*(F1542-Calc!F25))+B1552)/100)*(1+IF(Skills!A5="ENHANCED_RAGING_BLOW",IF(Inputs!$B$3&gt;=134,MAX(0,IF(Inputs!$B$3&gt;=110,7,5)-5)*50,0),0)/100)*(1+(IF(Skills!A5="RAGING_BLOW",Inputs!$B$17+((C1538=TRUE)*(F1538-Calc!F21)),Inputs!$B$18+((C1540=TRUE)*(F1540-Calc!F23))))/100)*((1+(((C1530=TRUE)*F1530*IF(Inputs!$B$3&gt;=110,7,5))+((C1532=TRUE)*F1532*IF(AND(Inputs!$B$38&lt;&gt;"pvp",Inputs!$B$43&gt;0),(((R1532-1)*(Skills!T15*(1+Inputs!$B$34/100))+MIN((Skills!T15*(1+Inputs!$B$34/100)),MAX(0,Inputs!$B$43-((R1532-1)*Skills!D15))))/Inputs!$B$43),IF(Inputs!$B$38="pvp",MIN((Skills!T15*(1+Inputs!$B$34/100)),15)/15,(Skills!T15*(1+Inputs!$B$34/100))/Skills!D15)))+0)/100)*I1522)</f>
        <v/>
      </c>
      <c r="L1522">
        <f>K1522*(MIN(Inputs!$B$22+((C1539=TRUE)*(F1539-Calc!F22)),Inputs!$B$23+((C1541=TRUE)*(F1541-Calc!F24)))/100+(Inputs!$B$23+((C1541=TRUE)*(F1541-Calc!F24)))/100)/2</f>
        <v/>
      </c>
      <c r="M1522">
        <f>L1522*(1+(Inputs!$B$10+0+B1551)/100)</f>
        <v/>
      </c>
      <c r="N1522">
        <f>L1522*(1-MIN((Inputs!$B$9+((C1543=TRUE)*(F1543-Calc!F26))+B1546),100)/100)+M1522*(MIN((Inputs!$B$9+((C1543=TRUE)*(F1543-Calc!F26))+B1546),100)/100)</f>
        <v/>
      </c>
      <c r="O1522">
        <f>(1-Summary!$B$55)*T1522+Summary!$B$55*V1522</f>
        <v/>
      </c>
      <c r="P1522">
        <f>IF(B1556=0,0,O1522/B1556)</f>
        <v/>
      </c>
      <c r="Q1522">
        <f>IFERROR(1/IF(Inputs!$B$38="pvp",15,MAX(0.1,Skills!D5-IF(Skills!E5=TRUE,5.0,0))),0)</f>
        <v/>
      </c>
      <c r="R1522">
        <f>IF(AND(Inputs!$B$38&lt;&gt;"pvp",Inputs!$B$43&gt;0),IF(MAX(0,Inputs!$B$43-B1553)&lt;=0,0,(INT(MAX(0,Inputs!$B$43-B1553)/IF(Inputs!$B$38="pvp",15,MAX(0.1,Skills!D5-IF(Skills!E5=TRUE,5.0,0))))+1)),0)</f>
        <v/>
      </c>
      <c r="S1522">
        <f>IFERROR(O1522/N1522,0)</f>
        <v/>
      </c>
      <c r="T1522">
        <f>IF(C1522,(H1522*N1522*IF(AND(Inputs!$B$38&lt;&gt;"pvp",Inputs!$B$43&gt;0),((Skills!G5*((R1522-1)*IF(Skills!H5&gt;0,Skills!I5/Skills!H5,1)+IF(Skills!H5&gt;0,MIN(Skills!I5,MAX(0,MAX(0,Inputs!$B$43-B1553)-((R1522-1)*IF(Inputs!$B$38="pvp",15,MAX(0.1,Skills!D5-IF(Skills!E5=TRUE,5.0,0))))))/Skills!H5,1)))/Inputs!$B$43),G1522*Q1522))*IF(Inputs!$B$38="pvp",1,1+(Inputs!$B$20+0+Skills!P5+Summary!$B$59)/100),0)</f>
        <v/>
      </c>
      <c r="V1522">
        <f>IF(C1522,(H1522*N1522*IF(AND(Inputs!$B$38&lt;&gt;"pvp",Inputs!$B$43&gt;0),((Skills!G5*((R1522-1)*IF(Skills!H5&gt;0,Skills!I5/Skills!H5,1)+IF(Skills!H5&gt;0,MIN(Skills!I5,MAX(0,MAX(0,Inputs!$B$43-B1553)-((R1522-1)*IF(Inputs!$B$38="pvp",15,MAX(0.1,Skills!D5-IF(Skills!E5=TRUE,5.0,0))))))/Skills!H5,1)))/Inputs!$B$43),G1522*Q1522))*IF(Inputs!$B$38="pvp",1,(1+(Inputs!$B$21+Skills!Q5+Summary!$B$59)/100)*(MIN(Skills!R5,Inputs!$B$37))),0)</f>
        <v/>
      </c>
    </row>
    <row r="1523">
      <c r="A1523">
        <f>Skills!A6</f>
        <v/>
      </c>
      <c r="B1523">
        <f>Skills!B6</f>
        <v/>
      </c>
      <c r="C1523">
        <f>Inputs!$B$3&gt;=103</f>
        <v/>
      </c>
      <c r="D1523">
        <f>IF(Skills!C6=1,60+Inputs!$B$25+Inputs!$B$29,IF(Skills!C6=2,90+Inputs!$B$26+Inputs!$B$29,IF(Skills!C6=3,120+Inputs!$B$27+Inputs!$B$29,MAX(0,(Inputs!$B$3-100)*3)+Inputs!$B$28+Inputs!$B$29)))</f>
        <v/>
      </c>
      <c r="E1523">
        <f>INDEX(FactorTable!$B$2:$Y$301, MATCH(ROUND(MIN(300,MAX(1,D1523)),0), FactorTable!$A$2:$A$301,0), Skills!M6+1)</f>
        <v/>
      </c>
      <c r="F1523">
        <f>IF(Skills!N6=TRUE,(Skills!L6/10)*(E1523/1000),Skills!L6/10)+Skills!O6</f>
        <v/>
      </c>
      <c r="G1523">
        <f>Skills!G6*IF(Skills!H6&gt;0,Skills!I6/Skills!H6,1)</f>
        <v/>
      </c>
      <c r="H1523">
        <f>1-(1-Skills!J6/100)^Skills!K6</f>
        <v/>
      </c>
      <c r="I1523" t="inlineStr">
        <is>
          <t>1</t>
        </is>
      </c>
      <c r="J1523">
        <f>((Inputs!$B$6*(1+Inputs!$B$7/100))+(((Inputs!$B$12*(1+Inputs!$B$13/100))-(Inputs!$B$12*(1+Inputs!$B$13/100)))+0.25*(Inputs!$B$14-Inputs!$B$14))*(1+Inputs!$B$7/100))*(F1523/100)</f>
        <v/>
      </c>
      <c r="K1523">
        <f>J1523*(1+((Inputs!$B$12*(1+Inputs!$B$13/100))*0.01+Inputs!$B$14*0.0025)/100)*(1+Inputs!$B$15/100)*(1+Inputs!$B$16/100)*(5000/(6000+Inputs!$B$42*(1-(Inputs!$B$19+0)/100)))*(1+(Inputs!$B$24+((C1542=TRUE)*(F1542-Calc!F25))+B1552)/100)*(1+IF(Skills!A6="ENHANCED_RAGING_BLOW",IF(Inputs!$B$3&gt;=134,MAX(0,IF(Inputs!$B$3&gt;=110,7,5)-5)*50,0),0)/100)*(1+(IF(Skills!A6="RAGING_BLOW",Inputs!$B$17+((C1538=TRUE)*(F1538-Calc!F21)),Inputs!$B$18+((C1540=TRUE)*(F1540-Calc!F23))))/100)*((1+(((C1530=TRUE)*F1530*IF(Inputs!$B$3&gt;=110,7,5))+((C1532=TRUE)*F1532*IF(AND(Inputs!$B$38&lt;&gt;"pvp",Inputs!$B$43&gt;0),(((R1532-1)*(Skills!T15*(1+Inputs!$B$34/100))+MIN((Skills!T15*(1+Inputs!$B$34/100)),MAX(0,Inputs!$B$43-((R1532-1)*Skills!D15))))/Inputs!$B$43),IF(Inputs!$B$38="pvp",MIN((Skills!T15*(1+Inputs!$B$34/100)),15)/15,(Skills!T15*(1+Inputs!$B$34/100))/Skills!D15)))+0)/100)*I1523)</f>
        <v/>
      </c>
      <c r="L1523">
        <f>K1523*(MIN(Inputs!$B$22+((C1539=TRUE)*(F1539-Calc!F22)),Inputs!$B$23+((C1541=TRUE)*(F1541-Calc!F24)))/100+(Inputs!$B$23+((C1541=TRUE)*(F1541-Calc!F24)))/100)/2</f>
        <v/>
      </c>
      <c r="M1523">
        <f>L1523*(1+(Inputs!$B$10+0+B1551)/100)</f>
        <v/>
      </c>
      <c r="N1523">
        <f>L1523*(1-MIN((Inputs!$B$9+((C1543=TRUE)*(F1543-Calc!F26))+B1546),100)/100)+M1523*(MIN((Inputs!$B$9+((C1543=TRUE)*(F1543-Calc!F26))+B1546),100)/100)</f>
        <v/>
      </c>
      <c r="O1523">
        <f>(1-Summary!$B$55)*T1523+Summary!$B$55*V1523</f>
        <v/>
      </c>
      <c r="P1523">
        <f>IF(B1556=0,0,O1523/B1556)</f>
        <v/>
      </c>
      <c r="Q1523">
        <f>IFERROR(1/IF(Inputs!$B$38="pvp",15,MAX(0.1,Skills!D6-IF(Skills!E6=TRUE,5.0,0))),0)</f>
        <v/>
      </c>
      <c r="R1523">
        <f>IF(AND(Inputs!$B$38&lt;&gt;"pvp",Inputs!$B$43&gt;0),IF(MAX(0,Inputs!$B$43-B1553)&lt;=0,0,(INT(MAX(0,Inputs!$B$43-B1553)/IF(Inputs!$B$38="pvp",15,MAX(0.1,Skills!D6-IF(Skills!E6=TRUE,5.0,0))))+1)),0)</f>
        <v/>
      </c>
      <c r="S1523">
        <f>IFERROR(O1523/N1523,0)</f>
        <v/>
      </c>
      <c r="T1523">
        <f>IF(C1523,(H1523*N1523*IF(AND(Inputs!$B$38&lt;&gt;"pvp",Inputs!$B$43&gt;0),((Skills!G6*((R1523-1)*IF(Skills!H6&gt;0,Skills!I6/Skills!H6,1)+IF(Skills!H6&gt;0,MIN(Skills!I6,MAX(0,MAX(0,Inputs!$B$43-B1553)-((R1523-1)*IF(Inputs!$B$38="pvp",15,MAX(0.1,Skills!D6-IF(Skills!E6=TRUE,5.0,0))))))/Skills!H6,1)))/Inputs!$B$43),G1523*Q1523))*IF(Inputs!$B$38="pvp",1,1+(Inputs!$B$20+0+Skills!P6+Summary!$B$59)/100),0)</f>
        <v/>
      </c>
      <c r="V1523">
        <f>IF(C1523,(H1523*N1523*IF(AND(Inputs!$B$38&lt;&gt;"pvp",Inputs!$B$43&gt;0),((Skills!G6*((R1523-1)*IF(Skills!H6&gt;0,Skills!I6/Skills!H6,1)+IF(Skills!H6&gt;0,MIN(Skills!I6,MAX(0,MAX(0,Inputs!$B$43-B1553)-((R1523-1)*IF(Inputs!$B$38="pvp",15,MAX(0.1,Skills!D6-IF(Skills!E6=TRUE,5.0,0))))))/Skills!H6,1)))/Inputs!$B$43),G1523*Q1523))*IF(Inputs!$B$38="pvp",1,(1+(Inputs!$B$21+Skills!Q6+Summary!$B$59)/100)*(MIN(Skills!R6,Inputs!$B$37))),0)</f>
        <v/>
      </c>
    </row>
    <row r="1524">
      <c r="A1524">
        <f>Skills!A7</f>
        <v/>
      </c>
      <c r="B1524">
        <f>Skills!B7</f>
        <v/>
      </c>
      <c r="C1524">
        <f>Inputs!$B$3&gt;=107</f>
        <v/>
      </c>
      <c r="D1524">
        <f>IF(Skills!C7=1,60+Inputs!$B$25+Inputs!$B$29,IF(Skills!C7=2,90+Inputs!$B$26+Inputs!$B$29,IF(Skills!C7=3,120+Inputs!$B$27+Inputs!$B$29,MAX(0,(Inputs!$B$3-100)*3)+Inputs!$B$28+Inputs!$B$29)))</f>
        <v/>
      </c>
      <c r="E1524">
        <f>INDEX(FactorTable!$B$2:$Y$301, MATCH(ROUND(MIN(300,MAX(1,D1524)),0), FactorTable!$A$2:$A$301,0), Skills!M7+1)</f>
        <v/>
      </c>
      <c r="F1524">
        <f>IF(Skills!N7=TRUE,(Skills!L7/10)*(E1524/1000),Skills!L7/10)+Skills!O7</f>
        <v/>
      </c>
      <c r="G1524">
        <f>Skills!G7*IF(Skills!H7&gt;0,Skills!I7/Skills!H7,1)</f>
        <v/>
      </c>
      <c r="H1524">
        <f>1-(1-Skills!J7/100)^Skills!K7</f>
        <v/>
      </c>
      <c r="I1524" t="inlineStr">
        <is>
          <t>1</t>
        </is>
      </c>
      <c r="J1524">
        <f>((Inputs!$B$6*(1+Inputs!$B$7/100))+(((Inputs!$B$12*(1+Inputs!$B$13/100))-(Inputs!$B$12*(1+Inputs!$B$13/100)))+0.25*(Inputs!$B$14-Inputs!$B$14))*(1+Inputs!$B$7/100))*(F1524/100)</f>
        <v/>
      </c>
      <c r="K1524">
        <f>J1524*(1+((Inputs!$B$12*(1+Inputs!$B$13/100))*0.01+Inputs!$B$14*0.0025)/100)*(1+Inputs!$B$15/100)*(1+Inputs!$B$16/100)*(5000/(6000+Inputs!$B$42*(1-(Inputs!$B$19+0)/100)))*(1+(Inputs!$B$24+((C1542=TRUE)*(F1542-Calc!F25))+B1552)/100)*(1+IF(Skills!A7="ENHANCED_RAGING_BLOW",IF(Inputs!$B$3&gt;=134,MAX(0,IF(Inputs!$B$3&gt;=110,7,5)-5)*50,0),0)/100)*(1+(IF(Skills!A7="RAGING_BLOW",Inputs!$B$17+((C1538=TRUE)*(F1538-Calc!F21)),Inputs!$B$18+((C1540=TRUE)*(F1540-Calc!F23))))/100)*((1+(((C1530=TRUE)*F1530*IF(Inputs!$B$3&gt;=110,7,5))+((C1532=TRUE)*F1532*IF(AND(Inputs!$B$38&lt;&gt;"pvp",Inputs!$B$43&gt;0),(((R1532-1)*(Skills!T15*(1+Inputs!$B$34/100))+MIN((Skills!T15*(1+Inputs!$B$34/100)),MAX(0,Inputs!$B$43-((R1532-1)*Skills!D15))))/Inputs!$B$43),IF(Inputs!$B$38="pvp",MIN((Skills!T15*(1+Inputs!$B$34/100)),15)/15,(Skills!T15*(1+Inputs!$B$34/100))/Skills!D15)))+0)/100)*I1524)</f>
        <v/>
      </c>
      <c r="L1524">
        <f>K1524*(MIN(Inputs!$B$22+((C1539=TRUE)*(F1539-Calc!F22)),Inputs!$B$23+((C1541=TRUE)*(F1541-Calc!F24)))/100+(Inputs!$B$23+((C1541=TRUE)*(F1541-Calc!F24)))/100)/2</f>
        <v/>
      </c>
      <c r="M1524">
        <f>L1524*(1+(Inputs!$B$10+0+B1551)/100)</f>
        <v/>
      </c>
      <c r="N1524">
        <f>L1524*(1-MIN((Inputs!$B$9+((C1543=TRUE)*(F1543-Calc!F26))+B1546),100)/100)+M1524*(MIN((Inputs!$B$9+((C1543=TRUE)*(F1543-Calc!F26))+B1546),100)/100)</f>
        <v/>
      </c>
      <c r="O1524">
        <f>(1-Summary!$B$55)*T1524+Summary!$B$55*V1524</f>
        <v/>
      </c>
      <c r="P1524">
        <f>IF(B1556=0,0,O1524/B1556)</f>
        <v/>
      </c>
      <c r="Q1524">
        <f>IFERROR(1/IF(Inputs!$B$38="pvp",15,MAX(0.1,Skills!D7-IF(Skills!E7=TRUE,5.0,0))),0)</f>
        <v/>
      </c>
      <c r="R1524">
        <f>IF(AND(Inputs!$B$38&lt;&gt;"pvp",Inputs!$B$43&gt;0),IF(MAX(0,Inputs!$B$43-B1553)&lt;=0,0,(INT(MAX(0,Inputs!$B$43-B1553)/IF(Inputs!$B$38="pvp",15,MAX(0.1,Skills!D7-IF(Skills!E7=TRUE,5.0,0))))+1)),0)</f>
        <v/>
      </c>
      <c r="S1524">
        <f>IFERROR(O1524/N1524,0)</f>
        <v/>
      </c>
      <c r="T1524">
        <f>IF(C1524,(H1524*N1524*IF(AND(Inputs!$B$38&lt;&gt;"pvp",Inputs!$B$43&gt;0),((Skills!G7*((R1524-1)*IF(Skills!H7&gt;0,Skills!I7/Skills!H7,1)+IF(Skills!H7&gt;0,MIN(Skills!I7,MAX(0,MAX(0,Inputs!$B$43-B1553)-((R1524-1)*IF(Inputs!$B$38="pvp",15,MAX(0.1,Skills!D7-IF(Skills!E7=TRUE,5.0,0))))))/Skills!H7,1)))/Inputs!$B$43),G1524*Q1524))*IF(Inputs!$B$38="pvp",1,1+(Inputs!$B$20+0+Skills!P7+Summary!$B$59)/100),0)</f>
        <v/>
      </c>
      <c r="V1524">
        <f>IF(C1524,(H1524*N1524*IF(AND(Inputs!$B$38&lt;&gt;"pvp",Inputs!$B$43&gt;0),((Skills!G7*((R1524-1)*IF(Skills!H7&gt;0,Skills!I7/Skills!H7,1)+IF(Skills!H7&gt;0,MIN(Skills!I7,MAX(0,MAX(0,Inputs!$B$43-B1553)-((R1524-1)*IF(Inputs!$B$38="pvp",15,MAX(0.1,Skills!D7-IF(Skills!E7=TRUE,5.0,0))))))/Skills!H7,1)))/Inputs!$B$43),G1524*Q1524))*IF(Inputs!$B$38="pvp",1,(1+(Inputs!$B$21+Skills!Q7+Summary!$B$59)/100)*(MIN(Skills!R7,Inputs!$B$37))),0)</f>
        <v/>
      </c>
    </row>
    <row r="1525">
      <c r="A1525">
        <f>Skills!A8</f>
        <v/>
      </c>
      <c r="B1525">
        <f>Skills!B8</f>
        <v/>
      </c>
      <c r="C1525">
        <f>Inputs!$B$3&gt;=117</f>
        <v/>
      </c>
      <c r="D1525">
        <f>IF(Skills!C8=1,60+Inputs!$B$25+Inputs!$B$29,IF(Skills!C8=2,90+Inputs!$B$26+Inputs!$B$29,IF(Skills!C8=3,120+Inputs!$B$27+Inputs!$B$29,MAX(0,(Inputs!$B$3-100)*3)+Inputs!$B$28+Inputs!$B$29)))</f>
        <v/>
      </c>
      <c r="E1525">
        <f>INDEX(FactorTable!$B$2:$Y$301, MATCH(ROUND(MIN(300,MAX(1,D1525)),0), FactorTable!$A$2:$A$301,0), Skills!M8+1)</f>
        <v/>
      </c>
      <c r="F1525">
        <f>IF(Skills!N8=TRUE,(Skills!L8/10)*(E1525/1000),Skills!L8/10)+Skills!O8</f>
        <v/>
      </c>
      <c r="G1525">
        <f>Skills!G8*IF(Skills!H8&gt;0,Skills!I8/Skills!H8,1)</f>
        <v/>
      </c>
      <c r="H1525">
        <f>1-(1-Skills!J8/100)^Skills!K8</f>
        <v/>
      </c>
      <c r="I1525" t="inlineStr">
        <is>
          <t>1</t>
        </is>
      </c>
      <c r="J1525">
        <f>((Inputs!$B$6*(1+Inputs!$B$7/100))+(((Inputs!$B$12*(1+Inputs!$B$13/100))-(Inputs!$B$12*(1+Inputs!$B$13/100)))+0.25*(Inputs!$B$14-Inputs!$B$14))*(1+Inputs!$B$7/100))*(F1525/100)</f>
        <v/>
      </c>
      <c r="K1525">
        <f>J1525*(1+((Inputs!$B$12*(1+Inputs!$B$13/100))*0.01+Inputs!$B$14*0.0025)/100)*(1+Inputs!$B$15/100)*(1+Inputs!$B$16/100)*(5000/(6000+Inputs!$B$42*(1-(Inputs!$B$19+0)/100)))*(1+(Inputs!$B$24+((C1542=TRUE)*(F1542-Calc!F25))+B1552)/100)*(1+IF(Skills!A8="ENHANCED_RAGING_BLOW",IF(Inputs!$B$3&gt;=134,MAX(0,IF(Inputs!$B$3&gt;=110,7,5)-5)*50,0),0)/100)*(1+(IF(Skills!A8="RAGING_BLOW",Inputs!$B$17+((C1538=TRUE)*(F1538-Calc!F21)),Inputs!$B$18+((C1540=TRUE)*(F1540-Calc!F23))))/100)*((1+(((C1530=TRUE)*F1530*IF(Inputs!$B$3&gt;=110,7,5))+((C1532=TRUE)*F1532*IF(AND(Inputs!$B$38&lt;&gt;"pvp",Inputs!$B$43&gt;0),(((R1532-1)*(Skills!T15*(1+Inputs!$B$34/100))+MIN((Skills!T15*(1+Inputs!$B$34/100)),MAX(0,Inputs!$B$43-((R1532-1)*Skills!D15))))/Inputs!$B$43),IF(Inputs!$B$38="pvp",MIN((Skills!T15*(1+Inputs!$B$34/100)),15)/15,(Skills!T15*(1+Inputs!$B$34/100))/Skills!D15)))+0)/100)*I1525)</f>
        <v/>
      </c>
      <c r="L1525">
        <f>K1525*(MIN(Inputs!$B$22+((C1539=TRUE)*(F1539-Calc!F22)),Inputs!$B$23+((C1541=TRUE)*(F1541-Calc!F24)))/100+(Inputs!$B$23+((C1541=TRUE)*(F1541-Calc!F24)))/100)/2</f>
        <v/>
      </c>
      <c r="M1525">
        <f>L1525*(1+(Inputs!$B$10+0+B1551)/100)</f>
        <v/>
      </c>
      <c r="N1525">
        <f>L1525*(1-MIN((Inputs!$B$9+((C1543=TRUE)*(F1543-Calc!F26))+B1546),100)/100)+M1525*(MIN((Inputs!$B$9+((C1543=TRUE)*(F1543-Calc!F26))+B1546),100)/100)</f>
        <v/>
      </c>
      <c r="O1525">
        <f>(1-Summary!$B$55)*T1525+Summary!$B$55*V1525</f>
        <v/>
      </c>
      <c r="P1525">
        <f>IF(B1556=0,0,O1525/B1556)</f>
        <v/>
      </c>
      <c r="Q1525">
        <f>IFERROR(1/IF(Inputs!$B$38="pvp",15,MAX(0.1,Skills!D8-IF(Skills!E8=TRUE,5.0,0))),0)</f>
        <v/>
      </c>
      <c r="R1525">
        <f>IF(AND(Inputs!$B$38&lt;&gt;"pvp",Inputs!$B$43&gt;0),IF(MAX(0,Inputs!$B$43-B1553)&lt;=0,0,(INT(MAX(0,Inputs!$B$43-B1553)/IF(Inputs!$B$38="pvp",15,MAX(0.1,Skills!D8-IF(Skills!E8=TRUE,5.0,0))))+1)),0)</f>
        <v/>
      </c>
      <c r="S1525">
        <f>IFERROR(O1525/N1525,0)</f>
        <v/>
      </c>
      <c r="T1525">
        <f>IF(C1525,(H1525*N1525*IF(AND(Inputs!$B$38&lt;&gt;"pvp",Inputs!$B$43&gt;0),((Skills!G8*((R1525-1)*IF(Skills!H8&gt;0,Skills!I8/Skills!H8,1)+IF(Skills!H8&gt;0,MIN(Skills!I8,MAX(0,MAX(0,Inputs!$B$43-B1553)-((R1525-1)*IF(Inputs!$B$38="pvp",15,MAX(0.1,Skills!D8-IF(Skills!E8=TRUE,5.0,0))))))/Skills!H8,1)))/Inputs!$B$43),G1525*Q1525))*IF(Inputs!$B$38="pvp",1,1+(Inputs!$B$20+0+Skills!P8+Summary!$B$59)/100),0)</f>
        <v/>
      </c>
      <c r="V1525">
        <f>IF(C1525,(H1525*N1525*IF(AND(Inputs!$B$38&lt;&gt;"pvp",Inputs!$B$43&gt;0),((Skills!G8*((R1525-1)*IF(Skills!H8&gt;0,Skills!I8/Skills!H8,1)+IF(Skills!H8&gt;0,MIN(Skills!I8,MAX(0,MAX(0,Inputs!$B$43-B1553)-((R1525-1)*IF(Inputs!$B$38="pvp",15,MAX(0.1,Skills!D8-IF(Skills!E8=TRUE,5.0,0))))))/Skills!H8,1)))/Inputs!$B$43),G1525*Q1525))*IF(Inputs!$B$38="pvp",1,(1+(Inputs!$B$21+Skills!Q8+Summary!$B$59)/100)*(MIN(Skills!R8,Inputs!$B$37))),0)</f>
        <v/>
      </c>
    </row>
    <row r="1526">
      <c r="A1526">
        <f>Skills!A9</f>
        <v/>
      </c>
      <c r="B1526">
        <f>Skills!B9</f>
        <v/>
      </c>
      <c r="C1526">
        <f>Inputs!$B$3&gt;=69</f>
        <v/>
      </c>
      <c r="D1526">
        <f>IF(Skills!C9=1,60+Inputs!$B$25+Inputs!$B$29,IF(Skills!C9=2,90+Inputs!$B$26+Inputs!$B$29,IF(Skills!C9=3,120+Inputs!$B$27+Inputs!$B$29,MAX(0,(Inputs!$B$3-100)*3)+Inputs!$B$28+Inputs!$B$29)))</f>
        <v/>
      </c>
      <c r="E1526">
        <f>INDEX(FactorTable!$B$2:$Y$301, MATCH(ROUND(MIN(300,MAX(1,D1526)),0), FactorTable!$A$2:$A$301,0), Skills!M9+1)</f>
        <v/>
      </c>
      <c r="F1526">
        <f>IF(Skills!N9=TRUE,(Skills!L9/10)*(E1526/1000),Skills!L9/10)+Skills!O9</f>
        <v/>
      </c>
      <c r="G1526">
        <f>Skills!G9*IF(Skills!H9&gt;0,Skills!I9/Skills!H9,1)</f>
        <v/>
      </c>
      <c r="H1526">
        <f>1-(1-Skills!J9/100)^Skills!K9</f>
        <v/>
      </c>
      <c r="I1526" t="inlineStr">
        <is>
          <t>1</t>
        </is>
      </c>
      <c r="J1526">
        <f>((Inputs!$B$6*(1+Inputs!$B$7/100))+(((Inputs!$B$12*(1+Inputs!$B$13/100))-(Inputs!$B$12*(1+Inputs!$B$13/100)))+0.25*(Inputs!$B$14-Inputs!$B$14))*(1+Inputs!$B$7/100))*(F1526/100)</f>
        <v/>
      </c>
      <c r="K1526">
        <f>J1526*(1+((Inputs!$B$12*(1+Inputs!$B$13/100))*0.01+Inputs!$B$14*0.0025)/100)*(1+Inputs!$B$15/100)*(1+Inputs!$B$16/100)*(5000/(6000+Inputs!$B$42*(1-(Inputs!$B$19+0)/100)))*(1+(Inputs!$B$24+((C1542=TRUE)*(F1542-Calc!F25))+B1552)/100)*(1+1.0*IF(C1529=TRUE,F1529,0)/100)*(1+IF(Skills!A9="ENHANCED_RAGING_BLOW",IF(Inputs!$B$3&gt;=134,MAX(0,IF(Inputs!$B$3&gt;=110,7,5)-5)*50,0),0)/100)*(1+(IF(Skills!A9="RAGING_BLOW",Inputs!$B$17+((C1538=TRUE)*(F1538-Calc!F21)),Inputs!$B$18+((C1540=TRUE)*(F1540-Calc!F23))))/100)*((1+(((C1530=TRUE)*F1530*IF(Inputs!$B$3&gt;=110,7,5))+((C1532=TRUE)*F1532*IF(AND(Inputs!$B$38&lt;&gt;"pvp",Inputs!$B$43&gt;0),(((R1532-1)*(Skills!T15*(1+Inputs!$B$34/100))+MIN((Skills!T15*(1+Inputs!$B$34/100)),MAX(0,Inputs!$B$43-((R1532-1)*Skills!D15))))/Inputs!$B$43),IF(Inputs!$B$38="pvp",MIN((Skills!T15*(1+Inputs!$B$34/100)),15)/15,(Skills!T15*(1+Inputs!$B$34/100))/Skills!D15)))+0)/100)*I1526)</f>
        <v/>
      </c>
      <c r="L1526">
        <f>K1526*(MIN(Inputs!$B$22+((C1539=TRUE)*(F1539-Calc!F22)),Inputs!$B$23+((C1541=TRUE)*(F1541-Calc!F24)))/100+(Inputs!$B$23+((C1541=TRUE)*(F1541-Calc!F24)))/100)/2</f>
        <v/>
      </c>
      <c r="M1526">
        <f>L1526*(1+(Inputs!$B$10+0+B1551)/100)</f>
        <v/>
      </c>
      <c r="N1526">
        <f>L1526*(1-MIN((Inputs!$B$9+((C1543=TRUE)*(F1543-Calc!F26))+B1546),100)/100)+M1526*(MIN((Inputs!$B$9+((C1543=TRUE)*(F1543-Calc!F26))+B1546),100)/100)</f>
        <v/>
      </c>
      <c r="O1526">
        <f>(1-Summary!$B$55)*T1526+Summary!$B$55*V1526</f>
        <v/>
      </c>
      <c r="P1526">
        <f>IF(B1556=0,0,O1526/B1556)</f>
        <v/>
      </c>
      <c r="Q1526">
        <f>IFERROR(1/IF(Inputs!$B$38="pvp",15,MAX(0.1,Skills!D9-IF(Skills!E9=TRUE,5.0,0))),0)</f>
        <v/>
      </c>
      <c r="R1526">
        <f>IF(AND(Inputs!$B$38&lt;&gt;"pvp",Inputs!$B$43&gt;0),IF(MAX(0,Inputs!$B$43-B1553)&lt;=0,0,(INT(MAX(0,Inputs!$B$43-B1553)/IF(Inputs!$B$38="pvp",15,MAX(0.1,Skills!D9-IF(Skills!E9=TRUE,5.0,0))))+1)),0)</f>
        <v/>
      </c>
      <c r="S1526">
        <f>IFERROR(O1526/N1526,0)</f>
        <v/>
      </c>
      <c r="T1526">
        <f>IF(C1526,(H1526*N1526*IF(AND(Inputs!$B$38&lt;&gt;"pvp",Inputs!$B$43&gt;0),((Skills!G9*((R1526-1)*IF(Skills!H9&gt;0,Skills!I9/Skills!H9,1)+IF(Skills!H9&gt;0,MIN(Skills!I9,MAX(0,MAX(0,Inputs!$B$43-B1553)-((R1526-1)*IF(Inputs!$B$38="pvp",15,MAX(0.1,Skills!D9-IF(Skills!E9=TRUE,5.0,0))))))/Skills!H9,1)))/Inputs!$B$43),G1526*Q1526))*IF(Inputs!$B$38="pvp",1,1+(Inputs!$B$20+0+Skills!P9+Summary!$B$59)/100),0)</f>
        <v/>
      </c>
      <c r="V1526">
        <f>IF(C1526,(H1526*N1526*IF(AND(Inputs!$B$38&lt;&gt;"pvp",Inputs!$B$43&gt;0),((Skills!G9*((R1526-1)*IF(Skills!H9&gt;0,Skills!I9/Skills!H9,1)+IF(Skills!H9&gt;0,MIN(Skills!I9,MAX(0,MAX(0,Inputs!$B$43-B1553)-((R1526-1)*IF(Inputs!$B$38="pvp",15,MAX(0.1,Skills!D9-IF(Skills!E9=TRUE,5.0,0))))))/Skills!H9,1)))/Inputs!$B$43),G1526*Q1526))*IF(Inputs!$B$38="pvp",1,(1+(Inputs!$B$21+Skills!Q9+Summary!$B$59)/100)*(MIN(Skills!R9,Inputs!$B$37))),0)</f>
        <v/>
      </c>
    </row>
    <row r="1527">
      <c r="A1527">
        <f>Skills!A10</f>
        <v/>
      </c>
      <c r="B1527">
        <f>Skills!B10</f>
        <v/>
      </c>
      <c r="C1527">
        <f>Inputs!$B$3&gt;=63</f>
        <v/>
      </c>
      <c r="D1527">
        <f>IF(Skills!C10=1,60+Inputs!$B$25+Inputs!$B$29,IF(Skills!C10=2,90+Inputs!$B$26+Inputs!$B$29,IF(Skills!C10=3,120+Inputs!$B$27+Inputs!$B$29,MAX(0,(Inputs!$B$3-100)*3)+Inputs!$B$28+Inputs!$B$29)))</f>
        <v/>
      </c>
      <c r="E1527">
        <f>INDEX(FactorTable!$B$2:$Y$301, MATCH(ROUND(MIN(300,MAX(1,D1527)),0), FactorTable!$A$2:$A$301,0), Skills!M10+1)</f>
        <v/>
      </c>
      <c r="F1527">
        <f>IF(Skills!N10=TRUE,(Skills!L10/10)*(E1527/1000),Skills!L10/10)+Skills!O10</f>
        <v/>
      </c>
      <c r="G1527">
        <f>Skills!G10*IF(Skills!H10&gt;0,Skills!I10/Skills!H10,1)</f>
        <v/>
      </c>
      <c r="H1527">
        <f>1-(1-Skills!J10/100)^Skills!K10</f>
        <v/>
      </c>
      <c r="I1527" t="inlineStr">
        <is>
          <t>1</t>
        </is>
      </c>
      <c r="J1527">
        <f>((Inputs!$B$6*(1+Inputs!$B$7/100))+(((Inputs!$B$12*(1+Inputs!$B$13/100))-(Inputs!$B$12*(1+Inputs!$B$13/100)))+0.25*(Inputs!$B$14-Inputs!$B$14))*(1+Inputs!$B$7/100))*(F1527/100)</f>
        <v/>
      </c>
      <c r="K1527">
        <f>J1527*(1+((Inputs!$B$12*(1+Inputs!$B$13/100))*0.01+Inputs!$B$14*0.0025)/100)*(1+Inputs!$B$15/100)*(1+Inputs!$B$16/100)*(5000/(6000+Inputs!$B$42*(1-(Inputs!$B$19+0)/100)))*(1+(Inputs!$B$24+((C1542=TRUE)*(F1542-Calc!F25))+B1552)/100)*(1+1.5*IF(C1529=TRUE,F1529,0)/100)*(1+IF(Skills!A10="ENHANCED_RAGING_BLOW",IF(Inputs!$B$3&gt;=134,MAX(0,IF(Inputs!$B$3&gt;=110,7,5)-5)*50,0),0)/100)*(1+(IF(Skills!A10="RAGING_BLOW",Inputs!$B$17+((C1538=TRUE)*(F1538-Calc!F21)),Inputs!$B$18+((C1540=TRUE)*(F1540-Calc!F23))))/100)*((1+(((C1530=TRUE)*F1530*IF(Inputs!$B$3&gt;=110,7,5))+((C1532=TRUE)*F1532*IF(AND(Inputs!$B$38&lt;&gt;"pvp",Inputs!$B$43&gt;0),(((R1532-1)*(Skills!T15*(1+Inputs!$B$34/100))+MIN((Skills!T15*(1+Inputs!$B$34/100)),MAX(0,Inputs!$B$43-((R1532-1)*Skills!D15))))/Inputs!$B$43),IF(Inputs!$B$38="pvp",MIN((Skills!T15*(1+Inputs!$B$34/100)),15)/15,(Skills!T15*(1+Inputs!$B$34/100))/Skills!D15)))+0)/100)*I1527)</f>
        <v/>
      </c>
      <c r="L1527">
        <f>K1527*(MIN(Inputs!$B$22+((C1539=TRUE)*(F1539-Calc!F22)),Inputs!$B$23+((C1541=TRUE)*(F1541-Calc!F24)))/100+(Inputs!$B$23+((C1541=TRUE)*(F1541-Calc!F24)))/100)/2</f>
        <v/>
      </c>
      <c r="M1527">
        <f>L1527*(1+(Inputs!$B$10+0+B1551)/100)</f>
        <v/>
      </c>
      <c r="N1527">
        <f>L1527*(1-MIN((Inputs!$B$9+((C1543=TRUE)*(F1543-Calc!F26))+B1546),100)/100)+M1527*(MIN((Inputs!$B$9+((C1543=TRUE)*(F1543-Calc!F26))+B1546),100)/100)</f>
        <v/>
      </c>
      <c r="O1527">
        <f>(1-Summary!$B$55)*T1527+Summary!$B$55*V1527</f>
        <v/>
      </c>
      <c r="P1527">
        <f>IF(B1556=0,0,O1527/B1556)</f>
        <v/>
      </c>
      <c r="Q1527">
        <f>IFERROR(1/IF(Inputs!$B$38="pvp",15,MAX(0.1,Skills!D10-IF(Skills!E10=TRUE,5.0,0))),0)</f>
        <v/>
      </c>
      <c r="R1527">
        <f>IF(AND(Inputs!$B$38&lt;&gt;"pvp",Inputs!$B$43&gt;0),IF(MAX(0,Inputs!$B$43-B1553)&lt;=0,0,(INT(MAX(0,Inputs!$B$43-B1553)/IF(Inputs!$B$38="pvp",15,MAX(0.1,Skills!D10-IF(Skills!E10=TRUE,5.0,0))))+1)),0)</f>
        <v/>
      </c>
      <c r="S1527">
        <f>IFERROR(O1527/N1527,0)</f>
        <v/>
      </c>
      <c r="T1527">
        <f>IF(C1527,(H1527*N1527*IF(AND(Inputs!$B$38&lt;&gt;"pvp",Inputs!$B$43&gt;0),((Skills!G10*((R1527-1)*IF(Skills!H10&gt;0,Skills!I10/Skills!H10,1)+IF(Skills!H10&gt;0,MIN(Skills!I10,MAX(0,MAX(0,Inputs!$B$43-B1553)-((R1527-1)*IF(Inputs!$B$38="pvp",15,MAX(0.1,Skills!D10-IF(Skills!E10=TRUE,5.0,0))))))/Skills!H10,1)))/Inputs!$B$43),G1527*Q1527))*IF(Inputs!$B$38="pvp",1,1+(Inputs!$B$20+0+Skills!P10+Summary!$B$59)/100),0)</f>
        <v/>
      </c>
      <c r="V1527">
        <f>IF(C1527,(H1527*N1527*IF(AND(Inputs!$B$38&lt;&gt;"pvp",Inputs!$B$43&gt;0),((Skills!G10*((R1527-1)*IF(Skills!H10&gt;0,Skills!I10/Skills!H10,1)+IF(Skills!H10&gt;0,MIN(Skills!I10,MAX(0,MAX(0,Inputs!$B$43-B1553)-((R1527-1)*IF(Inputs!$B$38="pvp",15,MAX(0.1,Skills!D10-IF(Skills!E10=TRUE,5.0,0))))))/Skills!H10,1)))/Inputs!$B$43),G1527*Q1527))*IF(Inputs!$B$38="pvp",1,(1+(Inputs!$B$21+Skills!Q10+Summary!$B$59)/100)*(MIN(Skills!R10,Inputs!$B$37))),0)</f>
        <v/>
      </c>
    </row>
    <row r="1528">
      <c r="A1528">
        <f>Skills!A11</f>
        <v/>
      </c>
      <c r="B1528">
        <f>Skills!B11</f>
        <v/>
      </c>
      <c r="C1528">
        <f>Inputs!$B$3&gt;=35</f>
        <v/>
      </c>
      <c r="D1528">
        <f>IF(Skills!C11=1,60+Inputs!$B$25+Inputs!$B$29,IF(Skills!C11=2,90+Inputs!$B$26+Inputs!$B$29,IF(Skills!C11=3,120+Inputs!$B$27+Inputs!$B$29,MAX(0,(Inputs!$B$3-100)*3)+Inputs!$B$28+Inputs!$B$29)))</f>
        <v/>
      </c>
      <c r="E1528">
        <f>INDEX(FactorTable!$B$2:$Y$301, MATCH(ROUND(MIN(300,MAX(1,D1528)),0), FactorTable!$A$2:$A$301,0), Skills!M11+1)</f>
        <v/>
      </c>
      <c r="F1528">
        <f>IF(Skills!N11=TRUE,(Skills!L11/10)*(E1528/1000),Skills!L11/10)+Skills!O11</f>
        <v/>
      </c>
      <c r="G1528">
        <f>Skills!G11*IF(Skills!H11&gt;0,Skills!I11/Skills!H11,1)</f>
        <v/>
      </c>
      <c r="H1528">
        <f>1-(1-Skills!J11/100)^Skills!K11</f>
        <v/>
      </c>
      <c r="I1528" t="inlineStr">
        <is>
          <t>1</t>
        </is>
      </c>
      <c r="J1528">
        <f>((Inputs!$B$6*(1+Inputs!$B$7/100))+(((Inputs!$B$12*(1+Inputs!$B$13/100))-(Inputs!$B$12*(1+Inputs!$B$13/100)))+0.25*(Inputs!$B$14-Inputs!$B$14))*(1+Inputs!$B$7/100))*(F1528/100)</f>
        <v/>
      </c>
      <c r="K1528">
        <f>J1528*(1+((Inputs!$B$12*(1+Inputs!$B$13/100))*0.01+Inputs!$B$14*0.0025)/100)*(1+Inputs!$B$15/100)*(1+Inputs!$B$16/100)*(5000/(6000+Inputs!$B$42*(1-(Inputs!$B$19+0)/100)))*(1+(Inputs!$B$24+((C1542=TRUE)*(F1542-Calc!F25))+B1552)/100)*(1+4.0*IF(C1529=TRUE,F1529,0)/100)*(1+IF(Skills!A11="ENHANCED_RAGING_BLOW",IF(Inputs!$B$3&gt;=134,MAX(0,IF(Inputs!$B$3&gt;=110,7,5)-5)*50,0),0)/100)*(1+(IF(Skills!A11="RAGING_BLOW",Inputs!$B$17+((C1538=TRUE)*(F1538-Calc!F21)),Inputs!$B$18+((C1540=TRUE)*(F1540-Calc!F23))))/100)*((1+(((C1530=TRUE)*F1530*IF(Inputs!$B$3&gt;=110,7,5))+((C1532=TRUE)*F1532*IF(AND(Inputs!$B$38&lt;&gt;"pvp",Inputs!$B$43&gt;0),(((R1532-1)*(Skills!T15*(1+Inputs!$B$34/100))+MIN((Skills!T15*(1+Inputs!$B$34/100)),MAX(0,Inputs!$B$43-((R1532-1)*Skills!D15))))/Inputs!$B$43),IF(Inputs!$B$38="pvp",MIN((Skills!T15*(1+Inputs!$B$34/100)),15)/15,(Skills!T15*(1+Inputs!$B$34/100))/Skills!D15)))+0)/100)*I1528)</f>
        <v/>
      </c>
      <c r="L1528">
        <f>K1528*(MIN(Inputs!$B$22+((C1539=TRUE)*(F1539-Calc!F22)),Inputs!$B$23+((C1541=TRUE)*(F1541-Calc!F24)))/100+(Inputs!$B$23+((C1541=TRUE)*(F1541-Calc!F24)))/100)/2</f>
        <v/>
      </c>
      <c r="M1528">
        <f>L1528*(1+(Inputs!$B$10+0+B1551)/100)</f>
        <v/>
      </c>
      <c r="N1528">
        <f>L1528*(1-MIN((Inputs!$B$9+((C1543=TRUE)*(F1543-Calc!F26))+B1546),100)/100)+M1528*(MIN((Inputs!$B$9+((C1543=TRUE)*(F1543-Calc!F26))+B1546),100)/100)</f>
        <v/>
      </c>
      <c r="O1528">
        <f>(1-Summary!$B$55)*T1528+Summary!$B$55*V1528</f>
        <v/>
      </c>
      <c r="P1528">
        <f>IF(B1556=0,0,O1528/B1556)</f>
        <v/>
      </c>
      <c r="Q1528">
        <f>IFERROR(1/IF(Inputs!$B$38="pvp",15,MAX(0.1,Skills!D11-IF(Skills!E11=TRUE,5.0,0))),0)</f>
        <v/>
      </c>
      <c r="R1528">
        <f>IF(AND(Inputs!$B$38&lt;&gt;"pvp",Inputs!$B$43&gt;0),IF(MAX(0,Inputs!$B$43-B1553)&lt;=0,0,(INT(MAX(0,Inputs!$B$43-B1553)/IF(Inputs!$B$38="pvp",15,MAX(0.1,Skills!D11-IF(Skills!E11=TRUE,5.0,0))))+1)),0)</f>
        <v/>
      </c>
      <c r="S1528">
        <f>IFERROR(O1528/N1528,0)</f>
        <v/>
      </c>
      <c r="T1528">
        <f>IF(C1528,(H1528*N1528*IF(AND(Inputs!$B$38&lt;&gt;"pvp",Inputs!$B$43&gt;0),((Skills!G11*((R1528-1)*IF(Skills!H11&gt;0,Skills!I11/Skills!H11,1)+IF(Skills!H11&gt;0,MIN(Skills!I11,MAX(0,MAX(0,Inputs!$B$43-B1553)-((R1528-1)*IF(Inputs!$B$38="pvp",15,MAX(0.1,Skills!D11-IF(Skills!E11=TRUE,5.0,0))))))/Skills!H11,1)))/Inputs!$B$43),G1528*Q1528))*IF(Inputs!$B$38="pvp",1,1+(Inputs!$B$20+0+Skills!P11+Summary!$B$59)/100),0)</f>
        <v/>
      </c>
      <c r="V1528">
        <f>IF(C1528,(H1528*N1528*IF(AND(Inputs!$B$38&lt;&gt;"pvp",Inputs!$B$43&gt;0),((Skills!G11*((R1528-1)*IF(Skills!H11&gt;0,Skills!I11/Skills!H11,1)+IF(Skills!H11&gt;0,MIN(Skills!I11,MAX(0,MAX(0,Inputs!$B$43-B1553)-((R1528-1)*IF(Inputs!$B$38="pvp",15,MAX(0.1,Skills!D11-IF(Skills!E11=TRUE,5.0,0))))))/Skills!H11,1)))/Inputs!$B$43),G1528*Q1528))*IF(Inputs!$B$38="pvp",1,(1+(Inputs!$B$21+Skills!Q11+Summary!$B$59)/100)*(MIN(Skills!R11,Inputs!$B$37))),0)</f>
        <v/>
      </c>
    </row>
    <row r="1529">
      <c r="A1529">
        <f>Skills!A12</f>
        <v/>
      </c>
      <c r="B1529">
        <f>Skills!B12</f>
        <v/>
      </c>
      <c r="C1529">
        <f>Inputs!$B$3&gt;=100</f>
        <v/>
      </c>
      <c r="D1529">
        <f>IF(Skills!C12=1,60+Inputs!$B$25+Inputs!$B$29,IF(Skills!C12=2,90+Inputs!$B$26+Inputs!$B$29,IF(Skills!C12=3,120+Inputs!$B$27+Inputs!$B$29,MAX(0,(Inputs!$B$3-100)*3)+Inputs!$B$28+Inputs!$B$29)))</f>
        <v/>
      </c>
      <c r="E1529">
        <f>INDEX(FactorTable!$B$2:$Y$301, MATCH(ROUND(MIN(300,MAX(1,D1529)),0), FactorTable!$A$2:$A$301,0), Skills!M12+1)</f>
        <v/>
      </c>
      <c r="F1529">
        <f>IF(Skills!N12=TRUE,(Skills!L12/10)*(E1529/1000),Skills!L12/10)+Skills!O12</f>
        <v/>
      </c>
      <c r="G1529" t="inlineStr"/>
      <c r="H1529" t="inlineStr"/>
      <c r="I1529" t="inlineStr">
        <is>
          <t>1</t>
        </is>
      </c>
      <c r="J1529" t="inlineStr"/>
      <c r="K1529" t="inlineStr"/>
      <c r="L1529" t="inlineStr"/>
      <c r="M1529" t="inlineStr"/>
      <c r="N1529" t="inlineStr"/>
      <c r="O1529" t="inlineStr"/>
      <c r="P1529" t="inlineStr"/>
      <c r="Q1529" t="inlineStr"/>
      <c r="R1529" t="inlineStr"/>
      <c r="S1529" t="inlineStr"/>
    </row>
    <row r="1530">
      <c r="A1530">
        <f>Skills!A13</f>
        <v/>
      </c>
      <c r="B1530">
        <f>Skills!B13</f>
        <v/>
      </c>
      <c r="C1530">
        <f>Inputs!$B$3&gt;=45</f>
        <v/>
      </c>
      <c r="D1530">
        <f>IF(Skills!C13=1,60+Inputs!$B$25+Inputs!$B$29,IF(Skills!C13=2,90+Inputs!$B$26+Inputs!$B$29,IF(Skills!C13=3,120+Inputs!$B$27+Inputs!$B$29,MAX(0,(Inputs!$B$3-100)*3)+Inputs!$B$28+Inputs!$B$29)))</f>
        <v/>
      </c>
      <c r="E1530">
        <f>INDEX(FactorTable!$B$2:$Y$301, MATCH(ROUND(MIN(300,MAX(1,D1530)),0), FactorTable!$A$2:$A$301,0), Skills!M13+1)</f>
        <v/>
      </c>
      <c r="F1530">
        <f>IF(Skills!N13=TRUE,(Skills!L13/10)*(E1530/1000),Skills!L13/10)+Skills!O13</f>
        <v/>
      </c>
      <c r="G1530">
        <f>Skills!G13*IF(Skills!H13&gt;0,Skills!I13/Skills!H13,1)</f>
        <v/>
      </c>
      <c r="H1530">
        <f>1-(1-Skills!J13/100)^Skills!K13</f>
        <v/>
      </c>
      <c r="I1530" t="inlineStr">
        <is>
          <t>1</t>
        </is>
      </c>
      <c r="J1530" t="inlineStr"/>
      <c r="K1530" t="inlineStr"/>
      <c r="L1530" t="inlineStr"/>
      <c r="M1530" t="inlineStr"/>
      <c r="N1530" t="inlineStr"/>
      <c r="O1530">
        <f>(1-Summary!$B$55)*T1530+Summary!$B$55*V1530</f>
        <v/>
      </c>
      <c r="P1530">
        <f>IF(B1556=0,0,O1530/B1556)</f>
        <v/>
      </c>
      <c r="Q1530" t="n">
        <v>0</v>
      </c>
      <c r="R1530" t="n">
        <v>0</v>
      </c>
      <c r="S1530">
        <f>IFERROR(O1530/N1530,0)</f>
        <v/>
      </c>
      <c r="T1530" t="n">
        <v>0</v>
      </c>
      <c r="V1530" t="n">
        <v>0</v>
      </c>
    </row>
    <row r="1531">
      <c r="A1531">
        <f>Skills!A14</f>
        <v/>
      </c>
      <c r="B1531">
        <f>Skills!B14</f>
        <v/>
      </c>
      <c r="C1531">
        <f>Inputs!$B$3&gt;=75</f>
        <v/>
      </c>
      <c r="D1531">
        <f>IF(Skills!C14=1,60+Inputs!$B$25+Inputs!$B$29,IF(Skills!C14=2,90+Inputs!$B$26+Inputs!$B$29,IF(Skills!C14=3,120+Inputs!$B$27+Inputs!$B$29,MAX(0,(Inputs!$B$3-100)*3)+Inputs!$B$28+Inputs!$B$29)))</f>
        <v/>
      </c>
      <c r="E1531">
        <f>INDEX(FactorTable!$B$2:$Y$301, MATCH(ROUND(MIN(300,MAX(1,D1531)),0), FactorTable!$A$2:$A$301,0), Skills!M14+1)</f>
        <v/>
      </c>
      <c r="F1531">
        <f>IF(Skills!N14=TRUE,(Skills!L14/10)*(E1531/1000),Skills!L14/10)+Skills!O14</f>
        <v/>
      </c>
      <c r="G1531">
        <f>Skills!G14*IF(Skills!H14&gt;0,Skills!I14/Skills!H14,1)</f>
        <v/>
      </c>
      <c r="H1531">
        <f>1-(1-Skills!J14/100)^Skills!K14</f>
        <v/>
      </c>
      <c r="I1531" t="inlineStr">
        <is>
          <t>1</t>
        </is>
      </c>
      <c r="J1531" t="inlineStr"/>
      <c r="K1531" t="inlineStr"/>
      <c r="L1531" t="inlineStr"/>
      <c r="M1531" t="inlineStr"/>
      <c r="N1531" t="inlineStr"/>
      <c r="O1531">
        <f>(1-Summary!$B$55)*T1531+Summary!$B$55*V1531</f>
        <v/>
      </c>
      <c r="P1531">
        <f>IF(B1556=0,0,O1531/B1556)</f>
        <v/>
      </c>
      <c r="Q1531" t="n">
        <v>0</v>
      </c>
      <c r="R1531" t="n">
        <v>0</v>
      </c>
      <c r="S1531">
        <f>IFERROR(O1531/N1531,0)</f>
        <v/>
      </c>
      <c r="T1531" t="n">
        <v>0</v>
      </c>
      <c r="V1531" t="n">
        <v>0</v>
      </c>
    </row>
    <row r="1532">
      <c r="A1532">
        <f>Skills!A15</f>
        <v/>
      </c>
      <c r="B1532">
        <f>Skills!B15</f>
        <v/>
      </c>
      <c r="C1532">
        <f>Inputs!$B$3&gt;=40</f>
        <v/>
      </c>
      <c r="D1532">
        <f>IF(Skills!C15=1,60+Inputs!$B$25+Inputs!$B$29,IF(Skills!C15=2,90+Inputs!$B$26+Inputs!$B$29,IF(Skills!C15=3,120+Inputs!$B$27+Inputs!$B$29,MAX(0,(Inputs!$B$3-100)*3)+Inputs!$B$28+Inputs!$B$29)))</f>
        <v/>
      </c>
      <c r="E1532">
        <f>INDEX(FactorTable!$B$2:$Y$301, MATCH(ROUND(MIN(300,MAX(1,D1532)),0), FactorTable!$A$2:$A$301,0), Skills!M15+1)</f>
        <v/>
      </c>
      <c r="F1532">
        <f>IF(Skills!N15=TRUE,(Skills!L15/10)*(E1532/1000),Skills!L15/10)+Skills!O15</f>
        <v/>
      </c>
      <c r="G1532">
        <f>Skills!G15*IF(Skills!H15&gt;0,Skills!I15/Skills!H15,1)</f>
        <v/>
      </c>
      <c r="H1532">
        <f>1-(1-Skills!J15/100)^Skills!K15</f>
        <v/>
      </c>
      <c r="I1532" t="inlineStr">
        <is>
          <t>1</t>
        </is>
      </c>
      <c r="J1532" t="inlineStr"/>
      <c r="K1532" t="inlineStr"/>
      <c r="L1532" t="inlineStr"/>
      <c r="M1532" t="inlineStr"/>
      <c r="N1532" t="inlineStr"/>
      <c r="O1532">
        <f>(1-Summary!$B$55)*T1532+Summary!$B$55*V1532</f>
        <v/>
      </c>
      <c r="P1532">
        <f>IF(B1556=0,0,O1532/B1556)</f>
        <v/>
      </c>
      <c r="Q1532">
        <f>IFERROR(1/IF(Inputs!$B$38="pvp",15,MAX(0.1,Skills!D15-IF(Skills!E15=TRUE,5.0,0))),0)</f>
        <v/>
      </c>
      <c r="R1532">
        <f>IF(AND(Inputs!$B$38&lt;&gt;"pvp",Inputs!$B$43&gt;0),IF(Inputs!$B$43&lt;=0,0,(INT(Inputs!$B$43/IF(Inputs!$B$38="pvp",15,MAX(0.1,Skills!D15-IF(Skills!E15=TRUE,5.0,0))))+1)),0)</f>
        <v/>
      </c>
      <c r="S1532">
        <f>IFERROR(O1532/N1532,0)</f>
        <v/>
      </c>
      <c r="T1532" t="n">
        <v>0</v>
      </c>
      <c r="V1532" t="n">
        <v>0</v>
      </c>
    </row>
    <row r="1533">
      <c r="A1533">
        <f>Skills!A16</f>
        <v/>
      </c>
      <c r="B1533">
        <f>Skills!B16</f>
        <v/>
      </c>
      <c r="C1533">
        <f>Inputs!$B$3&gt;=66</f>
        <v/>
      </c>
      <c r="D1533">
        <f>IF(Skills!C16=1,60+Inputs!$B$25+Inputs!$B$29,IF(Skills!C16=2,90+Inputs!$B$26+Inputs!$B$29,IF(Skills!C16=3,120+Inputs!$B$27+Inputs!$B$29,MAX(0,(Inputs!$B$3-100)*3)+Inputs!$B$28+Inputs!$B$29)))</f>
        <v/>
      </c>
      <c r="E1533">
        <f>INDEX(FactorTable!$B$2:$Y$301, MATCH(ROUND(MIN(300,MAX(1,D1533)),0), FactorTable!$A$2:$A$301,0), Skills!M16+1)</f>
        <v/>
      </c>
      <c r="F1533">
        <f>IF(Skills!N16=TRUE,(Skills!L16/10)*(E1533/1000),Skills!L16/10)+Skills!O16</f>
        <v/>
      </c>
      <c r="G1533">
        <f>Skills!G16*IF(Skills!H16&gt;0,Skills!I16/Skills!H16,1)</f>
        <v/>
      </c>
      <c r="H1533">
        <f>1-(1-Skills!J16/100)^Skills!K16</f>
        <v/>
      </c>
      <c r="I1533" t="inlineStr">
        <is>
          <t>1</t>
        </is>
      </c>
      <c r="J1533" t="inlineStr"/>
      <c r="K1533" t="inlineStr"/>
      <c r="L1533" t="inlineStr"/>
      <c r="M1533" t="inlineStr"/>
      <c r="N1533" t="inlineStr"/>
      <c r="O1533">
        <f>(1-Summary!$B$55)*T1533+Summary!$B$55*V1533</f>
        <v/>
      </c>
      <c r="P1533">
        <f>IF(B1556=0,0,O1533/B1556)</f>
        <v/>
      </c>
      <c r="Q1533">
        <f>IFERROR(1/IF(Inputs!$B$38="pvp",15,MAX(0.1,Skills!D16-IF(Skills!E16=TRUE,5.0,0))),0)</f>
        <v/>
      </c>
      <c r="R1533">
        <f>IF(AND(Inputs!$B$38&lt;&gt;"pvp",Inputs!$B$43&gt;0),IF(Inputs!$B$43&lt;=0,0,(INT(Inputs!$B$43/IF(Inputs!$B$38="pvp",15,MAX(0.1,Skills!D16-IF(Skills!E16=TRUE,5.0,0))))+1)),0)</f>
        <v/>
      </c>
      <c r="S1533">
        <f>IFERROR(O1533/N1533,0)</f>
        <v/>
      </c>
      <c r="T1533" t="n">
        <v>0</v>
      </c>
      <c r="V1533" t="n">
        <v>0</v>
      </c>
    </row>
    <row r="1534">
      <c r="A1534">
        <f>Skills!A17</f>
        <v/>
      </c>
      <c r="B1534">
        <f>Skills!B17</f>
        <v/>
      </c>
      <c r="C1534">
        <f>Inputs!$B$3&gt;=115</f>
        <v/>
      </c>
      <c r="D1534">
        <f>IF(Skills!C17=1,60+Inputs!$B$25+Inputs!$B$29,IF(Skills!C17=2,90+Inputs!$B$26+Inputs!$B$29,IF(Skills!C17=3,120+Inputs!$B$27+Inputs!$B$29,MAX(0,(Inputs!$B$3-100)*3)+Inputs!$B$28+Inputs!$B$29)))</f>
        <v/>
      </c>
      <c r="E1534">
        <f>INDEX(FactorTable!$B$2:$Y$301, MATCH(ROUND(MIN(300,MAX(1,D1534)),0), FactorTable!$A$2:$A$301,0), Skills!M17+1)</f>
        <v/>
      </c>
      <c r="F1534">
        <f>IF(Skills!N17=TRUE,(Skills!L17/10)*(E1534/1000),Skills!L17/10)+Skills!O17</f>
        <v/>
      </c>
      <c r="G1534">
        <f>Skills!G17*IF(Skills!H17&gt;0,Skills!I17/Skills!H17,1)</f>
        <v/>
      </c>
      <c r="H1534">
        <f>1-(1-Skills!J17/100)^Skills!K17</f>
        <v/>
      </c>
      <c r="I1534" t="inlineStr">
        <is>
          <t>1</t>
        </is>
      </c>
      <c r="J1534" t="inlineStr"/>
      <c r="K1534" t="inlineStr"/>
      <c r="L1534" t="inlineStr"/>
      <c r="M1534" t="inlineStr"/>
      <c r="N1534" t="inlineStr"/>
      <c r="O1534">
        <f>(1-Summary!$B$55)*T1534+Summary!$B$55*V1534</f>
        <v/>
      </c>
      <c r="P1534">
        <f>IF(B1556=0,0,O1534/B1556)</f>
        <v/>
      </c>
      <c r="Q1534">
        <f>IFERROR(1/IF(Inputs!$B$38="pvp",15,MAX(0.1,Skills!D17-IF(Skills!E17=TRUE,5.0,0))),0)</f>
        <v/>
      </c>
      <c r="R1534">
        <f>IF(AND(Inputs!$B$38&lt;&gt;"pvp",Inputs!$B$43&gt;0),IF(Inputs!$B$43&lt;=0,0,(INT(Inputs!$B$43/IF(Inputs!$B$38="pvp",15,MAX(0.1,Skills!D17-IF(Skills!E17=TRUE,5.0,0))))+1)),0)</f>
        <v/>
      </c>
      <c r="S1534">
        <f>IFERROR(O1534/N1534,0)</f>
        <v/>
      </c>
      <c r="T1534" t="n">
        <v>0</v>
      </c>
      <c r="V1534" t="n">
        <v>0</v>
      </c>
    </row>
    <row r="1535">
      <c r="A1535">
        <f>Skills!A18</f>
        <v/>
      </c>
      <c r="B1535">
        <f>Skills!B18</f>
        <v/>
      </c>
      <c r="C1535">
        <f>Inputs!$B$3&gt;=115</f>
        <v/>
      </c>
      <c r="D1535">
        <f>IF(Skills!C18=1,60+Inputs!$B$25+Inputs!$B$29,IF(Skills!C18=2,90+Inputs!$B$26+Inputs!$B$29,IF(Skills!C18=3,120+Inputs!$B$27+Inputs!$B$29,MAX(0,(Inputs!$B$3-100)*3)+Inputs!$B$28+Inputs!$B$29)))</f>
        <v/>
      </c>
      <c r="E1535">
        <f>INDEX(FactorTable!$B$2:$Y$301, MATCH(ROUND(MIN(300,MAX(1,D1535)),0), FactorTable!$A$2:$A$301,0), Skills!M18+1)</f>
        <v/>
      </c>
      <c r="F1535">
        <f>IF(Skills!N18=TRUE,(Skills!L18/10)*(E1535/1000),Skills!L18/10)+Skills!O18</f>
        <v/>
      </c>
      <c r="G1535">
        <f>Skills!G18*IF(Skills!H18&gt;0,Skills!I18/Skills!H18,1)</f>
        <v/>
      </c>
      <c r="H1535">
        <f>1-(1-Skills!J18/100)^Skills!K18</f>
        <v/>
      </c>
      <c r="I1535" t="inlineStr">
        <is>
          <t>1</t>
        </is>
      </c>
      <c r="J1535" t="inlineStr"/>
      <c r="K1535" t="inlineStr"/>
      <c r="L1535" t="inlineStr"/>
      <c r="M1535" t="inlineStr"/>
      <c r="N1535" t="inlineStr"/>
      <c r="O1535">
        <f>(1-Summary!$B$55)*T1535+Summary!$B$55*V1535</f>
        <v/>
      </c>
      <c r="P1535">
        <f>IF(B1556=0,0,O1535/B1556)</f>
        <v/>
      </c>
      <c r="Q1535">
        <f>IFERROR(1/IF(Inputs!$B$38="pvp",15,MAX(0.1,Skills!D18-IF(Skills!E18=TRUE,5.0,0))),0)</f>
        <v/>
      </c>
      <c r="R1535">
        <f>IF(AND(Inputs!$B$38&lt;&gt;"pvp",Inputs!$B$43&gt;0),IF(Inputs!$B$43&lt;=0,0,(INT(Inputs!$B$43/IF(Inputs!$B$38="pvp",15,MAX(0.1,Skills!D18-IF(Skills!E18=TRUE,5.0,0))))+1)),0)</f>
        <v/>
      </c>
      <c r="S1535">
        <f>IFERROR(O1535/N1535,0)</f>
        <v/>
      </c>
      <c r="T1535" t="n">
        <v>0</v>
      </c>
      <c r="V1535" t="n">
        <v>0</v>
      </c>
    </row>
    <row r="1536">
      <c r="A1536">
        <f>Skills!A19</f>
        <v/>
      </c>
      <c r="B1536">
        <f>Skills!B19</f>
        <v/>
      </c>
      <c r="C1536">
        <f>TRUE</f>
        <v/>
      </c>
      <c r="D1536">
        <f>IF(Skills!C19=1,60+Inputs!$B$25+Inputs!$B$29,IF(Skills!C19=2,90+Inputs!$B$26+Inputs!$B$29,IF(Skills!C19=3,120+Inputs!$B$27+Inputs!$B$29,MAX(0,(Inputs!$B$3-100)*3)+Inputs!$B$28+Inputs!$B$29)))</f>
        <v/>
      </c>
      <c r="E1536">
        <f>INDEX(FactorTable!$B$2:$Y$301, MATCH(ROUND(MIN(300,MAX(1,D1536)),0), FactorTable!$A$2:$A$301,0), Skills!M19+1)</f>
        <v/>
      </c>
      <c r="F1536">
        <f>IF(Skills!N19=TRUE,(Skills!L19/10)*(E1536/1000),Skills!L19/10)+Skills!O19</f>
        <v/>
      </c>
      <c r="G1536">
        <f>Skills!G19*IF(Skills!H19&gt;0,Skills!I19/Skills!H19,1)</f>
        <v/>
      </c>
      <c r="H1536">
        <f>1-(1-Skills!J19/100)^Skills!K19</f>
        <v/>
      </c>
      <c r="I1536" t="inlineStr">
        <is>
          <t>1</t>
        </is>
      </c>
      <c r="J1536" t="inlineStr"/>
      <c r="K1536" t="inlineStr"/>
      <c r="L1536" t="inlineStr"/>
      <c r="M1536" t="inlineStr"/>
      <c r="N1536" t="inlineStr"/>
      <c r="O1536">
        <f>(1-Summary!$B$55)*T1536+Summary!$B$55*V1536</f>
        <v/>
      </c>
      <c r="P1536">
        <f>IF(B1556=0,0,O1536/B1556)</f>
        <v/>
      </c>
      <c r="Q1536">
        <f>IFERROR(1/IF(Inputs!$B$38="pvp",15,MAX(0.1,Skills!D19-IF(Skills!E19=TRUE,5.0,0))),0)</f>
        <v/>
      </c>
      <c r="R1536">
        <f>IF(AND(Inputs!$B$38&lt;&gt;"pvp",Inputs!$B$43&gt;0),IF(Inputs!$B$43&lt;=0,0,(INT(Inputs!$B$43/IF(Inputs!$B$38="pvp",15,MAX(0.1,Skills!D19-IF(Skills!E19=TRUE,5.0,0))))+1)),0)</f>
        <v/>
      </c>
      <c r="S1536">
        <f>IFERROR(O1536/N1536,0)</f>
        <v/>
      </c>
      <c r="T1536" t="n">
        <v>0</v>
      </c>
      <c r="V1536" t="n">
        <v>0</v>
      </c>
    </row>
    <row r="1537">
      <c r="A1537">
        <f>Skills!A20</f>
        <v/>
      </c>
      <c r="B1537">
        <f>Skills!B20</f>
        <v/>
      </c>
      <c r="C1537">
        <f>Inputs!$B$3&gt;=33</f>
        <v/>
      </c>
      <c r="D1537">
        <f>IF(Skills!C20=1,60+Inputs!$B$25+Inputs!$B$29,IF(Skills!C20=2,90+Inputs!$B$26+Inputs!$B$29,IF(Skills!C20=3,120+Inputs!$B$27+Inputs!$B$29,MAX(0,(Inputs!$B$3-100)*3)+Inputs!$B$28+Inputs!$B$29)))</f>
        <v/>
      </c>
      <c r="E1537">
        <f>INDEX(FactorTable!$B$2:$Y$301, MATCH(ROUND(MIN(300,MAX(1,D1537)),0), FactorTable!$A$2:$A$301,0), Skills!M20+1)</f>
        <v/>
      </c>
      <c r="F1537">
        <f>IF(Skills!N20=TRUE,(Skills!L20/10)*(E1537/1000),Skills!L20/10)+Skills!O20</f>
        <v/>
      </c>
      <c r="G1537">
        <f>Skills!G20*IF(Skills!H20&gt;0,Skills!I20/Skills!H20,1)</f>
        <v/>
      </c>
      <c r="H1537">
        <f>1-(1-Skills!J20/100)^Skills!K20</f>
        <v/>
      </c>
      <c r="I1537" t="inlineStr">
        <is>
          <t>1</t>
        </is>
      </c>
      <c r="J1537" t="inlineStr"/>
      <c r="K1537" t="inlineStr"/>
      <c r="L1537" t="inlineStr"/>
      <c r="M1537" t="inlineStr"/>
      <c r="N1537" t="inlineStr"/>
      <c r="O1537">
        <f>(1-Summary!$B$55)*T1537+Summary!$B$55*V1537</f>
        <v/>
      </c>
      <c r="P1537">
        <f>IF(B1556=0,0,O1537/B1556)</f>
        <v/>
      </c>
      <c r="Q1537" t="n">
        <v>0</v>
      </c>
      <c r="R1537" t="n">
        <v>0</v>
      </c>
      <c r="S1537">
        <f>IFERROR(O1537/N1537,0)</f>
        <v/>
      </c>
      <c r="T1537" t="n">
        <v>0</v>
      </c>
      <c r="V1537" t="n">
        <v>0</v>
      </c>
    </row>
    <row r="1538">
      <c r="A1538">
        <f>Skills!A21</f>
        <v/>
      </c>
      <c r="B1538">
        <f>Skills!B21</f>
        <v/>
      </c>
      <c r="C1538">
        <f>Inputs!$B$3&gt;=38</f>
        <v/>
      </c>
      <c r="D1538">
        <f>IF(Skills!C21=1,60+Inputs!$B$25+Inputs!$B$29,IF(Skills!C21=2,90+Inputs!$B$26+Inputs!$B$29,IF(Skills!C21=3,120+Inputs!$B$27+Inputs!$B$29,MAX(0,(Inputs!$B$3-100)*3)+Inputs!$B$28+Inputs!$B$29)))</f>
        <v/>
      </c>
      <c r="E1538">
        <f>INDEX(FactorTable!$B$2:$Y$301, MATCH(ROUND(MIN(300,MAX(1,D1538)),0), FactorTable!$A$2:$A$301,0), Skills!M21+1)</f>
        <v/>
      </c>
      <c r="F1538">
        <f>IF(Skills!N21=TRUE,(Skills!L21/10)*(E1538/1000),Skills!L21/10)+Skills!O21</f>
        <v/>
      </c>
      <c r="G1538">
        <f>Skills!G21*IF(Skills!H21&gt;0,Skills!I21/Skills!H21,1)</f>
        <v/>
      </c>
      <c r="H1538">
        <f>1-(1-Skills!J21/100)^Skills!K21</f>
        <v/>
      </c>
      <c r="I1538" t="inlineStr">
        <is>
          <t>1</t>
        </is>
      </c>
      <c r="J1538" t="inlineStr"/>
      <c r="K1538" t="inlineStr"/>
      <c r="L1538" t="inlineStr"/>
      <c r="M1538" t="inlineStr"/>
      <c r="N1538" t="inlineStr"/>
      <c r="O1538">
        <f>(1-Summary!$B$55)*T1538+Summary!$B$55*V1538</f>
        <v/>
      </c>
      <c r="P1538">
        <f>IF(B1556=0,0,O1538/B1556)</f>
        <v/>
      </c>
      <c r="Q1538" t="n">
        <v>0</v>
      </c>
      <c r="R1538" t="n">
        <v>0</v>
      </c>
      <c r="S1538">
        <f>IFERROR(O1538/N1538,0)</f>
        <v/>
      </c>
      <c r="T1538" t="n">
        <v>0</v>
      </c>
      <c r="V1538" t="n">
        <v>0</v>
      </c>
    </row>
    <row r="1539">
      <c r="A1539">
        <f>Skills!A22</f>
        <v/>
      </c>
      <c r="B1539">
        <f>Skills!B22</f>
        <v/>
      </c>
      <c r="C1539">
        <f>Inputs!$B$3&gt;=43</f>
        <v/>
      </c>
      <c r="D1539">
        <f>IF(Skills!C22=1,60+Inputs!$B$25+Inputs!$B$29,IF(Skills!C22=2,90+Inputs!$B$26+Inputs!$B$29,IF(Skills!C22=3,120+Inputs!$B$27+Inputs!$B$29,MAX(0,(Inputs!$B$3-100)*3)+Inputs!$B$28+Inputs!$B$29)))</f>
        <v/>
      </c>
      <c r="E1539">
        <f>INDEX(FactorTable!$B$2:$Y$301, MATCH(ROUND(MIN(300,MAX(1,D1539)),0), FactorTable!$A$2:$A$301,0), Skills!M22+1)</f>
        <v/>
      </c>
      <c r="F1539">
        <f>IF(Skills!N22=TRUE,(Skills!L22/10)*(E1539/1000),Skills!L22/10)+Skills!O22</f>
        <v/>
      </c>
      <c r="G1539">
        <f>Skills!G22*IF(Skills!H22&gt;0,Skills!I22/Skills!H22,1)</f>
        <v/>
      </c>
      <c r="H1539">
        <f>1-(1-Skills!J22/100)^Skills!K22</f>
        <v/>
      </c>
      <c r="I1539" t="inlineStr">
        <is>
          <t>1</t>
        </is>
      </c>
      <c r="J1539" t="inlineStr"/>
      <c r="K1539" t="inlineStr"/>
      <c r="L1539" t="inlineStr"/>
      <c r="M1539" t="inlineStr"/>
      <c r="N1539" t="inlineStr"/>
      <c r="O1539">
        <f>(1-Summary!$B$55)*T1539+Summary!$B$55*V1539</f>
        <v/>
      </c>
      <c r="P1539">
        <f>IF(B1556=0,0,O1539/B1556)</f>
        <v/>
      </c>
      <c r="Q1539" t="n">
        <v>0</v>
      </c>
      <c r="R1539" t="n">
        <v>0</v>
      </c>
      <c r="S1539">
        <f>IFERROR(O1539/N1539,0)</f>
        <v/>
      </c>
      <c r="T1539" t="n">
        <v>0</v>
      </c>
      <c r="V1539" t="n">
        <v>0</v>
      </c>
    </row>
    <row r="1540">
      <c r="A1540">
        <f>Skills!A23</f>
        <v/>
      </c>
      <c r="B1540">
        <f>Skills!B23</f>
        <v/>
      </c>
      <c r="C1540">
        <f>Inputs!$B$3&gt;=120</f>
        <v/>
      </c>
      <c r="D1540">
        <f>IF(Skills!C23=1,60+Inputs!$B$25+Inputs!$B$29,IF(Skills!C23=2,90+Inputs!$B$26+Inputs!$B$29,IF(Skills!C23=3,120+Inputs!$B$27+Inputs!$B$29,MAX(0,(Inputs!$B$3-100)*3)+Inputs!$B$28+Inputs!$B$29)))</f>
        <v/>
      </c>
      <c r="E1540">
        <f>INDEX(FactorTable!$B$2:$Y$301, MATCH(ROUND(MIN(300,MAX(1,D1540)),0), FactorTable!$A$2:$A$301,0), Skills!M23+1)</f>
        <v/>
      </c>
      <c r="F1540">
        <f>IF(Skills!N23=TRUE,(Skills!L23/10)*(E1540/1000),Skills!L23/10)+Skills!O23</f>
        <v/>
      </c>
      <c r="G1540">
        <f>Skills!G23*IF(Skills!H23&gt;0,Skills!I23/Skills!H23,1)</f>
        <v/>
      </c>
      <c r="H1540">
        <f>1-(1-Skills!J23/100)^Skills!K23</f>
        <v/>
      </c>
      <c r="I1540" t="inlineStr">
        <is>
          <t>1</t>
        </is>
      </c>
      <c r="J1540" t="inlineStr"/>
      <c r="K1540" t="inlineStr"/>
      <c r="L1540" t="inlineStr"/>
      <c r="M1540" t="inlineStr"/>
      <c r="N1540" t="inlineStr"/>
      <c r="O1540">
        <f>(1-Summary!$B$55)*T1540+Summary!$B$55*V1540</f>
        <v/>
      </c>
      <c r="P1540">
        <f>IF(B1556=0,0,O1540/B1556)</f>
        <v/>
      </c>
      <c r="Q1540" t="n">
        <v>0</v>
      </c>
      <c r="R1540" t="n">
        <v>0</v>
      </c>
      <c r="S1540">
        <f>IFERROR(O1540/N1540,0)</f>
        <v/>
      </c>
      <c r="T1540" t="n">
        <v>0</v>
      </c>
      <c r="V1540" t="n">
        <v>0</v>
      </c>
    </row>
    <row r="1541">
      <c r="A1541">
        <f>Skills!A24</f>
        <v/>
      </c>
      <c r="B1541">
        <f>Skills!B24</f>
        <v/>
      </c>
      <c r="C1541">
        <f>Inputs!$B$3&gt;=120</f>
        <v/>
      </c>
      <c r="D1541">
        <f>IF(Skills!C24=1,60+Inputs!$B$25+Inputs!$B$29,IF(Skills!C24=2,90+Inputs!$B$26+Inputs!$B$29,IF(Skills!C24=3,120+Inputs!$B$27+Inputs!$B$29,MAX(0,(Inputs!$B$3-100)*3)+Inputs!$B$28+Inputs!$B$29)))</f>
        <v/>
      </c>
      <c r="E1541">
        <f>INDEX(FactorTable!$B$2:$Y$301, MATCH(ROUND(MIN(300,MAX(1,D1541)),0), FactorTable!$A$2:$A$301,0), Skills!M24+1)</f>
        <v/>
      </c>
      <c r="F1541">
        <f>IF(Skills!N24=TRUE,(Skills!L24/10)*(E1541/1000),Skills!L24/10)+Skills!O24</f>
        <v/>
      </c>
      <c r="G1541">
        <f>Skills!G24*IF(Skills!H24&gt;0,Skills!I24/Skills!H24,1)</f>
        <v/>
      </c>
      <c r="H1541">
        <f>1-(1-Skills!J24/100)^Skills!K24</f>
        <v/>
      </c>
      <c r="I1541" t="inlineStr">
        <is>
          <t>1</t>
        </is>
      </c>
      <c r="J1541" t="inlineStr"/>
      <c r="K1541" t="inlineStr"/>
      <c r="L1541" t="inlineStr"/>
      <c r="M1541" t="inlineStr"/>
      <c r="N1541" t="inlineStr"/>
      <c r="O1541">
        <f>(1-Summary!$B$55)*T1541+Summary!$B$55*V1541</f>
        <v/>
      </c>
      <c r="P1541">
        <f>IF(B1556=0,0,O1541/B1556)</f>
        <v/>
      </c>
      <c r="Q1541" t="n">
        <v>0</v>
      </c>
      <c r="R1541" t="n">
        <v>0</v>
      </c>
      <c r="S1541">
        <f>IFERROR(O1541/N1541,0)</f>
        <v/>
      </c>
      <c r="T1541" t="n">
        <v>0</v>
      </c>
      <c r="V1541" t="n">
        <v>0</v>
      </c>
    </row>
    <row r="1542">
      <c r="A1542">
        <f>Skills!A25</f>
        <v/>
      </c>
      <c r="B1542">
        <f>Skills!B25</f>
        <v/>
      </c>
      <c r="C1542">
        <f>Inputs!$B$3&gt;=125</f>
        <v/>
      </c>
      <c r="D1542">
        <f>IF(Skills!C25=1,60+Inputs!$B$25+Inputs!$B$29,IF(Skills!C25=2,90+Inputs!$B$26+Inputs!$B$29,IF(Skills!C25=3,120+Inputs!$B$27+Inputs!$B$29,MAX(0,(Inputs!$B$3-100)*3)+Inputs!$B$28+Inputs!$B$29)))</f>
        <v/>
      </c>
      <c r="E1542">
        <f>INDEX(FactorTable!$B$2:$Y$301, MATCH(ROUND(MIN(300,MAX(1,D1542)),0), FactorTable!$A$2:$A$301,0), Skills!M25+1)</f>
        <v/>
      </c>
      <c r="F1542">
        <f>IF(Skills!N25=TRUE,(Skills!L25/10)*(E1542/1000),Skills!L25/10)+Skills!O25</f>
        <v/>
      </c>
      <c r="G1542">
        <f>Skills!G25*IF(Skills!H25&gt;0,Skills!I25/Skills!H25,1)</f>
        <v/>
      </c>
      <c r="H1542">
        <f>1-(1-Skills!J25/100)^Skills!K25</f>
        <v/>
      </c>
      <c r="I1542" t="inlineStr">
        <is>
          <t>1</t>
        </is>
      </c>
      <c r="J1542" t="inlineStr"/>
      <c r="K1542" t="inlineStr"/>
      <c r="L1542" t="inlineStr"/>
      <c r="M1542" t="inlineStr"/>
      <c r="N1542" t="inlineStr"/>
      <c r="O1542">
        <f>(1-Summary!$B$55)*T1542+Summary!$B$55*V1542</f>
        <v/>
      </c>
      <c r="P1542">
        <f>IF(B1556=0,0,O1542/B1556)</f>
        <v/>
      </c>
      <c r="Q1542" t="n">
        <v>0</v>
      </c>
      <c r="R1542" t="n">
        <v>0</v>
      </c>
      <c r="S1542">
        <f>IFERROR(O1542/N1542,0)</f>
        <v/>
      </c>
      <c r="T1542" t="n">
        <v>0</v>
      </c>
      <c r="V1542" t="n">
        <v>0</v>
      </c>
    </row>
    <row r="1543">
      <c r="A1543">
        <f>Skills!A26</f>
        <v/>
      </c>
      <c r="B1543">
        <f>Skills!B26</f>
        <v/>
      </c>
      <c r="C1543">
        <f>Inputs!$B$3&gt;=72</f>
        <v/>
      </c>
      <c r="D1543">
        <f>IF(Skills!C26=1,60+Inputs!$B$25+Inputs!$B$29,IF(Skills!C26=2,90+Inputs!$B$26+Inputs!$B$29,IF(Skills!C26=3,120+Inputs!$B$27+Inputs!$B$29,MAX(0,(Inputs!$B$3-100)*3)+Inputs!$B$28+Inputs!$B$29)))</f>
        <v/>
      </c>
      <c r="E1543">
        <f>INDEX(FactorTable!$B$2:$Y$301, MATCH(ROUND(MIN(300,MAX(1,D1543)),0), FactorTable!$A$2:$A$301,0), Skills!M26+1)</f>
        <v/>
      </c>
      <c r="F1543">
        <f>IF(Skills!N26=TRUE,(Skills!L26/10)*(E1543/1000),Skills!L26/10)+Skills!O26</f>
        <v/>
      </c>
      <c r="G1543">
        <f>Skills!G26*IF(Skills!H26&gt;0,Skills!I26/Skills!H26,1)</f>
        <v/>
      </c>
      <c r="H1543">
        <f>1-(1-Skills!J26/100)^Skills!K26</f>
        <v/>
      </c>
      <c r="I1543" t="inlineStr">
        <is>
          <t>1</t>
        </is>
      </c>
      <c r="J1543" t="inlineStr"/>
      <c r="K1543" t="inlineStr"/>
      <c r="L1543" t="inlineStr"/>
      <c r="M1543" t="inlineStr"/>
      <c r="N1543" t="inlineStr"/>
      <c r="O1543">
        <f>(1-Summary!$B$55)*T1543+Summary!$B$55*V1543</f>
        <v/>
      </c>
      <c r="P1543">
        <f>IF(B1556=0,0,O1543/B1556)</f>
        <v/>
      </c>
      <c r="Q1543" t="n">
        <v>0</v>
      </c>
      <c r="R1543" t="n">
        <v>0</v>
      </c>
      <c r="S1543">
        <f>IFERROR(O1543/N1543,0)</f>
        <v/>
      </c>
      <c r="T1543" t="n">
        <v>0</v>
      </c>
      <c r="V1543" t="n">
        <v>0</v>
      </c>
    </row>
    <row r="1545">
      <c r="A1545" t="inlineStr">
        <is>
          <t>Attack% Bucket Multiplier</t>
        </is>
      </c>
      <c r="B1545">
        <f>(1+(((C1530=TRUE)*F1530*IF(Inputs!$B$3&gt;=110,7,5))+((C1532=TRUE)*F1532*IF(AND(Inputs!$B$38&lt;&gt;"pvp",Inputs!$B$43&gt;0),(((R1532-1)*(Skills!T15*(1+Inputs!$B$34/100))+MIN((Skills!T15*(1+Inputs!$B$34/100)),MAX(0,Inputs!$B$43-((R1532-1)*Skills!D15))))/Inputs!$B$43),IF(Inputs!$B$38="pvp",MIN((Skills!T15*(1+Inputs!$B$34/100)),15)/15,(Skills!T15*(1+Inputs!$B$34/100))/Skills!D15)))+0)/100)</f>
        <v/>
      </c>
    </row>
    <row r="1546">
      <c r="A1546" t="inlineStr">
        <is>
          <t>Global Crit Rate Bonus %</t>
        </is>
      </c>
      <c r="B1546" t="n">
        <v>0</v>
      </c>
    </row>
    <row r="1547">
      <c r="A1547" t="inlineStr">
        <is>
          <t>Attack Speed Buff Bonus %</t>
        </is>
      </c>
      <c r="B1547">
        <f>((C1536=TRUE)*F1536*IF(AND(Inputs!$B$38&lt;&gt;"pvp",Inputs!$B$43&gt;0),(((R1536-1)*(Skills!T19*(1+Inputs!$B$34/100))+MIN((Skills!T19*(1+Inputs!$B$34/100)),MAX(0,Inputs!$B$43-((R1536-1)*Skills!D19))))/Inputs!$B$43),IF(Inputs!$B$38="pvp",MIN((Skills!T19*(1+Inputs!$B$34/100)),15)/15,(Skills!T19*(1+Inputs!$B$34/100))/Skills!D19)))</f>
        <v/>
      </c>
    </row>
    <row r="1548">
      <c r="A1548" t="inlineStr">
        <is>
          <t>Actions Per Second</t>
        </is>
      </c>
      <c r="B1548">
        <f>1+MIN(150,150*(1-(1-(Inputs!$B$11+((C1537=TRUE)*(F1537-Calc!F20)))/150)*(1-B1547/150)))/100</f>
        <v/>
      </c>
    </row>
    <row r="1549">
      <c r="A1549" t="inlineStr">
        <is>
          <t>Skill + Buff Cast Rate</t>
        </is>
      </c>
      <c r="B1549">
        <f>IF(AND(Inputs!$B$38&lt;&gt;"pvp",Inputs!$B$43&gt;0),SUMPRODUCT((Skills!E2:E26=TRUE)*(C1519:C1543=TRUE)*R1519:R1543*Skills!F2:F26)/Inputs!$B$43,SUMPRODUCT((Skills!E2:E26=TRUE)*(C1519:C1543=TRUE)*Q1519:Q1543*Skills!F2:F26))</f>
        <v/>
      </c>
    </row>
    <row r="1550">
      <c r="A1550" t="inlineStr">
        <is>
          <t>Raging Blow Casts Per Second</t>
        </is>
      </c>
      <c r="B1550">
        <f>MAX(0,B1548-B1549)</f>
        <v/>
      </c>
    </row>
    <row r="1551">
      <c r="A1551" t="inlineStr">
        <is>
          <t>Global Critical Damage Bonus % (Enrage)</t>
        </is>
      </c>
      <c r="B1551">
        <f>((C1535=TRUE)*F1535*IF(AND(Inputs!$B$38&lt;&gt;"pvp",Inputs!$B$43&gt;0),(((R1535-1)*(Skills!T18*(1+Inputs!$B$34/100))+MIN((Skills!T18*(1+Inputs!$B$34/100)),MAX(0,Inputs!$B$43-((R1535-1)*Skills!D18))))/Inputs!$B$43),IF(Inputs!$B$38="pvp",MIN((Skills!T18*(1+Inputs!$B$34/100)),15)/15,(Skills!T18*(1+Inputs!$B$34/100))/Skills!D18)))</f>
        <v/>
      </c>
    </row>
    <row r="1552">
      <c r="A1552" t="inlineStr">
        <is>
          <t>Global Final Damage Bonus % (Enrage + Combo Synergy)</t>
        </is>
      </c>
      <c r="B1552">
        <f>((C1534=TRUE)*F1534*IF(AND(Inputs!$B$38&lt;&gt;"pvp",Inputs!$B$43&gt;0),(((R1534-1)*(Skills!T17*(1+Inputs!$B$34/100))+MIN((Skills!T17*(1+Inputs!$B$34/100)),MAX(0,Inputs!$B$43-((R1534-1)*Skills!D17))))/Inputs!$B$43),IF(Inputs!$B$38="pvp",MIN((Skills!T17*(1+Inputs!$B$34/100)),15)/15,(Skills!T17*(1+Inputs!$B$34/100))/Skills!D17)))+((C1531=TRUE)*F1531*IF(Inputs!$B$3&gt;=110,7,5))</f>
        <v/>
      </c>
    </row>
    <row r="1553">
      <c r="A1553" t="inlineStr">
        <is>
          <t>Buff-Casting Startup Delay (s, fixed-duration only)</t>
        </is>
      </c>
      <c r="B1553">
        <f>IF(AND(Inputs!$B$38&lt;&gt;"pvp",Inputs!$B$43&gt;0),SUMPRODUCT((Skills!T2:T26&gt;0)*(Skills!E2:E26=TRUE)*(C1519:C1543=TRUE))/B1548,0)</f>
        <v/>
      </c>
    </row>
    <row r="1554">
      <c r="A1554" t="inlineStr">
        <is>
          <t>Boss-Only Total DPS (this block's swept value)</t>
        </is>
      </c>
      <c r="B1554">
        <f>SUM(T1519:T1543)</f>
        <v/>
      </c>
    </row>
    <row r="1555">
      <c r="A1555" t="inlineStr">
        <is>
          <t>Normal-Only Total DPS (this block's swept value)</t>
        </is>
      </c>
      <c r="B1555">
        <f>SUM(V1519:V1543)</f>
        <v/>
      </c>
    </row>
    <row r="1556">
      <c r="A1556" s="5" t="inlineStr">
        <is>
          <t>TOTAL DPS</t>
        </is>
      </c>
      <c r="B1556" s="5">
        <f>SUM(O1519:O1543)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2026-09-20T08:44:30Z</dcterms:created>
  <dcterms:modified xsi:type="dcterms:W3CDTF">2026-09-20T08:44:30Z</dcterms:modified>
</cp:coreProperties>
</file>