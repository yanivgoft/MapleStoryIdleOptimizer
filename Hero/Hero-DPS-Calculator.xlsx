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Hero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12</v>
      </c>
      <c r="N11" t="b">
        <v>1</v>
      </c>
      <c r="O11">
        <f>SUMPRODUCT((Inputs!$B$3&gt;={39})*{50})</f>
        <v/>
      </c>
      <c r="P11" t="n">
        <v>0</v>
      </c>
      <c r="Q11" t="n">
        <v>0</v>
      </c>
      <c r="R11" t="n">
        <v>7</v>
      </c>
      <c r="S11" t="inlineStr"/>
      <c r="T11" t="n">
        <v>0</v>
      </c>
      <c r="U11" t="n">
        <v>800</v>
      </c>
      <c r="V11" t="n">
        <v>23</v>
      </c>
      <c r="W11" t="inlineStr">
        <is>
          <t>Deals 350% damage to 7 target(s) in front, scaling '+5%/level' per the wiki page's own prose (the level 1-200 sampled table showed a constant 350% at every sampled level, which was wrongly trusted over the prose as a 'wiki content bug' — per direct user correction, the flat table was itself the error, same failure mode already caught on Bowmaster's Hurricane/Flash Mirage/Soul Arrow: a wiki per-level table reading flat is not reliable evidence a skill is truly non-scaling). factorIndex 12 (burst-damage active-skill convention, matching Close Combat/Puncture/Noble Demand's own curve), baseDamage 3500 tenths% (=350%) treated as the level-1 anchor.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Hero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NHANCED_RAGING_BLOW",IF(Inputs!$B$3&gt;=134,MAX(0,IF(Inputs!$B$3&gt;=110,7,5)-5)*50,0),0)/100)*(1+(IF(Skills!A2="RAGING_BLOW",Inputs!$B$17+Artifacts!$B$40,Inputs!$B$18+Artifacts!$B$39))/100)*(Summary!$B$13*(1+(Artifacts!$B$38+Artifacts!$B$36)/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IF(Skills!A5="ENHANCED_RAGING_BLOW",IF(Inputs!$B$3&gt;=134,MAX(0,IF(Inputs!$B$3&gt;=110,7,5)-5)*50,0),0)/100)*(1+(IF(Skills!A5="RAGING_BLOW",Inputs!$B$17+Artifacts!$B$40,Inputs!$B$18+Artifacts!$B$39))/100)*(Summary!$B$13*(1+(Artifacts!$B$38+Artifacts!$B$36)/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ENHANCED_RAGING_BLOW",IF(Inputs!$B$3&gt;=134,MAX(0,IF(Inputs!$B$3&gt;=110,7,5)-5)*50,0),0)/100)*(1+(IF(Skills!A6="RAGING_BLOW",Inputs!$B$17+Artifacts!$B$40,Inputs!$B$18+Artifacts!$B$39))/100)*(Summary!$B$13*(1+(Artifacts!$B$38+Artifacts!$B$36)/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ENHANCED_RAGING_BLOW",IF(Inputs!$B$3&gt;=134,MAX(0,IF(Inputs!$B$3&gt;=110,7,5)-5)*50,0),0)/100)*(1+(IF(Skills!A7="RAGING_BLOW",Inputs!$B$17+Artifacts!$B$40,Inputs!$B$18+Artifacts!$B$39))/100)*(Summary!$B$13*(1+(Artifacts!$B$38+Artifacts!$B$36)/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NHANCED_RAGING_BLOW",IF(Inputs!$B$3&gt;=134,MAX(0,IF(Inputs!$B$3&gt;=110,7,5)-5)*50,0),0)/100)*(1+(IF(Skills!A8="RAGING_BLOW",Inputs!$B$17+Artifacts!$B$40,Inputs!$B$18+Artifacts!$B$39))/100)*(Summary!$B$13*(1+(Artifacts!$B$38+Artifacts!$B$36)/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12=TRUE,F12,0)/100)*(1+IF(Skills!A9="ENHANCED_RAGING_BLOW",IF(Inputs!$B$3&gt;=134,MAX(0,IF(Inputs!$B$3&gt;=110,7,5)-5)*50,0),0)/100)*(1+(IF(Skills!A9="RAGING_BLOW",Inputs!$B$17+Artifacts!$B$40,Inputs!$B$18+Artifacts!$B$39))/100)*(Summary!$B$13*(1+(Artifacts!$B$38+Artifacts!$B$36)/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+1.5*IF(C12=TRUE,F12,0)/100)*(1+IF(Skills!A10="ENHANCED_RAGING_BLOW",IF(Inputs!$B$3&gt;=134,MAX(0,IF(Inputs!$B$3&gt;=110,7,5)-5)*50,0),0)/100)*(1+(IF(Skills!A10="RAGING_BLOW",Inputs!$B$17+Artifacts!$B$40,Inputs!$B$18+Artifacts!$B$39))/100)*(Summary!$B$13*(1+(Artifacts!$B$38+Artifacts!$B$36)/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+4.0*IF(C12=TRUE,F12,0)/100)*(1+IF(Skills!A11="ENHANCED_RAGING_BLOW",IF(Inputs!$B$3&gt;=134,MAX(0,IF(Inputs!$B$3&gt;=110,7,5)-5)*50,0),0)/100)*(1+(IF(Skills!A11="RAGING_BLOW",Inputs!$B$17+Artifacts!$B$40,Inputs!$B$18+Artifacts!$B$39))/100)*(Summary!$B$13*(1+(Artifacts!$B$38+Artifacts!$B$36)/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(Raging Blow)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Raging Blow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(Combo Attack + Spirit Blade + Artifact Attack%%, summed additively)</t>
        </is>
      </c>
      <c r="B13">
        <f>1+(((Calc!C13=TRUE)*Calc!F13*IF(Inputs!$B$3&gt;=110,7,5))+((Calc!C15=TRUE)*Calc!F15*IF(AND(Inputs!$B$38&lt;&gt;"pvp",Inputs!$B$43&gt;0),(((Calc!R15-1)*(Skills!T15*(1+Inputs!$B$34/100))+MIN((Skills!T15*(1+Inputs!$B$34/100)),MAX(0,Inputs!$B$43-((Calc!R15-1)*Skills!D15))))/Inputs!$B$43),IF(Inputs!$B$38="pvp",MIN((Skills!T15*(1+Inputs!$B$34/100)),15)/15,(Skills!T15*(1+Inputs!$B$34/100))/Skills!D15)))+Artifacts!$B$52)/100</f>
        <v/>
      </c>
    </row>
    <row r="14">
      <c r="A14" t="inlineStr">
        <is>
          <t>Global Crit Rate Bonus % (unused — no live Crit-Rate-buff source exists)</t>
        </is>
      </c>
      <c r="B14" t="n">
        <v>0</v>
      </c>
    </row>
    <row r="15">
      <c r="A15" t="inlineStr">
        <is>
          <t>Global Monster Damage-Taken Bonus % (Scaring Sword, proc-chance x duty-cycle)</t>
        </is>
      </c>
      <c r="B15">
        <f>((Calc!C16=TRUE)*Calc!F16*(Skills!J16/100)*IF(AND(Inputs!$B$38&lt;&gt;"pvp",Inputs!$B$43&gt;0),(((Calc!R16-1)*(Skills!T16*(1+Inputs!$B$34/100))+MIN((Skills!T16*(1+Inputs!$B$34/100)),MAX(0,Inputs!$B$43-((Calc!R16-1)*Skills!D16))))/Inputs!$B$43),IF(Inputs!$B$38="pvp",MIN((Skills!T16*(1+Inputs!$B$34/100)),15)/15,(Skills!T16*(1+Inputs!$B$34/100))/Skills!D16)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Raging Blow, 1/s)</t>
        </is>
      </c>
      <c r="B18">
        <f>IF(AND(Inputs!$B$38&lt;&gt;"pvp",Inputs!$B$43&gt;0),SUMPRODUCT((Skills!E2:E26=TRUE)*(Calc!C2:C26=TRUE)*Calc!R2:R26*Skills!F2:F26)/Inputs!$B$43,SUMPRODUCT((Skills!E2:E26=TRUE)*(Calc!C2:C26=TRUE)*Calc!Q2:Q26*Skills!F2:F26))</f>
        <v/>
      </c>
    </row>
    <row r="19">
      <c r="A19" t="inlineStr">
        <is>
          <t>Raging Blow (Basic Attack) Casts Per Second</t>
        </is>
      </c>
      <c r="B19">
        <f>MAX(0,B17-B18)</f>
        <v/>
      </c>
    </row>
    <row r="20">
      <c r="A20" t="inlineStr">
        <is>
          <t>Global Critical Damage Bonus % (Enrage, duty-cycled)</t>
        </is>
      </c>
      <c r="B20">
        <f>((Calc!C18=TRUE)*Calc!F18*IF(AND(Inputs!$B$38&lt;&gt;"pvp",Inputs!$B$43&gt;0),(((Calc!R18-1)*(Skills!T18*(1+Inputs!$B$34/100))+MIN((Skills!T18*(1+Inputs!$B$34/100)),MAX(0,Inputs!$B$43-((Calc!R18-1)*Skills!D18))))/Inputs!$B$43),IF(Inputs!$B$38="pvp",MIN((Skills!T18*(1+Inputs!$B$34/100)),15)/15,(Skills!T18*(1+Inputs!$B$34/100))/Skills!D18)))</f>
        <v/>
      </c>
    </row>
    <row r="21">
      <c r="A21" t="inlineStr">
        <is>
          <t>Global Final Damage Bonus % (Enrage + Combo Synergy)</t>
        </is>
      </c>
      <c r="B21">
        <f>((Calc!C17=TRUE)*Calc!F17*IF(AND(Inputs!$B$38&lt;&gt;"pvp",Inputs!$B$43&gt;0),(((Calc!R17-1)*(Skills!T17*(1+Inputs!$B$34/100))+MIN((Skills!T17*(1+Inputs!$B$34/100)),MAX(0,Inputs!$B$43-((Calc!R17-1)*Skills!D17))))/Inputs!$B$43),IF(Inputs!$B$38="pvp",MIN((Skills!T17*(1+Inputs!$B$34/100)),15)/15,(Skills!T17*(1+Inputs!$B$34/100))/Skills!D17)))+((Calc!C14=TRUE)*Calc!F14*IF(Inputs!$B$3&gt;=110,7,5))</f>
        <v/>
      </c>
    </row>
    <row r="22">
      <c r="A22" t="inlineStr">
        <is>
          <t>Raging Blow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IF(ArtifactsInput!$M$5,Summary!$B$3/(Summary!$B$3-(IF(ArtifactsInput!$M$5,-1,1)*Summary!$B$3*(((1-Summary!$B$11)*IFERROR(B1200/Summary!$B$24,1)+Summary!$B$11*IFERROR(B1201/Summary!$B$25,1))-1)+ArtifactsInput!$L$5))*100,(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IF(ArtifactsInput!$M$6,Summary!$B$3/(Summary!$B$3-(IF(ArtifactsInput!$M$6,-1,1)*Summary!$B$3*(((1-Summary!$B$11)*IFERROR(B1242/Summary!$B$24,1)+Summary!$B$11*IFERROR(B1243/Summary!$B$25,1))-1)+ArtifactsInput!$L$6))*100,(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IF(ArtifactsInput!$M$7,Summary!$B$3/(Summary!$B$3-(IF(ArtifactsInput!$M$7,-1,1)*Summary!$B$3*(((1-Summary!$B$11)*IFERROR(B1284/Summary!$B$24,1)+Summary!$B$11*IFERROR(B1285/Summary!$B$25,1))-1)+ArtifactsInput!$L$7))*100,(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IF(ArtifactsInput!$M$8,Summary!$B$3/(Summary!$B$3-(IF(ArtifactsInput!$M$8,-1,1)*Summary!$B$3*(((1-Summary!$B$11)*IFERROR(B1326/Summary!$B$24,1)+Summary!$B$11*IFERROR(B1327/Summary!$B$25,1))-1)+ArtifactsInput!$L$8))*100,(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IF(ArtifactsInput!$M$10,Summary!$B$3/(Summary!$B$3-(IF(ArtifactsInput!$M$10,-1,1)*Summary!$B$3*(((1-Summary!$B$11)*IFERROR(B1368/Summary!$B$24,1)+Summary!$B$11*IFERROR(B1369/Summary!$B$25,1))-1)+ArtifactsInput!$L$10))*100,(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IF(ArtifactsInput!$M$11,Summary!$B$3/(Summary!$B$3-(IF(ArtifactsInput!$M$11,-1,1)*Summary!$B$3*(((1-Summary!$B$11)*IFERROR(B1410/Summary!$B$24,1)+Summary!$B$11*IFERROR(B1411/Summary!$B$25,1))-1)+ArtifactsInput!$L$11))*100,(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IF(ArtifactsInput!$M$12,Summary!$B$3/(Summary!$B$3-(IF(ArtifactsInput!$M$12,-1,1)*Summary!$B$3*(((1-Summary!$B$11)*IFERROR(B1452/Summary!$B$24,1)+Summary!$B$11*IFERROR(B1453/Summary!$B$25,1))-1)+ArtifactsInput!$L$12))*100,(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IF(ArtifactsInput!$M$13,Summary!$B$3/(Summary!$B$3-(IF(ArtifactsInput!$M$13,-1,1)*Summary!$B$3*(((1-Summary!$B$11)*IFERROR(B1494/Summary!$B$24,1)+Summary!$B$11*IFERROR(B1495/Summary!$B$25,1))-1)+ArtifactsInput!$L$13))*100,(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IF(ArtifactsInput!$M$14,Summary!$B$3/(Summary!$B$3-(IF(ArtifactsInput!$M$14,-1,1)*Summary!$B$3*(((1-Summary!$B$11)*IFERROR(B1536/Summary!$B$24,1)+Summary!$B$11*IFERROR(B1537/Summary!$B$25,1))-1)+ArtifactsInput!$L$14))*100,(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IF(ArtifactsInput!$M$15,Summary!$B$3/(Summary!$B$3-(IF(ArtifactsInput!$M$15,-1,1)*Summary!$B$3*(((1-Summary!$B$11)*IFERROR(B1578/Summary!$B$24,1)+Summary!$B$11*IFERROR(B1579/Summary!$B$25,1))-1)+ArtifactsInput!$L$15))*100,(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IF(ArtifactsInput!$M$16,Summary!$B$3/(Summary!$B$3-(IF(ArtifactsInput!$M$16,-1,1)*Summary!$B$3*(((1-Summary!$B$11)*IFERROR(B1620/Summary!$B$24,1)+Summary!$B$11*IFERROR(B1621/Summary!$B$25,1))-1)+ArtifactsInput!$L$16))*100,(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IF(ArtifactsInput!$M$17,Summary!$B$3/(Summary!$B$3-(IF(ArtifactsInput!$M$17,-1,1)*Summary!$B$3*(((1-Summary!$B$11)*IFERROR(B1662/Summary!$B$24,1)+Summary!$B$11*IFERROR(B1663/Summary!$B$25,1))-1)+ArtifactsInput!$L$17))*100,(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IF(ArtifactsInput!$M$18,Summary!$B$3/(Summary!$B$3-(IF(ArtifactsInput!$M$18,-1,1)*Summary!$B$3*(((1-Summary!$B$11)*IFERROR(B1704/Summary!$B$24,1)+Summary!$B$11*IFERROR(B1705/Summary!$B$25,1))-1)+ArtifactsInput!$L$18))*100,(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IF(ArtifactsInput!$M$20,Summary!$B$3/(Summary!$B$3-(IF(ArtifactsInput!$M$20,-1,1)*Summary!$B$3*(((1-Summary!$B$11)*IFERROR(B1746/Summary!$B$24,1)+Summary!$B$11*IFERROR(B1747/Summary!$B$25,1))-1)+ArtifactsInput!$L$20))*100,(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IF(ArtifactsInput!$M$21,Summary!$B$3/(Summary!$B$3-(IF(ArtifactsInput!$M$21,-1,1)*Summary!$B$3*(((1-Summary!$B$11)*IFERROR(B1788/Summary!$B$24,1)+Summary!$B$11*IFERROR(B1789/Summary!$B$25,1))-1)+ArtifactsInput!$L$21))*100,(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IF(ArtifactsInput!$M$22,Summary!$B$3/(Summary!$B$3-(IF(ArtifactsInput!$M$22,-1,1)*Summary!$B$3*(((1-Summary!$B$11)*IFERROR(B1830/Summary!$B$24,1)+Summary!$B$11*IFERROR(B1831/Summary!$B$25,1))-1)+ArtifactsInput!$L$22))*100,(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IF(ArtifactsInput!$M$23,Summary!$B$3/(Summary!$B$3-(IF(ArtifactsInput!$M$23,-1,1)*Summary!$B$3*(((1-Summary!$B$11)*IFERROR(B1872/Summary!$B$24,1)+Summary!$B$11*IFERROR(B1873/Summary!$B$25,1))-1)+ArtifactsInput!$L$23))*100,(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IF(ArtifactsInput!$M$24,Summary!$B$3/(Summary!$B$3-(IF(ArtifactsInput!$M$24,-1,1)*Summary!$B$3*(((1-Summary!$B$11)*IFERROR(B1914/Summary!$B$24,1)+Summary!$B$11*IFERROR(B1915/Summary!$B$25,1))-1)+ArtifactsInput!$L$24))*100,(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IF(ArtifactsInput!$M$25,Summary!$B$3/(Summary!$B$3-(IF(ArtifactsInput!$M$25,-1,1)*Summary!$B$3*(((1-Summary!$B$11)*IFERROR(B1956/Summary!$B$24,1)+Summary!$B$11*IFERROR(B1957/Summary!$B$25,1))-1)+ArtifactsInput!$L$25))*100,(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IF(ArtifactsInput!$M$26,Summary!$B$3/(Summary!$B$3-(IF(ArtifactsInput!$M$26,-1,1)*Summary!$B$3*(((1-Summary!$B$11)*IFERROR(B1998/Summary!$B$24,1)+Summary!$B$11*IFERROR(B1999/Summary!$B$25,1))-1)+ArtifactsInput!$L$26))*100,(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IF(ArtifactsInput!$M$27,Summary!$B$3/(Summary!$B$3-(IF(ArtifactsInput!$M$27,-1,1)*Summary!$B$3*(((1-Summary!$B$11)*IFERROR(B2040/Summary!$B$24,1)+Summary!$B$11*IFERROR(B2041/Summary!$B$25,1))-1)+ArtifactsInput!$L$27))*100,(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IF(ArtifactsInput!$M$28,Summary!$B$3/(Summary!$B$3-(IF(ArtifactsInput!$M$28,-1,1)*Summary!$B$3*(((1-Summary!$B$11)*IFERROR(B2082/Summary!$B$24,1)+Summary!$B$11*IFERROR(B2083/Summary!$B$25,1))-1)+ArtifactsInput!$L$28))*100,(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IF(ArtifactsInput!$M$29,Summary!$B$3/(Summary!$B$3-(IF(ArtifactsInput!$M$29,-1,1)*Summary!$B$3*(((1-Summary!$B$11)*IFERROR(B2124/Summary!$B$24,1)+Summary!$B$11*IFERROR(B2125/Summary!$B$25,1))-1)+ArtifactsInput!$L$29))*100,(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IF(ArtifactsInput!$M$30,Summary!$B$3/(Summary!$B$3-(IF(ArtifactsInput!$M$30,-1,1)*Summary!$B$3*(((1-Summary!$B$11)*IFERROR(B2166/Summary!$B$24,1)+Summary!$B$11*IFERROR(B2167/Summary!$B$25,1))-1)+ArtifactsInput!$L$30))*100,(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IF(ArtifactsInput!$M$31,Summary!$B$3/(Summary!$B$3-(IF(ArtifactsInput!$M$31,-1,1)*Summary!$B$3*(((1-Summary!$B$11)*IFERROR(B2208/Summary!$B$24,1)+Summary!$B$11*IFERROR(B2209/Summary!$B$25,1))-1)+ArtifactsInput!$L$31))*100,(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IF(ArtifactsInput!$M$32,Summary!$B$3/(Summary!$B$3-(IF(ArtifactsInput!$M$32,-1,1)*Summary!$B$3*(((1-Summary!$B$11)*IFERROR(B2250/Summary!$B$24,1)+Summary!$B$11*IFERROR(B2251/Summary!$B$25,1))-1)+ArtifactsInput!$L$32))*100,(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IF(ArtifactsInput!$M$33,Summary!$B$3/(Summary!$B$3-(IF(ArtifactsInput!$M$33,-1,1)*Summary!$B$3*(((1-Summary!$B$11)*IFERROR(B2292/Summary!$B$24,1)+Summary!$B$11*IFERROR(B2293/Summary!$B$25,1))-1)+ArtifactsInput!$L$33))*100,(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IF(ArtifactsInput!$M$34,Summary!$B$3/(Summary!$B$3-(IF(ArtifactsInput!$M$34,-1,1)*Summary!$B$3*(((1-Summary!$B$11)*IFERROR(B2334/Summary!$B$24,1)+Summary!$B$11*IFERROR(B2335/Summary!$B$25,1))-1)+ArtifactsInput!$L$34))*100,(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IF(ArtifactsInput!$M$35,Summary!$B$3/(Summary!$B$3-(IF(ArtifactsInput!$M$35,-1,1)*Summary!$B$3*(((1-Summary!$B$11)*IFERROR(B2376/Summary!$B$24,1)+Summary!$B$11*IFERROR(B2377/Summary!$B$25,1))-1)+ArtifactsInput!$L$35))*100,(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IF(ArtifactsInput!$M$36,Summary!$B$3/(Summary!$B$3-(IF(ArtifactsInput!$M$36,-1,1)*Summary!$B$3*(((1-Summary!$B$11)*IFERROR(B2418/Summary!$B$24,1)+Summary!$B$11*IFERROR(B2419/Summary!$B$25,1))-1)+ArtifactsInput!$L$36))*100,(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IF(ArtifactsInput!$M$37,Summary!$B$3/(Summary!$B$3-(IF(ArtifactsInput!$M$37,-1,1)*Summary!$B$3*(((1-Summary!$B$11)*IFERROR(B2460/Summary!$B$24,1)+Summary!$B$11*IFERROR(B2461/Summary!$B$25,1))-1)+ArtifactsInput!$L$37))*100,(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IF(ArtifactsInput!$M$38,Summary!$B$3/(Summary!$B$3-(IF(ArtifactsInput!$M$38,-1,1)*Summary!$B$3*(((1-Summary!$B$11)*IFERROR(B2502/Summary!$B$24,1)+Summary!$B$11*IFERROR(B2503/Summary!$B$25,1))-1)+ArtifactsInput!$L$38))*100,(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IF(ArtifactsInput!$M$39,Summary!$B$3/(Summary!$B$3-(IF(ArtifactsInput!$M$39,-1,1)*Summary!$B$3*(((1-Summary!$B$11)*IFERROR(B2544/Summary!$B$24,1)+Summary!$B$11*IFERROR(B2545/Summary!$B$25,1))-1)+ArtifactsInput!$L$39))*100,(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IF(ArtifactsInput!$M$40,Summary!$B$3/(Summary!$B$3-(IF(ArtifactsInput!$M$40,-1,1)*Summary!$B$3*(((1-Summary!$B$11)*IFERROR(B2586/Summary!$B$24,1)+Summary!$B$11*IFERROR(B2587/Summary!$B$25,1))-1)+ArtifactsInput!$L$40))*100,(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IF(ArtifactsInput!$M$41,Summary!$B$3/(Summary!$B$3-(IF(ArtifactsInput!$M$41,-1,1)*Summary!$B$3*(((1-Summary!$B$11)*IFERROR(B2628/Summary!$B$24,1)+Summary!$B$11*IFERROR(B2629/Summary!$B$25,1))-1)+ArtifactsInput!$L$41))*100,(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IF(ArtifactsInput!$M$42,Summary!$B$3/(Summary!$B$3-(IF(ArtifactsInput!$M$42,-1,1)*Summary!$B$3*(((1-Summary!$B$11)*IFERROR(B2670/Summary!$B$24,1)+Summary!$B$11*IFERROR(B2671/Summary!$B$25,1))-1)+ArtifactsInput!$L$42))*100,(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U75">
        <f>290*U74/1000</f>
        <v/>
      </c>
    </row>
    <row r="76">
      <c r="A76">
        <f>Skills!A5</f>
        <v/>
      </c>
      <c r="B76">
        <f>Skills!B5</f>
        <v/>
      </c>
      <c r="C76">
        <f>Inputs!$B$3&gt;=103</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IFERROR(1/(IF(Inputs!$B$38="pvp",15,MAX(0.1,Skills!D5-IF(Skills!E5=TRUE,Inputs!$B$32,0)))*(1-IF(AND(ArtifactsInput!$M$27,Inputs!$B$4="Chapter Hunt"),CHOOSE(ArtifactsInput!$N$27+1,20,24,28,32,36,40),0)/100)),0)</f>
        <v/>
      </c>
      <c r="R76">
        <f>IF(AND(Inputs!$B$38&lt;&gt;"pvp",Inputs!$B$43&gt;0),IF(MAX(0,Inputs!$B$43-B107)&lt;=0,0,(INT(MAX(0,Inputs!$B$43-B107)/(IF(Inputs!$B$38="pvp",15,MAX(0.1,Skills!D5-IF(Skills!E5=TRUE,Inputs!$B$32,0)))*(1-IF(AND(ArtifactsInput!$M$27,Inputs!$B$4="Chapter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IFERROR(1/(IF(Inputs!$B$38="pvp",15,MAX(0.1,Skills!D6-IF(Skills!E6=TRUE,Inputs!$B$32,0)))*(1-IF(AND(ArtifactsInput!$M$27,Inputs!$B$4="Chapter Hunt"),CHOOSE(ArtifactsInput!$N$27+1,20,24,28,32,36,40),0)/100)),0)</f>
        <v/>
      </c>
      <c r="R77">
        <f>IF(AND(Inputs!$B$38&lt;&gt;"pvp",Inputs!$B$43&gt;0),IF(MAX(0,Inputs!$B$43-B107)&lt;=0,0,(INT(MAX(0,Inputs!$B$43-B107)/(IF(Inputs!$B$38="pvp",15,MAX(0.1,Skills!D6-IF(Skills!E6=TRUE,Inputs!$B$32,0)))*(1-IF(AND(ArtifactsInput!$M$27,Inputs!$B$4="Chapter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IFERROR(1/(IF(Inputs!$B$38="pvp",15,MAX(0.1,Skills!D7-IF(Skills!E7=TRUE,Inputs!$B$32,0)))*(1-IF(AND(ArtifactsInput!$M$27,Inputs!$B$4="Chapter Hunt"),CHOOSE(ArtifactsInput!$N$27+1,20,24,28,32,36,40),0)/100)),0)</f>
        <v/>
      </c>
      <c r="R78">
        <f>IF(AND(Inputs!$B$38&lt;&gt;"pvp",Inputs!$B$43&gt;0),IF(MAX(0,Inputs!$B$43-B107)&lt;=0,0,(INT(MAX(0,Inputs!$B$43-B107)/(IF(Inputs!$B$38="pvp",15,MAX(0.1,Skills!D7-IF(Skills!E7=TRUE,Inputs!$B$32,0)))*(1-IF(AND(ArtifactsInput!$M$27,Inputs!$B$4="Chapter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IFERROR(1/(IF(Inputs!$B$38="pvp",15,MAX(0.1,Skills!D8-IF(Skills!E8=TRUE,Inputs!$B$32,0)))*(1-IF(AND(ArtifactsInput!$M$27,Inputs!$B$4="Chapter Hunt"),CHOOSE(ArtifactsInput!$N$27+1,20,24,28,32,36,40),0)/100)),0)</f>
        <v/>
      </c>
      <c r="R79">
        <f>IF(AND(Inputs!$B$38&lt;&gt;"pvp",Inputs!$B$43&gt;0),IF(MAX(0,Inputs!$B$43-B107)&lt;=0,0,(INT(MAX(0,Inputs!$B$43-B107)/(IF(Inputs!$B$38="pvp",15,MAX(0.1,Skills!D8-IF(Skills!E8=TRUE,Inputs!$B$32,0)))*(1-IF(AND(ArtifactsInput!$M$27,Inputs!$B$4="Chapter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9="ENHANCED_RAGING_BLOW",IF(Inputs!$B$3&gt;=134,MAX(0,IF(Inputs!$B$3&gt;=110,7,5)-5)*50,0),0)/100)*(1+(IF(Skills!A9="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IFERROR(1/(IF(Inputs!$B$38="pvp",15,MAX(0.1,Skills!D9-IF(Skills!E9=TRUE,Inputs!$B$32,0)))*(1-IF(AND(ArtifactsInput!$M$27,Inputs!$B$4="Chapter Hunt"),CHOOSE(ArtifactsInput!$N$27+1,20,24,28,32,36,40),0)/100)),0)</f>
        <v/>
      </c>
      <c r="R80">
        <f>IF(AND(Inputs!$B$38&lt;&gt;"pvp",Inputs!$B$43&gt;0),IF(MAX(0,Inputs!$B$43-B107)&lt;=0,0,(INT(MAX(0,Inputs!$B$43-B107)/(IF(Inputs!$B$38="pvp",15,MAX(0.1,Skills!D9-IF(Skills!E9=TRUE,Inputs!$B$32,0)))*(1-IF(AND(ArtifactsInput!$M$27,Inputs!$B$4="Chapter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10="ENHANCED_RAGING_BLOW",IF(Inputs!$B$3&gt;=134,MAX(0,IF(Inputs!$B$3&gt;=110,7,5)-5)*50,0),0)/100)*(1+(IF(Skills!A10="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IFERROR(1/(IF(Inputs!$B$38="pvp",15,MAX(0.1,Skills!D10-IF(Skills!E10=TRUE,Inputs!$B$32,0)))*(1-IF(AND(ArtifactsInput!$M$27,Inputs!$B$4="Chapter Hunt"),CHOOSE(ArtifactsInput!$N$27+1,20,24,28,32,36,40),0)/100)),0)</f>
        <v/>
      </c>
      <c r="R81">
        <f>IF(AND(Inputs!$B$38&lt;&gt;"pvp",Inputs!$B$43&gt;0),IF(MAX(0,Inputs!$B$43-B107)&lt;=0,0,(INT(MAX(0,Inputs!$B$43-B107)/(IF(Inputs!$B$38="pvp",15,MAX(0.1,Skills!D10-IF(Skills!E10=TRUE,Inputs!$B$32,0)))*(1-IF(AND(ArtifactsInput!$M$27,Inputs!$B$4="Chapter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Inputs!$B$3&gt;=35</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11="ENHANCED_RAGING_BLOW",IF(Inputs!$B$3&gt;=134,MAX(0,IF(Inputs!$B$3&gt;=110,7,5)-5)*50,0),0)/100)*(1+(IF(Skills!A11="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IFERROR(1/(IF(Inputs!$B$38="pvp",15,MAX(0.1,Skills!D11-IF(Skills!E11=TRUE,Inputs!$B$32,0)))*(1-IF(AND(ArtifactsInput!$M$27,Inputs!$B$4="Chapter Hunt"),CHOOSE(ArtifactsInput!$N$27+1,20,24,28,32,36,40),0)/100)),0)</f>
        <v/>
      </c>
      <c r="R82">
        <f>IF(AND(Inputs!$B$38&lt;&gt;"pvp",Inputs!$B$43&gt;0),IF(MAX(0,Inputs!$B$43-B107)&lt;=0,0,(INT(MAX(0,Inputs!$B$43-B107)/(IF(Inputs!$B$38="pvp",15,MAX(0.1,Skills!D11-IF(Skills!E11=TRUE,Inputs!$B$32,0)))*(1-IF(AND(ArtifactsInput!$M$27,Inputs!$B$4="Chapter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Inputs!$B$3&gt;=75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Inputs!$B$3&gt;=40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Inputs!$B$3&gt;=66</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Inputs!$B$3&gt;=72</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90=TRUE)*F90*IF(AND(Inputs!$B$38&lt;&gt;"pvp",Inputs!$B$43&gt;0),(((R90-1)*(Skills!T19*(1+(Inputs!$B$34+(ArtifactsInput!$M$7-ArtifactsInput!$M$7)*CHOOSE(ArtifactsInput!$N$7+1,6,7.2,8.4,9.6,10.8,12))/100))+MIN((Skills!T19*(1+(Inputs!$B$34+(ArtifactsInput!$M$7-ArtifactsInput!$M$7)*CHOOSE(ArtifactsInput!$N$7+1,6,7.2,8.4,9.6,10.8,12))/100)),MAX(0,Inputs!$B$43-((R90-1)*Skills!D19))))/Inputs!$B$43),IF(Inputs!$B$38="pvp",MIN((Skills!T19*(1+(Inputs!$B$34+(ArtifactsInput!$M$7-ArtifactsInput!$M$7)*CHOOSE(ArtifactsInput!$N$7+1,6,7.2,8.4,9.6,10.8,12))/100)),15)/15,(Skills!T19*(1+(Inputs!$B$34+(ArtifactsInput!$M$7-ArtifactsInput!$M$7)*CHOOSE(ArtifactsInput!$N$7+1,6,7.2,8.4,9.6,10.8,12))/100))/Skills!D19)))</f>
        <v/>
      </c>
    </row>
    <row r="102">
      <c r="A102" t="inlineStr">
        <is>
          <t>Actions Per Second</t>
        </is>
      </c>
      <c r="B102">
        <f>1+MIN(150,150*(1-(1-(Inputs!$B$11+((C91=TRUE)*(F91-Calc!F20)))/150)*(1-B101/150)))/100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Raging Blow Casts Per Second</t>
        </is>
      </c>
      <c r="B104">
        <f>MAX(0,B102-B103)</f>
        <v/>
      </c>
    </row>
    <row r="105">
      <c r="A105" t="inlineStr">
        <is>
          <t>Global Critical Damage Bonus % (Enrage)</t>
        </is>
      </c>
      <c r="B105">
        <f>((C89=TRUE)*F89*IF(AND(Inputs!$B$38&lt;&gt;"pvp",Inputs!$B$43&gt;0),(((R89-1)*(Skills!T18*(1+(Inputs!$B$34+(ArtifactsInput!$M$7-ArtifactsInput!$M$7)*CHOOSE(ArtifactsInput!$N$7+1,6,7.2,8.4,9.6,10.8,12))/100))+MIN((Skills!T18*(1+(Inputs!$B$34+(ArtifactsInput!$M$7-ArtifactsInput!$M$7)*CHOOSE(ArtifactsInput!$N$7+1,6,7.2,8.4,9.6,10.8,12))/100)),MAX(0,Inputs!$B$43-((R89-1)*Skills!D18))))/Inputs!$B$43),IF(Inputs!$B$38="pvp",MIN((Skills!T18*(1+(Inputs!$B$34+(ArtifactsInput!$M$7-ArtifactsInput!$M$7)*CHOOSE(ArtifactsInput!$N$7+1,6,7.2,8.4,9.6,10.8,12))/100)),15)/15,(Skills!T18*(1+(Inputs!$B$34+(ArtifactsInput!$M$7-ArtifactsInput!$M$7)*CHOOSE(ArtifactsInput!$N$7+1,6,7.2,8.4,9.6,10.8,12))/100))/Skills!D18)))</f>
        <v/>
      </c>
    </row>
    <row r="106">
      <c r="A106" t="inlineStr">
        <is>
          <t>Global Final Damage Bonus % (Enrage + Combo Synergy)</t>
        </is>
      </c>
      <c r="B106">
        <f>((C88=TRUE)*F88*IF(AND(Inputs!$B$38&lt;&gt;"pvp",Inputs!$B$43&gt;0),(((R88-1)*(Skills!T17*(1+(Inputs!$B$34+(ArtifactsInput!$M$7-ArtifactsInput!$M$7)*CHOOSE(ArtifactsInput!$N$7+1,6,7.2,8.4,9.6,10.8,12))/100))+MIN((Skills!T17*(1+(Inputs!$B$34+(ArtifactsInput!$M$7-ArtifactsInput!$M$7)*CHOOSE(ArtifactsInput!$N$7+1,6,7.2,8.4,9.6,10.8,12))/100)),MAX(0,Inputs!$B$43-((R88-1)*Skills!D17))))/Inputs!$B$43),IF(Inputs!$B$38="pvp",MIN((Skills!T17*(1+(Inputs!$B$34+(ArtifactsInput!$M$7-ArtifactsInput!$M$7)*CHOOSE(ArtifactsInput!$N$7+1,6,7.2,8.4,9.6,10.8,12))/100)),15)/15,(Skills!T17*(1+(Inputs!$B$34+(ArtifactsInput!$M$7-ArtifactsInput!$M$7)*CHOOSE(ArtifactsInput!$N$7+1,6,7.2,8.4,9.6,10.8,12))/100))/Skills!D17)))+((C85=TRUE)*F85*IF(Inputs!$B$3&gt;=110,7,5))</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115)</f>
        <v/>
      </c>
      <c r="L115">
        <f>K115*(MIN(Inputs!$B$22+((C135=TRUE)*(F135-Calc!F22)),(Inputs!$B$23+((C137=TRUE)*(F137-Calc!F24))+(IF(ArtifactsInput!$M$15,CHOOSE(ArtifactsInput!$N$15+1,25,30,35,40,45,50)/100*(Inputs!$B$11-Inputs!$B$11),0))))/100+(Inputs!$B$23+((C137=TRUE)*(F137-Calc!F24))+(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118)</f>
        <v/>
      </c>
      <c r="L118">
        <f>K118*(MIN(Inputs!$B$22+((C135=TRUE)*(F135-Calc!F22)),(Inputs!$B$23+((C137=TRUE)*(F137-Calc!F24))+(IF(ArtifactsInput!$M$15,CHOOSE(ArtifactsInput!$N$15+1,25,30,35,40,45,50)/100*(Inputs!$B$11-Inputs!$B$11),0))))/100+(Inputs!$B$23+((C137=TRUE)*(F137-Calc!F24))+(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IFERROR(1/(IF(Inputs!$B$38="pvp",15,MAX(0.1,Skills!D5-IF(Skills!E5=TRUE,Inputs!$B$32,0)))*(1-IF(AND(ArtifactsInput!$M$27,Inputs!$B$4="Chapter Hunt"),CHOOSE(ArtifactsInput!$N$27+1,20,24,28,32,36,40),0)/100)),0)</f>
        <v/>
      </c>
      <c r="R118">
        <f>IF(AND(Inputs!$B$38&lt;&gt;"pvp",Inputs!$B$43&gt;0),IF(MAX(0,Inputs!$B$43-B149)&lt;=0,0,(INT(MAX(0,Inputs!$B$43-B149)/(IF(Inputs!$B$38="pvp",15,MAX(0.1,Skills!D5-IF(Skills!E5=TRUE,Inputs!$B$32,0)))*(1-IF(AND(ArtifactsInput!$M$27,Inputs!$B$4="Chapter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119)</f>
        <v/>
      </c>
      <c r="L119">
        <f>K119*(MIN(Inputs!$B$22+((C135=TRUE)*(F135-Calc!F22)),(Inputs!$B$23+((C137=TRUE)*(F137-Calc!F24))+(IF(ArtifactsInput!$M$15,CHOOSE(ArtifactsInput!$N$15+1,25,30,35,40,45,50)/100*(Inputs!$B$11-Inputs!$B$11),0))))/100+(Inputs!$B$23+((C137=TRUE)*(F137-Calc!F24))+(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IFERROR(1/(IF(Inputs!$B$38="pvp",15,MAX(0.1,Skills!D6-IF(Skills!E6=TRUE,Inputs!$B$32,0)))*(1-IF(AND(ArtifactsInput!$M$27,Inputs!$B$4="Chapter Hunt"),CHOOSE(ArtifactsInput!$N$27+1,20,24,28,32,36,40),0)/100)),0)</f>
        <v/>
      </c>
      <c r="R119">
        <f>IF(AND(Inputs!$B$38&lt;&gt;"pvp",Inputs!$B$43&gt;0),IF(MAX(0,Inputs!$B$43-B149)&lt;=0,0,(INT(MAX(0,Inputs!$B$43-B149)/(IF(Inputs!$B$38="pvp",15,MAX(0.1,Skills!D6-IF(Skills!E6=TRUE,Inputs!$B$32,0)))*(1-IF(AND(ArtifactsInput!$M$27,Inputs!$B$4="Chapter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120)</f>
        <v/>
      </c>
      <c r="L120">
        <f>K120*(MIN(Inputs!$B$22+((C135=TRUE)*(F135-Calc!F22)),(Inputs!$B$23+((C137=TRUE)*(F137-Calc!F24))+(IF(ArtifactsInput!$M$15,CHOOSE(ArtifactsInput!$N$15+1,25,30,35,40,45,50)/100*(Inputs!$B$11-Inputs!$B$11),0))))/100+(Inputs!$B$23+((C137=TRUE)*(F137-Calc!F24))+(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IFERROR(1/(IF(Inputs!$B$38="pvp",15,MAX(0.1,Skills!D7-IF(Skills!E7=TRUE,Inputs!$B$32,0)))*(1-IF(AND(ArtifactsInput!$M$27,Inputs!$B$4="Chapter Hunt"),CHOOSE(ArtifactsInput!$N$27+1,20,24,28,32,36,40),0)/100)),0)</f>
        <v/>
      </c>
      <c r="R120">
        <f>IF(AND(Inputs!$B$38&lt;&gt;"pvp",Inputs!$B$43&gt;0),IF(MAX(0,Inputs!$B$43-B149)&lt;=0,0,(INT(MAX(0,Inputs!$B$43-B149)/(IF(Inputs!$B$38="pvp",15,MAX(0.1,Skills!D7-IF(Skills!E7=TRUE,Inputs!$B$32,0)))*(1-IF(AND(ArtifactsInput!$M$27,Inputs!$B$4="Chapter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121)</f>
        <v/>
      </c>
      <c r="L121">
        <f>K121*(MIN(Inputs!$B$22+((C135=TRUE)*(F135-Calc!F22)),(Inputs!$B$23+((C137=TRUE)*(F137-Calc!F24))+(IF(ArtifactsInput!$M$15,CHOOSE(ArtifactsInput!$N$15+1,25,30,35,40,45,50)/100*(Inputs!$B$11-Inputs!$B$11),0))))/100+(Inputs!$B$23+((C137=TRUE)*(F137-Calc!F24))+(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IFERROR(1/(IF(Inputs!$B$38="pvp",15,MAX(0.1,Skills!D8-IF(Skills!E8=TRUE,Inputs!$B$32,0)))*(1-IF(AND(ArtifactsInput!$M$27,Inputs!$B$4="Chapter Hunt"),CHOOSE(ArtifactsInput!$N$27+1,20,24,28,32,36,40),0)/100)),0)</f>
        <v/>
      </c>
      <c r="R121">
        <f>IF(AND(Inputs!$B$38&lt;&gt;"pvp",Inputs!$B$43&gt;0),IF(MAX(0,Inputs!$B$43-B149)&lt;=0,0,(INT(MAX(0,Inputs!$B$43-B149)/(IF(Inputs!$B$38="pvp",15,MAX(0.1,Skills!D8-IF(Skills!E8=TRUE,Inputs!$B$32,0)))*(1-IF(AND(ArtifactsInput!$M$27,Inputs!$B$4="Chapter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9="ENHANCED_RAGING_BLOW",IF(Inputs!$B$3&gt;=134,MAX(0,IF(Inputs!$B$3&gt;=110,7,5)-5)*50,0),0)/100)*(1+(IF(Skills!A9="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122)</f>
        <v/>
      </c>
      <c r="L122">
        <f>K122*(MIN(Inputs!$B$22+((C135=TRUE)*(F135-Calc!F22)),(Inputs!$B$23+((C137=TRUE)*(F137-Calc!F24))+(IF(ArtifactsInput!$M$15,CHOOSE(ArtifactsInput!$N$15+1,25,30,35,40,45,50)/100*(Inputs!$B$11-Inputs!$B$11),0))))/100+(Inputs!$B$23+((C137=TRUE)*(F137-Calc!F24))+(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IFERROR(1/(IF(Inputs!$B$38="pvp",15,MAX(0.1,Skills!D9-IF(Skills!E9=TRUE,Inputs!$B$32,0)))*(1-IF(AND(ArtifactsInput!$M$27,Inputs!$B$4="Chapter Hunt"),CHOOSE(ArtifactsInput!$N$27+1,20,24,28,32,36,40),0)/100)),0)</f>
        <v/>
      </c>
      <c r="R122">
        <f>IF(AND(Inputs!$B$38&lt;&gt;"pvp",Inputs!$B$43&gt;0),IF(MAX(0,Inputs!$B$43-B149)&lt;=0,0,(INT(MAX(0,Inputs!$B$43-B149)/(IF(Inputs!$B$38="pvp",15,MAX(0.1,Skills!D9-IF(Skills!E9=TRUE,Inputs!$B$32,0)))*(1-IF(AND(ArtifactsInput!$M$27,Inputs!$B$4="Chapter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10="ENHANCED_RAGING_BLOW",IF(Inputs!$B$3&gt;=134,MAX(0,IF(Inputs!$B$3&gt;=110,7,5)-5)*50,0),0)/100)*(1+(IF(Skills!A10="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123)</f>
        <v/>
      </c>
      <c r="L123">
        <f>K123*(MIN(Inputs!$B$22+((C135=TRUE)*(F135-Calc!F22)),(Inputs!$B$23+((C137=TRUE)*(F137-Calc!F24))+(IF(ArtifactsInput!$M$15,CHOOSE(ArtifactsInput!$N$15+1,25,30,35,40,45,50)/100*(Inputs!$B$11-Inputs!$B$11),0))))/100+(Inputs!$B$23+((C137=TRUE)*(F137-Calc!F24))+(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IFERROR(1/(IF(Inputs!$B$38="pvp",15,MAX(0.1,Skills!D10-IF(Skills!E10=TRUE,Inputs!$B$32,0)))*(1-IF(AND(ArtifactsInput!$M$27,Inputs!$B$4="Chapter Hunt"),CHOOSE(ArtifactsInput!$N$27+1,20,24,28,32,36,40),0)/100)),0)</f>
        <v/>
      </c>
      <c r="R123">
        <f>IF(AND(Inputs!$B$38&lt;&gt;"pvp",Inputs!$B$43&gt;0),IF(MAX(0,Inputs!$B$43-B149)&lt;=0,0,(INT(MAX(0,Inputs!$B$43-B149)/(IF(Inputs!$B$38="pvp",15,MAX(0.1,Skills!D10-IF(Skills!E10=TRUE,Inputs!$B$32,0)))*(1-IF(AND(ArtifactsInput!$M$27,Inputs!$B$4="Chapter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11="ENHANCED_RAGING_BLOW",IF(Inputs!$B$3&gt;=134,MAX(0,IF(Inputs!$B$3&gt;=110,7,5)-5)*50,0),0)/100)*(1+(IF(Skills!A11="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124)</f>
        <v/>
      </c>
      <c r="L124">
        <f>K124*(MIN(Inputs!$B$22+((C135=TRUE)*(F135-Calc!F22)),(Inputs!$B$23+((C137=TRUE)*(F137-Calc!F24))+(IF(ArtifactsInput!$M$15,CHOOSE(ArtifactsInput!$N$15+1,25,30,35,40,45,50)/100*(Inputs!$B$11-Inputs!$B$11),0))))/100+(Inputs!$B$23+((C137=TRUE)*(F137-Calc!F24))+(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IFERROR(1/(IF(Inputs!$B$38="pvp",15,MAX(0.1,Skills!D11-IF(Skills!E11=TRUE,Inputs!$B$32,0)))*(1-IF(AND(ArtifactsInput!$M$27,Inputs!$B$4="Chapter Hunt"),CHOOSE(ArtifactsInput!$N$27+1,20,24,28,32,36,40),0)/100)),0)</f>
        <v/>
      </c>
      <c r="R124">
        <f>IF(AND(Inputs!$B$38&lt;&gt;"pvp",Inputs!$B$43&gt;0),IF(MAX(0,Inputs!$B$43-B149)&lt;=0,0,(INT(MAX(0,Inputs!$B$43-B149)/(IF(Inputs!$B$38="pvp",15,MAX(0.1,Skills!D11-IF(Skills!E11=TRUE,Inputs!$B$32,0)))*(1-IF(AND(ArtifactsInput!$M$27,Inputs!$B$4="Chapter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IFERROR(1/(IF(Inputs!$B$38="pvp",15,MAX(0.1,Skills!D15-IF(Skills!E15=TRUE,Inputs!$B$32,0)))*(1-IF(AND(ArtifactsInput!$M$27,Inputs!$B$4="Chapter Hunt"),CHOOSE(ArtifactsInput!$N$27+1,20,24,28,32,36,40),0)/100)),0)</f>
        <v/>
      </c>
      <c r="R128">
        <f>IF(AND(Inputs!$B$38&lt;&gt;"pvp",Inputs!$B$43&gt;0),IF(Inputs!$B$43&lt;=0,0,(INT(Inputs!$B$43/(IF(Inputs!$B$38="pvp",15,MAX(0.1,Skills!D15-IF(Skills!E15=TRUE,Inputs!$B$32,0)))*(1-IF(AND(ArtifactsInput!$M$27,Inputs!$B$4="Chapter Hunt"),CHOOSE(ArtifactsInput!$N$27+1,20,24,28,32,36,40),0)/100)))+1)),0)</f>
        <v/>
      </c>
      <c r="S128">
        <f>IFERROR(O128/N128,0)</f>
        <v/>
      </c>
      <c r="T128" t="n">
        <v>0</v>
      </c>
      <c r="V128" t="n">
        <v>0</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IFERROR(1/(IF(Inputs!$B$38="pvp",15,MAX(0.1,Skills!D16-IF(Skills!E16=TRUE,Inputs!$B$32,0)))*(1-IF(AND(ArtifactsInput!$M$27,Inputs!$B$4="Chapter Hunt"),CHOOSE(ArtifactsInput!$N$27+1,20,24,28,32,36,40),0)/100)),0)</f>
        <v/>
      </c>
      <c r="R129">
        <f>IF(AND(Inputs!$B$38&lt;&gt;"pvp",Inputs!$B$43&gt;0),IF(Inputs!$B$43&lt;=0,0,(INT(Inputs!$B$43/(IF(Inputs!$B$38="pvp",15,MAX(0.1,Skills!D16-IF(Skills!E16=TRUE,Inputs!$B$32,0)))*(1-IF(AND(ArtifactsInput!$M$27,Inputs!$B$4="Chapter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IFERROR(1/(IF(Inputs!$B$38="pvp",15,MAX(0.1,Skills!D17-IF(Skills!E17=TRUE,Inputs!$B$32,0)))*(1-IF(AND(ArtifactsInput!$M$27,Inputs!$B$4="Chapter Hunt"),CHOOSE(ArtifactsInput!$N$27+1,20,24,28,32,36,40),0)/100)),0)</f>
        <v/>
      </c>
      <c r="R130">
        <f>IF(AND(Inputs!$B$38&lt;&gt;"pvp",Inputs!$B$43&gt;0),IF(Inputs!$B$43&lt;=0,0,(INT(Inputs!$B$43/(IF(Inputs!$B$38="pvp",15,MAX(0.1,Skills!D17-IF(Skills!E17=TRUE,Inputs!$B$32,0)))*(1-IF(AND(ArtifactsInput!$M$27,Inputs!$B$4="Chapter Hunt"),CHOOSE(ArtifactsInput!$N$27+1,20,24,28,32,36,40),0)/100)))+1)),0)</f>
        <v/>
      </c>
      <c r="S130">
        <f>IFERROR(O130/N130,0)</f>
        <v/>
      </c>
      <c r="T130" t="n">
        <v>0</v>
      </c>
      <c r="V130" t="n">
        <v>0</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IFERROR(1/(IF(Inputs!$B$38="pvp",15,MAX(0.1,Skills!D18-IF(Skills!E18=TRUE,Inputs!$B$32,0)))*(1-IF(AND(ArtifactsInput!$M$27,Inputs!$B$4="Chapter Hunt"),CHOOSE(ArtifactsInput!$N$27+1,20,24,28,32,36,40),0)/100)),0)</f>
        <v/>
      </c>
      <c r="R131">
        <f>IF(AND(Inputs!$B$38&lt;&gt;"pvp",Inputs!$B$43&gt;0),IF(Inputs!$B$43&lt;=0,0,(INT(Inputs!$B$43/(IF(Inputs!$B$38="pvp",15,MAX(0.1,Skills!D18-IF(Skills!E18=TRUE,Inputs!$B$32,0)))*(1-IF(AND(ArtifactsInput!$M$27,Inputs!$B$4="Chapter Hunt"),CHOOSE(ArtifactsInput!$N$27+1,20,24,28,32,36,40),0)/100)))+1)),0)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IFERROR(1/(IF(Inputs!$B$38="pvp",15,MAX(0.1,Skills!D19-IF(Skills!E19=TRUE,Inputs!$B$32,0)))*(1-IF(AND(ArtifactsInput!$M$27,Inputs!$B$4="Chapter Hunt"),CHOOSE(ArtifactsInput!$N$27+1,20,24,28,32,36,40),0)/100)),0)</f>
        <v/>
      </c>
      <c r="R132">
        <f>IF(AND(Inputs!$B$38&lt;&gt;"pvp",Inputs!$B$43&gt;0),IF(Inputs!$B$43&lt;=0,0,(INT(Inputs!$B$43/(IF(Inputs!$B$38="pvp",15,MAX(0.1,Skills!D19-IF(Skills!E19=TRUE,Inputs!$B$32,0)))*(1-IF(AND(ArtifactsInput!$M$27,Inputs!$B$4="Chapter Hunt"),CHOOSE(ArtifactsInput!$N$27+1,20,24,28,32,36,40),0)/100)))+1)),0)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f>(1-Summary!$B$11)*T134+Summary!$B$11*V134</f>
        <v/>
      </c>
      <c r="P134">
        <f>IF(B152=0,0,O134/B152)</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132=TRUE)*F132*IF(AND(Inputs!$B$38&lt;&gt;"pvp",Inputs!$B$43&gt;0),(((R132-1)*(Skills!T19*(1+(Inputs!$B$34+(ArtifactsInput!$M$7-ArtifactsInput!$M$7)*CHOOSE(ArtifactsInput!$N$7+1,6,7.2,8.4,9.6,10.8,12))/100))+MIN((Skills!T19*(1+(Inputs!$B$34+(ArtifactsInput!$M$7-ArtifactsInput!$M$7)*CHOOSE(ArtifactsInput!$N$7+1,6,7.2,8.4,9.6,10.8,12))/100)),MAX(0,Inputs!$B$43-((R132-1)*Skills!D19))))/Inputs!$B$43),IF(Inputs!$B$38="pvp",MIN((Skills!T19*(1+(Inputs!$B$34+(ArtifactsInput!$M$7-ArtifactsInput!$M$7)*CHOOSE(ArtifactsInput!$N$7+1,6,7.2,8.4,9.6,10.8,12))/100)),15)/15,(Skills!T19*(1+(Inputs!$B$34+(ArtifactsInput!$M$7-ArtifactsInput!$M$7)*CHOOSE(ArtifactsInput!$N$7+1,6,7.2,8.4,9.6,10.8,12))/100))/Skills!D19)))</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Skills!T18*(1+(Inputs!$B$34+(ArtifactsInput!$M$7-ArtifactsInput!$M$7)*CHOOSE(ArtifactsInput!$N$7+1,6,7.2,8.4,9.6,10.8,12))/100))+MIN((Skills!T18*(1+(Inputs!$B$34+(ArtifactsInput!$M$7-ArtifactsInput!$M$7)*CHOOSE(ArtifactsInput!$N$7+1,6,7.2,8.4,9.6,10.8,12))/100)),MAX(0,Inputs!$B$43-((R131-1)*Skills!D18))))/Inputs!$B$43),IF(Inputs!$B$38="pvp",MIN((Skills!T18*(1+(Inputs!$B$34+(ArtifactsInput!$M$7-ArtifactsInput!$M$7)*CHOOSE(ArtifactsInput!$N$7+1,6,7.2,8.4,9.6,10.8,12))/100)),15)/15,(Skills!T18*(1+(Inputs!$B$34+(ArtifactsInput!$M$7-ArtifactsInput!$M$7)*CHOOSE(ArtifactsInput!$N$7+1,6,7.2,8.4,9.6,10.8,12))/100))/Skills!D18)))</f>
        <v/>
      </c>
    </row>
    <row r="148">
      <c r="A148" t="inlineStr">
        <is>
          <t>Global Final Damage Bonus % (Enrage + Combo Synergy)</t>
        </is>
      </c>
      <c r="B148">
        <f>((C130=TRUE)*F130*IF(AND(Inputs!$B$38&lt;&gt;"pvp",Inputs!$B$43&gt;0),(((R130-1)*(Skills!T17*(1+(Inputs!$B$34+(ArtifactsInput!$M$7-ArtifactsInput!$M$7)*CHOOSE(ArtifactsInput!$N$7+1,6,7.2,8.4,9.6,10.8,12))/100))+MIN((Skills!T17*(1+(Inputs!$B$34+(ArtifactsInput!$M$7-ArtifactsInput!$M$7)*CHOOSE(ArtifactsInput!$N$7+1,6,7.2,8.4,9.6,10.8,12))/100)),MAX(0,Inputs!$B$43-((R130-1)*Skills!D17))))/Inputs!$B$43),IF(Inputs!$B$38="pvp",MIN((Skills!T17*(1+(Inputs!$B$34+(ArtifactsInput!$M$7-ArtifactsInput!$M$7)*CHOOSE(ArtifactsInput!$N$7+1,6,7.2,8.4,9.6,10.8,12))/100)),15)/15,(Skills!T17*(1+(Inputs!$B$34+(ArtifactsInput!$M$7-ArtifactsInput!$M$7)*CHOOSE(ArtifactsInput!$N$7+1,6,7.2,8.4,9.6,10.8,12))/100))/Skills!D17)))+((C127=TRUE)*F127*IF(Inputs!$B$3&gt;=110,7,5))</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157)</f>
        <v/>
      </c>
      <c r="L157">
        <f>K157*(MIN(Inputs!$B$22+((C177=TRUE)*(F177-Calc!F22)),(Inputs!$B$23+((C179=TRUE)*(F179-Calc!F24))+(IF(ArtifactsInput!$M$15,CHOOSE(ArtifactsInput!$N$15+1,25,30,35,40,45,50)/100*(Inputs!$B$11-Inputs!$B$11),0))))/100+(Inputs!$B$23+((C179=TRUE)*(F179-Calc!F24))+(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IF(Skills!C4=1,60+Inputs!$B$25+Inputs!$B$29,IF(Skills!C4=2,90+Inputs!$B$26+Inputs!$B$29,IF(Skills!C4=3,120+Inputs!$B$27+Inputs!$B$29,MAX(0,(Inputs!$B$3-100)*3)+Inputs!$B$28+Inputs!$B$29)))</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Inputs!$B$3&gt;=103</f>
        <v/>
      </c>
      <c r="D160">
        <f>IF(Skills!C5=1,60+Inputs!$B$25+Inputs!$B$29,IF(Skills!C5=2,90+Inputs!$B$26+Inputs!$B$29,IF(Skills!C5=3,120+Inputs!$B$27+Inputs!$B$29,MAX(0,(Inputs!$B$3-100)*3)+Inputs!$B$28+Inputs!$B$29)))</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160)</f>
        <v/>
      </c>
      <c r="L160">
        <f>K160*(MIN(Inputs!$B$22+((C177=TRUE)*(F177-Calc!F22)),(Inputs!$B$23+((C179=TRUE)*(F179-Calc!F24))+(IF(ArtifactsInput!$M$15,CHOOSE(ArtifactsInput!$N$15+1,25,30,35,40,45,50)/100*(Inputs!$B$11-Inputs!$B$11),0))))/100+(Inputs!$B$23+((C179=TRUE)*(F179-Calc!F24))+(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IFERROR(1/(IF(Inputs!$B$38="pvp",15,MAX(0.1,Skills!D5-IF(Skills!E5=TRUE,Inputs!$B$32,0)))*(1-IF(AND(ArtifactsInput!$M$27,Inputs!$B$4="Chapter Hunt"),CHOOSE(ArtifactsInput!$N$27+1,20,24,28,32,36,40),0)/100)),0)</f>
        <v/>
      </c>
      <c r="R160">
        <f>IF(AND(Inputs!$B$38&lt;&gt;"pvp",Inputs!$B$43&gt;0),IF(MAX(0,Inputs!$B$43-B191)&lt;=0,0,(INT(MAX(0,Inputs!$B$43-B191)/(IF(Inputs!$B$38="pvp",15,MAX(0.1,Skills!D5-IF(Skills!E5=TRUE,Inputs!$B$32,0)))*(1-IF(AND(ArtifactsInput!$M$27,Inputs!$B$4="Chapter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161)</f>
        <v/>
      </c>
      <c r="L161">
        <f>K161*(MIN(Inputs!$B$22+((C177=TRUE)*(F177-Calc!F22)),(Inputs!$B$23+((C179=TRUE)*(F179-Calc!F24))+(IF(ArtifactsInput!$M$15,CHOOSE(ArtifactsInput!$N$15+1,25,30,35,40,45,50)/100*(Inputs!$B$11-Inputs!$B$11),0))))/100+(Inputs!$B$23+((C179=TRUE)*(F179-Calc!F24))+(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IFERROR(1/(IF(Inputs!$B$38="pvp",15,MAX(0.1,Skills!D6-IF(Skills!E6=TRUE,Inputs!$B$32,0)))*(1-IF(AND(ArtifactsInput!$M$27,Inputs!$B$4="Chapter Hunt"),CHOOSE(ArtifactsInput!$N$27+1,20,24,28,32,36,40),0)/100)),0)</f>
        <v/>
      </c>
      <c r="R161">
        <f>IF(AND(Inputs!$B$38&lt;&gt;"pvp",Inputs!$B$43&gt;0),IF(MAX(0,Inputs!$B$43-B191)&lt;=0,0,(INT(MAX(0,Inputs!$B$43-B191)/(IF(Inputs!$B$38="pvp",15,MAX(0.1,Skills!D6-IF(Skills!E6=TRUE,Inputs!$B$32,0)))*(1-IF(AND(ArtifactsInput!$M$27,Inputs!$B$4="Chapter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162)</f>
        <v/>
      </c>
      <c r="L162">
        <f>K162*(MIN(Inputs!$B$22+((C177=TRUE)*(F177-Calc!F22)),(Inputs!$B$23+((C179=TRUE)*(F179-Calc!F24))+(IF(ArtifactsInput!$M$15,CHOOSE(ArtifactsInput!$N$15+1,25,30,35,40,45,50)/100*(Inputs!$B$11-Inputs!$B$11),0))))/100+(Inputs!$B$23+((C179=TRUE)*(F179-Calc!F24))+(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IFERROR(1/(IF(Inputs!$B$38="pvp",15,MAX(0.1,Skills!D7-IF(Skills!E7=TRUE,Inputs!$B$32,0)))*(1-IF(AND(ArtifactsInput!$M$27,Inputs!$B$4="Chapter Hunt"),CHOOSE(ArtifactsInput!$N$27+1,20,24,28,32,36,40),0)/100)),0)</f>
        <v/>
      </c>
      <c r="R162">
        <f>IF(AND(Inputs!$B$38&lt;&gt;"pvp",Inputs!$B$43&gt;0),IF(MAX(0,Inputs!$B$43-B191)&lt;=0,0,(INT(MAX(0,Inputs!$B$43-B191)/(IF(Inputs!$B$38="pvp",15,MAX(0.1,Skills!D7-IF(Skills!E7=TRUE,Inputs!$B$32,0)))*(1-IF(AND(ArtifactsInput!$M$27,Inputs!$B$4="Chapter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Inputs!$B$3&gt;=117</f>
        <v/>
      </c>
      <c r="D163">
        <f>IF(Skills!C8=1,60+Inputs!$B$25+Inputs!$B$29,IF(Skills!C8=2,90+Inputs!$B$26+Inputs!$B$29,IF(Skills!C8=3,120+Inputs!$B$27+Inputs!$B$29,MAX(0,(Inputs!$B$3-100)*3)+Inputs!$B$28+Inputs!$B$29)))</f>
        <v/>
      </c>
      <c r="E163">
        <f>INDEX(FactorTable!$B$2:$Y$301, MATCH(ROUND(MIN(300,MAX(1,D163)),0), FactorTable!$A$2:$A$301,0), Skills!M8+1)</f>
        <v/>
      </c>
      <c r="F163">
        <f>IF(Skills!N8=TRUE,(Skills!L8/10)*(E163/1000),Skills!L8/10)+Skills!O8</f>
        <v/>
      </c>
      <c r="G163">
        <f>Skills!G8*IF(Skills!H8&gt;0,Skills!I8/Skills!H8,1)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163)</f>
        <v/>
      </c>
      <c r="L163">
        <f>K163*(MIN(Inputs!$B$22+((C177=TRUE)*(F177-Calc!F22)),(Inputs!$B$23+((C179=TRUE)*(F179-Calc!F24))+(IF(ArtifactsInput!$M$15,CHOOSE(ArtifactsInput!$N$15+1,25,30,35,40,45,50)/100*(Inputs!$B$11-Inputs!$B$11),0))))/100+(Inputs!$B$23+((C179=TRUE)*(F179-Calc!F24))+(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IFERROR(1/(IF(Inputs!$B$38="pvp",15,MAX(0.1,Skills!D8-IF(Skills!E8=TRUE,Inputs!$B$32,0)))*(1-IF(AND(ArtifactsInput!$M$27,Inputs!$B$4="Chapter Hunt"),CHOOSE(ArtifactsInput!$N$27+1,20,24,28,32,36,40),0)/100)),0)</f>
        <v/>
      </c>
      <c r="R163">
        <f>IF(AND(Inputs!$B$38&lt;&gt;"pvp",Inputs!$B$43&gt;0),IF(MAX(0,Inputs!$B$43-B191)&lt;=0,0,(INT(MAX(0,Inputs!$B$43-B191)/(IF(Inputs!$B$38="pvp",15,MAX(0.1,Skills!D8-IF(Skills!E8=TRUE,Inputs!$B$32,0)))*(1-IF(AND(ArtifactsInput!$M$27,Inputs!$B$4="Chapter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Inputs!$B$3&gt;=69</f>
        <v/>
      </c>
      <c r="D164">
        <f>IF(Skills!C9=1,60+Inputs!$B$25+Inputs!$B$29,IF(Skills!C9=2,90+Inputs!$B$26+Inputs!$B$29,IF(Skills!C9=3,120+Inputs!$B$27+Inputs!$B$29,MAX(0,(Inputs!$B$3-100)*3)+Inputs!$B$28+Inputs!$B$29)))</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9="ENHANCED_RAGING_BLOW",IF(Inputs!$B$3&gt;=134,MAX(0,IF(Inputs!$B$3&gt;=110,7,5)-5)*50,0),0)/100)*(1+(IF(Skills!A9="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164)</f>
        <v/>
      </c>
      <c r="L164">
        <f>K164*(MIN(Inputs!$B$22+((C177=TRUE)*(F177-Calc!F22)),(Inputs!$B$23+((C179=TRUE)*(F179-Calc!F24))+(IF(ArtifactsInput!$M$15,CHOOSE(ArtifactsInput!$N$15+1,25,30,35,40,45,50)/100*(Inputs!$B$11-Inputs!$B$11),0))))/100+(Inputs!$B$23+((C179=TRUE)*(F179-Calc!F24))+(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IFERROR(1/(IF(Inputs!$B$38="pvp",15,MAX(0.1,Skills!D9-IF(Skills!E9=TRUE,Inputs!$B$32,0)))*(1-IF(AND(ArtifactsInput!$M$27,Inputs!$B$4="Chapter Hunt"),CHOOSE(ArtifactsInput!$N$27+1,20,24,28,32,36,40),0)/100)),0)</f>
        <v/>
      </c>
      <c r="R164">
        <f>IF(AND(Inputs!$B$38&lt;&gt;"pvp",Inputs!$B$43&gt;0),IF(MAX(0,Inputs!$B$43-B191)&lt;=0,0,(INT(MAX(0,Inputs!$B$43-B191)/(IF(Inputs!$B$38="pvp",15,MAX(0.1,Skills!D9-IF(Skills!E9=TRUE,Inputs!$B$32,0)))*(1-IF(AND(ArtifactsInput!$M$27,Inputs!$B$4="Chapter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Inputs!$B$3&gt;=63</f>
        <v/>
      </c>
      <c r="D165">
        <f>IF(Skills!C10=1,60+Inputs!$B$25+Inputs!$B$29,IF(Skills!C10=2,90+Inputs!$B$26+Inputs!$B$29,IF(Skills!C10=3,120+Inputs!$B$27+Inputs!$B$29,MAX(0,(Inputs!$B$3-100)*3)+Inputs!$B$28+Inputs!$B$29)))</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10="ENHANCED_RAGING_BLOW",IF(Inputs!$B$3&gt;=134,MAX(0,IF(Inputs!$B$3&gt;=110,7,5)-5)*50,0),0)/100)*(1+(IF(Skills!A10="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165)</f>
        <v/>
      </c>
      <c r="L165">
        <f>K165*(MIN(Inputs!$B$22+((C177=TRUE)*(F177-Calc!F22)),(Inputs!$B$23+((C179=TRUE)*(F179-Calc!F24))+(IF(ArtifactsInput!$M$15,CHOOSE(ArtifactsInput!$N$15+1,25,30,35,40,45,50)/100*(Inputs!$B$11-Inputs!$B$11),0))))/100+(Inputs!$B$23+((C179=TRUE)*(F179-Calc!F24))+(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IFERROR(1/(IF(Inputs!$B$38="pvp",15,MAX(0.1,Skills!D10-IF(Skills!E10=TRUE,Inputs!$B$32,0)))*(1-IF(AND(ArtifactsInput!$M$27,Inputs!$B$4="Chapter Hunt"),CHOOSE(ArtifactsInput!$N$27+1,20,24,28,32,36,40),0)/100)),0)</f>
        <v/>
      </c>
      <c r="R165">
        <f>IF(AND(Inputs!$B$38&lt;&gt;"pvp",Inputs!$B$43&gt;0),IF(MAX(0,Inputs!$B$43-B191)&lt;=0,0,(INT(MAX(0,Inputs!$B$43-B191)/(IF(Inputs!$B$38="pvp",15,MAX(0.1,Skills!D10-IF(Skills!E10=TRUE,Inputs!$B$32,0)))*(1-IF(AND(ArtifactsInput!$M$27,Inputs!$B$4="Chapter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Inputs!$B$3&gt;=35</f>
        <v/>
      </c>
      <c r="D166">
        <f>IF(Skills!C11=1,60+Inputs!$B$25+Inputs!$B$29,IF(Skills!C11=2,90+Inputs!$B$26+Inputs!$B$29,IF(Skills!C11=3,120+Inputs!$B$27+Inputs!$B$29,MAX(0,(Inputs!$B$3-100)*3)+Inputs!$B$28+Inputs!$B$29)))</f>
        <v/>
      </c>
      <c r="E166">
        <f>INDEX(FactorTable!$B$2:$Y$301, MATCH(ROUND(MIN(300,MAX(1,D166)),0), FactorTable!$A$2:$A$301,0), Skills!M11+1)</f>
        <v/>
      </c>
      <c r="F166">
        <f>IF(Skills!N11=TRUE,(Skills!L11/10)*(E166/1000),Skills!L11/10)+Skills!O11</f>
        <v/>
      </c>
      <c r="G166">
        <f>Skills!G11*IF(Skills!H11&gt;0,Skills!I11/Skills!H11,1)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11="ENHANCED_RAGING_BLOW",IF(Inputs!$B$3&gt;=134,MAX(0,IF(Inputs!$B$3&gt;=110,7,5)-5)*50,0),0)/100)*(1+(IF(Skills!A11="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166)</f>
        <v/>
      </c>
      <c r="L166">
        <f>K166*(MIN(Inputs!$B$22+((C177=TRUE)*(F177-Calc!F22)),(Inputs!$B$23+((C179=TRUE)*(F179-Calc!F24))+(IF(ArtifactsInput!$M$15,CHOOSE(ArtifactsInput!$N$15+1,25,30,35,40,45,50)/100*(Inputs!$B$11-Inputs!$B$11),0))))/100+(Inputs!$B$23+((C179=TRUE)*(F179-Calc!F24))+(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IFERROR(1/(IF(Inputs!$B$38="pvp",15,MAX(0.1,Skills!D11-IF(Skills!E11=TRUE,Inputs!$B$32,0)))*(1-IF(AND(ArtifactsInput!$M$27,Inputs!$B$4="Chapter Hunt"),CHOOSE(ArtifactsInput!$N$27+1,20,24,28,32,36,40),0)/100)),0)</f>
        <v/>
      </c>
      <c r="R166">
        <f>IF(AND(Inputs!$B$38&lt;&gt;"pvp",Inputs!$B$43&gt;0),IF(MAX(0,Inputs!$B$43-B191)&lt;=0,0,(INT(MAX(0,Inputs!$B$43-B191)/(IF(Inputs!$B$38="pvp",15,MAX(0.1,Skills!D11-IF(Skills!E11=TRUE,Inputs!$B$32,0)))*(1-IF(AND(ArtifactsInput!$M$27,Inputs!$B$4="Chapter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INDEX(FactorTable!$B$2:$Y$301, MATCH(ROUND(MIN(300,MAX(1,D167)),0),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Inputs!$B$3&gt;=75</f>
        <v/>
      </c>
      <c r="D169">
        <f>IF(Skills!C14=1,60+Inputs!$B$25+Inputs!$B$29,IF(Skills!C14=2,90+Inputs!$B$26+Inputs!$B$29,IF(Skills!C14=3,120+Inputs!$B$27+Inputs!$B$29,MAX(0,(Inputs!$B$3-100)*3)+Inputs!$B$28+Inputs!$B$29)))</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Inputs!$B$3&gt;=40</f>
        <v/>
      </c>
      <c r="D170">
        <f>IF(Skills!C15=1,60+Inputs!$B$25+Inputs!$B$29,IF(Skills!C15=2,90+Inputs!$B$26+Inputs!$B$29,IF(Skills!C15=3,120+Inputs!$B$27+Inputs!$B$29,MAX(0,(Inputs!$B$3-100)*3)+Inputs!$B$28+Inputs!$B$29)))</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IFERROR(1/(IF(Inputs!$B$38="pvp",15,MAX(0.1,Skills!D15-IF(Skills!E15=TRUE,Inputs!$B$32,0)))*(1-IF(AND(ArtifactsInput!$M$27,Inputs!$B$4="Chapter Hunt"),CHOOSE(ArtifactsInput!$N$27+1,20,24,28,32,36,40),0)/100)),0)</f>
        <v/>
      </c>
      <c r="R170">
        <f>IF(AND(Inputs!$B$38&lt;&gt;"pvp",Inputs!$B$43&gt;0),IF(Inputs!$B$43&lt;=0,0,(INT(Inputs!$B$43/(IF(Inputs!$B$38="pvp",15,MAX(0.1,Skills!D15-IF(Skills!E15=TRUE,Inputs!$B$32,0)))*(1-IF(AND(ArtifactsInput!$M$27,Inputs!$B$4="Chapter Hunt"),CHOOSE(ArtifactsInput!$N$27+1,20,24,28,32,36,40),0)/100)))+1)),0)</f>
        <v/>
      </c>
      <c r="S170">
        <f>IFERROR(O170/N170,0)</f>
        <v/>
      </c>
      <c r="T170" t="n">
        <v>0</v>
      </c>
      <c r="V170" t="n">
        <v>0</v>
      </c>
    </row>
    <row r="171">
      <c r="A171">
        <f>Skills!A16</f>
        <v/>
      </c>
      <c r="B171">
        <f>Skills!B16</f>
        <v/>
      </c>
      <c r="C171">
        <f>Inputs!$B$3&gt;=66</f>
        <v/>
      </c>
      <c r="D171">
        <f>IF(Skills!C16=1,60+Inputs!$B$25+Inputs!$B$29,IF(Skills!C16=2,90+Inputs!$B$26+Inputs!$B$29,IF(Skills!C16=3,120+Inputs!$B$27+Inputs!$B$29,MAX(0,(Inputs!$B$3-100)*3)+Inputs!$B$28+Inputs!$B$29)))</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IFERROR(1/(IF(Inputs!$B$38="pvp",15,MAX(0.1,Skills!D16-IF(Skills!E16=TRUE,Inputs!$B$32,0)))*(1-IF(AND(ArtifactsInput!$M$27,Inputs!$B$4="Chapter Hunt"),CHOOSE(ArtifactsInput!$N$27+1,20,24,28,32,36,40),0)/100)),0)</f>
        <v/>
      </c>
      <c r="R171">
        <f>IF(AND(Inputs!$B$38&lt;&gt;"pvp",Inputs!$B$43&gt;0),IF(Inputs!$B$43&lt;=0,0,(INT(Inputs!$B$43/(IF(Inputs!$B$38="pvp",15,MAX(0.1,Skills!D16-IF(Skills!E16=TRUE,Inputs!$B$32,0)))*(1-IF(AND(ArtifactsInput!$M$27,Inputs!$B$4="Chapter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IFERROR(1/(IF(Inputs!$B$38="pvp",15,MAX(0.1,Skills!D17-IF(Skills!E17=TRUE,Inputs!$B$32,0)))*(1-IF(AND(ArtifactsInput!$M$27,Inputs!$B$4="Chapter Hunt"),CHOOSE(ArtifactsInput!$N$27+1,20,24,28,32,36,40),0)/100)),0)</f>
        <v/>
      </c>
      <c r="R172">
        <f>IF(AND(Inputs!$B$38&lt;&gt;"pvp",Inputs!$B$43&gt;0),IF(Inputs!$B$43&lt;=0,0,(INT(Inputs!$B$43/(IF(Inputs!$B$38="pvp",15,MAX(0.1,Skills!D17-IF(Skills!E17=TRUE,Inputs!$B$32,0)))*(1-IF(AND(ArtifactsInput!$M$27,Inputs!$B$4="Chapter Hunt"),CHOOSE(ArtifactsInput!$N$27+1,20,24,28,32,36,40),0)/100)))+1)),0)</f>
        <v/>
      </c>
      <c r="S172">
        <f>IFERROR(O172/N172,0)</f>
        <v/>
      </c>
      <c r="T172" t="n">
        <v>0</v>
      </c>
      <c r="V172" t="n">
        <v>0</v>
      </c>
    </row>
    <row r="173">
      <c r="A173">
        <f>Skills!A18</f>
        <v/>
      </c>
      <c r="B173">
        <f>Skills!B18</f>
        <v/>
      </c>
      <c r="C173">
        <f>Inputs!$B$3&gt;=115</f>
        <v/>
      </c>
      <c r="D173">
        <f>IF(Skills!C18=1,60+Inputs!$B$25+Inputs!$B$29,IF(Skills!C18=2,90+Inputs!$B$26+Inputs!$B$29,IF(Skills!C18=3,120+Inputs!$B$27+Inputs!$B$29,MAX(0,(Inputs!$B$3-100)*3)+Inputs!$B$28+Inputs!$B$29)))</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IFERROR(1/(IF(Inputs!$B$38="pvp",15,MAX(0.1,Skills!D18-IF(Skills!E18=TRUE,Inputs!$B$32,0)))*(1-IF(AND(ArtifactsInput!$M$27,Inputs!$B$4="Chapter Hunt"),CHOOSE(ArtifactsInput!$N$27+1,20,24,28,32,36,40),0)/100)),0)</f>
        <v/>
      </c>
      <c r="R173">
        <f>IF(AND(Inputs!$B$38&lt;&gt;"pvp",Inputs!$B$43&gt;0),IF(Inputs!$B$43&lt;=0,0,(INT(Inputs!$B$43/(IF(Inputs!$B$38="pvp",15,MAX(0.1,Skills!D18-IF(Skills!E18=TRUE,Inputs!$B$32,0)))*(1-IF(AND(ArtifactsInput!$M$27,Inputs!$B$4="Chapter Hunt"),CHOOSE(ArtifactsInput!$N$27+1,20,24,28,32,36,40),0)/100)))+1)),0)</f>
        <v/>
      </c>
      <c r="S173">
        <f>IFERROR(O173/N173,0)</f>
        <v/>
      </c>
      <c r="T173" t="n">
        <v>0</v>
      </c>
      <c r="V173" t="n">
        <v>0</v>
      </c>
    </row>
    <row r="174">
      <c r="A174">
        <f>Skills!A19</f>
        <v/>
      </c>
      <c r="B174">
        <f>Skills!B19</f>
        <v/>
      </c>
      <c r="C174">
        <f>TRUE</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IFERROR(1/(IF(Inputs!$B$38="pvp",15,MAX(0.1,Skills!D19-IF(Skills!E19=TRUE,Inputs!$B$32,0)))*(1-IF(AND(ArtifactsInput!$M$27,Inputs!$B$4="Chapter Hunt"),CHOOSE(ArtifactsInput!$N$27+1,20,24,28,32,36,40),0)/100)),0)</f>
        <v/>
      </c>
      <c r="R174">
        <f>IF(AND(Inputs!$B$38&lt;&gt;"pvp",Inputs!$B$43&gt;0),IF(Inputs!$B$43&lt;=0,0,(INT(Inputs!$B$43/(IF(Inputs!$B$38="pvp",15,MAX(0.1,Skills!D19-IF(Skills!E19=TRUE,Inputs!$B$32,0)))*(1-IF(AND(ArtifactsInput!$M$27,Inputs!$B$4="Chapter Hunt"),CHOOSE(ArtifactsInput!$N$27+1,20,24,28,32,36,40),0)/100)))+1)),0)</f>
        <v/>
      </c>
      <c r="S174">
        <f>IFERROR(O174/N174,0)</f>
        <v/>
      </c>
      <c r="T174" t="n">
        <v>0</v>
      </c>
      <c r="V174" t="n">
        <v>0</v>
      </c>
    </row>
    <row r="175">
      <c r="A175">
        <f>Skills!A20</f>
        <v/>
      </c>
      <c r="B175">
        <f>Skills!B20</f>
        <v/>
      </c>
      <c r="C175">
        <f>Inputs!$B$3&gt;=33</f>
        <v/>
      </c>
      <c r="D175">
        <f>IF(Skills!C20=1,60+Inputs!$B$25+Inputs!$B$29,IF(Skills!C20=2,90+Inputs!$B$26+Inputs!$B$29,IF(Skills!C20=3,120+Inputs!$B$27+Inputs!$B$29,MAX(0,(Inputs!$B$3-100)*3)+Inputs!$B$28+Inputs!$B$29)))</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Inputs!$B$3&gt;=38</f>
        <v/>
      </c>
      <c r="D176">
        <f>IF(Skills!C21=1,60+Inputs!$B$25+Inputs!$B$29,IF(Skills!C21=2,90+Inputs!$B$26+Inputs!$B$29,IF(Skills!C21=3,120+Inputs!$B$27+Inputs!$B$29,MAX(0,(Inputs!$B$3-100)*3)+Inputs!$B$28+Inputs!$B$29)))</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f>(1-Summary!$B$11)*T176+Summary!$B$11*V176</f>
        <v/>
      </c>
      <c r="P176">
        <f>IF(B194=0,0,O176/B194)</f>
        <v/>
      </c>
      <c r="Q176" t="n">
        <v>0</v>
      </c>
      <c r="R176" t="n">
        <v>0</v>
      </c>
      <c r="S176">
        <f>IFERROR(O176/N176,0)</f>
        <v/>
      </c>
      <c r="T176" t="n">
        <v>0</v>
      </c>
      <c r="V176" t="n">
        <v>0</v>
      </c>
    </row>
    <row r="177">
      <c r="A177">
        <f>Skills!A22</f>
        <v/>
      </c>
      <c r="B177">
        <f>Skills!B22</f>
        <v/>
      </c>
      <c r="C177">
        <f>Inputs!$B$3&gt;=43</f>
        <v/>
      </c>
      <c r="D177">
        <f>IF(Skills!C22=1,60+Inputs!$B$25+Inputs!$B$29,IF(Skills!C22=2,90+Inputs!$B$26+Inputs!$B$29,IF(Skills!C22=3,120+Inputs!$B$27+Inputs!$B$29,MAX(0,(Inputs!$B$3-100)*3)+Inputs!$B$28+Inputs!$B$29)))</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Inputs!$B$3&gt;=120</f>
        <v/>
      </c>
      <c r="D178">
        <f>IF(Skills!C23=1,60+Inputs!$B$25+Inputs!$B$29,IF(Skills!C23=2,90+Inputs!$B$26+Inputs!$B$29,IF(Skills!C23=3,120+Inputs!$B$27+Inputs!$B$29,MAX(0,(Inputs!$B$3-100)*3)+Inputs!$B$28+Inputs!$B$29)))</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Inputs!$B$3&gt;=120</f>
        <v/>
      </c>
      <c r="D179">
        <f>IF(Skills!C24=1,60+Inputs!$B$25+Inputs!$B$29,IF(Skills!C24=2,90+Inputs!$B$26+Inputs!$B$29,IF(Skills!C24=3,120+Inputs!$B$27+Inputs!$B$29,MAX(0,(Inputs!$B$3-100)*3)+Inputs!$B$28+Inputs!$B$29)))</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Inputs!$B$3&gt;=125</f>
        <v/>
      </c>
      <c r="D180">
        <f>IF(Skills!C25=1,60+Inputs!$B$25+Inputs!$B$29,IF(Skills!C25=2,90+Inputs!$B$26+Inputs!$B$29,IF(Skills!C25=3,120+Inputs!$B$27+Inputs!$B$29,MAX(0,(Inputs!$B$3-100)*3)+Inputs!$B$28+Inputs!$B$29)))</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Inputs!$B$3&gt;=72</f>
        <v/>
      </c>
      <c r="D181">
        <f>IF(Skills!C26=1,60+Inputs!$B$25+Inputs!$B$29,IF(Skills!C26=2,90+Inputs!$B$26+Inputs!$B$29,IF(Skills!C26=3,120+Inputs!$B$27+Inputs!$B$29,MAX(0,(Inputs!$B$3-100)*3)+Inputs!$B$28+Inputs!$B$29)))</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174=TRUE)*F174*IF(AND(Inputs!$B$38&lt;&gt;"pvp",Inputs!$B$43&gt;0),(((R174-1)*(Skills!T19*(1+(Inputs!$B$34+(ArtifactsInput!$M$7-ArtifactsInput!$M$7)*CHOOSE(ArtifactsInput!$N$7+1,6,7.2,8.4,9.6,10.8,12))/100))+MIN((Skills!T19*(1+(Inputs!$B$34+(ArtifactsInput!$M$7-ArtifactsInput!$M$7)*CHOOSE(ArtifactsInput!$N$7+1,6,7.2,8.4,9.6,10.8,12))/100)),MAX(0,Inputs!$B$43-((R174-1)*Skills!D19))))/Inputs!$B$43),IF(Inputs!$B$38="pvp",MIN((Skills!T19*(1+(Inputs!$B$34+(ArtifactsInput!$M$7-ArtifactsInput!$M$7)*CHOOSE(ArtifactsInput!$N$7+1,6,7.2,8.4,9.6,10.8,12))/100)),15)/15,(Skills!T19*(1+(Inputs!$B$34+(ArtifactsInput!$M$7-ArtifactsInput!$M$7)*CHOOSE(ArtifactsInput!$N$7+1,6,7.2,8.4,9.6,10.8,12))/100))/Skills!D19)))</f>
        <v/>
      </c>
    </row>
    <row r="186">
      <c r="A186" t="inlineStr">
        <is>
          <t>Actions Per Second</t>
        </is>
      </c>
      <c r="B186">
        <f>1+MIN(150,150*(1-(1-(Inputs!$B$11+((C175=TRUE)*(F175-Calc!F20)))/150)*(1-B185/150)))/100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Raging Blow Casts Per Second</t>
        </is>
      </c>
      <c r="B188">
        <f>MAX(0,B186-B187)</f>
        <v/>
      </c>
    </row>
    <row r="189">
      <c r="A189" t="inlineStr">
        <is>
          <t>Global Critical Damage Bonus % (Enrage)</t>
        </is>
      </c>
      <c r="B189">
        <f>((C173=TRUE)*F173*IF(AND(Inputs!$B$38&lt;&gt;"pvp",Inputs!$B$43&gt;0),(((R173-1)*(Skills!T18*(1+(Inputs!$B$34+(ArtifactsInput!$M$7-ArtifactsInput!$M$7)*CHOOSE(ArtifactsInput!$N$7+1,6,7.2,8.4,9.6,10.8,12))/100))+MIN((Skills!T18*(1+(Inputs!$B$34+(ArtifactsInput!$M$7-ArtifactsInput!$M$7)*CHOOSE(ArtifactsInput!$N$7+1,6,7.2,8.4,9.6,10.8,12))/100)),MAX(0,Inputs!$B$43-((R173-1)*Skills!D18))))/Inputs!$B$43),IF(Inputs!$B$38="pvp",MIN((Skills!T18*(1+(Inputs!$B$34+(ArtifactsInput!$M$7-ArtifactsInput!$M$7)*CHOOSE(ArtifactsInput!$N$7+1,6,7.2,8.4,9.6,10.8,12))/100)),15)/15,(Skills!T18*(1+(Inputs!$B$34+(ArtifactsInput!$M$7-ArtifactsInput!$M$7)*CHOOSE(ArtifactsInput!$N$7+1,6,7.2,8.4,9.6,10.8,12))/100))/Skills!D18)))</f>
        <v/>
      </c>
    </row>
    <row r="190">
      <c r="A190" t="inlineStr">
        <is>
          <t>Global Final Damage Bonus % (Enrage + Combo Synergy)</t>
        </is>
      </c>
      <c r="B190">
        <f>((C172=TRUE)*F172*IF(AND(Inputs!$B$38&lt;&gt;"pvp",Inputs!$B$43&gt;0),(((R172-1)*(Skills!T17*(1+(Inputs!$B$34+(ArtifactsInput!$M$7-ArtifactsInput!$M$7)*CHOOSE(ArtifactsInput!$N$7+1,6,7.2,8.4,9.6,10.8,12))/100))+MIN((Skills!T17*(1+(Inputs!$B$34+(ArtifactsInput!$M$7-ArtifactsInput!$M$7)*CHOOSE(ArtifactsInput!$N$7+1,6,7.2,8.4,9.6,10.8,12))/100)),MAX(0,Inputs!$B$43-((R172-1)*Skills!D17))))/Inputs!$B$43),IF(Inputs!$B$38="pvp",MIN((Skills!T17*(1+(Inputs!$B$34+(ArtifactsInput!$M$7-ArtifactsInput!$M$7)*CHOOSE(ArtifactsInput!$N$7+1,6,7.2,8.4,9.6,10.8,12))/100)),15)/15,(Skills!T17*(1+(Inputs!$B$34+(ArtifactsInput!$M$7-ArtifactsInput!$M$7)*CHOOSE(ArtifactsInput!$N$7+1,6,7.2,8.4,9.6,10.8,12))/100))/Skills!D17)))+((C169=TRUE)*F169*IF(Inputs!$B$3&gt;=110,7,5))</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199)</f>
        <v/>
      </c>
      <c r="L199">
        <f>K199*(MIN(Inputs!$B$22+((C219=TRUE)*(F219-Calc!F22)),(Inputs!$B$23+((C221=TRUE)*(F221-Calc!F24))+(IF(ArtifactsInput!$M$15,CHOOSE(ArtifactsInput!$N$15+1,25,30,35,40,45,50)/100*(Inputs!$B$11-Inputs!$B$11),0))))/100+(Inputs!$B$23+((C221=TRUE)*(F221-Calc!F24))+(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INDEX(FactorTable!$B$2:$Y$301, MATCH(ROUND(MIN(300,MAX(1,U199)),0), FactorTable!$A$2:$A$301,0), 22)</f>
        <v/>
      </c>
    </row>
    <row r="201">
      <c r="A201">
        <f>Skills!A4</f>
        <v/>
      </c>
      <c r="B201">
        <f>Skills!B4</f>
        <v/>
      </c>
      <c r="C201">
        <f>Inputs!$B$3&gt;=105</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t="inlineStr"/>
      <c r="H201" t="inlineStr"/>
      <c r="I201" t="inlineStr">
        <is>
          <t>1</t>
        </is>
      </c>
      <c r="J201" t="inlineStr"/>
      <c r="K201" t="inlineStr"/>
      <c r="L201" t="inlineStr"/>
      <c r="M201" t="inlineStr"/>
      <c r="N201" t="inlineStr"/>
      <c r="O201" t="inlineStr"/>
      <c r="P201" t="inlineStr"/>
      <c r="Q201" t="inlineStr"/>
      <c r="R201" t="inlineStr"/>
      <c r="S201" t="inlineStr"/>
      <c r="U201">
        <f>290*U200/1000</f>
        <v/>
      </c>
    </row>
    <row r="202">
      <c r="A202">
        <f>Skills!A5</f>
        <v/>
      </c>
      <c r="B202">
        <f>Skills!B5</f>
        <v/>
      </c>
      <c r="C202">
        <f>Inputs!$B$3&gt;=103</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202)</f>
        <v/>
      </c>
      <c r="L202">
        <f>K202*(MIN(Inputs!$B$22+((C219=TRUE)*(F219-Calc!F22)),(Inputs!$B$23+((C221=TRUE)*(F221-Calc!F24))+(IF(ArtifactsInput!$M$15,CHOOSE(ArtifactsInput!$N$15+1,25,30,35,40,45,50)/100*(Inputs!$B$11-Inputs!$B$11),0))))/100+(Inputs!$B$23+((C221=TRUE)*(F221-Calc!F24))+(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IFERROR(1/(IF(Inputs!$B$38="pvp",15,MAX(0.1,Skills!D5-IF(Skills!E5=TRUE,Inputs!$B$32,0)))*(1-IF(AND(ArtifactsInput!$M$27,Inputs!$B$4="Chapter Hunt"),CHOOSE(ArtifactsInput!$N$27+1,20,24,28,32,36,40),0)/100)),0)</f>
        <v/>
      </c>
      <c r="R202">
        <f>IF(AND(Inputs!$B$38&lt;&gt;"pvp",Inputs!$B$43&gt;0),IF(MAX(0,Inputs!$B$43-B233)&lt;=0,0,(INT(MAX(0,Inputs!$B$43-B233)/(IF(Inputs!$B$38="pvp",15,MAX(0.1,Skills!D5-IF(Skills!E5=TRUE,Inputs!$B$32,0)))*(1-IF(AND(ArtifactsInput!$M$27,Inputs!$B$4="Chapter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203)</f>
        <v/>
      </c>
      <c r="L203">
        <f>K203*(MIN(Inputs!$B$22+((C219=TRUE)*(F219-Calc!F22)),(Inputs!$B$23+((C221=TRUE)*(F221-Calc!F24))+(IF(ArtifactsInput!$M$15,CHOOSE(ArtifactsInput!$N$15+1,25,30,35,40,45,50)/100*(Inputs!$B$11-Inputs!$B$11),0))))/100+(Inputs!$B$23+((C221=TRUE)*(F221-Calc!F24))+(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IFERROR(1/(IF(Inputs!$B$38="pvp",15,MAX(0.1,Skills!D6-IF(Skills!E6=TRUE,Inputs!$B$32,0)))*(1-IF(AND(ArtifactsInput!$M$27,Inputs!$B$4="Chapter Hunt"),CHOOSE(ArtifactsInput!$N$27+1,20,24,28,32,36,40),0)/100)),0)</f>
        <v/>
      </c>
      <c r="R203">
        <f>IF(AND(Inputs!$B$38&lt;&gt;"pvp",Inputs!$B$43&gt;0),IF(MAX(0,Inputs!$B$43-B233)&lt;=0,0,(INT(MAX(0,Inputs!$B$43-B233)/(IF(Inputs!$B$38="pvp",15,MAX(0.1,Skills!D6-IF(Skills!E6=TRUE,Inputs!$B$32,0)))*(1-IF(AND(ArtifactsInput!$M$27,Inputs!$B$4="Chapter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204)</f>
        <v/>
      </c>
      <c r="L204">
        <f>K204*(MIN(Inputs!$B$22+((C219=TRUE)*(F219-Calc!F22)),(Inputs!$B$23+((C221=TRUE)*(F221-Calc!F24))+(IF(ArtifactsInput!$M$15,CHOOSE(ArtifactsInput!$N$15+1,25,30,35,40,45,50)/100*(Inputs!$B$11-Inputs!$B$11),0))))/100+(Inputs!$B$23+((C221=TRUE)*(F221-Calc!F24))+(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IFERROR(1/(IF(Inputs!$B$38="pvp",15,MAX(0.1,Skills!D7-IF(Skills!E7=TRUE,Inputs!$B$32,0)))*(1-IF(AND(ArtifactsInput!$M$27,Inputs!$B$4="Chapter Hunt"),CHOOSE(ArtifactsInput!$N$27+1,20,24,28,32,36,40),0)/100)),0)</f>
        <v/>
      </c>
      <c r="R204">
        <f>IF(AND(Inputs!$B$38&lt;&gt;"pvp",Inputs!$B$43&gt;0),IF(MAX(0,Inputs!$B$43-B233)&lt;=0,0,(INT(MAX(0,Inputs!$B$43-B233)/(IF(Inputs!$B$38="pvp",15,MAX(0.1,Skills!D7-IF(Skills!E7=TRUE,Inputs!$B$32,0)))*(1-IF(AND(ArtifactsInput!$M$27,Inputs!$B$4="Chapter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Inputs!$B$3&gt;=117</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205)</f>
        <v/>
      </c>
      <c r="L205">
        <f>K205*(MIN(Inputs!$B$22+((C219=TRUE)*(F219-Calc!F22)),(Inputs!$B$23+((C221=TRUE)*(F221-Calc!F24))+(IF(ArtifactsInput!$M$15,CHOOSE(ArtifactsInput!$N$15+1,25,30,35,40,45,50)/100*(Inputs!$B$11-Inputs!$B$11),0))))/100+(Inputs!$B$23+((C221=TRUE)*(F221-Calc!F24))+(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IFERROR(1/(IF(Inputs!$B$38="pvp",15,MAX(0.1,Skills!D8-IF(Skills!E8=TRUE,Inputs!$B$32,0)))*(1-IF(AND(ArtifactsInput!$M$27,Inputs!$B$4="Chapter Hunt"),CHOOSE(ArtifactsInput!$N$27+1,20,24,28,32,36,40),0)/100)),0)</f>
        <v/>
      </c>
      <c r="R205">
        <f>IF(AND(Inputs!$B$38&lt;&gt;"pvp",Inputs!$B$43&gt;0),IF(MAX(0,Inputs!$B$43-B233)&lt;=0,0,(INT(MAX(0,Inputs!$B$43-B233)/(IF(Inputs!$B$38="pvp",15,MAX(0.1,Skills!D8-IF(Skills!E8=TRUE,Inputs!$B$32,0)))*(1-IF(AND(ArtifactsInput!$M$27,Inputs!$B$4="Chapter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Inputs!$B$3&gt;=69</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9="ENHANCED_RAGING_BLOW",IF(Inputs!$B$3&gt;=134,MAX(0,IF(Inputs!$B$3&gt;=110,7,5)-5)*50,0),0)/100)*(1+(IF(Skills!A9="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206)</f>
        <v/>
      </c>
      <c r="L206">
        <f>K206*(MIN(Inputs!$B$22+((C219=TRUE)*(F219-Calc!F22)),(Inputs!$B$23+((C221=TRUE)*(F221-Calc!F24))+(IF(ArtifactsInput!$M$15,CHOOSE(ArtifactsInput!$N$15+1,25,30,35,40,45,50)/100*(Inputs!$B$11-Inputs!$B$11),0))))/100+(Inputs!$B$23+((C221=TRUE)*(F221-Calc!F24))+(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IFERROR(1/(IF(Inputs!$B$38="pvp",15,MAX(0.1,Skills!D9-IF(Skills!E9=TRUE,Inputs!$B$32,0)))*(1-IF(AND(ArtifactsInput!$M$27,Inputs!$B$4="Chapter Hunt"),CHOOSE(ArtifactsInput!$N$27+1,20,24,28,32,36,40),0)/100)),0)</f>
        <v/>
      </c>
      <c r="R206">
        <f>IF(AND(Inputs!$B$38&lt;&gt;"pvp",Inputs!$B$43&gt;0),IF(MAX(0,Inputs!$B$43-B233)&lt;=0,0,(INT(MAX(0,Inputs!$B$43-B233)/(IF(Inputs!$B$38="pvp",15,MAX(0.1,Skills!D9-IF(Skills!E9=TRUE,Inputs!$B$32,0)))*(1-IF(AND(ArtifactsInput!$M$27,Inputs!$B$4="Chapter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Inputs!$B$3&gt;=63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10="ENHANCED_RAGING_BLOW",IF(Inputs!$B$3&gt;=134,MAX(0,IF(Inputs!$B$3&gt;=110,7,5)-5)*50,0),0)/100)*(1+(IF(Skills!A10="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207)</f>
        <v/>
      </c>
      <c r="L207">
        <f>K207*(MIN(Inputs!$B$22+((C219=TRUE)*(F219-Calc!F22)),(Inputs!$B$23+((C221=TRUE)*(F221-Calc!F24))+(IF(ArtifactsInput!$M$15,CHOOSE(ArtifactsInput!$N$15+1,25,30,35,40,45,50)/100*(Inputs!$B$11-Inputs!$B$11),0))))/100+(Inputs!$B$23+((C221=TRUE)*(F221-Calc!F24))+(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IFERROR(1/(IF(Inputs!$B$38="pvp",15,MAX(0.1,Skills!D10-IF(Skills!E10=TRUE,Inputs!$B$32,0)))*(1-IF(AND(ArtifactsInput!$M$27,Inputs!$B$4="Chapter Hunt"),CHOOSE(ArtifactsInput!$N$27+1,20,24,28,32,36,40),0)/100)),0)</f>
        <v/>
      </c>
      <c r="R207">
        <f>IF(AND(Inputs!$B$38&lt;&gt;"pvp",Inputs!$B$43&gt;0),IF(MAX(0,Inputs!$B$43-B233)&lt;=0,0,(INT(MAX(0,Inputs!$B$43-B233)/(IF(Inputs!$B$38="pvp",15,MAX(0.1,Skills!D10-IF(Skills!E10=TRUE,Inputs!$B$32,0)))*(1-IF(AND(ArtifactsInput!$M$27,Inputs!$B$4="Chapter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Inputs!$B$3&gt;=35</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11="ENHANCED_RAGING_BLOW",IF(Inputs!$B$3&gt;=134,MAX(0,IF(Inputs!$B$3&gt;=110,7,5)-5)*50,0),0)/100)*(1+(IF(Skills!A11="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208)</f>
        <v/>
      </c>
      <c r="L208">
        <f>K208*(MIN(Inputs!$B$22+((C219=TRUE)*(F219-Calc!F22)),(Inputs!$B$23+((C221=TRUE)*(F221-Calc!F24))+(IF(ArtifactsInput!$M$15,CHOOSE(ArtifactsInput!$N$15+1,25,30,35,40,45,50)/100*(Inputs!$B$11-Inputs!$B$11),0))))/100+(Inputs!$B$23+((C221=TRUE)*(F221-Calc!F24))+(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IFERROR(1/(IF(Inputs!$B$38="pvp",15,MAX(0.1,Skills!D11-IF(Skills!E11=TRUE,Inputs!$B$32,0)))*(1-IF(AND(ArtifactsInput!$M$27,Inputs!$B$4="Chapter Hunt"),CHOOSE(ArtifactsInput!$N$27+1,20,24,28,32,36,40),0)/100)),0)</f>
        <v/>
      </c>
      <c r="R208">
        <f>IF(AND(Inputs!$B$38&lt;&gt;"pvp",Inputs!$B$43&gt;0),IF(MAX(0,Inputs!$B$43-B233)&lt;=0,0,(INT(MAX(0,Inputs!$B$43-B233)/(IF(Inputs!$B$38="pvp",15,MAX(0.1,Skills!D11-IF(Skills!E11=TRUE,Inputs!$B$32,0)))*(1-IF(AND(ArtifactsInput!$M$27,Inputs!$B$4="Chapter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Inputs!$B$3&gt;=75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Inputs!$B$3&gt;=40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f>Skills!G15*IF(Skills!H15&gt;0,Skills!I15/Skills!H15,1)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IFERROR(1/(IF(Inputs!$B$38="pvp",15,MAX(0.1,Skills!D15-IF(Skills!E15=TRUE,Inputs!$B$32,0)))*(1-IF(AND(ArtifactsInput!$M$27,Inputs!$B$4="Chapter Hunt"),CHOOSE(ArtifactsInput!$N$27+1,20,24,28,32,36,40),0)/100)),0)</f>
        <v/>
      </c>
      <c r="R212">
        <f>IF(AND(Inputs!$B$38&lt;&gt;"pvp",Inputs!$B$43&gt;0),IF(Inputs!$B$43&lt;=0,0,(INT(Inputs!$B$43/(IF(Inputs!$B$38="pvp",15,MAX(0.1,Skills!D15-IF(Skills!E15=TRUE,Inputs!$B$32,0)))*(1-IF(AND(ArtifactsInput!$M$27,Inputs!$B$4="Chapter Hunt"),CHOOSE(ArtifactsInput!$N$27+1,20,24,28,32,36,40),0)/100)))+1)),0)</f>
        <v/>
      </c>
      <c r="S212">
        <f>IFERROR(O212/N212,0)</f>
        <v/>
      </c>
      <c r="T212" t="n">
        <v>0</v>
      </c>
      <c r="V212" t="n">
        <v>0</v>
      </c>
    </row>
    <row r="213">
      <c r="A213">
        <f>Skills!A16</f>
        <v/>
      </c>
      <c r="B213">
        <f>Skills!B16</f>
        <v/>
      </c>
      <c r="C213">
        <f>Inputs!$B$3&gt;=66</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f>Skills!G16*IF(Skills!H16&gt;0,Skills!I16/Skills!H16,1)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IFERROR(1/(IF(Inputs!$B$38="pvp",15,MAX(0.1,Skills!D16-IF(Skills!E16=TRUE,Inputs!$B$32,0)))*(1-IF(AND(ArtifactsInput!$M$27,Inputs!$B$4="Chapter Hunt"),CHOOSE(ArtifactsInput!$N$27+1,20,24,28,32,36,40),0)/100)),0)</f>
        <v/>
      </c>
      <c r="R213">
        <f>IF(AND(Inputs!$B$38&lt;&gt;"pvp",Inputs!$B$43&gt;0),IF(Inputs!$B$43&lt;=0,0,(INT(Inputs!$B$43/(IF(Inputs!$B$38="pvp",15,MAX(0.1,Skills!D16-IF(Skills!E16=TRUE,Inputs!$B$32,0)))*(1-IF(AND(ArtifactsInput!$M$27,Inputs!$B$4="Chapter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IFERROR(1/(IF(Inputs!$B$38="pvp",15,MAX(0.1,Skills!D17-IF(Skills!E17=TRUE,Inputs!$B$32,0)))*(1-IF(AND(ArtifactsInput!$M$27,Inputs!$B$4="Chapter Hunt"),CHOOSE(ArtifactsInput!$N$27+1,20,24,28,32,36,40),0)/100)),0)</f>
        <v/>
      </c>
      <c r="R214">
        <f>IF(AND(Inputs!$B$38&lt;&gt;"pvp",Inputs!$B$43&gt;0),IF(Inputs!$B$43&lt;=0,0,(INT(Inputs!$B$43/(IF(Inputs!$B$38="pvp",15,MAX(0.1,Skills!D17-IF(Skills!E17=TRUE,Inputs!$B$32,0)))*(1-IF(AND(ArtifactsInput!$M$27,Inputs!$B$4="Chapter Hunt"),CHOOSE(ArtifactsInput!$N$27+1,20,24,28,32,36,40),0)/100)))+1)),0)</f>
        <v/>
      </c>
      <c r="S214">
        <f>IFERROR(O214/N214,0)</f>
        <v/>
      </c>
      <c r="T214" t="n">
        <v>0</v>
      </c>
      <c r="V214" t="n">
        <v>0</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IFERROR(1/(IF(Inputs!$B$38="pvp",15,MAX(0.1,Skills!D18-IF(Skills!E18=TRUE,Inputs!$B$32,0)))*(1-IF(AND(ArtifactsInput!$M$27,Inputs!$B$4="Chapter Hunt"),CHOOSE(ArtifactsInput!$N$27+1,20,24,28,32,36,40),0)/100)),0)</f>
        <v/>
      </c>
      <c r="R215">
        <f>IF(AND(Inputs!$B$38&lt;&gt;"pvp",Inputs!$B$43&gt;0),IF(Inputs!$B$43&lt;=0,0,(INT(Inputs!$B$43/(IF(Inputs!$B$38="pvp",15,MAX(0.1,Skills!D18-IF(Skills!E18=TRUE,Inputs!$B$32,0)))*(1-IF(AND(ArtifactsInput!$M$27,Inputs!$B$4="Chapter Hunt"),CHOOSE(ArtifactsInput!$N$27+1,20,24,28,32,36,40),0)/100)))+1)),0)</f>
        <v/>
      </c>
      <c r="S215">
        <f>IFERROR(O215/N215,0)</f>
        <v/>
      </c>
      <c r="T215" t="n">
        <v>0</v>
      </c>
      <c r="V215" t="n">
        <v>0</v>
      </c>
    </row>
    <row r="216">
      <c r="A216">
        <f>Skills!A19</f>
        <v/>
      </c>
      <c r="B216">
        <f>Skills!B19</f>
        <v/>
      </c>
      <c r="C216">
        <f>TRUE</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IFERROR(1/(IF(Inputs!$B$38="pvp",15,MAX(0.1,Skills!D19-IF(Skills!E19=TRUE,Inputs!$B$32,0)))*(1-IF(AND(ArtifactsInput!$M$27,Inputs!$B$4="Chapter Hunt"),CHOOSE(ArtifactsInput!$N$27+1,20,24,28,32,36,40),0)/100)),0)</f>
        <v/>
      </c>
      <c r="R216">
        <f>IF(AND(Inputs!$B$38&lt;&gt;"pvp",Inputs!$B$43&gt;0),IF(Inputs!$B$43&lt;=0,0,(INT(Inputs!$B$43/(IF(Inputs!$B$38="pvp",15,MAX(0.1,Skills!D19-IF(Skills!E19=TRUE,Inputs!$B$32,0)))*(1-IF(AND(ArtifactsInput!$M$27,Inputs!$B$4="Chapter Hunt"),CHOOSE(ArtifactsInput!$N$27+1,20,24,28,32,36,40),0)/100)))+1)),0)</f>
        <v/>
      </c>
      <c r="S216">
        <f>IFERROR(O216/N216,0)</f>
        <v/>
      </c>
      <c r="T216" t="n">
        <v>0</v>
      </c>
      <c r="V216" t="n">
        <v>0</v>
      </c>
    </row>
    <row r="217">
      <c r="A217">
        <f>Skills!A20</f>
        <v/>
      </c>
      <c r="B217">
        <f>Skills!B20</f>
        <v/>
      </c>
      <c r="C217">
        <f>Inputs!$B$3&gt;=33</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Inputs!$B$3&gt;=38</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f>(1-Summary!$B$11)*T218+Summary!$B$11*V218</f>
        <v/>
      </c>
      <c r="P218">
        <f>IF(B236=0,0,O218/B236)</f>
        <v/>
      </c>
      <c r="Q218" t="n">
        <v>0</v>
      </c>
      <c r="R218" t="n">
        <v>0</v>
      </c>
      <c r="S218">
        <f>IFERROR(O218/N218,0)</f>
        <v/>
      </c>
      <c r="T218" t="n">
        <v>0</v>
      </c>
      <c r="V218" t="n">
        <v>0</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Inputs!$B$3&gt;=120</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Inputs!$B$3&gt;=120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Inputs!$B$3&gt;=125</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Inputs!$B$3&gt;=72</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216=TRUE)*F216*IF(AND(Inputs!$B$38&lt;&gt;"pvp",Inputs!$B$43&gt;0),(((R216-1)*(Skills!T19*(1+(Inputs!$B$34+(ArtifactsInput!$M$7-ArtifactsInput!$M$7)*CHOOSE(ArtifactsInput!$N$7+1,6,7.2,8.4,9.6,10.8,12))/100))+MIN((Skills!T19*(1+(Inputs!$B$34+(ArtifactsInput!$M$7-ArtifactsInput!$M$7)*CHOOSE(ArtifactsInput!$N$7+1,6,7.2,8.4,9.6,10.8,12))/100)),MAX(0,Inputs!$B$43-((R216-1)*Skills!D19))))/Inputs!$B$43),IF(Inputs!$B$38="pvp",MIN((Skills!T19*(1+(Inputs!$B$34+(ArtifactsInput!$M$7-ArtifactsInput!$M$7)*CHOOSE(ArtifactsInput!$N$7+1,6,7.2,8.4,9.6,10.8,12))/100)),15)/15,(Skills!T19*(1+(Inputs!$B$34+(ArtifactsInput!$M$7-ArtifactsInput!$M$7)*CHOOSE(ArtifactsInput!$N$7+1,6,7.2,8.4,9.6,10.8,12))/100))/Skills!D19)))</f>
        <v/>
      </c>
    </row>
    <row r="228">
      <c r="A228" t="inlineStr">
        <is>
          <t>Actions Per Second</t>
        </is>
      </c>
      <c r="B228">
        <f>1+MIN(150,150*(1-(1-(Inputs!$B$11+((C217=TRUE)*(F217-Calc!F20)))/150)*(1-B227/150)))/100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Raging Blow Casts Per Second</t>
        </is>
      </c>
      <c r="B230">
        <f>MAX(0,B228-B229)</f>
        <v/>
      </c>
    </row>
    <row r="231">
      <c r="A231" t="inlineStr">
        <is>
          <t>Global Critical Damage Bonus % (Enrage)</t>
        </is>
      </c>
      <c r="B231">
        <f>((C215=TRUE)*F215*IF(AND(Inputs!$B$38&lt;&gt;"pvp",Inputs!$B$43&gt;0),(((R215-1)*(Skills!T18*(1+(Inputs!$B$34+(ArtifactsInput!$M$7-ArtifactsInput!$M$7)*CHOOSE(ArtifactsInput!$N$7+1,6,7.2,8.4,9.6,10.8,12))/100))+MIN((Skills!T18*(1+(Inputs!$B$34+(ArtifactsInput!$M$7-ArtifactsInput!$M$7)*CHOOSE(ArtifactsInput!$N$7+1,6,7.2,8.4,9.6,10.8,12))/100)),MAX(0,Inputs!$B$43-((R215-1)*Skills!D18))))/Inputs!$B$43),IF(Inputs!$B$38="pvp",MIN((Skills!T18*(1+(Inputs!$B$34+(ArtifactsInput!$M$7-ArtifactsInput!$M$7)*CHOOSE(ArtifactsInput!$N$7+1,6,7.2,8.4,9.6,10.8,12))/100)),15)/15,(Skills!T18*(1+(Inputs!$B$34+(ArtifactsInput!$M$7-ArtifactsInput!$M$7)*CHOOSE(ArtifactsInput!$N$7+1,6,7.2,8.4,9.6,10.8,12))/100))/Skills!D18)))</f>
        <v/>
      </c>
    </row>
    <row r="232">
      <c r="A232" t="inlineStr">
        <is>
          <t>Global Final Damage Bonus % (Enrage + Combo Synergy)</t>
        </is>
      </c>
      <c r="B232">
        <f>((C214=TRUE)*F214*IF(AND(Inputs!$B$38&lt;&gt;"pvp",Inputs!$B$43&gt;0),(((R214-1)*(Skills!T17*(1+(Inputs!$B$34+(ArtifactsInput!$M$7-ArtifactsInput!$M$7)*CHOOSE(ArtifactsInput!$N$7+1,6,7.2,8.4,9.6,10.8,12))/100))+MIN((Skills!T17*(1+(Inputs!$B$34+(ArtifactsInput!$M$7-ArtifactsInput!$M$7)*CHOOSE(ArtifactsInput!$N$7+1,6,7.2,8.4,9.6,10.8,12))/100)),MAX(0,Inputs!$B$43-((R214-1)*Skills!D17))))/Inputs!$B$43),IF(Inputs!$B$38="pvp",MIN((Skills!T17*(1+(Inputs!$B$34+(ArtifactsInput!$M$7-ArtifactsInput!$M$7)*CHOOSE(ArtifactsInput!$N$7+1,6,7.2,8.4,9.6,10.8,12))/100)),15)/15,(Skills!T17*(1+(Inputs!$B$34+(ArtifactsInput!$M$7-ArtifactsInput!$M$7)*CHOOSE(ArtifactsInput!$N$7+1,6,7.2,8.4,9.6,10.8,12))/100))/Skills!D17)))+((C211=TRUE)*F211*IF(Inputs!$B$3&gt;=110,7,5))</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241)</f>
        <v/>
      </c>
      <c r="L241">
        <f>K241*(MIN(Inputs!$B$22+((C261=TRUE)*(F261-Calc!F22)),(Inputs!$B$23+((C263=TRUE)*(F263-Calc!F24))+(IF(ArtifactsInput!$M$15,CHOOSE(ArtifactsInput!$N$15+1,25,30,35,40,45,50)/100*(Inputs!$B$11-Inputs!$B$11),0))))/100+(Inputs!$B$23+((C263=TRUE)*(F263-Calc!F24))+(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INDEX(FactorTable!$B$2:$Y$301, MATCH(ROUND(MIN(300,MAX(1,D242)),0),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INDEX(FactorTable!$B$2:$Y$301, MATCH(ROUND(MIN(300,MAX(1,U241)),0), FactorTable!$A$2:$A$301,0), 22)</f>
        <v/>
      </c>
    </row>
    <row r="243">
      <c r="A243">
        <f>Skills!A4</f>
        <v/>
      </c>
      <c r="B243">
        <f>Skills!B4</f>
        <v/>
      </c>
      <c r="C243">
        <f>Inputs!$B$3&gt;=105</f>
        <v/>
      </c>
      <c r="D243">
        <f>IF(Skills!C4=1,60+Inputs!$B$25+Inputs!$B$29,IF(Skills!C4=2,90+Inputs!$B$26+Inputs!$B$29,IF(Skills!C4=3,120+Inputs!$B$27+Inputs!$B$29,MAX(0,(Inputs!$B$3-100)*3)+Inputs!$B$28+Inputs!$B$29)))</f>
        <v/>
      </c>
      <c r="E243">
        <f>INDEX(FactorTable!$B$2:$Y$301, MATCH(ROUND(MIN(300,MAX(1,D243)),0), FactorTable!$A$2:$A$301,0), Skills!M4+1)</f>
        <v/>
      </c>
      <c r="F243">
        <f>IF(Skills!N4=TRUE,(Skills!L4/10)*(E243/1000),Skills!L4/10)+Skills!O4</f>
        <v/>
      </c>
      <c r="G243" t="inlineStr"/>
      <c r="H243" t="inlineStr"/>
      <c r="I243" t="inlineStr">
        <is>
          <t>1</t>
        </is>
      </c>
      <c r="J243" t="inlineStr"/>
      <c r="K243" t="inlineStr"/>
      <c r="L243" t="inlineStr"/>
      <c r="M243" t="inlineStr"/>
      <c r="N243" t="inlineStr"/>
      <c r="O243" t="inlineStr"/>
      <c r="P243" t="inlineStr"/>
      <c r="Q243" t="inlineStr"/>
      <c r="R243" t="inlineStr"/>
      <c r="S243" t="inlineStr"/>
      <c r="U243">
        <f>290*U242/1000</f>
        <v/>
      </c>
    </row>
    <row r="244">
      <c r="A244">
        <f>Skills!A5</f>
        <v/>
      </c>
      <c r="B244">
        <f>Skills!B5</f>
        <v/>
      </c>
      <c r="C244">
        <f>Inputs!$B$3&gt;=103</f>
        <v/>
      </c>
      <c r="D244">
        <f>IF(Skills!C5=1,60+Inputs!$B$25+Inputs!$B$29,IF(Skills!C5=2,90+Inputs!$B$26+Inputs!$B$29,IF(Skills!C5=3,120+Inputs!$B$27+Inputs!$B$29,MAX(0,(Inputs!$B$3-100)*3)+Inputs!$B$28+Inputs!$B$29)))</f>
        <v/>
      </c>
      <c r="E244">
        <f>INDEX(FactorTable!$B$2:$Y$301, MATCH(ROUND(MIN(300,MAX(1,D244)),0), FactorTable!$A$2:$A$301,0), Skills!M5+1)</f>
        <v/>
      </c>
      <c r="F244">
        <f>IF(Skills!N5=TRUE,(Skills!L5/10)*(E244/1000),Skills!L5/10)+Skills!O5</f>
        <v/>
      </c>
      <c r="G244">
        <f>Skills!G5*IF(Skills!H5&gt;0,Skills!I5/Skills!H5,1)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244)</f>
        <v/>
      </c>
      <c r="L244">
        <f>K244*(MIN(Inputs!$B$22+((C261=TRUE)*(F261-Calc!F22)),(Inputs!$B$23+((C263=TRUE)*(F263-Calc!F24))+(IF(ArtifactsInput!$M$15,CHOOSE(ArtifactsInput!$N$15+1,25,30,35,40,45,50)/100*(Inputs!$B$11-Inputs!$B$11),0))))/100+(Inputs!$B$23+((C263=TRUE)*(F263-Calc!F24))+(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IFERROR(1/(IF(Inputs!$B$38="pvp",15,MAX(0.1,Skills!D5-IF(Skills!E5=TRUE,Inputs!$B$32,0)))*(1-IF(AND(ArtifactsInput!$M$27,Inputs!$B$4="Chapter Hunt"),CHOOSE(ArtifactsInput!$N$27+1,20,24,28,32,36,40),0)/100)),0)</f>
        <v/>
      </c>
      <c r="R244">
        <f>IF(AND(Inputs!$B$38&lt;&gt;"pvp",Inputs!$B$43&gt;0),IF(MAX(0,Inputs!$B$43-B275)&lt;=0,0,(INT(MAX(0,Inputs!$B$43-B275)/(IF(Inputs!$B$38="pvp",15,MAX(0.1,Skills!D5-IF(Skills!E5=TRUE,Inputs!$B$32,0)))*(1-IF(AND(ArtifactsInput!$M$27,Inputs!$B$4="Chapter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INDEX(FactorTable!$B$2:$Y$301, MATCH(ROUND(MIN(300,MAX(1,D245)),0), FactorTable!$A$2:$A$301,0), Skills!M6+1)</f>
        <v/>
      </c>
      <c r="F245">
        <f>IF(Skills!N6=TRUE,(Skills!L6/10)*(E245/1000),Skills!L6/10)+Skills!O6</f>
        <v/>
      </c>
      <c r="G245">
        <f>Skills!G6*IF(Skills!H6&gt;0,Skills!I6/Skills!H6,1)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245)</f>
        <v/>
      </c>
      <c r="L245">
        <f>K245*(MIN(Inputs!$B$22+((C261=TRUE)*(F261-Calc!F22)),(Inputs!$B$23+((C263=TRUE)*(F263-Calc!F24))+(IF(ArtifactsInput!$M$15,CHOOSE(ArtifactsInput!$N$15+1,25,30,35,40,45,50)/100*(Inputs!$B$11-Inputs!$B$11),0))))/100+(Inputs!$B$23+((C263=TRUE)*(F263-Calc!F24))+(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IFERROR(1/(IF(Inputs!$B$38="pvp",15,MAX(0.1,Skills!D6-IF(Skills!E6=TRUE,Inputs!$B$32,0)))*(1-IF(AND(ArtifactsInput!$M$27,Inputs!$B$4="Chapter Hunt"),CHOOSE(ArtifactsInput!$N$27+1,20,24,28,32,36,40),0)/100)),0)</f>
        <v/>
      </c>
      <c r="R245">
        <f>IF(AND(Inputs!$B$38&lt;&gt;"pvp",Inputs!$B$43&gt;0),IF(MAX(0,Inputs!$B$43-B275)&lt;=0,0,(INT(MAX(0,Inputs!$B$43-B275)/(IF(Inputs!$B$38="pvp",15,MAX(0.1,Skills!D6-IF(Skills!E6=TRUE,Inputs!$B$32,0)))*(1-IF(AND(ArtifactsInput!$M$27,Inputs!$B$4="Chapter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INDEX(FactorTable!$B$2:$Y$301, MATCH(ROUND(MIN(300,MAX(1,D246)),0), FactorTable!$A$2:$A$301,0), Skills!M7+1)</f>
        <v/>
      </c>
      <c r="F246">
        <f>IF(Skills!N7=TRUE,(Skills!L7/10)*(E246/1000),Skills!L7/10)+Skills!O7</f>
        <v/>
      </c>
      <c r="G246">
        <f>Skills!G7*IF(Skills!H7&gt;0,Skills!I7/Skills!H7,1)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246)</f>
        <v/>
      </c>
      <c r="L246">
        <f>K246*(MIN(Inputs!$B$22+((C261=TRUE)*(F261-Calc!F22)),(Inputs!$B$23+((C263=TRUE)*(F263-Calc!F24))+(IF(ArtifactsInput!$M$15,CHOOSE(ArtifactsInput!$N$15+1,25,30,35,40,45,50)/100*(Inputs!$B$11-Inputs!$B$11),0))))/100+(Inputs!$B$23+((C263=TRUE)*(F263-Calc!F24))+(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IFERROR(1/(IF(Inputs!$B$38="pvp",15,MAX(0.1,Skills!D7-IF(Skills!E7=TRUE,Inputs!$B$32,0)))*(1-IF(AND(ArtifactsInput!$M$27,Inputs!$B$4="Chapter Hunt"),CHOOSE(ArtifactsInput!$N$27+1,20,24,28,32,36,40),0)/100)),0)</f>
        <v/>
      </c>
      <c r="R246">
        <f>IF(AND(Inputs!$B$38&lt;&gt;"pvp",Inputs!$B$43&gt;0),IF(MAX(0,Inputs!$B$43-B275)&lt;=0,0,(INT(MAX(0,Inputs!$B$43-B275)/(IF(Inputs!$B$38="pvp",15,MAX(0.1,Skills!D7-IF(Skills!E7=TRUE,Inputs!$B$32,0)))*(1-IF(AND(ArtifactsInput!$M$27,Inputs!$B$4="Chapter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Inputs!$B$3&gt;=117</f>
        <v/>
      </c>
      <c r="D247">
        <f>IF(Skills!C8=1,60+Inputs!$B$25+Inputs!$B$29,IF(Skills!C8=2,90+Inputs!$B$26+Inputs!$B$29,IF(Skills!C8=3,120+Inputs!$B$27+Inputs!$B$29,MAX(0,(Inputs!$B$3-100)*3)+Inputs!$B$28+Inputs!$B$29)))</f>
        <v/>
      </c>
      <c r="E247">
        <f>INDEX(FactorTable!$B$2:$Y$301, MATCH(ROUND(MIN(300,MAX(1,D247)),0), FactorTable!$A$2:$A$301,0), Skills!M8+1)</f>
        <v/>
      </c>
      <c r="F247">
        <f>IF(Skills!N8=TRUE,(Skills!L8/10)*(E247/1000),Skills!L8/10)+Skills!O8</f>
        <v/>
      </c>
      <c r="G247">
        <f>Skills!G8*IF(Skills!H8&gt;0,Skills!I8/Skills!H8,1)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247)</f>
        <v/>
      </c>
      <c r="L247">
        <f>K247*(MIN(Inputs!$B$22+((C261=TRUE)*(F261-Calc!F22)),(Inputs!$B$23+((C263=TRUE)*(F263-Calc!F24))+(IF(ArtifactsInput!$M$15,CHOOSE(ArtifactsInput!$N$15+1,25,30,35,40,45,50)/100*(Inputs!$B$11-Inputs!$B$11),0))))/100+(Inputs!$B$23+((C263=TRUE)*(F263-Calc!F24))+(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IFERROR(1/(IF(Inputs!$B$38="pvp",15,MAX(0.1,Skills!D8-IF(Skills!E8=TRUE,Inputs!$B$32,0)))*(1-IF(AND(ArtifactsInput!$M$27,Inputs!$B$4="Chapter Hunt"),CHOOSE(ArtifactsInput!$N$27+1,20,24,28,32,36,40),0)/100)),0)</f>
        <v/>
      </c>
      <c r="R247">
        <f>IF(AND(Inputs!$B$38&lt;&gt;"pvp",Inputs!$B$43&gt;0),IF(MAX(0,Inputs!$B$43-B275)&lt;=0,0,(INT(MAX(0,Inputs!$B$43-B275)/(IF(Inputs!$B$38="pvp",15,MAX(0.1,Skills!D8-IF(Skills!E8=TRUE,Inputs!$B$32,0)))*(1-IF(AND(ArtifactsInput!$M$27,Inputs!$B$4="Chapter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Inputs!$B$3&gt;=69</f>
        <v/>
      </c>
      <c r="D248">
        <f>IF(Skills!C9=1,60+Inputs!$B$25+Inputs!$B$29,IF(Skills!C9=2,90+Inputs!$B$26+Inputs!$B$29,IF(Skills!C9=3,120+Inputs!$B$27+Inputs!$B$29,MAX(0,(Inputs!$B$3-100)*3)+Inputs!$B$28+Inputs!$B$29)))</f>
        <v/>
      </c>
      <c r="E248">
        <f>INDEX(FactorTable!$B$2:$Y$301, MATCH(ROUND(MIN(300,MAX(1,D248)),0), FactorTable!$A$2:$A$301,0), Skills!M9+1)</f>
        <v/>
      </c>
      <c r="F248">
        <f>IF(Skills!N9=TRUE,(Skills!L9/10)*(E248/1000),Skills!L9/10)+Skills!O9</f>
        <v/>
      </c>
      <c r="G248">
        <f>Skills!G9*IF(Skills!H9&gt;0,Skills!I9/Skills!H9,1)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9="ENHANCED_RAGING_BLOW",IF(Inputs!$B$3&gt;=134,MAX(0,IF(Inputs!$B$3&gt;=110,7,5)-5)*50,0),0)/100)*(1+(IF(Skills!A9="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248)</f>
        <v/>
      </c>
      <c r="L248">
        <f>K248*(MIN(Inputs!$B$22+((C261=TRUE)*(F261-Calc!F22)),(Inputs!$B$23+((C263=TRUE)*(F263-Calc!F24))+(IF(ArtifactsInput!$M$15,CHOOSE(ArtifactsInput!$N$15+1,25,30,35,40,45,50)/100*(Inputs!$B$11-Inputs!$B$11),0))))/100+(Inputs!$B$23+((C263=TRUE)*(F263-Calc!F24))+(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IFERROR(1/(IF(Inputs!$B$38="pvp",15,MAX(0.1,Skills!D9-IF(Skills!E9=TRUE,Inputs!$B$32,0)))*(1-IF(AND(ArtifactsInput!$M$27,Inputs!$B$4="Chapter Hunt"),CHOOSE(ArtifactsInput!$N$27+1,20,24,28,32,36,40),0)/100)),0)</f>
        <v/>
      </c>
      <c r="R248">
        <f>IF(AND(Inputs!$B$38&lt;&gt;"pvp",Inputs!$B$43&gt;0),IF(MAX(0,Inputs!$B$43-B275)&lt;=0,0,(INT(MAX(0,Inputs!$B$43-B275)/(IF(Inputs!$B$38="pvp",15,MAX(0.1,Skills!D9-IF(Skills!E9=TRUE,Inputs!$B$32,0)))*(1-IF(AND(ArtifactsInput!$M$27,Inputs!$B$4="Chapter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Inputs!$B$3&gt;=63</f>
        <v/>
      </c>
      <c r="D249">
        <f>IF(Skills!C10=1,60+Inputs!$B$25+Inputs!$B$29,IF(Skills!C10=2,90+Inputs!$B$26+Inputs!$B$29,IF(Skills!C10=3,120+Inputs!$B$27+Inputs!$B$29,MAX(0,(Inputs!$B$3-100)*3)+Inputs!$B$28+Inputs!$B$29)))</f>
        <v/>
      </c>
      <c r="E249">
        <f>INDEX(FactorTable!$B$2:$Y$301, MATCH(ROUND(MIN(300,MAX(1,D249)),0), FactorTable!$A$2:$A$301,0), Skills!M10+1)</f>
        <v/>
      </c>
      <c r="F249">
        <f>IF(Skills!N10=TRUE,(Skills!L10/10)*(E249/1000),Skills!L10/10)+Skills!O10</f>
        <v/>
      </c>
      <c r="G249">
        <f>Skills!G10*IF(Skills!H10&gt;0,Skills!I10/Skills!H10,1)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10="ENHANCED_RAGING_BLOW",IF(Inputs!$B$3&gt;=134,MAX(0,IF(Inputs!$B$3&gt;=110,7,5)-5)*50,0),0)/100)*(1+(IF(Skills!A10="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249)</f>
        <v/>
      </c>
      <c r="L249">
        <f>K249*(MIN(Inputs!$B$22+((C261=TRUE)*(F261-Calc!F22)),(Inputs!$B$23+((C263=TRUE)*(F263-Calc!F24))+(IF(ArtifactsInput!$M$15,CHOOSE(ArtifactsInput!$N$15+1,25,30,35,40,45,50)/100*(Inputs!$B$11-Inputs!$B$11),0))))/100+(Inputs!$B$23+((C263=TRUE)*(F263-Calc!F24))+(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IFERROR(1/(IF(Inputs!$B$38="pvp",15,MAX(0.1,Skills!D10-IF(Skills!E10=TRUE,Inputs!$B$32,0)))*(1-IF(AND(ArtifactsInput!$M$27,Inputs!$B$4="Chapter Hunt"),CHOOSE(ArtifactsInput!$N$27+1,20,24,28,32,36,40),0)/100)),0)</f>
        <v/>
      </c>
      <c r="R249">
        <f>IF(AND(Inputs!$B$38&lt;&gt;"pvp",Inputs!$B$43&gt;0),IF(MAX(0,Inputs!$B$43-B275)&lt;=0,0,(INT(MAX(0,Inputs!$B$43-B275)/(IF(Inputs!$B$38="pvp",15,MAX(0.1,Skills!D10-IF(Skills!E10=TRUE,Inputs!$B$32,0)))*(1-IF(AND(ArtifactsInput!$M$27,Inputs!$B$4="Chapter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Inputs!$B$3&gt;=35</f>
        <v/>
      </c>
      <c r="D250">
        <f>IF(Skills!C11=1,60+Inputs!$B$25+Inputs!$B$29,IF(Skills!C11=2,90+Inputs!$B$26+Inputs!$B$29,IF(Skills!C11=3,120+Inputs!$B$27+Inputs!$B$29,MAX(0,(Inputs!$B$3-100)*3)+Inputs!$B$28+Inputs!$B$29)))</f>
        <v/>
      </c>
      <c r="E250">
        <f>INDEX(FactorTable!$B$2:$Y$301, MATCH(ROUND(MIN(300,MAX(1,D250)),0), FactorTable!$A$2:$A$301,0), Skills!M11+1)</f>
        <v/>
      </c>
      <c r="F250">
        <f>IF(Skills!N11=TRUE,(Skills!L11/10)*(E250/1000),Skills!L11/10)+Skills!O11</f>
        <v/>
      </c>
      <c r="G250">
        <f>Skills!G11*IF(Skills!H11&gt;0,Skills!I11/Skills!H11,1)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11="ENHANCED_RAGING_BLOW",IF(Inputs!$B$3&gt;=134,MAX(0,IF(Inputs!$B$3&gt;=110,7,5)-5)*50,0),0)/100)*(1+(IF(Skills!A11="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250)</f>
        <v/>
      </c>
      <c r="L250">
        <f>K250*(MIN(Inputs!$B$22+((C261=TRUE)*(F261-Calc!F22)),(Inputs!$B$23+((C263=TRUE)*(F263-Calc!F24))+(IF(ArtifactsInput!$M$15,CHOOSE(ArtifactsInput!$N$15+1,25,30,35,40,45,50)/100*(Inputs!$B$11-Inputs!$B$11),0))))/100+(Inputs!$B$23+((C263=TRUE)*(F263-Calc!F24))+(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IFERROR(1/(IF(Inputs!$B$38="pvp",15,MAX(0.1,Skills!D11-IF(Skills!E11=TRUE,Inputs!$B$32,0)))*(1-IF(AND(ArtifactsInput!$M$27,Inputs!$B$4="Chapter Hunt"),CHOOSE(ArtifactsInput!$N$27+1,20,24,28,32,36,40),0)/100)),0)</f>
        <v/>
      </c>
      <c r="R250">
        <f>IF(AND(Inputs!$B$38&lt;&gt;"pvp",Inputs!$B$43&gt;0),IF(MAX(0,Inputs!$B$43-B275)&lt;=0,0,(INT(MAX(0,Inputs!$B$43-B275)/(IF(Inputs!$B$38="pvp",15,MAX(0.1,Skills!D11-IF(Skills!E11=TRUE,Inputs!$B$32,0)))*(1-IF(AND(ArtifactsInput!$M$27,Inputs!$B$4="Chapter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INDEX(FactorTable!$B$2:$Y$301, MATCH(ROUND(MIN(300,MAX(1,D251)),0),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INDEX(FactorTable!$B$2:$Y$301, MATCH(ROUND(MIN(300,MAX(1,D252)),0), FactorTable!$A$2:$A$301,0), Skills!M13+1)</f>
        <v/>
      </c>
      <c r="F252">
        <f>IF(Skills!N13=TRUE,(Skills!L13/10)*(E252/1000),Skills!L13/10)+Skills!O13</f>
        <v/>
      </c>
      <c r="G252">
        <f>Skills!G13*IF(Skills!H13&gt;0,Skills!I13/Skills!H13,1)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Inputs!$B$3&gt;=75</f>
        <v/>
      </c>
      <c r="D253">
        <f>IF(Skills!C14=1,60+Inputs!$B$25+Inputs!$B$29,IF(Skills!C14=2,90+Inputs!$B$26+Inputs!$B$29,IF(Skills!C14=3,120+Inputs!$B$27+Inputs!$B$29,MAX(0,(Inputs!$B$3-100)*3)+Inputs!$B$28+Inputs!$B$29)))</f>
        <v/>
      </c>
      <c r="E253">
        <f>INDEX(FactorTable!$B$2:$Y$301, MATCH(ROUND(MIN(300,MAX(1,D253)),0), FactorTable!$A$2:$A$301,0), Skills!M14+1)</f>
        <v/>
      </c>
      <c r="F253">
        <f>IF(Skills!N14=TRUE,(Skills!L14/10)*(E253/1000),Skills!L14/10)+Skills!O14</f>
        <v/>
      </c>
      <c r="G253">
        <f>Skills!G14*IF(Skills!H14&gt;0,Skills!I14/Skills!H14,1)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Inputs!$B$3&gt;=40</f>
        <v/>
      </c>
      <c r="D254">
        <f>IF(Skills!C15=1,60+Inputs!$B$25+Inputs!$B$29,IF(Skills!C15=2,90+Inputs!$B$26+Inputs!$B$29,IF(Skills!C15=3,120+Inputs!$B$27+Inputs!$B$29,MAX(0,(Inputs!$B$3-100)*3)+Inputs!$B$28+Inputs!$B$29)))</f>
        <v/>
      </c>
      <c r="E254">
        <f>INDEX(FactorTable!$B$2:$Y$301, MATCH(ROUND(MIN(300,MAX(1,D254)),0), FactorTable!$A$2:$A$301,0), Skills!M15+1)</f>
        <v/>
      </c>
      <c r="F254">
        <f>IF(Skills!N15=TRUE,(Skills!L15/10)*(E254/1000),Skills!L15/10)+Skills!O15</f>
        <v/>
      </c>
      <c r="G254">
        <f>Skills!G15*IF(Skills!H15&gt;0,Skills!I15/Skills!H15,1)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IFERROR(1/(IF(Inputs!$B$38="pvp",15,MAX(0.1,Skills!D15-IF(Skills!E15=TRUE,Inputs!$B$32,0)))*(1-IF(AND(ArtifactsInput!$M$27,Inputs!$B$4="Chapter Hunt"),CHOOSE(ArtifactsInput!$N$27+1,20,24,28,32,36,40),0)/100)),0)</f>
        <v/>
      </c>
      <c r="R254">
        <f>IF(AND(Inputs!$B$38&lt;&gt;"pvp",Inputs!$B$43&gt;0),IF(Inputs!$B$43&lt;=0,0,(INT(Inputs!$B$43/(IF(Inputs!$B$38="pvp",15,MAX(0.1,Skills!D15-IF(Skills!E15=TRUE,Inputs!$B$32,0)))*(1-IF(AND(ArtifactsInput!$M$27,Inputs!$B$4="Chapter Hunt"),CHOOSE(ArtifactsInput!$N$27+1,20,24,28,32,36,40),0)/100)))+1)),0)</f>
        <v/>
      </c>
      <c r="S254">
        <f>IFERROR(O254/N254,0)</f>
        <v/>
      </c>
      <c r="T254" t="n">
        <v>0</v>
      </c>
      <c r="V254" t="n">
        <v>0</v>
      </c>
    </row>
    <row r="255">
      <c r="A255">
        <f>Skills!A16</f>
        <v/>
      </c>
      <c r="B255">
        <f>Skills!B16</f>
        <v/>
      </c>
      <c r="C255">
        <f>Inputs!$B$3&gt;=66</f>
        <v/>
      </c>
      <c r="D255">
        <f>IF(Skills!C16=1,60+Inputs!$B$25+Inputs!$B$29,IF(Skills!C16=2,90+Inputs!$B$26+Inputs!$B$29,IF(Skills!C16=3,120+Inputs!$B$27+Inputs!$B$29,MAX(0,(Inputs!$B$3-100)*3)+Inputs!$B$28+Inputs!$B$29)))</f>
        <v/>
      </c>
      <c r="E255">
        <f>INDEX(FactorTable!$B$2:$Y$301, MATCH(ROUND(MIN(300,MAX(1,D255)),0), FactorTable!$A$2:$A$301,0), Skills!M16+1)</f>
        <v/>
      </c>
      <c r="F255">
        <f>IF(Skills!N16=TRUE,(Skills!L16/10)*(E255/1000),Skills!L16/10)+Skills!O16</f>
        <v/>
      </c>
      <c r="G255">
        <f>Skills!G16*IF(Skills!H16&gt;0,Skills!I16/Skills!H16,1)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IFERROR(1/(IF(Inputs!$B$38="pvp",15,MAX(0.1,Skills!D16-IF(Skills!E16=TRUE,Inputs!$B$32,0)))*(1-IF(AND(ArtifactsInput!$M$27,Inputs!$B$4="Chapter Hunt"),CHOOSE(ArtifactsInput!$N$27+1,20,24,28,32,36,40),0)/100)),0)</f>
        <v/>
      </c>
      <c r="R255">
        <f>IF(AND(Inputs!$B$38&lt;&gt;"pvp",Inputs!$B$43&gt;0),IF(Inputs!$B$43&lt;=0,0,(INT(Inputs!$B$43/(IF(Inputs!$B$38="pvp",15,MAX(0.1,Skills!D16-IF(Skills!E16=TRUE,Inputs!$B$32,0)))*(1-IF(AND(ArtifactsInput!$M$27,Inputs!$B$4="Chapter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INDEX(FactorTable!$B$2:$Y$301, MATCH(ROUND(MIN(300,MAX(1,D256)),0), FactorTable!$A$2:$A$301,0), Skills!M17+1)</f>
        <v/>
      </c>
      <c r="F256">
        <f>IF(Skills!N17=TRUE,(Skills!L17/10)*(E256/1000),Skills!L17/10)+Skills!O17</f>
        <v/>
      </c>
      <c r="G256">
        <f>Skills!G17*IF(Skills!H17&gt;0,Skills!I17/Skills!H17,1)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IFERROR(1/(IF(Inputs!$B$38="pvp",15,MAX(0.1,Skills!D17-IF(Skills!E17=TRUE,Inputs!$B$32,0)))*(1-IF(AND(ArtifactsInput!$M$27,Inputs!$B$4="Chapter Hunt"),CHOOSE(ArtifactsInput!$N$27+1,20,24,28,32,36,40),0)/100)),0)</f>
        <v/>
      </c>
      <c r="R256">
        <f>IF(AND(Inputs!$B$38&lt;&gt;"pvp",Inputs!$B$43&gt;0),IF(Inputs!$B$43&lt;=0,0,(INT(Inputs!$B$43/(IF(Inputs!$B$38="pvp",15,MAX(0.1,Skills!D17-IF(Skills!E17=TRUE,Inputs!$B$32,0)))*(1-IF(AND(ArtifactsInput!$M$27,Inputs!$B$4="Chapter Hunt"),CHOOSE(ArtifactsInput!$N$27+1,20,24,28,32,36,40),0)/100)))+1)),0)</f>
        <v/>
      </c>
      <c r="S256">
        <f>IFERROR(O256/N256,0)</f>
        <v/>
      </c>
      <c r="T256" t="n">
        <v>0</v>
      </c>
      <c r="V256" t="n">
        <v>0</v>
      </c>
    </row>
    <row r="257">
      <c r="A257">
        <f>Skills!A18</f>
        <v/>
      </c>
      <c r="B257">
        <f>Skills!B18</f>
        <v/>
      </c>
      <c r="C257">
        <f>Inputs!$B$3&gt;=115</f>
        <v/>
      </c>
      <c r="D257">
        <f>IF(Skills!C18=1,60+Inputs!$B$25+Inputs!$B$29,IF(Skills!C18=2,90+Inputs!$B$26+Inputs!$B$29,IF(Skills!C18=3,120+Inputs!$B$27+Inputs!$B$29,MAX(0,(Inputs!$B$3-100)*3)+Inputs!$B$28+Inputs!$B$29)))</f>
        <v/>
      </c>
      <c r="E257">
        <f>INDEX(FactorTable!$B$2:$Y$301, MATCH(ROUND(MIN(300,MAX(1,D257)),0), FactorTable!$A$2:$A$301,0), Skills!M18+1)</f>
        <v/>
      </c>
      <c r="F257">
        <f>IF(Skills!N18=TRUE,(Skills!L18/10)*(E257/1000),Skills!L18/10)+Skills!O18</f>
        <v/>
      </c>
      <c r="G257">
        <f>Skills!G18*IF(Skills!H18&gt;0,Skills!I18/Skills!H18,1)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IFERROR(1/(IF(Inputs!$B$38="pvp",15,MAX(0.1,Skills!D18-IF(Skills!E18=TRUE,Inputs!$B$32,0)))*(1-IF(AND(ArtifactsInput!$M$27,Inputs!$B$4="Chapter Hunt"),CHOOSE(ArtifactsInput!$N$27+1,20,24,28,32,36,40),0)/100)),0)</f>
        <v/>
      </c>
      <c r="R257">
        <f>IF(AND(Inputs!$B$38&lt;&gt;"pvp",Inputs!$B$43&gt;0),IF(Inputs!$B$43&lt;=0,0,(INT(Inputs!$B$43/(IF(Inputs!$B$38="pvp",15,MAX(0.1,Skills!D18-IF(Skills!E18=TRUE,Inputs!$B$32,0)))*(1-IF(AND(ArtifactsInput!$M$27,Inputs!$B$4="Chapter Hunt"),CHOOSE(ArtifactsInput!$N$27+1,20,24,28,32,36,40),0)/100)))+1)),0)</f>
        <v/>
      </c>
      <c r="S257">
        <f>IFERROR(O257/N257,0)</f>
        <v/>
      </c>
      <c r="T257" t="n">
        <v>0</v>
      </c>
      <c r="V257" t="n">
        <v>0</v>
      </c>
    </row>
    <row r="258">
      <c r="A258">
        <f>Skills!A19</f>
        <v/>
      </c>
      <c r="B258">
        <f>Skills!B19</f>
        <v/>
      </c>
      <c r="C258">
        <f>TRUE</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IFERROR(1/(IF(Inputs!$B$38="pvp",15,MAX(0.1,Skills!D19-IF(Skills!E19=TRUE,Inputs!$B$32,0)))*(1-IF(AND(ArtifactsInput!$M$27,Inputs!$B$4="Chapter Hunt"),CHOOSE(ArtifactsInput!$N$27+1,20,24,28,32,36,40),0)/100)),0)</f>
        <v/>
      </c>
      <c r="R258">
        <f>IF(AND(Inputs!$B$38&lt;&gt;"pvp",Inputs!$B$43&gt;0),IF(Inputs!$B$43&lt;=0,0,(INT(Inputs!$B$43/(IF(Inputs!$B$38="pvp",15,MAX(0.1,Skills!D19-IF(Skills!E19=TRUE,Inputs!$B$32,0)))*(1-IF(AND(ArtifactsInput!$M$27,Inputs!$B$4="Chapter Hunt"),CHOOSE(ArtifactsInput!$N$27+1,20,24,28,32,36,40),0)/100)))+1)),0)</f>
        <v/>
      </c>
      <c r="S258">
        <f>IFERROR(O258/N258,0)</f>
        <v/>
      </c>
      <c r="T258" t="n">
        <v>0</v>
      </c>
      <c r="V258" t="n">
        <v>0</v>
      </c>
    </row>
    <row r="259">
      <c r="A259">
        <f>Skills!A20</f>
        <v/>
      </c>
      <c r="B259">
        <f>Skills!B20</f>
        <v/>
      </c>
      <c r="C259">
        <f>Inputs!$B$3&gt;=33</f>
        <v/>
      </c>
      <c r="D259">
        <f>IF(Skills!C20=1,60+Inputs!$B$25+Inputs!$B$29,IF(Skills!C20=2,90+Inputs!$B$26+Inputs!$B$29,IF(Skills!C20=3,120+Inputs!$B$27+Inputs!$B$29,MAX(0,(Inputs!$B$3-100)*3)+Inputs!$B$28+Inputs!$B$29)))</f>
        <v/>
      </c>
      <c r="E259">
        <f>INDEX(FactorTable!$B$2:$Y$301, MATCH(ROUND(MIN(300,MAX(1,D259)),0), FactorTable!$A$2:$A$301,0), Skills!M20+1)</f>
        <v/>
      </c>
      <c r="F259">
        <f>IF(Skills!N20=TRUE,(Skills!L20/10)*(E259/1000),Skills!L20/10)+Skills!O20</f>
        <v/>
      </c>
      <c r="G259">
        <f>Skills!G20*IF(Skills!H20&gt;0,Skills!I20/Skills!H20,1)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Inputs!$B$3&gt;=38</f>
        <v/>
      </c>
      <c r="D260">
        <f>IF(Skills!C21=1,60+Inputs!$B$25+Inputs!$B$29,IF(Skills!C21=2,90+Inputs!$B$26+Inputs!$B$29,IF(Skills!C21=3,120+Inputs!$B$27+Inputs!$B$29,MAX(0,(Inputs!$B$3-100)*3)+Inputs!$B$28+Inputs!$B$29)))</f>
        <v/>
      </c>
      <c r="E260">
        <f>INDEX(FactorTable!$B$2:$Y$301, MATCH(ROUND(MIN(300,MAX(1,D260)),0), FactorTable!$A$2:$A$301,0), Skills!M21+1)</f>
        <v/>
      </c>
      <c r="F260">
        <f>IF(Skills!N21=TRUE,(Skills!L21/10)*(E260/1000),Skills!L21/10)+Skills!O21</f>
        <v/>
      </c>
      <c r="G260">
        <f>Skills!G21*IF(Skills!H21&gt;0,Skills!I21/Skills!H21,1)</f>
        <v/>
      </c>
      <c r="H260">
        <f>1-(1-Skills!J21/100)^Skills!K21</f>
        <v/>
      </c>
      <c r="I260" t="inlineStr">
        <is>
          <t>1</t>
        </is>
      </c>
      <c r="J260" t="inlineStr"/>
      <c r="K260" t="inlineStr"/>
      <c r="L260" t="inlineStr"/>
      <c r="M260" t="inlineStr"/>
      <c r="N260" t="inlineStr"/>
      <c r="O260">
        <f>(1-Summary!$B$11)*T260+Summary!$B$11*V260</f>
        <v/>
      </c>
      <c r="P260">
        <f>IF(B278=0,0,O260/B278)</f>
        <v/>
      </c>
      <c r="Q260" t="n">
        <v>0</v>
      </c>
      <c r="R260" t="n">
        <v>0</v>
      </c>
      <c r="S260">
        <f>IFERROR(O260/N260,0)</f>
        <v/>
      </c>
      <c r="T260" t="n">
        <v>0</v>
      </c>
      <c r="V260" t="n">
        <v>0</v>
      </c>
    </row>
    <row r="261">
      <c r="A261">
        <f>Skills!A22</f>
        <v/>
      </c>
      <c r="B261">
        <f>Skills!B22</f>
        <v/>
      </c>
      <c r="C261">
        <f>Inputs!$B$3&gt;=43</f>
        <v/>
      </c>
      <c r="D261">
        <f>IF(Skills!C22=1,60+Inputs!$B$25+Inputs!$B$29,IF(Skills!C22=2,90+Inputs!$B$26+Inputs!$B$29,IF(Skills!C22=3,120+Inputs!$B$27+Inputs!$B$29,MAX(0,(Inputs!$B$3-100)*3)+Inputs!$B$28+Inputs!$B$29)))</f>
        <v/>
      </c>
      <c r="E261">
        <f>INDEX(FactorTable!$B$2:$Y$301, MATCH(ROUND(MIN(300,MAX(1,D261)),0), FactorTable!$A$2:$A$301,0), Skills!M22+1)</f>
        <v/>
      </c>
      <c r="F261">
        <f>IF(Skills!N22=TRUE,(Skills!L22/10)*(E261/1000),Skills!L22/10)+Skills!O22</f>
        <v/>
      </c>
      <c r="G261">
        <f>Skills!G22*IF(Skills!H22&gt;0,Skills!I22/Skills!H22,1)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Inputs!$B$3&gt;=120</f>
        <v/>
      </c>
      <c r="D262">
        <f>IF(Skills!C23=1,60+Inputs!$B$25+Inputs!$B$29,IF(Skills!C23=2,90+Inputs!$B$26+Inputs!$B$29,IF(Skills!C23=3,120+Inputs!$B$27+Inputs!$B$29,MAX(0,(Inputs!$B$3-100)*3)+Inputs!$B$28+Inputs!$B$29)))</f>
        <v/>
      </c>
      <c r="E262">
        <f>INDEX(FactorTable!$B$2:$Y$301, MATCH(ROUND(MIN(300,MAX(1,D262)),0), FactorTable!$A$2:$A$301,0), Skills!M23+1)</f>
        <v/>
      </c>
      <c r="F262">
        <f>IF(Skills!N23=TRUE,(Skills!L23/10)*(E262/1000),Skills!L23/10)+Skills!O23</f>
        <v/>
      </c>
      <c r="G262">
        <f>Skills!G23*IF(Skills!H23&gt;0,Skills!I23/Skills!H23,1)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Inputs!$B$3&gt;=120</f>
        <v/>
      </c>
      <c r="D263">
        <f>IF(Skills!C24=1,60+Inputs!$B$25+Inputs!$B$29,IF(Skills!C24=2,90+Inputs!$B$26+Inputs!$B$29,IF(Skills!C24=3,120+Inputs!$B$27+Inputs!$B$29,MAX(0,(Inputs!$B$3-100)*3)+Inputs!$B$28+Inputs!$B$29)))</f>
        <v/>
      </c>
      <c r="E263">
        <f>INDEX(FactorTable!$B$2:$Y$301, MATCH(ROUND(MIN(300,MAX(1,D263)),0), FactorTable!$A$2:$A$301,0), Skills!M24+1)</f>
        <v/>
      </c>
      <c r="F263">
        <f>IF(Skills!N24=TRUE,(Skills!L24/10)*(E263/1000),Skills!L24/10)+Skills!O24</f>
        <v/>
      </c>
      <c r="G263">
        <f>Skills!G24*IF(Skills!H24&gt;0,Skills!I24/Skills!H24,1)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Inputs!$B$3&gt;=125</f>
        <v/>
      </c>
      <c r="D264">
        <f>IF(Skills!C25=1,60+Inputs!$B$25+Inputs!$B$29,IF(Skills!C25=2,90+Inputs!$B$26+Inputs!$B$29,IF(Skills!C25=3,120+Inputs!$B$27+Inputs!$B$29,MAX(0,(Inputs!$B$3-100)*3)+Inputs!$B$28+Inputs!$B$29)))</f>
        <v/>
      </c>
      <c r="E264">
        <f>INDEX(FactorTable!$B$2:$Y$301, MATCH(ROUND(MIN(300,MAX(1,D264)),0), FactorTable!$A$2:$A$301,0), Skills!M25+1)</f>
        <v/>
      </c>
      <c r="F264">
        <f>IF(Skills!N25=TRUE,(Skills!L25/10)*(E264/1000),Skills!L25/10)+Skills!O25</f>
        <v/>
      </c>
      <c r="G264">
        <f>Skills!G25*IF(Skills!H25&gt;0,Skills!I25/Skills!H25,1)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Inputs!$B$3&gt;=72</f>
        <v/>
      </c>
      <c r="D265">
        <f>IF(Skills!C26=1,60+Inputs!$B$25+Inputs!$B$29,IF(Skills!C26=2,90+Inputs!$B$26+Inputs!$B$29,IF(Skills!C26=3,120+Inputs!$B$27+Inputs!$B$29,MAX(0,(Inputs!$B$3-100)*3)+Inputs!$B$28+Inputs!$B$29)))</f>
        <v/>
      </c>
      <c r="E265">
        <f>INDEX(FactorTable!$B$2:$Y$301, MATCH(ROUND(MIN(300,MAX(1,D265)),0), FactorTable!$A$2:$A$301,0), Skills!M26+1)</f>
        <v/>
      </c>
      <c r="F265">
        <f>IF(Skills!N26=TRUE,(Skills!L26/10)*(E265/1000),Skills!L26/10)+Skills!O26</f>
        <v/>
      </c>
      <c r="G265">
        <f>Skills!G26*IF(Skills!H26&gt;0,Skills!I26/Skills!H26,1)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258=TRUE)*F258*IF(AND(Inputs!$B$38&lt;&gt;"pvp",Inputs!$B$43&gt;0),(((R258-1)*(Skills!T19*(1+(Inputs!$B$34+(ArtifactsInput!$M$7-ArtifactsInput!$M$7)*CHOOSE(ArtifactsInput!$N$7+1,6,7.2,8.4,9.6,10.8,12))/100))+MIN((Skills!T19*(1+(Inputs!$B$34+(ArtifactsInput!$M$7-ArtifactsInput!$M$7)*CHOOSE(ArtifactsInput!$N$7+1,6,7.2,8.4,9.6,10.8,12))/100)),MAX(0,Inputs!$B$43-((R258-1)*Skills!D19))))/Inputs!$B$43),IF(Inputs!$B$38="pvp",MIN((Skills!T19*(1+(Inputs!$B$34+(ArtifactsInput!$M$7-ArtifactsInput!$M$7)*CHOOSE(ArtifactsInput!$N$7+1,6,7.2,8.4,9.6,10.8,12))/100)),15)/15,(Skills!T19*(1+(Inputs!$B$34+(ArtifactsInput!$M$7-ArtifactsInput!$M$7)*CHOOSE(ArtifactsInput!$N$7+1,6,7.2,8.4,9.6,10.8,12))/100))/Skills!D19)))</f>
        <v/>
      </c>
    </row>
    <row r="270">
      <c r="A270" t="inlineStr">
        <is>
          <t>Actions Per Second</t>
        </is>
      </c>
      <c r="B270">
        <f>1+MIN(150,150*(1-(1-(Inputs!$B$11+((C259=TRUE)*(F259-Calc!F20)))/150)*(1-B269/150)))/100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Raging Blow Casts Per Second</t>
        </is>
      </c>
      <c r="B272">
        <f>MAX(0,B270-B271)</f>
        <v/>
      </c>
    </row>
    <row r="273">
      <c r="A273" t="inlineStr">
        <is>
          <t>Global Critical Damage Bonus % (Enrage)</t>
        </is>
      </c>
      <c r="B273">
        <f>((C257=TRUE)*F257*IF(AND(Inputs!$B$38&lt;&gt;"pvp",Inputs!$B$43&gt;0),(((R257-1)*(Skills!T18*(1+(Inputs!$B$34+(ArtifactsInput!$M$7-ArtifactsInput!$M$7)*CHOOSE(ArtifactsInput!$N$7+1,6,7.2,8.4,9.6,10.8,12))/100))+MIN((Skills!T18*(1+(Inputs!$B$34+(ArtifactsInput!$M$7-ArtifactsInput!$M$7)*CHOOSE(ArtifactsInput!$N$7+1,6,7.2,8.4,9.6,10.8,12))/100)),MAX(0,Inputs!$B$43-((R257-1)*Skills!D18))))/Inputs!$B$43),IF(Inputs!$B$38="pvp",MIN((Skills!T18*(1+(Inputs!$B$34+(ArtifactsInput!$M$7-ArtifactsInput!$M$7)*CHOOSE(ArtifactsInput!$N$7+1,6,7.2,8.4,9.6,10.8,12))/100)),15)/15,(Skills!T18*(1+(Inputs!$B$34+(ArtifactsInput!$M$7-ArtifactsInput!$M$7)*CHOOSE(ArtifactsInput!$N$7+1,6,7.2,8.4,9.6,10.8,12))/100))/Skills!D18)))</f>
        <v/>
      </c>
    </row>
    <row r="274">
      <c r="A274" t="inlineStr">
        <is>
          <t>Global Final Damage Bonus % (Enrage + Combo Synergy)</t>
        </is>
      </c>
      <c r="B274">
        <f>((C256=TRUE)*F256*IF(AND(Inputs!$B$38&lt;&gt;"pvp",Inputs!$B$43&gt;0),(((R256-1)*(Skills!T17*(1+(Inputs!$B$34+(ArtifactsInput!$M$7-ArtifactsInput!$M$7)*CHOOSE(ArtifactsInput!$N$7+1,6,7.2,8.4,9.6,10.8,12))/100))+MIN((Skills!T17*(1+(Inputs!$B$34+(ArtifactsInput!$M$7-ArtifactsInput!$M$7)*CHOOSE(ArtifactsInput!$N$7+1,6,7.2,8.4,9.6,10.8,12))/100)),MAX(0,Inputs!$B$43-((R256-1)*Skills!D17))))/Inputs!$B$43),IF(Inputs!$B$38="pvp",MIN((Skills!T17*(1+(Inputs!$B$34+(ArtifactsInput!$M$7-ArtifactsInput!$M$7)*CHOOSE(ArtifactsInput!$N$7+1,6,7.2,8.4,9.6,10.8,12))/100)),15)/15,(Skills!T17*(1+(Inputs!$B$34+(ArtifactsInput!$M$7-ArtifactsInput!$M$7)*CHOOSE(ArtifactsInput!$N$7+1,6,7.2,8.4,9.6,10.8,12))/100))/Skills!D17)))+((C253=TRUE)*F253*IF(Inputs!$B$3&gt;=110,7,5))</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283)</f>
        <v/>
      </c>
      <c r="L283">
        <f>K283*(MIN(Inputs!$B$22+((C303=TRUE)*(F303-Calc!F22)),(Inputs!$B$23+((C305=TRUE)*(F305-Calc!F24))+(IF(ArtifactsInput!$M$15,CHOOSE(ArtifactsInput!$N$15+1,25,30,35,40,45,50)/100*(Inputs!$B$11-Inputs!$B$11),0))))/100+(Inputs!$B$23+((C305=TRUE)*(F305-Calc!F24))+(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INDEX(FactorTable!$B$2:$Y$301, MATCH(ROUND(MIN(300,MAX(1,D284)),0),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INDEX(FactorTable!$B$2:$Y$301, MATCH(ROUND(MIN(300,MAX(1,U283)),0), FactorTable!$A$2:$A$301,0), 22)</f>
        <v/>
      </c>
    </row>
    <row r="285">
      <c r="A285">
        <f>Skills!A4</f>
        <v/>
      </c>
      <c r="B285">
        <f>Skills!B4</f>
        <v/>
      </c>
      <c r="C285">
        <f>Inputs!$B$3&gt;=105</f>
        <v/>
      </c>
      <c r="D285">
        <f>IF(Skills!C4=1,60+Inputs!$B$25+Inputs!$B$29,IF(Skills!C4=2,90+Inputs!$B$26+Inputs!$B$29,IF(Skills!C4=3,120+Inputs!$B$27+Inputs!$B$29,MAX(0,(Inputs!$B$3-100)*3)+Inputs!$B$28+Inputs!$B$29)))</f>
        <v/>
      </c>
      <c r="E285">
        <f>INDEX(FactorTable!$B$2:$Y$301, MATCH(ROUND(MIN(300,MAX(1,D285)),0), FactorTable!$A$2:$A$301,0), Skills!M4+1)</f>
        <v/>
      </c>
      <c r="F285">
        <f>IF(Skills!N4=TRUE,(Skills!L4/10)*(E285/1000),Skills!L4/10)+Skills!O4</f>
        <v/>
      </c>
      <c r="G285" t="inlineStr"/>
      <c r="H285" t="inlineStr"/>
      <c r="I285" t="inlineStr">
        <is>
          <t>1</t>
        </is>
      </c>
      <c r="J285" t="inlineStr"/>
      <c r="K285" t="inlineStr"/>
      <c r="L285" t="inlineStr"/>
      <c r="M285" t="inlineStr"/>
      <c r="N285" t="inlineStr"/>
      <c r="O285" t="inlineStr"/>
      <c r="P285" t="inlineStr"/>
      <c r="Q285" t="inlineStr"/>
      <c r="R285" t="inlineStr"/>
      <c r="S285" t="inlineStr"/>
      <c r="U285">
        <f>290*U284/1000</f>
        <v/>
      </c>
    </row>
    <row r="286">
      <c r="A286">
        <f>Skills!A5</f>
        <v/>
      </c>
      <c r="B286">
        <f>Skills!B5</f>
        <v/>
      </c>
      <c r="C286">
        <f>Inputs!$B$3&gt;=103</f>
        <v/>
      </c>
      <c r="D286">
        <f>IF(Skills!C5=1,60+Inputs!$B$25+Inputs!$B$29,IF(Skills!C5=2,90+Inputs!$B$26+Inputs!$B$29,IF(Skills!C5=3,120+Inputs!$B$27+Inputs!$B$29,MAX(0,(Inputs!$B$3-100)*3)+Inputs!$B$28+Inputs!$B$29)))</f>
        <v/>
      </c>
      <c r="E286">
        <f>INDEX(FactorTable!$B$2:$Y$301, MATCH(ROUND(MIN(300,MAX(1,D286)),0), FactorTable!$A$2:$A$301,0), Skills!M5+1)</f>
        <v/>
      </c>
      <c r="F286">
        <f>IF(Skills!N5=TRUE,(Skills!L5/10)*(E286/1000),Skills!L5/10)+Skills!O5</f>
        <v/>
      </c>
      <c r="G286">
        <f>Skills!G5*IF(Skills!H5&gt;0,Skills!I5/Skills!H5,1)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286)</f>
        <v/>
      </c>
      <c r="L286">
        <f>K286*(MIN(Inputs!$B$22+((C303=TRUE)*(F303-Calc!F22)),(Inputs!$B$23+((C305=TRUE)*(F305-Calc!F24))+(IF(ArtifactsInput!$M$15,CHOOSE(ArtifactsInput!$N$15+1,25,30,35,40,45,50)/100*(Inputs!$B$11-Inputs!$B$11),0))))/100+(Inputs!$B$23+((C305=TRUE)*(F305-Calc!F24))+(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IFERROR(1/(IF(Inputs!$B$38="pvp",15,MAX(0.1,Skills!D5-IF(Skills!E5=TRUE,Inputs!$B$32,0)))*(1-IF(AND(ArtifactsInput!$M$27,Inputs!$B$4="Chapter Hunt"),CHOOSE(ArtifactsInput!$N$27+1,20,24,28,32,36,40),0)/100)),0)</f>
        <v/>
      </c>
      <c r="R286">
        <f>IF(AND(Inputs!$B$38&lt;&gt;"pvp",Inputs!$B$43&gt;0),IF(MAX(0,Inputs!$B$43-B317)&lt;=0,0,(INT(MAX(0,Inputs!$B$43-B317)/(IF(Inputs!$B$38="pvp",15,MAX(0.1,Skills!D5-IF(Skills!E5=TRUE,Inputs!$B$32,0)))*(1-IF(AND(ArtifactsInput!$M$27,Inputs!$B$4="Chapter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$20+1)+0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INDEX(FactorTable!$B$2:$Y$301, MATCH(ROUND(MIN(300,MAX(1,D287)),0), FactorTable!$A$2:$A$301,0), Skills!M6+1)</f>
        <v/>
      </c>
      <c r="F287">
        <f>IF(Skills!N6=TRUE,(Skills!L6/10)*(E287/1000),Skills!L6/10)+Skills!O6</f>
        <v/>
      </c>
      <c r="G287">
        <f>Skills!G6*IF(Skills!H6&gt;0,Skills!I6/Skills!H6,1)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287)</f>
        <v/>
      </c>
      <c r="L287">
        <f>K287*(MIN(Inputs!$B$22+((C303=TRUE)*(F303-Calc!F22)),(Inputs!$B$23+((C305=TRUE)*(F305-Calc!F24))+(IF(ArtifactsInput!$M$15,CHOOSE(ArtifactsInput!$N$15+1,25,30,35,40,45,50)/100*(Inputs!$B$11-Inputs!$B$11),0))))/100+(Inputs!$B$23+((C305=TRUE)*(F305-Calc!F24))+(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IFERROR(1/(IF(Inputs!$B$38="pvp",15,MAX(0.1,Skills!D6-IF(Skills!E6=TRUE,Inputs!$B$32,0)))*(1-IF(AND(ArtifactsInput!$M$27,Inputs!$B$4="Chapter Hunt"),CHOOSE(ArtifactsInput!$N$27+1,20,24,28,32,36,40),0)/100)),0)</f>
        <v/>
      </c>
      <c r="R287">
        <f>IF(AND(Inputs!$B$38&lt;&gt;"pvp",Inputs!$B$43&gt;0),IF(MAX(0,Inputs!$B$43-B317)&lt;=0,0,(INT(MAX(0,Inputs!$B$43-B317)/(IF(Inputs!$B$38="pvp",15,MAX(0.1,Skills!D6-IF(Skills!E6=TRUE,Inputs!$B$32,0)))*(1-IF(AND(ArtifactsInput!$M$27,Inputs!$B$4="Chapter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$20+1)+0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INDEX(FactorTable!$B$2:$Y$301, MATCH(ROUND(MIN(300,MAX(1,D288)),0), FactorTable!$A$2:$A$301,0), Skills!M7+1)</f>
        <v/>
      </c>
      <c r="F288">
        <f>IF(Skills!N7=TRUE,(Skills!L7/10)*(E288/1000),Skills!L7/10)+Skills!O7</f>
        <v/>
      </c>
      <c r="G288">
        <f>Skills!G7*IF(Skills!H7&gt;0,Skills!I7/Skills!H7,1)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288)</f>
        <v/>
      </c>
      <c r="L288">
        <f>K288*(MIN(Inputs!$B$22+((C303=TRUE)*(F303-Calc!F22)),(Inputs!$B$23+((C305=TRUE)*(F305-Calc!F24))+(IF(ArtifactsInput!$M$15,CHOOSE(ArtifactsInput!$N$15+1,25,30,35,40,45,50)/100*(Inputs!$B$11-Inputs!$B$11),0))))/100+(Inputs!$B$23+((C305=TRUE)*(F305-Calc!F24))+(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IFERROR(1/(IF(Inputs!$B$38="pvp",15,MAX(0.1,Skills!D7-IF(Skills!E7=TRUE,Inputs!$B$32,0)))*(1-IF(AND(ArtifactsInput!$M$27,Inputs!$B$4="Chapter Hunt"),CHOOSE(ArtifactsInput!$N$27+1,20,24,28,32,36,40),0)/100)),0)</f>
        <v/>
      </c>
      <c r="R288">
        <f>IF(AND(Inputs!$B$38&lt;&gt;"pvp",Inputs!$B$43&gt;0),IF(MAX(0,Inputs!$B$43-B317)&lt;=0,0,(INT(MAX(0,Inputs!$B$43-B317)/(IF(Inputs!$B$38="pvp",15,MAX(0.1,Skills!D7-IF(Skills!E7=TRUE,Inputs!$B$32,0)))*(1-IF(AND(ArtifactsInput!$M$27,Inputs!$B$4="Chapter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$20+1)+0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Inputs!$B$3&gt;=117</f>
        <v/>
      </c>
      <c r="D289">
        <f>IF(Skills!C8=1,60+Inputs!$B$25+Inputs!$B$29,IF(Skills!C8=2,90+Inputs!$B$26+Inputs!$B$29,IF(Skills!C8=3,120+Inputs!$B$27+Inputs!$B$29,MAX(0,(Inputs!$B$3-100)*3)+Inputs!$B$28+Inputs!$B$29)))</f>
        <v/>
      </c>
      <c r="E289">
        <f>INDEX(FactorTable!$B$2:$Y$301, MATCH(ROUND(MIN(300,MAX(1,D289)),0), FactorTable!$A$2:$A$301,0), Skills!M8+1)</f>
        <v/>
      </c>
      <c r="F289">
        <f>IF(Skills!N8=TRUE,(Skills!L8/10)*(E289/1000),Skills!L8/10)+Skills!O8</f>
        <v/>
      </c>
      <c r="G289">
        <f>Skills!G8*IF(Skills!H8&gt;0,Skills!I8/Skills!H8,1)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289)</f>
        <v/>
      </c>
      <c r="L289">
        <f>K289*(MIN(Inputs!$B$22+((C303=TRUE)*(F303-Calc!F22)),(Inputs!$B$23+((C305=TRUE)*(F305-Calc!F24))+(IF(ArtifactsInput!$M$15,CHOOSE(ArtifactsInput!$N$15+1,25,30,35,40,45,50)/100*(Inputs!$B$11-Inputs!$B$11),0))))/100+(Inputs!$B$23+((C305=TRUE)*(F305-Calc!F24))+(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IFERROR(1/(IF(Inputs!$B$38="pvp",15,MAX(0.1,Skills!D8-IF(Skills!E8=TRUE,Inputs!$B$32,0)))*(1-IF(AND(ArtifactsInput!$M$27,Inputs!$B$4="Chapter Hunt"),CHOOSE(ArtifactsInput!$N$27+1,20,24,28,32,36,40),0)/100)),0)</f>
        <v/>
      </c>
      <c r="R289">
        <f>IF(AND(Inputs!$B$38&lt;&gt;"pvp",Inputs!$B$43&gt;0),IF(MAX(0,Inputs!$B$43-B317)&lt;=0,0,(INT(MAX(0,Inputs!$B$43-B317)/(IF(Inputs!$B$38="pvp",15,MAX(0.1,Skills!D8-IF(Skills!E8=TRUE,Inputs!$B$32,0)))*(1-IF(AND(ArtifactsInput!$M$27,Inputs!$B$4="Chapter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$20+1)+0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Inputs!$B$3&gt;=69</f>
        <v/>
      </c>
      <c r="D290">
        <f>IF(Skills!C9=1,60+Inputs!$B$25+Inputs!$B$29,IF(Skills!C9=2,90+Inputs!$B$26+Inputs!$B$29,IF(Skills!C9=3,120+Inputs!$B$27+Inputs!$B$29,MAX(0,(Inputs!$B$3-100)*3)+Inputs!$B$28+Inputs!$B$29)))</f>
        <v/>
      </c>
      <c r="E290">
        <f>INDEX(FactorTable!$B$2:$Y$301, MATCH(ROUND(MIN(300,MAX(1,D290)),0), FactorTable!$A$2:$A$301,0), Skills!M9+1)</f>
        <v/>
      </c>
      <c r="F290">
        <f>IF(Skills!N9=TRUE,(Skills!L9/10)*(E290/1000),Skills!L9/10)+Skills!O9</f>
        <v/>
      </c>
      <c r="G290">
        <f>Skills!G9*IF(Skills!H9&gt;0,Skills!I9/Skills!H9,1)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9="ENHANCED_RAGING_BLOW",IF(Inputs!$B$3&gt;=134,MAX(0,IF(Inputs!$B$3&gt;=110,7,5)-5)*50,0),0)/100)*(1+(IF(Skills!A9="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290)</f>
        <v/>
      </c>
      <c r="L290">
        <f>K290*(MIN(Inputs!$B$22+((C303=TRUE)*(F303-Calc!F22)),(Inputs!$B$23+((C305=TRUE)*(F305-Calc!F24))+(IF(ArtifactsInput!$M$15,CHOOSE(ArtifactsInput!$N$15+1,25,30,35,40,45,50)/100*(Inputs!$B$11-Inputs!$B$11),0))))/100+(Inputs!$B$23+((C305=TRUE)*(F305-Calc!F24))+(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IFERROR(1/(IF(Inputs!$B$38="pvp",15,MAX(0.1,Skills!D9-IF(Skills!E9=TRUE,Inputs!$B$32,0)))*(1-IF(AND(ArtifactsInput!$M$27,Inputs!$B$4="Chapter Hunt"),CHOOSE(ArtifactsInput!$N$27+1,20,24,28,32,36,40),0)/100)),0)</f>
        <v/>
      </c>
      <c r="R290">
        <f>IF(AND(Inputs!$B$38&lt;&gt;"pvp",Inputs!$B$43&gt;0),IF(MAX(0,Inputs!$B$43-B317)&lt;=0,0,(INT(MAX(0,Inputs!$B$43-B317)/(IF(Inputs!$B$38="pvp",15,MAX(0.1,Skills!D9-IF(Skills!E9=TRUE,Inputs!$B$32,0)))*(1-IF(AND(ArtifactsInput!$M$27,Inputs!$B$4="Chapter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$20+1)+0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Inputs!$B$3&gt;=63</f>
        <v/>
      </c>
      <c r="D291">
        <f>IF(Skills!C10=1,60+Inputs!$B$25+Inputs!$B$29,IF(Skills!C10=2,90+Inputs!$B$26+Inputs!$B$29,IF(Skills!C10=3,120+Inputs!$B$27+Inputs!$B$29,MAX(0,(Inputs!$B$3-100)*3)+Inputs!$B$28+Inputs!$B$29)))</f>
        <v/>
      </c>
      <c r="E291">
        <f>INDEX(FactorTable!$B$2:$Y$301, MATCH(ROUND(MIN(300,MAX(1,D291)),0), FactorTable!$A$2:$A$301,0), Skills!M10+1)</f>
        <v/>
      </c>
      <c r="F291">
        <f>IF(Skills!N10=TRUE,(Skills!L10/10)*(E291/1000),Skills!L10/10)+Skills!O10</f>
        <v/>
      </c>
      <c r="G291">
        <f>Skills!G10*IF(Skills!H10&gt;0,Skills!I10/Skills!H10,1)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10="ENHANCED_RAGING_BLOW",IF(Inputs!$B$3&gt;=134,MAX(0,IF(Inputs!$B$3&gt;=110,7,5)-5)*50,0),0)/100)*(1+(IF(Skills!A10="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291)</f>
        <v/>
      </c>
      <c r="L291">
        <f>K291*(MIN(Inputs!$B$22+((C303=TRUE)*(F303-Calc!F22)),(Inputs!$B$23+((C305=TRUE)*(F305-Calc!F24))+(IF(ArtifactsInput!$M$15,CHOOSE(ArtifactsInput!$N$15+1,25,30,35,40,45,50)/100*(Inputs!$B$11-Inputs!$B$11),0))))/100+(Inputs!$B$23+((C305=TRUE)*(F305-Calc!F24))+(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IFERROR(1/(IF(Inputs!$B$38="pvp",15,MAX(0.1,Skills!D10-IF(Skills!E10=TRUE,Inputs!$B$32,0)))*(1-IF(AND(ArtifactsInput!$M$27,Inputs!$B$4="Chapter Hunt"),CHOOSE(ArtifactsInput!$N$27+1,20,24,28,32,36,40),0)/100)),0)</f>
        <v/>
      </c>
      <c r="R291">
        <f>IF(AND(Inputs!$B$38&lt;&gt;"pvp",Inputs!$B$43&gt;0),IF(MAX(0,Inputs!$B$43-B317)&lt;=0,0,(INT(MAX(0,Inputs!$B$43-B317)/(IF(Inputs!$B$38="pvp",15,MAX(0.1,Skills!D10-IF(Skills!E10=TRUE,Inputs!$B$32,0)))*(1-IF(AND(ArtifactsInput!$M$27,Inputs!$B$4="Chapter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$20+1)+0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Inputs!$B$3&gt;=35</f>
        <v/>
      </c>
      <c r="D292">
        <f>IF(Skills!C11=1,60+Inputs!$B$25+Inputs!$B$29,IF(Skills!C11=2,90+Inputs!$B$26+Inputs!$B$29,IF(Skills!C11=3,120+Inputs!$B$27+Inputs!$B$29,MAX(0,(Inputs!$B$3-100)*3)+Inputs!$B$28+Inputs!$B$29)))</f>
        <v/>
      </c>
      <c r="E292">
        <f>INDEX(FactorTable!$B$2:$Y$301, MATCH(ROUND(MIN(300,MAX(1,D292)),0), FactorTable!$A$2:$A$301,0), Skills!M11+1)</f>
        <v/>
      </c>
      <c r="F292">
        <f>IF(Skills!N11=TRUE,(Skills!L11/10)*(E292/1000),Skills!L11/10)+Skills!O11</f>
        <v/>
      </c>
      <c r="G292">
        <f>Skills!G11*IF(Skills!H11&gt;0,Skills!I11/Skills!H11,1)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11="ENHANCED_RAGING_BLOW",IF(Inputs!$B$3&gt;=134,MAX(0,IF(Inputs!$B$3&gt;=110,7,5)-5)*50,0),0)/100)*(1+(IF(Skills!A11="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292)</f>
        <v/>
      </c>
      <c r="L292">
        <f>K292*(MIN(Inputs!$B$22+((C303=TRUE)*(F303-Calc!F22)),(Inputs!$B$23+((C305=TRUE)*(F305-Calc!F24))+(IF(ArtifactsInput!$M$15,CHOOSE(ArtifactsInput!$N$15+1,25,30,35,40,45,50)/100*(Inputs!$B$11-Inputs!$B$11),0))))/100+(Inputs!$B$23+((C305=TRUE)*(F305-Calc!F24))+(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IFERROR(1/(IF(Inputs!$B$38="pvp",15,MAX(0.1,Skills!D11-IF(Skills!E11=TRUE,Inputs!$B$32,0)))*(1-IF(AND(ArtifactsInput!$M$27,Inputs!$B$4="Chapter Hunt"),CHOOSE(ArtifactsInput!$N$27+1,20,24,28,32,36,40),0)/100)),0)</f>
        <v/>
      </c>
      <c r="R292">
        <f>IF(AND(Inputs!$B$38&lt;&gt;"pvp",Inputs!$B$43&gt;0),IF(MAX(0,Inputs!$B$43-B317)&lt;=0,0,(INT(MAX(0,Inputs!$B$43-B317)/(IF(Inputs!$B$38="pvp",15,MAX(0.1,Skills!D11-IF(Skills!E11=TRUE,Inputs!$B$32,0)))*(1-IF(AND(ArtifactsInput!$M$27,Inputs!$B$4="Chapter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$20+1)+0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INDEX(FactorTable!$B$2:$Y$301, MATCH(ROUND(MIN(300,MAX(1,D293)),0),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INDEX(FactorTable!$B$2:$Y$301, MATCH(ROUND(MIN(300,MAX(1,D294)),0), FactorTable!$A$2:$A$301,0), Skills!M13+1)</f>
        <v/>
      </c>
      <c r="F294">
        <f>IF(Skills!N13=TRUE,(Skills!L13/10)*(E294/1000),Skills!L13/10)+Skills!O13</f>
        <v/>
      </c>
      <c r="G294">
        <f>Skills!G13*IF(Skills!H13&gt;0,Skills!I13/Skills!H13,1)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Inputs!$B$3&gt;=75</f>
        <v/>
      </c>
      <c r="D295">
        <f>IF(Skills!C14=1,60+Inputs!$B$25+Inputs!$B$29,IF(Skills!C14=2,90+Inputs!$B$26+Inputs!$B$29,IF(Skills!C14=3,120+Inputs!$B$27+Inputs!$B$29,MAX(0,(Inputs!$B$3-100)*3)+Inputs!$B$28+Inputs!$B$29)))</f>
        <v/>
      </c>
      <c r="E295">
        <f>INDEX(FactorTable!$B$2:$Y$301, MATCH(ROUND(MIN(300,MAX(1,D295)),0), FactorTable!$A$2:$A$301,0), Skills!M14+1)</f>
        <v/>
      </c>
      <c r="F295">
        <f>IF(Skills!N14=TRUE,(Skills!L14/10)*(E295/1000),Skills!L14/10)+Skills!O14</f>
        <v/>
      </c>
      <c r="G295">
        <f>Skills!G14*IF(Skills!H14&gt;0,Skills!I14/Skills!H14,1)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Inputs!$B$3&gt;=40</f>
        <v/>
      </c>
      <c r="D296">
        <f>IF(Skills!C15=1,60+Inputs!$B$25+Inputs!$B$29,IF(Skills!C15=2,90+Inputs!$B$26+Inputs!$B$29,IF(Skills!C15=3,120+Inputs!$B$27+Inputs!$B$29,MAX(0,(Inputs!$B$3-100)*3)+Inputs!$B$28+Inputs!$B$29)))</f>
        <v/>
      </c>
      <c r="E296">
        <f>INDEX(FactorTable!$B$2:$Y$301, MATCH(ROUND(MIN(300,MAX(1,D296)),0), FactorTable!$A$2:$A$301,0), Skills!M15+1)</f>
        <v/>
      </c>
      <c r="F296">
        <f>IF(Skills!N15=TRUE,(Skills!L15/10)*(E296/1000),Skills!L15/10)+Skills!O15</f>
        <v/>
      </c>
      <c r="G296">
        <f>Skills!G15*IF(Skills!H15&gt;0,Skills!I15/Skills!H15,1)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IFERROR(1/(IF(Inputs!$B$38="pvp",15,MAX(0.1,Skills!D15-IF(Skills!E15=TRUE,Inputs!$B$32,0)))*(1-IF(AND(ArtifactsInput!$M$27,Inputs!$B$4="Chapter Hunt"),CHOOSE(ArtifactsInput!$N$27+1,20,24,28,32,36,40),0)/100)),0)</f>
        <v/>
      </c>
      <c r="R296">
        <f>IF(AND(Inputs!$B$38&lt;&gt;"pvp",Inputs!$B$43&gt;0),IF(Inputs!$B$43&lt;=0,0,(INT(Inputs!$B$43/(IF(Inputs!$B$38="pvp",15,MAX(0.1,Skills!D15-IF(Skills!E15=TRUE,Inputs!$B$32,0)))*(1-IF(AND(ArtifactsInput!$M$27,Inputs!$B$4="Chapter Hunt"),CHOOSE(ArtifactsInput!$N$27+1,20,24,28,32,36,40),0)/100)))+1)),0)</f>
        <v/>
      </c>
      <c r="S296">
        <f>IFERROR(O296/N296,0)</f>
        <v/>
      </c>
      <c r="T296" t="n">
        <v>0</v>
      </c>
      <c r="V296" t="n">
        <v>0</v>
      </c>
    </row>
    <row r="297">
      <c r="A297">
        <f>Skills!A16</f>
        <v/>
      </c>
      <c r="B297">
        <f>Skills!B16</f>
        <v/>
      </c>
      <c r="C297">
        <f>Inputs!$B$3&gt;=66</f>
        <v/>
      </c>
      <c r="D297">
        <f>IF(Skills!C16=1,60+Inputs!$B$25+Inputs!$B$29,IF(Skills!C16=2,90+Inputs!$B$26+Inputs!$B$29,IF(Skills!C16=3,120+Inputs!$B$27+Inputs!$B$29,MAX(0,(Inputs!$B$3-100)*3)+Inputs!$B$28+Inputs!$B$29)))</f>
        <v/>
      </c>
      <c r="E297">
        <f>INDEX(FactorTable!$B$2:$Y$301, MATCH(ROUND(MIN(300,MAX(1,D297)),0), FactorTable!$A$2:$A$301,0), Skills!M16+1)</f>
        <v/>
      </c>
      <c r="F297">
        <f>IF(Skills!N16=TRUE,(Skills!L16/10)*(E297/1000),Skills!L16/10)+Skills!O16</f>
        <v/>
      </c>
      <c r="G297">
        <f>Skills!G16*IF(Skills!H16&gt;0,Skills!I16/Skills!H16,1)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IFERROR(1/(IF(Inputs!$B$38="pvp",15,MAX(0.1,Skills!D16-IF(Skills!E16=TRUE,Inputs!$B$32,0)))*(1-IF(AND(ArtifactsInput!$M$27,Inputs!$B$4="Chapter Hunt"),CHOOSE(ArtifactsInput!$N$27+1,20,24,28,32,36,40),0)/100)),0)</f>
        <v/>
      </c>
      <c r="R297">
        <f>IF(AND(Inputs!$B$38&lt;&gt;"pvp",Inputs!$B$43&gt;0),IF(Inputs!$B$43&lt;=0,0,(INT(Inputs!$B$43/(IF(Inputs!$B$38="pvp",15,MAX(0.1,Skills!D16-IF(Skills!E16=TRUE,Inputs!$B$32,0)))*(1-IF(AND(ArtifactsInput!$M$27,Inputs!$B$4="Chapter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INDEX(FactorTable!$B$2:$Y$301, MATCH(ROUND(MIN(300,MAX(1,D298)),0), FactorTable!$A$2:$A$301,0), Skills!M17+1)</f>
        <v/>
      </c>
      <c r="F298">
        <f>IF(Skills!N17=TRUE,(Skills!L17/10)*(E298/1000),Skills!L17/10)+Skills!O17</f>
        <v/>
      </c>
      <c r="G298">
        <f>Skills!G17*IF(Skills!H17&gt;0,Skills!I17/Skills!H17,1)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IFERROR(1/(IF(Inputs!$B$38="pvp",15,MAX(0.1,Skills!D17-IF(Skills!E17=TRUE,Inputs!$B$32,0)))*(1-IF(AND(ArtifactsInput!$M$27,Inputs!$B$4="Chapter Hunt"),CHOOSE(ArtifactsInput!$N$27+1,20,24,28,32,36,40),0)/100)),0)</f>
        <v/>
      </c>
      <c r="R298">
        <f>IF(AND(Inputs!$B$38&lt;&gt;"pvp",Inputs!$B$43&gt;0),IF(Inputs!$B$43&lt;=0,0,(INT(Inputs!$B$43/(IF(Inputs!$B$38="pvp",15,MAX(0.1,Skills!D17-IF(Skills!E17=TRUE,Inputs!$B$32,0)))*(1-IF(AND(ArtifactsInput!$M$27,Inputs!$B$4="Chapter Hunt"),CHOOSE(ArtifactsInput!$N$27+1,20,24,28,32,36,40),0)/100)))+1)),0)</f>
        <v/>
      </c>
      <c r="S298">
        <f>IFERROR(O298/N298,0)</f>
        <v/>
      </c>
      <c r="T298" t="n">
        <v>0</v>
      </c>
      <c r="V298" t="n">
        <v>0</v>
      </c>
    </row>
    <row r="299">
      <c r="A299">
        <f>Skills!A18</f>
        <v/>
      </c>
      <c r="B299">
        <f>Skills!B18</f>
        <v/>
      </c>
      <c r="C299">
        <f>Inputs!$B$3&gt;=115</f>
        <v/>
      </c>
      <c r="D299">
        <f>IF(Skills!C18=1,60+Inputs!$B$25+Inputs!$B$29,IF(Skills!C18=2,90+Inputs!$B$26+Inputs!$B$29,IF(Skills!C18=3,120+Inputs!$B$27+Inputs!$B$29,MAX(0,(Inputs!$B$3-100)*3)+Inputs!$B$28+Inputs!$B$29)))</f>
        <v/>
      </c>
      <c r="E299">
        <f>INDEX(FactorTable!$B$2:$Y$301, MATCH(ROUND(MIN(300,MAX(1,D299)),0), FactorTable!$A$2:$A$301,0), Skills!M18+1)</f>
        <v/>
      </c>
      <c r="F299">
        <f>IF(Skills!N18=TRUE,(Skills!L18/10)*(E299/1000),Skills!L18/10)+Skills!O18</f>
        <v/>
      </c>
      <c r="G299">
        <f>Skills!G18*IF(Skills!H18&gt;0,Skills!I18/Skills!H18,1)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IFERROR(1/(IF(Inputs!$B$38="pvp",15,MAX(0.1,Skills!D18-IF(Skills!E18=TRUE,Inputs!$B$32,0)))*(1-IF(AND(ArtifactsInput!$M$27,Inputs!$B$4="Chapter Hunt"),CHOOSE(ArtifactsInput!$N$27+1,20,24,28,32,36,40),0)/100)),0)</f>
        <v/>
      </c>
      <c r="R299">
        <f>IF(AND(Inputs!$B$38&lt;&gt;"pvp",Inputs!$B$43&gt;0),IF(Inputs!$B$43&lt;=0,0,(INT(Inputs!$B$43/(IF(Inputs!$B$38="pvp",15,MAX(0.1,Skills!D18-IF(Skills!E18=TRUE,Inputs!$B$32,0)))*(1-IF(AND(ArtifactsInput!$M$27,Inputs!$B$4="Chapter Hunt"),CHOOSE(ArtifactsInput!$N$27+1,20,24,28,32,36,40),0)/100)))+1)),0)</f>
        <v/>
      </c>
      <c r="S299">
        <f>IFERROR(O299/N299,0)</f>
        <v/>
      </c>
      <c r="T299" t="n">
        <v>0</v>
      </c>
      <c r="V299" t="n">
        <v>0</v>
      </c>
    </row>
    <row r="300">
      <c r="A300">
        <f>Skills!A19</f>
        <v/>
      </c>
      <c r="B300">
        <f>Skills!B19</f>
        <v/>
      </c>
      <c r="C300">
        <f>TRUE</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IFERROR(1/(IF(Inputs!$B$38="pvp",15,MAX(0.1,Skills!D19-IF(Skills!E19=TRUE,Inputs!$B$32,0)))*(1-IF(AND(ArtifactsInput!$M$27,Inputs!$B$4="Chapter Hunt"),CHOOSE(ArtifactsInput!$N$27+1,20,24,28,32,36,40),0)/100)),0)</f>
        <v/>
      </c>
      <c r="R300">
        <f>IF(AND(Inputs!$B$38&lt;&gt;"pvp",Inputs!$B$43&gt;0),IF(Inputs!$B$43&lt;=0,0,(INT(Inputs!$B$43/(IF(Inputs!$B$38="pvp",15,MAX(0.1,Skills!D19-IF(Skills!E19=TRUE,Inputs!$B$32,0)))*(1-IF(AND(ArtifactsInput!$M$27,Inputs!$B$4="Chapter Hunt"),CHOOSE(ArtifactsInput!$N$27+1,20,24,28,32,36,40),0)/100)))+1)),0)</f>
        <v/>
      </c>
      <c r="S300">
        <f>IFERROR(O300/N300,0)</f>
        <v/>
      </c>
      <c r="T300" t="n">
        <v>0</v>
      </c>
      <c r="V300" t="n">
        <v>0</v>
      </c>
    </row>
    <row r="301">
      <c r="A301">
        <f>Skills!A20</f>
        <v/>
      </c>
      <c r="B301">
        <f>Skills!B20</f>
        <v/>
      </c>
      <c r="C301">
        <f>Inputs!$B$3&gt;=33</f>
        <v/>
      </c>
      <c r="D301">
        <f>IF(Skills!C20=1,60+Inputs!$B$25+Inputs!$B$29,IF(Skills!C20=2,90+Inputs!$B$26+Inputs!$B$29,IF(Skills!C20=3,120+Inputs!$B$27+Inputs!$B$29,MAX(0,(Inputs!$B$3-100)*3)+Inputs!$B$28+Inputs!$B$29)))</f>
        <v/>
      </c>
      <c r="E301">
        <f>INDEX(FactorTable!$B$2:$Y$301, MATCH(ROUND(MIN(300,MAX(1,D301)),0), FactorTable!$A$2:$A$301,0), Skills!M20+1)</f>
        <v/>
      </c>
      <c r="F301">
        <f>IF(Skills!N20=TRUE,(Skills!L20/10)*(E301/1000),Skills!L20/10)+Skills!O20</f>
        <v/>
      </c>
      <c r="G301">
        <f>Skills!G20*IF(Skills!H20&gt;0,Skills!I20/Skills!H20,1)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Inputs!$B$3&gt;=38</f>
        <v/>
      </c>
      <c r="D302">
        <f>IF(Skills!C21=1,60+Inputs!$B$25+Inputs!$B$29,IF(Skills!C21=2,90+Inputs!$B$26+Inputs!$B$29,IF(Skills!C21=3,120+Inputs!$B$27+Inputs!$B$29,MAX(0,(Inputs!$B$3-100)*3)+Inputs!$B$28+Inputs!$B$29)))</f>
        <v/>
      </c>
      <c r="E302">
        <f>INDEX(FactorTable!$B$2:$Y$301, MATCH(ROUND(MIN(300,MAX(1,D302)),0), FactorTable!$A$2:$A$301,0), Skills!M21+1)</f>
        <v/>
      </c>
      <c r="F302">
        <f>IF(Skills!N21=TRUE,(Skills!L21/10)*(E302/1000),Skills!L21/10)+Skills!O21</f>
        <v/>
      </c>
      <c r="G302">
        <f>Skills!G21*IF(Skills!H21&gt;0,Skills!I21/Skills!H21,1)</f>
        <v/>
      </c>
      <c r="H302">
        <f>1-(1-Skills!J21/100)^Skills!K21</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Skills!A22</f>
        <v/>
      </c>
      <c r="B303">
        <f>Skills!B22</f>
        <v/>
      </c>
      <c r="C303">
        <f>Inputs!$B$3&gt;=43</f>
        <v/>
      </c>
      <c r="D303">
        <f>IF(Skills!C22=1,60+Inputs!$B$25+Inputs!$B$29,IF(Skills!C22=2,90+Inputs!$B$26+Inputs!$B$29,IF(Skills!C22=3,120+Inputs!$B$27+Inputs!$B$29,MAX(0,(Inputs!$B$3-100)*3)+Inputs!$B$28+Inputs!$B$29)))</f>
        <v/>
      </c>
      <c r="E303">
        <f>INDEX(FactorTable!$B$2:$Y$301, MATCH(ROUND(MIN(300,MAX(1,D303)),0), FactorTable!$A$2:$A$301,0), Skills!M22+1)</f>
        <v/>
      </c>
      <c r="F303">
        <f>IF(Skills!N22=TRUE,(Skills!L22/10)*(E303/1000),Skills!L22/10)+Skills!O22</f>
        <v/>
      </c>
      <c r="G303">
        <f>Skills!G22*IF(Skills!H22&gt;0,Skills!I22/Skills!H22,1)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Inputs!$B$3&gt;=120</f>
        <v/>
      </c>
      <c r="D304">
        <f>IF(Skills!C23=1,60+Inputs!$B$25+Inputs!$B$29,IF(Skills!C23=2,90+Inputs!$B$26+Inputs!$B$29,IF(Skills!C23=3,120+Inputs!$B$27+Inputs!$B$29,MAX(0,(Inputs!$B$3-100)*3)+Inputs!$B$28+Inputs!$B$29)))</f>
        <v/>
      </c>
      <c r="E304">
        <f>INDEX(FactorTable!$B$2:$Y$301, MATCH(ROUND(MIN(300,MAX(1,D304)),0), FactorTable!$A$2:$A$301,0), Skills!M23+1)</f>
        <v/>
      </c>
      <c r="F304">
        <f>IF(Skills!N23=TRUE,(Skills!L23/10)*(E304/1000),Skills!L23/10)+Skills!O23</f>
        <v/>
      </c>
      <c r="G304">
        <f>Skills!G23*IF(Skills!H23&gt;0,Skills!I23/Skills!H23,1)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Inputs!$B$3&gt;=120</f>
        <v/>
      </c>
      <c r="D305">
        <f>IF(Skills!C24=1,60+Inputs!$B$25+Inputs!$B$29,IF(Skills!C24=2,90+Inputs!$B$26+Inputs!$B$29,IF(Skills!C24=3,120+Inputs!$B$27+Inputs!$B$29,MAX(0,(Inputs!$B$3-100)*3)+Inputs!$B$28+Inputs!$B$29)))</f>
        <v/>
      </c>
      <c r="E305">
        <f>INDEX(FactorTable!$B$2:$Y$301, MATCH(ROUND(MIN(300,MAX(1,D305)),0), FactorTable!$A$2:$A$301,0), Skills!M24+1)</f>
        <v/>
      </c>
      <c r="F305">
        <f>IF(Skills!N24=TRUE,(Skills!L24/10)*(E305/1000),Skills!L24/10)+Skills!O24</f>
        <v/>
      </c>
      <c r="G305">
        <f>Skills!G24*IF(Skills!H24&gt;0,Skills!I24/Skills!H24,1)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Inputs!$B$3&gt;=125</f>
        <v/>
      </c>
      <c r="D306">
        <f>IF(Skills!C25=1,60+Inputs!$B$25+Inputs!$B$29,IF(Skills!C25=2,90+Inputs!$B$26+Inputs!$B$29,IF(Skills!C25=3,120+Inputs!$B$27+Inputs!$B$29,MAX(0,(Inputs!$B$3-100)*3)+Inputs!$B$28+Inputs!$B$29)))</f>
        <v/>
      </c>
      <c r="E306">
        <f>INDEX(FactorTable!$B$2:$Y$301, MATCH(ROUND(MIN(300,MAX(1,D306)),0), FactorTable!$A$2:$A$301,0), Skills!M25+1)</f>
        <v/>
      </c>
      <c r="F306">
        <f>IF(Skills!N25=TRUE,(Skills!L25/10)*(E306/1000),Skills!L25/10)+Skills!O25</f>
        <v/>
      </c>
      <c r="G306">
        <f>Skills!G25*IF(Skills!H25&gt;0,Skills!I25/Skills!H25,1)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Inputs!$B$3&gt;=72</f>
        <v/>
      </c>
      <c r="D307">
        <f>IF(Skills!C26=1,60+Inputs!$B$25+Inputs!$B$29,IF(Skills!C26=2,90+Inputs!$B$26+Inputs!$B$29,IF(Skills!C26=3,120+Inputs!$B$27+Inputs!$B$29,MAX(0,(Inputs!$B$3-100)*3)+Inputs!$B$28+Inputs!$B$29)))</f>
        <v/>
      </c>
      <c r="E307">
        <f>INDEX(FactorTable!$B$2:$Y$301, MATCH(ROUND(MIN(300,MAX(1,D307)),0), FactorTable!$A$2:$A$301,0), Skills!M26+1)</f>
        <v/>
      </c>
      <c r="F307">
        <f>IF(Skills!N26=TRUE,(Skills!L26/10)*(E307/1000),Skills!L26/10)+Skills!O26</f>
        <v/>
      </c>
      <c r="G307">
        <f>Skills!G26*IF(Skills!H26&gt;0,Skills!I26/Skills!H26,1)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300=TRUE)*F300*IF(AND(Inputs!$B$38&lt;&gt;"pvp",Inputs!$B$43&gt;0),(((R300-1)*(Skills!T19*(1+(Inputs!$B$34+(ArtifactsInput!$M$7-ArtifactsInput!$M$7)*CHOOSE(ArtifactsInput!$N$7+1,6,7.2,8.4,9.6,10.8,12))/100))+MIN((Skills!T19*(1+(Inputs!$B$34+(ArtifactsInput!$M$7-ArtifactsInput!$M$7)*CHOOSE(ArtifactsInput!$N$7+1,6,7.2,8.4,9.6,10.8,12))/100)),MAX(0,Inputs!$B$43-((R300-1)*Skills!D19))))/Inputs!$B$43),IF(Inputs!$B$38="pvp",MIN((Skills!T19*(1+(Inputs!$B$34+(ArtifactsInput!$M$7-ArtifactsInput!$M$7)*CHOOSE(ArtifactsInput!$N$7+1,6,7.2,8.4,9.6,10.8,12))/100)),15)/15,(Skills!T19*(1+(Inputs!$B$34+(ArtifactsInput!$M$7-ArtifactsInput!$M$7)*CHOOSE(ArtifactsInput!$N$7+1,6,7.2,8.4,9.6,10.8,12))/100))/Skills!D19)))</f>
        <v/>
      </c>
    </row>
    <row r="312">
      <c r="A312" t="inlineStr">
        <is>
          <t>Actions Per Second</t>
        </is>
      </c>
      <c r="B312">
        <f>1+MIN(150,150*(1-(1-(Inputs!$B$11+((C301=TRUE)*(F301-Calc!F20)))/150)*(1-B311/150)))/100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Raging Blow Casts Per Second</t>
        </is>
      </c>
      <c r="B314">
        <f>MAX(0,B312-B313)</f>
        <v/>
      </c>
    </row>
    <row r="315">
      <c r="A315" t="inlineStr">
        <is>
          <t>Global Critical Damage Bonus % (Enrage)</t>
        </is>
      </c>
      <c r="B315">
        <f>((C299=TRUE)*F299*IF(AND(Inputs!$B$38&lt;&gt;"pvp",Inputs!$B$43&gt;0),(((R299-1)*(Skills!T18*(1+(Inputs!$B$34+(ArtifactsInput!$M$7-ArtifactsInput!$M$7)*CHOOSE(ArtifactsInput!$N$7+1,6,7.2,8.4,9.6,10.8,12))/100))+MIN((Skills!T18*(1+(Inputs!$B$34+(ArtifactsInput!$M$7-ArtifactsInput!$M$7)*CHOOSE(ArtifactsInput!$N$7+1,6,7.2,8.4,9.6,10.8,12))/100)),MAX(0,Inputs!$B$43-((R299-1)*Skills!D18))))/Inputs!$B$43),IF(Inputs!$B$38="pvp",MIN((Skills!T18*(1+(Inputs!$B$34+(ArtifactsInput!$M$7-ArtifactsInput!$M$7)*CHOOSE(ArtifactsInput!$N$7+1,6,7.2,8.4,9.6,10.8,12))/100)),15)/15,(Skills!T18*(1+(Inputs!$B$34+(ArtifactsInput!$M$7-ArtifactsInput!$M$7)*CHOOSE(ArtifactsInput!$N$7+1,6,7.2,8.4,9.6,10.8,12))/100))/Skills!D18)))</f>
        <v/>
      </c>
    </row>
    <row r="316">
      <c r="A316" t="inlineStr">
        <is>
          <t>Global Final Damage Bonus % (Enrage + Combo Synergy)</t>
        </is>
      </c>
      <c r="B316">
        <f>((C298=TRUE)*F298*IF(AND(Inputs!$B$38&lt;&gt;"pvp",Inputs!$B$43&gt;0),(((R298-1)*(Skills!T17*(1+(Inputs!$B$34+(ArtifactsInput!$M$7-ArtifactsInput!$M$7)*CHOOSE(ArtifactsInput!$N$7+1,6,7.2,8.4,9.6,10.8,12))/100))+MIN((Skills!T17*(1+(Inputs!$B$34+(ArtifactsInput!$M$7-ArtifactsInput!$M$7)*CHOOSE(ArtifactsInput!$N$7+1,6,7.2,8.4,9.6,10.8,12))/100)),MAX(0,Inputs!$B$43-((R298-1)*Skills!D17))))/Inputs!$B$43),IF(Inputs!$B$38="pvp",MIN((Skills!T17*(1+(Inputs!$B$34+(ArtifactsInput!$M$7-ArtifactsInput!$M$7)*CHOOSE(ArtifactsInput!$N$7+1,6,7.2,8.4,9.6,10.8,12))/100)),15)/15,(Skills!T17*(1+(Inputs!$B$34+(ArtifactsInput!$M$7-ArtifactsInput!$M$7)*CHOOSE(ArtifactsInput!$N$7+1,6,7.2,8.4,9.6,10.8,12))/100))/Skills!D17)))+((C295=TRUE)*F295*IF(Inputs!$B$3&gt;=110,7,5))</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325)</f>
        <v/>
      </c>
      <c r="L325">
        <f>K325*(MIN(Inputs!$B$22+((C345=TRUE)*(F345-Calc!F22)),(Inputs!$B$23+((C347=TRUE)*(F347-Calc!F24))+(IF(ArtifactsInput!$M$15,CHOOSE(ArtifactsInput!$N$15+1,25,30,35,40,45,50)/100*(Inputs!$B$11-Inputs!$B$11),0))))/100+(Inputs!$B$23+((C347=TRUE)*(F347-Calc!F24))+(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INDEX(FactorTable!$B$2:$Y$301, MATCH(ROUND(MIN(300,MAX(1,D326)),0),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INDEX(FactorTable!$B$2:$Y$301, MATCH(ROUND(MIN(300,MAX(1,U325)),0), FactorTable!$A$2:$A$301,0), 22)</f>
        <v/>
      </c>
    </row>
    <row r="327">
      <c r="A327">
        <f>Skills!A4</f>
        <v/>
      </c>
      <c r="B327">
        <f>Skills!B4</f>
        <v/>
      </c>
      <c r="C327">
        <f>Inputs!$B$3&gt;=105</f>
        <v/>
      </c>
      <c r="D327">
        <f>IF(Skills!C4=1,60+Inputs!$B$25+Inputs!$B$29,IF(Skills!C4=2,90+Inputs!$B$26+Inputs!$B$29,IF(Skills!C4=3,120+Inputs!$B$27+Inputs!$B$29,MAX(0,(Inputs!$B$3-100)*3)+Inputs!$B$28+Inputs!$B$29)))</f>
        <v/>
      </c>
      <c r="E327">
        <f>INDEX(FactorTable!$B$2:$Y$301, MATCH(ROUND(MIN(300,MAX(1,D327)),0), FactorTable!$A$2:$A$301,0), Skills!M4+1)</f>
        <v/>
      </c>
      <c r="F327">
        <f>IF(Skills!N4=TRUE,(Skills!L4/10)*(E327/1000),Skills!L4/10)+Skills!O4</f>
        <v/>
      </c>
      <c r="G327" t="inlineStr"/>
      <c r="H327" t="inlineStr"/>
      <c r="I327" t="inlineStr">
        <is>
          <t>1</t>
        </is>
      </c>
      <c r="J327" t="inlineStr"/>
      <c r="K327" t="inlineStr"/>
      <c r="L327" t="inlineStr"/>
      <c r="M327" t="inlineStr"/>
      <c r="N327" t="inlineStr"/>
      <c r="O327" t="inlineStr"/>
      <c r="P327" t="inlineStr"/>
      <c r="Q327" t="inlineStr"/>
      <c r="R327" t="inlineStr"/>
      <c r="S327" t="inlineStr"/>
      <c r="U327">
        <f>290*U326/1000</f>
        <v/>
      </c>
    </row>
    <row r="328">
      <c r="A328">
        <f>Skills!A5</f>
        <v/>
      </c>
      <c r="B328">
        <f>Skills!B5</f>
        <v/>
      </c>
      <c r="C328">
        <f>Inputs!$B$3&gt;=103</f>
        <v/>
      </c>
      <c r="D328">
        <f>IF(Skills!C5=1,60+Inputs!$B$25+Inputs!$B$29,IF(Skills!C5=2,90+Inputs!$B$26+Inputs!$B$29,IF(Skills!C5=3,120+Inputs!$B$27+Inputs!$B$29,MAX(0,(Inputs!$B$3-100)*3)+Inputs!$B$28+Inputs!$B$29)))</f>
        <v/>
      </c>
      <c r="E328">
        <f>INDEX(FactorTable!$B$2:$Y$301, MATCH(ROUND(MIN(300,MAX(1,D328)),0), FactorTable!$A$2:$A$301,0), Skills!M5+1)</f>
        <v/>
      </c>
      <c r="F328">
        <f>IF(Skills!N5=TRUE,(Skills!L5/10)*(E328/1000),Skills!L5/10)+Skills!O5</f>
        <v/>
      </c>
      <c r="G328">
        <f>Skills!G5*IF(Skills!H5&gt;0,Skills!I5/Skills!H5,1)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328)</f>
        <v/>
      </c>
      <c r="L328">
        <f>K328*(MIN(Inputs!$B$22+((C345=TRUE)*(F345-Calc!F22)),(Inputs!$B$23+((C347=TRUE)*(F347-Calc!F24))+(IF(ArtifactsInput!$M$15,CHOOSE(ArtifactsInput!$N$15+1,25,30,35,40,45,50)/100*(Inputs!$B$11-Inputs!$B$11),0))))/100+(Inputs!$B$23+((C347=TRUE)*(F347-Calc!F24))+(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IFERROR(1/(IF(Inputs!$B$38="pvp",15,MAX(0.1,Skills!D5-IF(Skills!E5=TRUE,Inputs!$B$32,0)))*(1-IF(AND(ArtifactsInput!$M$27,Inputs!$B$4="Chapter Hunt"),CHOOSE(ArtifactsInput!$N$27+1,20,24,28,32,36,40),0)/100)),0)</f>
        <v/>
      </c>
      <c r="R328">
        <f>IF(AND(Inputs!$B$38&lt;&gt;"pvp",Inputs!$B$43&gt;0),IF(MAX(0,Inputs!$B$43-B359)&lt;=0,0,(INT(MAX(0,Inputs!$B$43-B359)/(IF(Inputs!$B$38="pvp",15,MAX(0.1,Skills!D5-IF(Skills!E5=TRUE,Inputs!$B$32,0)))*(1-IF(AND(ArtifactsInput!$M$27,Inputs!$B$4="Chapter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$21+1)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INDEX(FactorTable!$B$2:$Y$301, MATCH(ROUND(MIN(300,MAX(1,D329)),0), FactorTable!$A$2:$A$301,0), Skills!M6+1)</f>
        <v/>
      </c>
      <c r="F329">
        <f>IF(Skills!N6=TRUE,(Skills!L6/10)*(E329/1000),Skills!L6/10)+Skills!O6</f>
        <v/>
      </c>
      <c r="G329">
        <f>Skills!G6*IF(Skills!H6&gt;0,Skills!I6/Skills!H6,1)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329)</f>
        <v/>
      </c>
      <c r="L329">
        <f>K329*(MIN(Inputs!$B$22+((C345=TRUE)*(F345-Calc!F22)),(Inputs!$B$23+((C347=TRUE)*(F347-Calc!F24))+(IF(ArtifactsInput!$M$15,CHOOSE(ArtifactsInput!$N$15+1,25,30,35,40,45,50)/100*(Inputs!$B$11-Inputs!$B$11),0))))/100+(Inputs!$B$23+((C347=TRUE)*(F347-Calc!F24))+(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IFERROR(1/(IF(Inputs!$B$38="pvp",15,MAX(0.1,Skills!D6-IF(Skills!E6=TRUE,Inputs!$B$32,0)))*(1-IF(AND(ArtifactsInput!$M$27,Inputs!$B$4="Chapter Hunt"),CHOOSE(ArtifactsInput!$N$27+1,20,24,28,32,36,40),0)/100)),0)</f>
        <v/>
      </c>
      <c r="R329">
        <f>IF(AND(Inputs!$B$38&lt;&gt;"pvp",Inputs!$B$43&gt;0),IF(MAX(0,Inputs!$B$43-B359)&lt;=0,0,(INT(MAX(0,Inputs!$B$43-B359)/(IF(Inputs!$B$38="pvp",15,MAX(0.1,Skills!D6-IF(Skills!E6=TRUE,Inputs!$B$32,0)))*(1-IF(AND(ArtifactsInput!$M$27,Inputs!$B$4="Chapter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$21+1)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INDEX(FactorTable!$B$2:$Y$301, MATCH(ROUND(MIN(300,MAX(1,D330)),0), FactorTable!$A$2:$A$301,0), Skills!M7+1)</f>
        <v/>
      </c>
      <c r="F330">
        <f>IF(Skills!N7=TRUE,(Skills!L7/10)*(E330/1000),Skills!L7/10)+Skills!O7</f>
        <v/>
      </c>
      <c r="G330">
        <f>Skills!G7*IF(Skills!H7&gt;0,Skills!I7/Skills!H7,1)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330)</f>
        <v/>
      </c>
      <c r="L330">
        <f>K330*(MIN(Inputs!$B$22+((C345=TRUE)*(F345-Calc!F22)),(Inputs!$B$23+((C347=TRUE)*(F347-Calc!F24))+(IF(ArtifactsInput!$M$15,CHOOSE(ArtifactsInput!$N$15+1,25,30,35,40,45,50)/100*(Inputs!$B$11-Inputs!$B$11),0))))/100+(Inputs!$B$23+((C347=TRUE)*(F347-Calc!F24))+(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IFERROR(1/(IF(Inputs!$B$38="pvp",15,MAX(0.1,Skills!D7-IF(Skills!E7=TRUE,Inputs!$B$32,0)))*(1-IF(AND(ArtifactsInput!$M$27,Inputs!$B$4="Chapter Hunt"),CHOOSE(ArtifactsInput!$N$27+1,20,24,28,32,36,40),0)/100)),0)</f>
        <v/>
      </c>
      <c r="R330">
        <f>IF(AND(Inputs!$B$38&lt;&gt;"pvp",Inputs!$B$43&gt;0),IF(MAX(0,Inputs!$B$43-B359)&lt;=0,0,(INT(MAX(0,Inputs!$B$43-B359)/(IF(Inputs!$B$38="pvp",15,MAX(0.1,Skills!D7-IF(Skills!E7=TRUE,Inputs!$B$32,0)))*(1-IF(AND(ArtifactsInput!$M$27,Inputs!$B$4="Chapter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$21+1)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Inputs!$B$3&gt;=117</f>
        <v/>
      </c>
      <c r="D331">
        <f>IF(Skills!C8=1,60+Inputs!$B$25+Inputs!$B$29,IF(Skills!C8=2,90+Inputs!$B$26+Inputs!$B$29,IF(Skills!C8=3,120+Inputs!$B$27+Inputs!$B$29,MAX(0,(Inputs!$B$3-100)*3)+Inputs!$B$28+Inputs!$B$29)))</f>
        <v/>
      </c>
      <c r="E331">
        <f>INDEX(FactorTable!$B$2:$Y$301, MATCH(ROUND(MIN(300,MAX(1,D331)),0), FactorTable!$A$2:$A$301,0), Skills!M8+1)</f>
        <v/>
      </c>
      <c r="F331">
        <f>IF(Skills!N8=TRUE,(Skills!L8/10)*(E331/1000),Skills!L8/10)+Skills!O8</f>
        <v/>
      </c>
      <c r="G331">
        <f>Skills!G8*IF(Skills!H8&gt;0,Skills!I8/Skills!H8,1)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331)</f>
        <v/>
      </c>
      <c r="L331">
        <f>K331*(MIN(Inputs!$B$22+((C345=TRUE)*(F345-Calc!F22)),(Inputs!$B$23+((C347=TRUE)*(F347-Calc!F24))+(IF(ArtifactsInput!$M$15,CHOOSE(ArtifactsInput!$N$15+1,25,30,35,40,45,50)/100*(Inputs!$B$11-Inputs!$B$11),0))))/100+(Inputs!$B$23+((C347=TRUE)*(F347-Calc!F24))+(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IFERROR(1/(IF(Inputs!$B$38="pvp",15,MAX(0.1,Skills!D8-IF(Skills!E8=TRUE,Inputs!$B$32,0)))*(1-IF(AND(ArtifactsInput!$M$27,Inputs!$B$4="Chapter Hunt"),CHOOSE(ArtifactsInput!$N$27+1,20,24,28,32,36,40),0)/100)),0)</f>
        <v/>
      </c>
      <c r="R331">
        <f>IF(AND(Inputs!$B$38&lt;&gt;"pvp",Inputs!$B$43&gt;0),IF(MAX(0,Inputs!$B$43-B359)&lt;=0,0,(INT(MAX(0,Inputs!$B$43-B359)/(IF(Inputs!$B$38="pvp",15,MAX(0.1,Skills!D8-IF(Skills!E8=TRUE,Inputs!$B$32,0)))*(1-IF(AND(ArtifactsInput!$M$27,Inputs!$B$4="Chapter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$21+1)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Inputs!$B$3&gt;=69</f>
        <v/>
      </c>
      <c r="D332">
        <f>IF(Skills!C9=1,60+Inputs!$B$25+Inputs!$B$29,IF(Skills!C9=2,90+Inputs!$B$26+Inputs!$B$29,IF(Skills!C9=3,120+Inputs!$B$27+Inputs!$B$29,MAX(0,(Inputs!$B$3-100)*3)+Inputs!$B$28+Inputs!$B$29)))</f>
        <v/>
      </c>
      <c r="E332">
        <f>INDEX(FactorTable!$B$2:$Y$301, MATCH(ROUND(MIN(300,MAX(1,D332)),0), FactorTable!$A$2:$A$301,0), Skills!M9+1)</f>
        <v/>
      </c>
      <c r="F332">
        <f>IF(Skills!N9=TRUE,(Skills!L9/10)*(E332/1000),Skills!L9/10)+Skills!O9</f>
        <v/>
      </c>
      <c r="G332">
        <f>Skills!G9*IF(Skills!H9&gt;0,Skills!I9/Skills!H9,1)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9="ENHANCED_RAGING_BLOW",IF(Inputs!$B$3&gt;=134,MAX(0,IF(Inputs!$B$3&gt;=110,7,5)-5)*50,0),0)/100)*(1+(IF(Skills!A9="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332)</f>
        <v/>
      </c>
      <c r="L332">
        <f>K332*(MIN(Inputs!$B$22+((C345=TRUE)*(F345-Calc!F22)),(Inputs!$B$23+((C347=TRUE)*(F347-Calc!F24))+(IF(ArtifactsInput!$M$15,CHOOSE(ArtifactsInput!$N$15+1,25,30,35,40,45,50)/100*(Inputs!$B$11-Inputs!$B$11),0))))/100+(Inputs!$B$23+((C347=TRUE)*(F347-Calc!F24))+(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IFERROR(1/(IF(Inputs!$B$38="pvp",15,MAX(0.1,Skills!D9-IF(Skills!E9=TRUE,Inputs!$B$32,0)))*(1-IF(AND(ArtifactsInput!$M$27,Inputs!$B$4="Chapter Hunt"),CHOOSE(ArtifactsInput!$N$27+1,20,24,28,32,36,40),0)/100)),0)</f>
        <v/>
      </c>
      <c r="R332">
        <f>IF(AND(Inputs!$B$38&lt;&gt;"pvp",Inputs!$B$43&gt;0),IF(MAX(0,Inputs!$B$43-B359)&lt;=0,0,(INT(MAX(0,Inputs!$B$43-B359)/(IF(Inputs!$B$38="pvp",15,MAX(0.1,Skills!D9-IF(Skills!E9=TRUE,Inputs!$B$32,0)))*(1-IF(AND(ArtifactsInput!$M$27,Inputs!$B$4="Chapter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$21+1)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Inputs!$B$3&gt;=63</f>
        <v/>
      </c>
      <c r="D333">
        <f>IF(Skills!C10=1,60+Inputs!$B$25+Inputs!$B$29,IF(Skills!C10=2,90+Inputs!$B$26+Inputs!$B$29,IF(Skills!C10=3,120+Inputs!$B$27+Inputs!$B$29,MAX(0,(Inputs!$B$3-100)*3)+Inputs!$B$28+Inputs!$B$29)))</f>
        <v/>
      </c>
      <c r="E333">
        <f>INDEX(FactorTable!$B$2:$Y$301, MATCH(ROUND(MIN(300,MAX(1,D333)),0), FactorTable!$A$2:$A$301,0), Skills!M10+1)</f>
        <v/>
      </c>
      <c r="F333">
        <f>IF(Skills!N10=TRUE,(Skills!L10/10)*(E333/1000),Skills!L10/10)+Skills!O10</f>
        <v/>
      </c>
      <c r="G333">
        <f>Skills!G10*IF(Skills!H10&gt;0,Skills!I10/Skills!H10,1)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10="ENHANCED_RAGING_BLOW",IF(Inputs!$B$3&gt;=134,MAX(0,IF(Inputs!$B$3&gt;=110,7,5)-5)*50,0),0)/100)*(1+(IF(Skills!A10="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333)</f>
        <v/>
      </c>
      <c r="L333">
        <f>K333*(MIN(Inputs!$B$22+((C345=TRUE)*(F345-Calc!F22)),(Inputs!$B$23+((C347=TRUE)*(F347-Calc!F24))+(IF(ArtifactsInput!$M$15,CHOOSE(ArtifactsInput!$N$15+1,25,30,35,40,45,50)/100*(Inputs!$B$11-Inputs!$B$11),0))))/100+(Inputs!$B$23+((C347=TRUE)*(F347-Calc!F24))+(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IFERROR(1/(IF(Inputs!$B$38="pvp",15,MAX(0.1,Skills!D10-IF(Skills!E10=TRUE,Inputs!$B$32,0)))*(1-IF(AND(ArtifactsInput!$M$27,Inputs!$B$4="Chapter Hunt"),CHOOSE(ArtifactsInput!$N$27+1,20,24,28,32,36,40),0)/100)),0)</f>
        <v/>
      </c>
      <c r="R333">
        <f>IF(AND(Inputs!$B$38&lt;&gt;"pvp",Inputs!$B$43&gt;0),IF(MAX(0,Inputs!$B$43-B359)&lt;=0,0,(INT(MAX(0,Inputs!$B$43-B359)/(IF(Inputs!$B$38="pvp",15,MAX(0.1,Skills!D10-IF(Skills!E10=TRUE,Inputs!$B$32,0)))*(1-IF(AND(ArtifactsInput!$M$27,Inputs!$B$4="Chapter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$21+1)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Inputs!$B$3&gt;=35</f>
        <v/>
      </c>
      <c r="D334">
        <f>IF(Skills!C11=1,60+Inputs!$B$25+Inputs!$B$29,IF(Skills!C11=2,90+Inputs!$B$26+Inputs!$B$29,IF(Skills!C11=3,120+Inputs!$B$27+Inputs!$B$29,MAX(0,(Inputs!$B$3-100)*3)+Inputs!$B$28+Inputs!$B$29)))</f>
        <v/>
      </c>
      <c r="E334">
        <f>INDEX(FactorTable!$B$2:$Y$301, MATCH(ROUND(MIN(300,MAX(1,D334)),0), FactorTable!$A$2:$A$301,0), Skills!M11+1)</f>
        <v/>
      </c>
      <c r="F334">
        <f>IF(Skills!N11=TRUE,(Skills!L11/10)*(E334/1000),Skills!L11/10)+Skills!O11</f>
        <v/>
      </c>
      <c r="G334">
        <f>Skills!G11*IF(Skills!H11&gt;0,Skills!I11/Skills!H11,1)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11="ENHANCED_RAGING_BLOW",IF(Inputs!$B$3&gt;=134,MAX(0,IF(Inputs!$B$3&gt;=110,7,5)-5)*50,0),0)/100)*(1+(IF(Skills!A11="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334)</f>
        <v/>
      </c>
      <c r="L334">
        <f>K334*(MIN(Inputs!$B$22+((C345=TRUE)*(F345-Calc!F22)),(Inputs!$B$23+((C347=TRUE)*(F347-Calc!F24))+(IF(ArtifactsInput!$M$15,CHOOSE(ArtifactsInput!$N$15+1,25,30,35,40,45,50)/100*(Inputs!$B$11-Inputs!$B$11),0))))/100+(Inputs!$B$23+((C347=TRUE)*(F347-Calc!F24))+(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IFERROR(1/(IF(Inputs!$B$38="pvp",15,MAX(0.1,Skills!D11-IF(Skills!E11=TRUE,Inputs!$B$32,0)))*(1-IF(AND(ArtifactsInput!$M$27,Inputs!$B$4="Chapter Hunt"),CHOOSE(ArtifactsInput!$N$27+1,20,24,28,32,36,40),0)/100)),0)</f>
        <v/>
      </c>
      <c r="R334">
        <f>IF(AND(Inputs!$B$38&lt;&gt;"pvp",Inputs!$B$43&gt;0),IF(MAX(0,Inputs!$B$43-B359)&lt;=0,0,(INT(MAX(0,Inputs!$B$43-B359)/(IF(Inputs!$B$38="pvp",15,MAX(0.1,Skills!D11-IF(Skills!E11=TRUE,Inputs!$B$32,0)))*(1-IF(AND(ArtifactsInput!$M$27,Inputs!$B$4="Chapter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$21+1)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INDEX(FactorTable!$B$2:$Y$301, MATCH(ROUND(MIN(300,MAX(1,D335)),0),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INDEX(FactorTable!$B$2:$Y$301, MATCH(ROUND(MIN(300,MAX(1,D336)),0), FactorTable!$A$2:$A$301,0), Skills!M13+1)</f>
        <v/>
      </c>
      <c r="F336">
        <f>IF(Skills!N13=TRUE,(Skills!L13/10)*(E336/1000),Skills!L13/10)+Skills!O13</f>
        <v/>
      </c>
      <c r="G336">
        <f>Skills!G13*IF(Skills!H13&gt;0,Skills!I13/Skills!H13,1)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Inputs!$B$3&gt;=75</f>
        <v/>
      </c>
      <c r="D337">
        <f>IF(Skills!C14=1,60+Inputs!$B$25+Inputs!$B$29,IF(Skills!C14=2,90+Inputs!$B$26+Inputs!$B$29,IF(Skills!C14=3,120+Inputs!$B$27+Inputs!$B$29,MAX(0,(Inputs!$B$3-100)*3)+Inputs!$B$28+Inputs!$B$29)))</f>
        <v/>
      </c>
      <c r="E337">
        <f>INDEX(FactorTable!$B$2:$Y$301, MATCH(ROUND(MIN(300,MAX(1,D337)),0), FactorTable!$A$2:$A$301,0), Skills!M14+1)</f>
        <v/>
      </c>
      <c r="F337">
        <f>IF(Skills!N14=TRUE,(Skills!L14/10)*(E337/1000),Skills!L14/10)+Skills!O14</f>
        <v/>
      </c>
      <c r="G337">
        <f>Skills!G14*IF(Skills!H14&gt;0,Skills!I14/Skills!H14,1)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Inputs!$B$3&gt;=40</f>
        <v/>
      </c>
      <c r="D338">
        <f>IF(Skills!C15=1,60+Inputs!$B$25+Inputs!$B$29,IF(Skills!C15=2,90+Inputs!$B$26+Inputs!$B$29,IF(Skills!C15=3,120+Inputs!$B$27+Inputs!$B$29,MAX(0,(Inputs!$B$3-100)*3)+Inputs!$B$28+Inputs!$B$29)))</f>
        <v/>
      </c>
      <c r="E338">
        <f>INDEX(FactorTable!$B$2:$Y$301, MATCH(ROUND(MIN(300,MAX(1,D338)),0), FactorTable!$A$2:$A$301,0), Skills!M15+1)</f>
        <v/>
      </c>
      <c r="F338">
        <f>IF(Skills!N15=TRUE,(Skills!L15/10)*(E338/1000),Skills!L15/10)+Skills!O15</f>
        <v/>
      </c>
      <c r="G338">
        <f>Skills!G15*IF(Skills!H15&gt;0,Skills!I15/Skills!H15,1)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IFERROR(1/(IF(Inputs!$B$38="pvp",15,MAX(0.1,Skills!D15-IF(Skills!E15=TRUE,Inputs!$B$32,0)))*(1-IF(AND(ArtifactsInput!$M$27,Inputs!$B$4="Chapter Hunt"),CHOOSE(ArtifactsInput!$N$27+1,20,24,28,32,36,40),0)/100)),0)</f>
        <v/>
      </c>
      <c r="R338">
        <f>IF(AND(Inputs!$B$38&lt;&gt;"pvp",Inputs!$B$43&gt;0),IF(Inputs!$B$43&lt;=0,0,(INT(Inputs!$B$43/(IF(Inputs!$B$38="pvp",15,MAX(0.1,Skills!D15-IF(Skills!E15=TRUE,Inputs!$B$32,0)))*(1-IF(AND(ArtifactsInput!$M$27,Inputs!$B$4="Chapter Hunt"),CHOOSE(ArtifactsInput!$N$27+1,20,24,28,32,36,40),0)/100)))+1)),0)</f>
        <v/>
      </c>
      <c r="S338">
        <f>IFERROR(O338/N338,0)</f>
        <v/>
      </c>
      <c r="T338" t="n">
        <v>0</v>
      </c>
      <c r="V338" t="n">
        <v>0</v>
      </c>
    </row>
    <row r="339">
      <c r="A339">
        <f>Skills!A16</f>
        <v/>
      </c>
      <c r="B339">
        <f>Skills!B16</f>
        <v/>
      </c>
      <c r="C339">
        <f>Inputs!$B$3&gt;=66</f>
        <v/>
      </c>
      <c r="D339">
        <f>IF(Skills!C16=1,60+Inputs!$B$25+Inputs!$B$29,IF(Skills!C16=2,90+Inputs!$B$26+Inputs!$B$29,IF(Skills!C16=3,120+Inputs!$B$27+Inputs!$B$29,MAX(0,(Inputs!$B$3-100)*3)+Inputs!$B$28+Inputs!$B$29)))</f>
        <v/>
      </c>
      <c r="E339">
        <f>INDEX(FactorTable!$B$2:$Y$301, MATCH(ROUND(MIN(300,MAX(1,D339)),0), FactorTable!$A$2:$A$301,0), Skills!M16+1)</f>
        <v/>
      </c>
      <c r="F339">
        <f>IF(Skills!N16=TRUE,(Skills!L16/10)*(E339/1000),Skills!L16/10)+Skills!O16</f>
        <v/>
      </c>
      <c r="G339">
        <f>Skills!G16*IF(Skills!H16&gt;0,Skills!I16/Skills!H16,1)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IFERROR(1/(IF(Inputs!$B$38="pvp",15,MAX(0.1,Skills!D16-IF(Skills!E16=TRUE,Inputs!$B$32,0)))*(1-IF(AND(ArtifactsInput!$M$27,Inputs!$B$4="Chapter Hunt"),CHOOSE(ArtifactsInput!$N$27+1,20,24,28,32,36,40),0)/100)),0)</f>
        <v/>
      </c>
      <c r="R339">
        <f>IF(AND(Inputs!$B$38&lt;&gt;"pvp",Inputs!$B$43&gt;0),IF(Inputs!$B$43&lt;=0,0,(INT(Inputs!$B$43/(IF(Inputs!$B$38="pvp",15,MAX(0.1,Skills!D16-IF(Skills!E16=TRUE,Inputs!$B$32,0)))*(1-IF(AND(ArtifactsInput!$M$27,Inputs!$B$4="Chapter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INDEX(FactorTable!$B$2:$Y$301, MATCH(ROUND(MIN(300,MAX(1,D340)),0), FactorTable!$A$2:$A$301,0), Skills!M17+1)</f>
        <v/>
      </c>
      <c r="F340">
        <f>IF(Skills!N17=TRUE,(Skills!L17/10)*(E340/1000),Skills!L17/10)+Skills!O17</f>
        <v/>
      </c>
      <c r="G340">
        <f>Skills!G17*IF(Skills!H17&gt;0,Skills!I17/Skills!H17,1)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IFERROR(1/(IF(Inputs!$B$38="pvp",15,MAX(0.1,Skills!D17-IF(Skills!E17=TRUE,Inputs!$B$32,0)))*(1-IF(AND(ArtifactsInput!$M$27,Inputs!$B$4="Chapter Hunt"),CHOOSE(ArtifactsInput!$N$27+1,20,24,28,32,36,40),0)/100)),0)</f>
        <v/>
      </c>
      <c r="R340">
        <f>IF(AND(Inputs!$B$38&lt;&gt;"pvp",Inputs!$B$43&gt;0),IF(Inputs!$B$43&lt;=0,0,(INT(Inputs!$B$43/(IF(Inputs!$B$38="pvp",15,MAX(0.1,Skills!D17-IF(Skills!E17=TRUE,Inputs!$B$32,0)))*(1-IF(AND(ArtifactsInput!$M$27,Inputs!$B$4="Chapter Hunt"),CHOOSE(ArtifactsInput!$N$27+1,20,24,28,32,36,40),0)/100)))+1)),0)</f>
        <v/>
      </c>
      <c r="S340">
        <f>IFERROR(O340/N340,0)</f>
        <v/>
      </c>
      <c r="T340" t="n">
        <v>0</v>
      </c>
      <c r="V340" t="n">
        <v>0</v>
      </c>
    </row>
    <row r="341">
      <c r="A341">
        <f>Skills!A18</f>
        <v/>
      </c>
      <c r="B341">
        <f>Skills!B18</f>
        <v/>
      </c>
      <c r="C341">
        <f>Inputs!$B$3&gt;=115</f>
        <v/>
      </c>
      <c r="D341">
        <f>IF(Skills!C18=1,60+Inputs!$B$25+Inputs!$B$29,IF(Skills!C18=2,90+Inputs!$B$26+Inputs!$B$29,IF(Skills!C18=3,120+Inputs!$B$27+Inputs!$B$29,MAX(0,(Inputs!$B$3-100)*3)+Inputs!$B$28+Inputs!$B$29)))</f>
        <v/>
      </c>
      <c r="E341">
        <f>INDEX(FactorTable!$B$2:$Y$301, MATCH(ROUND(MIN(300,MAX(1,D341)),0), FactorTable!$A$2:$A$301,0), Skills!M18+1)</f>
        <v/>
      </c>
      <c r="F341">
        <f>IF(Skills!N18=TRUE,(Skills!L18/10)*(E341/1000),Skills!L18/10)+Skills!O18</f>
        <v/>
      </c>
      <c r="G341">
        <f>Skills!G18*IF(Skills!H18&gt;0,Skills!I18/Skills!H18,1)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IFERROR(1/(IF(Inputs!$B$38="pvp",15,MAX(0.1,Skills!D18-IF(Skills!E18=TRUE,Inputs!$B$32,0)))*(1-IF(AND(ArtifactsInput!$M$27,Inputs!$B$4="Chapter Hunt"),CHOOSE(ArtifactsInput!$N$27+1,20,24,28,32,36,40),0)/100)),0)</f>
        <v/>
      </c>
      <c r="R341">
        <f>IF(AND(Inputs!$B$38&lt;&gt;"pvp",Inputs!$B$43&gt;0),IF(Inputs!$B$43&lt;=0,0,(INT(Inputs!$B$43/(IF(Inputs!$B$38="pvp",15,MAX(0.1,Skills!D18-IF(Skills!E18=TRUE,Inputs!$B$32,0)))*(1-IF(AND(ArtifactsInput!$M$27,Inputs!$B$4="Chapter Hunt"),CHOOSE(ArtifactsInput!$N$27+1,20,24,28,32,36,40),0)/100)))+1)),0)</f>
        <v/>
      </c>
      <c r="S341">
        <f>IFERROR(O341/N341,0)</f>
        <v/>
      </c>
      <c r="T341" t="n">
        <v>0</v>
      </c>
      <c r="V341" t="n">
        <v>0</v>
      </c>
    </row>
    <row r="342">
      <c r="A342">
        <f>Skills!A19</f>
        <v/>
      </c>
      <c r="B342">
        <f>Skills!B19</f>
        <v/>
      </c>
      <c r="C342">
        <f>TRUE</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IFERROR(1/(IF(Inputs!$B$38="pvp",15,MAX(0.1,Skills!D19-IF(Skills!E19=TRUE,Inputs!$B$32,0)))*(1-IF(AND(ArtifactsInput!$M$27,Inputs!$B$4="Chapter Hunt"),CHOOSE(ArtifactsInput!$N$27+1,20,24,28,32,36,40),0)/100)),0)</f>
        <v/>
      </c>
      <c r="R342">
        <f>IF(AND(Inputs!$B$38&lt;&gt;"pvp",Inputs!$B$43&gt;0),IF(Inputs!$B$43&lt;=0,0,(INT(Inputs!$B$43/(IF(Inputs!$B$38="pvp",15,MAX(0.1,Skills!D19-IF(Skills!E19=TRUE,Inputs!$B$32,0)))*(1-IF(AND(ArtifactsInput!$M$27,Inputs!$B$4="Chapter Hunt"),CHOOSE(ArtifactsInput!$N$27+1,20,24,28,32,36,40),0)/100)))+1)),0)</f>
        <v/>
      </c>
      <c r="S342">
        <f>IFERROR(O342/N342,0)</f>
        <v/>
      </c>
      <c r="T342" t="n">
        <v>0</v>
      </c>
      <c r="V342" t="n">
        <v>0</v>
      </c>
    </row>
    <row r="343">
      <c r="A343">
        <f>Skills!A20</f>
        <v/>
      </c>
      <c r="B343">
        <f>Skills!B20</f>
        <v/>
      </c>
      <c r="C343">
        <f>Inputs!$B$3&gt;=33</f>
        <v/>
      </c>
      <c r="D343">
        <f>IF(Skills!C20=1,60+Inputs!$B$25+Inputs!$B$29,IF(Skills!C20=2,90+Inputs!$B$26+Inputs!$B$29,IF(Skills!C20=3,120+Inputs!$B$27+Inputs!$B$29,MAX(0,(Inputs!$B$3-100)*3)+Inputs!$B$28+Inputs!$B$29)))</f>
        <v/>
      </c>
      <c r="E343">
        <f>INDEX(FactorTable!$B$2:$Y$301, MATCH(ROUND(MIN(300,MAX(1,D343)),0), FactorTable!$A$2:$A$301,0), Skills!M20+1)</f>
        <v/>
      </c>
      <c r="F343">
        <f>IF(Skills!N20=TRUE,(Skills!L20/10)*(E343/1000),Skills!L20/10)+Skills!O20</f>
        <v/>
      </c>
      <c r="G343">
        <f>Skills!G20*IF(Skills!H20&gt;0,Skills!I20/Skills!H20,1)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Inputs!$B$3&gt;=38</f>
        <v/>
      </c>
      <c r="D344">
        <f>IF(Skills!C21=1,60+Inputs!$B$25+Inputs!$B$29,IF(Skills!C21=2,90+Inputs!$B$26+Inputs!$B$29,IF(Skills!C21=3,120+Inputs!$B$27+Inputs!$B$29,MAX(0,(Inputs!$B$3-100)*3)+Inputs!$B$28+Inputs!$B$29)))</f>
        <v/>
      </c>
      <c r="E344">
        <f>INDEX(FactorTable!$B$2:$Y$301, MATCH(ROUND(MIN(300,MAX(1,D344)),0), FactorTable!$A$2:$A$301,0), Skills!M21+1)</f>
        <v/>
      </c>
      <c r="F344">
        <f>IF(Skills!N21=TRUE,(Skills!L21/10)*(E344/1000),Skills!L21/10)+Skills!O21</f>
        <v/>
      </c>
      <c r="G344">
        <f>Skills!G21*IF(Skills!H21&gt;0,Skills!I21/Skills!H21,1)</f>
        <v/>
      </c>
      <c r="H344">
        <f>1-(1-Skills!J21/100)^Skills!K21</f>
        <v/>
      </c>
      <c r="I344" t="inlineStr">
        <is>
          <t>1</t>
        </is>
      </c>
      <c r="J344" t="inlineStr"/>
      <c r="K344" t="inlineStr"/>
      <c r="L344" t="inlineStr"/>
      <c r="M344" t="inlineStr"/>
      <c r="N344" t="inlineStr"/>
      <c r="O344">
        <f>(1-Summary!$B$11)*T344+Summary!$B$11*V344</f>
        <v/>
      </c>
      <c r="P344">
        <f>IF(B362=0,0,O344/B362)</f>
        <v/>
      </c>
      <c r="Q344" t="n">
        <v>0</v>
      </c>
      <c r="R344" t="n">
        <v>0</v>
      </c>
      <c r="S344">
        <f>IFERROR(O344/N344,0)</f>
        <v/>
      </c>
      <c r="T344" t="n">
        <v>0</v>
      </c>
      <c r="V344" t="n">
        <v>0</v>
      </c>
    </row>
    <row r="345">
      <c r="A345">
        <f>Skills!A22</f>
        <v/>
      </c>
      <c r="B345">
        <f>Skills!B22</f>
        <v/>
      </c>
      <c r="C345">
        <f>Inputs!$B$3&gt;=43</f>
        <v/>
      </c>
      <c r="D345">
        <f>IF(Skills!C22=1,60+Inputs!$B$25+Inputs!$B$29,IF(Skills!C22=2,90+Inputs!$B$26+Inputs!$B$29,IF(Skills!C22=3,120+Inputs!$B$27+Inputs!$B$29,MAX(0,(Inputs!$B$3-100)*3)+Inputs!$B$28+Inputs!$B$29)))</f>
        <v/>
      </c>
      <c r="E345">
        <f>INDEX(FactorTable!$B$2:$Y$301, MATCH(ROUND(MIN(300,MAX(1,D345)),0), FactorTable!$A$2:$A$301,0), Skills!M22+1)</f>
        <v/>
      </c>
      <c r="F345">
        <f>IF(Skills!N22=TRUE,(Skills!L22/10)*(E345/1000),Skills!L22/10)+Skills!O22</f>
        <v/>
      </c>
      <c r="G345">
        <f>Skills!G22*IF(Skills!H22&gt;0,Skills!I22/Skills!H22,1)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Inputs!$B$3&gt;=120</f>
        <v/>
      </c>
      <c r="D346">
        <f>IF(Skills!C23=1,60+Inputs!$B$25+Inputs!$B$29,IF(Skills!C23=2,90+Inputs!$B$26+Inputs!$B$29,IF(Skills!C23=3,120+Inputs!$B$27+Inputs!$B$29,MAX(0,(Inputs!$B$3-100)*3)+Inputs!$B$28+Inputs!$B$29)))</f>
        <v/>
      </c>
      <c r="E346">
        <f>INDEX(FactorTable!$B$2:$Y$301, MATCH(ROUND(MIN(300,MAX(1,D346)),0), FactorTable!$A$2:$A$301,0), Skills!M23+1)</f>
        <v/>
      </c>
      <c r="F346">
        <f>IF(Skills!N23=TRUE,(Skills!L23/10)*(E346/1000),Skills!L23/10)+Skills!O23</f>
        <v/>
      </c>
      <c r="G346">
        <f>Skills!G23*IF(Skills!H23&gt;0,Skills!I23/Skills!H23,1)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Inputs!$B$3&gt;=120</f>
        <v/>
      </c>
      <c r="D347">
        <f>IF(Skills!C24=1,60+Inputs!$B$25+Inputs!$B$29,IF(Skills!C24=2,90+Inputs!$B$26+Inputs!$B$29,IF(Skills!C24=3,120+Inputs!$B$27+Inputs!$B$29,MAX(0,(Inputs!$B$3-100)*3)+Inputs!$B$28+Inputs!$B$29)))</f>
        <v/>
      </c>
      <c r="E347">
        <f>INDEX(FactorTable!$B$2:$Y$301, MATCH(ROUND(MIN(300,MAX(1,D347)),0), FactorTable!$A$2:$A$301,0), Skills!M24+1)</f>
        <v/>
      </c>
      <c r="F347">
        <f>IF(Skills!N24=TRUE,(Skills!L24/10)*(E347/1000),Skills!L24/10)+Skills!O24</f>
        <v/>
      </c>
      <c r="G347">
        <f>Skills!G24*IF(Skills!H24&gt;0,Skills!I24/Skills!H24,1)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Inputs!$B$3&gt;=125</f>
        <v/>
      </c>
      <c r="D348">
        <f>IF(Skills!C25=1,60+Inputs!$B$25+Inputs!$B$29,IF(Skills!C25=2,90+Inputs!$B$26+Inputs!$B$29,IF(Skills!C25=3,120+Inputs!$B$27+Inputs!$B$29,MAX(0,(Inputs!$B$3-100)*3)+Inputs!$B$28+Inputs!$B$29)))</f>
        <v/>
      </c>
      <c r="E348">
        <f>INDEX(FactorTable!$B$2:$Y$301, MATCH(ROUND(MIN(300,MAX(1,D348)),0), FactorTable!$A$2:$A$301,0), Skills!M25+1)</f>
        <v/>
      </c>
      <c r="F348">
        <f>IF(Skills!N25=TRUE,(Skills!L25/10)*(E348/1000),Skills!L25/10)+Skills!O25</f>
        <v/>
      </c>
      <c r="G348">
        <f>Skills!G25*IF(Skills!H25&gt;0,Skills!I25/Skills!H25,1)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Inputs!$B$3&gt;=72</f>
        <v/>
      </c>
      <c r="D349">
        <f>IF(Skills!C26=1,60+Inputs!$B$25+Inputs!$B$29,IF(Skills!C26=2,90+Inputs!$B$26+Inputs!$B$29,IF(Skills!C26=3,120+Inputs!$B$27+Inputs!$B$29,MAX(0,(Inputs!$B$3-100)*3)+Inputs!$B$28+Inputs!$B$29)))</f>
        <v/>
      </c>
      <c r="E349">
        <f>INDEX(FactorTable!$B$2:$Y$301, MATCH(ROUND(MIN(300,MAX(1,D349)),0), FactorTable!$A$2:$A$301,0), Skills!M26+1)</f>
        <v/>
      </c>
      <c r="F349">
        <f>IF(Skills!N26=TRUE,(Skills!L26/10)*(E349/1000),Skills!L26/10)+Skills!O26</f>
        <v/>
      </c>
      <c r="G349">
        <f>Skills!G26*IF(Skills!H26&gt;0,Skills!I26/Skills!H26,1)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342=TRUE)*F342*IF(AND(Inputs!$B$38&lt;&gt;"pvp",Inputs!$B$43&gt;0),(((R342-1)*(Skills!T19*(1+(Inputs!$B$34+(ArtifactsInput!$M$7-ArtifactsInput!$M$7)*CHOOSE(ArtifactsInput!$N$7+1,6,7.2,8.4,9.6,10.8,12))/100))+MIN((Skills!T19*(1+(Inputs!$B$34+(ArtifactsInput!$M$7-ArtifactsInput!$M$7)*CHOOSE(ArtifactsInput!$N$7+1,6,7.2,8.4,9.6,10.8,12))/100)),MAX(0,Inputs!$B$43-((R342-1)*Skills!D19))))/Inputs!$B$43),IF(Inputs!$B$38="pvp",MIN((Skills!T19*(1+(Inputs!$B$34+(ArtifactsInput!$M$7-ArtifactsInput!$M$7)*CHOOSE(ArtifactsInput!$N$7+1,6,7.2,8.4,9.6,10.8,12))/100)),15)/15,(Skills!T19*(1+(Inputs!$B$34+(ArtifactsInput!$M$7-ArtifactsInput!$M$7)*CHOOSE(ArtifactsInput!$N$7+1,6,7.2,8.4,9.6,10.8,12))/100))/Skills!D19)))</f>
        <v/>
      </c>
    </row>
    <row r="354">
      <c r="A354" t="inlineStr">
        <is>
          <t>Actions Per Second</t>
        </is>
      </c>
      <c r="B354">
        <f>1+MIN(150,150*(1-(1-(Inputs!$B$11+((C343=TRUE)*(F343-Calc!F20)))/150)*(1-B353/150)))/100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Raging Blow Casts Per Second</t>
        </is>
      </c>
      <c r="B356">
        <f>MAX(0,B354-B355)</f>
        <v/>
      </c>
    </row>
    <row r="357">
      <c r="A357" t="inlineStr">
        <is>
          <t>Global Critical Damage Bonus % (Enrage)</t>
        </is>
      </c>
      <c r="B357">
        <f>((C341=TRUE)*F341*IF(AND(Inputs!$B$38&lt;&gt;"pvp",Inputs!$B$43&gt;0),(((R341-1)*(Skills!T18*(1+(Inputs!$B$34+(ArtifactsInput!$M$7-ArtifactsInput!$M$7)*CHOOSE(ArtifactsInput!$N$7+1,6,7.2,8.4,9.6,10.8,12))/100))+MIN((Skills!T18*(1+(Inputs!$B$34+(ArtifactsInput!$M$7-ArtifactsInput!$M$7)*CHOOSE(ArtifactsInput!$N$7+1,6,7.2,8.4,9.6,10.8,12))/100)),MAX(0,Inputs!$B$43-((R341-1)*Skills!D18))))/Inputs!$B$43),IF(Inputs!$B$38="pvp",MIN((Skills!T18*(1+(Inputs!$B$34+(ArtifactsInput!$M$7-ArtifactsInput!$M$7)*CHOOSE(ArtifactsInput!$N$7+1,6,7.2,8.4,9.6,10.8,12))/100)),15)/15,(Skills!T18*(1+(Inputs!$B$34+(ArtifactsInput!$M$7-ArtifactsInput!$M$7)*CHOOSE(ArtifactsInput!$N$7+1,6,7.2,8.4,9.6,10.8,12))/100))/Skills!D18)))</f>
        <v/>
      </c>
    </row>
    <row r="358">
      <c r="A358" t="inlineStr">
        <is>
          <t>Global Final Damage Bonus % (Enrage + Combo Synergy)</t>
        </is>
      </c>
      <c r="B358">
        <f>((C340=TRUE)*F340*IF(AND(Inputs!$B$38&lt;&gt;"pvp",Inputs!$B$43&gt;0),(((R340-1)*(Skills!T17*(1+(Inputs!$B$34+(ArtifactsInput!$M$7-ArtifactsInput!$M$7)*CHOOSE(ArtifactsInput!$N$7+1,6,7.2,8.4,9.6,10.8,12))/100))+MIN((Skills!T17*(1+(Inputs!$B$34+(ArtifactsInput!$M$7-ArtifactsInput!$M$7)*CHOOSE(ArtifactsInput!$N$7+1,6,7.2,8.4,9.6,10.8,12))/100)),MAX(0,Inputs!$B$43-((R340-1)*Skills!D17))))/Inputs!$B$43),IF(Inputs!$B$38="pvp",MIN((Skills!T17*(1+(Inputs!$B$34+(ArtifactsInput!$M$7-ArtifactsInput!$M$7)*CHOOSE(ArtifactsInput!$N$7+1,6,7.2,8.4,9.6,10.8,12))/100)),15)/15,(Skills!T17*(1+(Inputs!$B$34+(ArtifactsInput!$M$7-ArtifactsInput!$M$7)*CHOOSE(ArtifactsInput!$N$7+1,6,7.2,8.4,9.6,10.8,12))/100))/Skills!D17)))+((C337=TRUE)*F337*IF(Inputs!$B$3&gt;=110,7,5))</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367)</f>
        <v/>
      </c>
      <c r="L367">
        <f>K367*(MIN(Inputs!$B$22+((C387=TRUE)*(F387-Calc!F22)),(Inputs!$B$23+((C389=TRUE)*(F389-Calc!F24))+(IF(ArtifactsInput!$M$15,CHOOSE(ArtifactsInput!$N$15+1,25,30,35,40,45,50)/100*(Inputs!$B$11-Inputs!$B$11),0))))/100+(Inputs!$B$23+((C389=TRUE)*(F389-Calc!F24))+(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INDEX(FactorTable!$B$2:$Y$301, MATCH(ROUND(MIN(300,MAX(1,D368)),0),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INDEX(FactorTable!$B$2:$Y$301, MATCH(ROUND(MIN(300,MAX(1,U367)),0), FactorTable!$A$2:$A$301,0), 22)</f>
        <v/>
      </c>
    </row>
    <row r="369">
      <c r="A369">
        <f>Skills!A4</f>
        <v/>
      </c>
      <c r="B369">
        <f>Skills!B4</f>
        <v/>
      </c>
      <c r="C369">
        <f>Inputs!$B$3&gt;=105</f>
        <v/>
      </c>
      <c r="D369">
        <f>IF(Skills!C4=1,60+Inputs!$B$25+Inputs!$B$29,IF(Skills!C4=2,90+Inputs!$B$26+Inputs!$B$29,IF(Skills!C4=3,120+Inputs!$B$27+Inputs!$B$29,MAX(0,(Inputs!$B$3-100)*3)+Inputs!$B$28+Inputs!$B$29)))</f>
        <v/>
      </c>
      <c r="E369">
        <f>INDEX(FactorTable!$B$2:$Y$301, MATCH(ROUND(MIN(300,MAX(1,D369)),0), FactorTable!$A$2:$A$301,0), Skills!M4+1)</f>
        <v/>
      </c>
      <c r="F369">
        <f>IF(Skills!N4=TRUE,(Skills!L4/10)*(E369/1000),Skills!L4/10)+Skills!O4</f>
        <v/>
      </c>
      <c r="G369" t="inlineStr"/>
      <c r="H369" t="inlineStr"/>
      <c r="I369" t="inlineStr">
        <is>
          <t>1</t>
        </is>
      </c>
      <c r="J369" t="inlineStr"/>
      <c r="K369" t="inlineStr"/>
      <c r="L369" t="inlineStr"/>
      <c r="M369" t="inlineStr"/>
      <c r="N369" t="inlineStr"/>
      <c r="O369" t="inlineStr"/>
      <c r="P369" t="inlineStr"/>
      <c r="Q369" t="inlineStr"/>
      <c r="R369" t="inlineStr"/>
      <c r="S369" t="inlineStr"/>
      <c r="U369">
        <f>290*U368/1000</f>
        <v/>
      </c>
    </row>
    <row r="370">
      <c r="A370">
        <f>Skills!A5</f>
        <v/>
      </c>
      <c r="B370">
        <f>Skills!B5</f>
        <v/>
      </c>
      <c r="C370">
        <f>Inputs!$B$3&gt;=103</f>
        <v/>
      </c>
      <c r="D370">
        <f>IF(Skills!C5=1,60+Inputs!$B$25+Inputs!$B$29,IF(Skills!C5=2,90+Inputs!$B$26+Inputs!$B$29,IF(Skills!C5=3,120+Inputs!$B$27+Inputs!$B$29,MAX(0,(Inputs!$B$3-100)*3)+Inputs!$B$28+Inputs!$B$29)))</f>
        <v/>
      </c>
      <c r="E370">
        <f>INDEX(FactorTable!$B$2:$Y$301, MATCH(ROUND(MIN(300,MAX(1,D370)),0), FactorTable!$A$2:$A$301,0), Skills!M5+1)</f>
        <v/>
      </c>
      <c r="F370">
        <f>IF(Skills!N5=TRUE,(Skills!L5/10)*(E370/1000),Skills!L5/10)+Skills!O5</f>
        <v/>
      </c>
      <c r="G370">
        <f>Skills!G5*IF(Skills!H5&gt;0,Skills!I5/Skills!H5,1)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370)</f>
        <v/>
      </c>
      <c r="L370">
        <f>K370*(MIN(Inputs!$B$22+((C387=TRUE)*(F387-Calc!F22)),(Inputs!$B$23+((C389=TRUE)*(F389-Calc!F24))+(IF(ArtifactsInput!$M$15,CHOOSE(ArtifactsInput!$N$15+1,25,30,35,40,45,50)/100*(Inputs!$B$11-Inputs!$B$11),0))))/100+(Inputs!$B$23+((C389=TRUE)*(F389-Calc!F24))+(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IFERROR(1/(IF(Inputs!$B$38="pvp",15,MAX(0.1,Skills!D5-IF(Skills!E5=TRUE,Inputs!$B$32,0)))*(1-IF(AND(ArtifactsInput!$M$27,Inputs!$B$4="Chapter Hunt"),CHOOSE(ArtifactsInput!$N$27+1,20,24,28,32,36,40),0)/100)),0)</f>
        <v/>
      </c>
      <c r="R370">
        <f>IF(AND(Inputs!$B$38&lt;&gt;"pvp",Inputs!$B$43&gt;0),IF(MAX(0,Inputs!$B$43-B401)&lt;=0,0,(INT(MAX(0,Inputs!$B$43-B401)/(IF(Inputs!$B$38="pvp",15,MAX(0.1,Skills!D5-IF(Skills!E5=TRUE,Inputs!$B$32,0)))*(1-IF(AND(ArtifactsInput!$M$27,Inputs!$B$4="Chapter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INDEX(FactorTable!$B$2:$Y$301, MATCH(ROUND(MIN(300,MAX(1,D371)),0), FactorTable!$A$2:$A$301,0), Skills!M6+1)</f>
        <v/>
      </c>
      <c r="F371">
        <f>IF(Skills!N6=TRUE,(Skills!L6/10)*(E371/1000),Skills!L6/10)+Skills!O6</f>
        <v/>
      </c>
      <c r="G371">
        <f>Skills!G6*IF(Skills!H6&gt;0,Skills!I6/Skills!H6,1)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371)</f>
        <v/>
      </c>
      <c r="L371">
        <f>K371*(MIN(Inputs!$B$22+((C387=TRUE)*(F387-Calc!F22)),(Inputs!$B$23+((C389=TRUE)*(F389-Calc!F24))+(IF(ArtifactsInput!$M$15,CHOOSE(ArtifactsInput!$N$15+1,25,30,35,40,45,50)/100*(Inputs!$B$11-Inputs!$B$11),0))))/100+(Inputs!$B$23+((C389=TRUE)*(F389-Calc!F24))+(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IFERROR(1/(IF(Inputs!$B$38="pvp",15,MAX(0.1,Skills!D6-IF(Skills!E6=TRUE,Inputs!$B$32,0)))*(1-IF(AND(ArtifactsInput!$M$27,Inputs!$B$4="Chapter Hunt"),CHOOSE(ArtifactsInput!$N$27+1,20,24,28,32,36,40),0)/100)),0)</f>
        <v/>
      </c>
      <c r="R371">
        <f>IF(AND(Inputs!$B$38&lt;&gt;"pvp",Inputs!$B$43&gt;0),IF(MAX(0,Inputs!$B$43-B401)&lt;=0,0,(INT(MAX(0,Inputs!$B$43-B401)/(IF(Inputs!$B$38="pvp",15,MAX(0.1,Skills!D6-IF(Skills!E6=TRUE,Inputs!$B$32,0)))*(1-IF(AND(ArtifactsInput!$M$27,Inputs!$B$4="Chapter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INDEX(FactorTable!$B$2:$Y$301, MATCH(ROUND(MIN(300,MAX(1,D372)),0), FactorTable!$A$2:$A$301,0), Skills!M7+1)</f>
        <v/>
      </c>
      <c r="F372">
        <f>IF(Skills!N7=TRUE,(Skills!L7/10)*(E372/1000),Skills!L7/10)+Skills!O7</f>
        <v/>
      </c>
      <c r="G372">
        <f>Skills!G7*IF(Skills!H7&gt;0,Skills!I7/Skills!H7,1)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372)</f>
        <v/>
      </c>
      <c r="L372">
        <f>K372*(MIN(Inputs!$B$22+((C387=TRUE)*(F387-Calc!F22)),(Inputs!$B$23+((C389=TRUE)*(F389-Calc!F24))+(IF(ArtifactsInput!$M$15,CHOOSE(ArtifactsInput!$N$15+1,25,30,35,40,45,50)/100*(Inputs!$B$11-Inputs!$B$11),0))))/100+(Inputs!$B$23+((C389=TRUE)*(F389-Calc!F24))+(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IFERROR(1/(IF(Inputs!$B$38="pvp",15,MAX(0.1,Skills!D7-IF(Skills!E7=TRUE,Inputs!$B$32,0)))*(1-IF(AND(ArtifactsInput!$M$27,Inputs!$B$4="Chapter Hunt"),CHOOSE(ArtifactsInput!$N$27+1,20,24,28,32,36,40),0)/100)),0)</f>
        <v/>
      </c>
      <c r="R372">
        <f>IF(AND(Inputs!$B$38&lt;&gt;"pvp",Inputs!$B$43&gt;0),IF(MAX(0,Inputs!$B$43-B401)&lt;=0,0,(INT(MAX(0,Inputs!$B$43-B401)/(IF(Inputs!$B$38="pvp",15,MAX(0.1,Skills!D7-IF(Skills!E7=TRUE,Inputs!$B$32,0)))*(1-IF(AND(ArtifactsInput!$M$27,Inputs!$B$4="Chapter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Inputs!$B$3&gt;=117</f>
        <v/>
      </c>
      <c r="D373">
        <f>IF(Skills!C8=1,60+Inputs!$B$25+Inputs!$B$29,IF(Skills!C8=2,90+Inputs!$B$26+Inputs!$B$29,IF(Skills!C8=3,120+Inputs!$B$27+Inputs!$B$29,MAX(0,(Inputs!$B$3-100)*3)+Inputs!$B$28+Inputs!$B$29)))</f>
        <v/>
      </c>
      <c r="E373">
        <f>INDEX(FactorTable!$B$2:$Y$301, MATCH(ROUND(MIN(300,MAX(1,D373)),0), FactorTable!$A$2:$A$301,0), Skills!M8+1)</f>
        <v/>
      </c>
      <c r="F373">
        <f>IF(Skills!N8=TRUE,(Skills!L8/10)*(E373/1000),Skills!L8/10)+Skills!O8</f>
        <v/>
      </c>
      <c r="G373">
        <f>Skills!G8*IF(Skills!H8&gt;0,Skills!I8/Skills!H8,1)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373)</f>
        <v/>
      </c>
      <c r="L373">
        <f>K373*(MIN(Inputs!$B$22+((C387=TRUE)*(F387-Calc!F22)),(Inputs!$B$23+((C389=TRUE)*(F389-Calc!F24))+(IF(ArtifactsInput!$M$15,CHOOSE(ArtifactsInput!$N$15+1,25,30,35,40,45,50)/100*(Inputs!$B$11-Inputs!$B$11),0))))/100+(Inputs!$B$23+((C389=TRUE)*(F389-Calc!F24))+(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IFERROR(1/(IF(Inputs!$B$38="pvp",15,MAX(0.1,Skills!D8-IF(Skills!E8=TRUE,Inputs!$B$32,0)))*(1-IF(AND(ArtifactsInput!$M$27,Inputs!$B$4="Chapter Hunt"),CHOOSE(ArtifactsInput!$N$27+1,20,24,28,32,36,40),0)/100)),0)</f>
        <v/>
      </c>
      <c r="R373">
        <f>IF(AND(Inputs!$B$38&lt;&gt;"pvp",Inputs!$B$43&gt;0),IF(MAX(0,Inputs!$B$43-B401)&lt;=0,0,(INT(MAX(0,Inputs!$B$43-B401)/(IF(Inputs!$B$38="pvp",15,MAX(0.1,Skills!D8-IF(Skills!E8=TRUE,Inputs!$B$32,0)))*(1-IF(AND(ArtifactsInput!$M$27,Inputs!$B$4="Chapter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Inputs!$B$3&gt;=69</f>
        <v/>
      </c>
      <c r="D374">
        <f>IF(Skills!C9=1,60+Inputs!$B$25+Inputs!$B$29,IF(Skills!C9=2,90+Inputs!$B$26+Inputs!$B$29,IF(Skills!C9=3,120+Inputs!$B$27+Inputs!$B$29,MAX(0,(Inputs!$B$3-100)*3)+Inputs!$B$28+Inputs!$B$29)))</f>
        <v/>
      </c>
      <c r="E374">
        <f>INDEX(FactorTable!$B$2:$Y$301, MATCH(ROUND(MIN(300,MAX(1,D374)),0), FactorTable!$A$2:$A$301,0), Skills!M9+1)</f>
        <v/>
      </c>
      <c r="F374">
        <f>IF(Skills!N9=TRUE,(Skills!L9/10)*(E374/1000),Skills!L9/10)+Skills!O9</f>
        <v/>
      </c>
      <c r="G374">
        <f>Skills!G9*IF(Skills!H9&gt;0,Skills!I9/Skills!H9,1)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9="ENHANCED_RAGING_BLOW",IF(Inputs!$B$3&gt;=134,MAX(0,IF(Inputs!$B$3&gt;=110,7,5)-5)*50,0),0)/100)*(1+(IF(Skills!A9="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374)</f>
        <v/>
      </c>
      <c r="L374">
        <f>K374*(MIN(Inputs!$B$22+((C387=TRUE)*(F387-Calc!F22)),(Inputs!$B$23+((C389=TRUE)*(F389-Calc!F24))+(IF(ArtifactsInput!$M$15,CHOOSE(ArtifactsInput!$N$15+1,25,30,35,40,45,50)/100*(Inputs!$B$11-Inputs!$B$11),0))))/100+(Inputs!$B$23+((C389=TRUE)*(F389-Calc!F24))+(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IFERROR(1/(IF(Inputs!$B$38="pvp",15,MAX(0.1,Skills!D9-IF(Skills!E9=TRUE,Inputs!$B$32,0)))*(1-IF(AND(ArtifactsInput!$M$27,Inputs!$B$4="Chapter Hunt"),CHOOSE(ArtifactsInput!$N$27+1,20,24,28,32,36,40),0)/100)),0)</f>
        <v/>
      </c>
      <c r="R374">
        <f>IF(AND(Inputs!$B$38&lt;&gt;"pvp",Inputs!$B$43&gt;0),IF(MAX(0,Inputs!$B$43-B401)&lt;=0,0,(INT(MAX(0,Inputs!$B$43-B401)/(IF(Inputs!$B$38="pvp",15,MAX(0.1,Skills!D9-IF(Skills!E9=TRUE,Inputs!$B$32,0)))*(1-IF(AND(ArtifactsInput!$M$27,Inputs!$B$4="Chapter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Inputs!$B$3&gt;=63</f>
        <v/>
      </c>
      <c r="D375">
        <f>IF(Skills!C10=1,60+Inputs!$B$25+Inputs!$B$29,IF(Skills!C10=2,90+Inputs!$B$26+Inputs!$B$29,IF(Skills!C10=3,120+Inputs!$B$27+Inputs!$B$29,MAX(0,(Inputs!$B$3-100)*3)+Inputs!$B$28+Inputs!$B$29)))</f>
        <v/>
      </c>
      <c r="E375">
        <f>INDEX(FactorTable!$B$2:$Y$301, MATCH(ROUND(MIN(300,MAX(1,D375)),0), FactorTable!$A$2:$A$301,0), Skills!M10+1)</f>
        <v/>
      </c>
      <c r="F375">
        <f>IF(Skills!N10=TRUE,(Skills!L10/10)*(E375/1000),Skills!L10/10)+Skills!O10</f>
        <v/>
      </c>
      <c r="G375">
        <f>Skills!G10*IF(Skills!H10&gt;0,Skills!I10/Skills!H10,1)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10="ENHANCED_RAGING_BLOW",IF(Inputs!$B$3&gt;=134,MAX(0,IF(Inputs!$B$3&gt;=110,7,5)-5)*50,0),0)/100)*(1+(IF(Skills!A10="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375)</f>
        <v/>
      </c>
      <c r="L375">
        <f>K375*(MIN(Inputs!$B$22+((C387=TRUE)*(F387-Calc!F22)),(Inputs!$B$23+((C389=TRUE)*(F389-Calc!F24))+(IF(ArtifactsInput!$M$15,CHOOSE(ArtifactsInput!$N$15+1,25,30,35,40,45,50)/100*(Inputs!$B$11-Inputs!$B$11),0))))/100+(Inputs!$B$23+((C389=TRUE)*(F389-Calc!F24))+(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IFERROR(1/(IF(Inputs!$B$38="pvp",15,MAX(0.1,Skills!D10-IF(Skills!E10=TRUE,Inputs!$B$32,0)))*(1-IF(AND(ArtifactsInput!$M$27,Inputs!$B$4="Chapter Hunt"),CHOOSE(ArtifactsInput!$N$27+1,20,24,28,32,36,40),0)/100)),0)</f>
        <v/>
      </c>
      <c r="R375">
        <f>IF(AND(Inputs!$B$38&lt;&gt;"pvp",Inputs!$B$43&gt;0),IF(MAX(0,Inputs!$B$43-B401)&lt;=0,0,(INT(MAX(0,Inputs!$B$43-B401)/(IF(Inputs!$B$38="pvp",15,MAX(0.1,Skills!D10-IF(Skills!E10=TRUE,Inputs!$B$32,0)))*(1-IF(AND(ArtifactsInput!$M$27,Inputs!$B$4="Chapter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Inputs!$B$3&gt;=35</f>
        <v/>
      </c>
      <c r="D376">
        <f>IF(Skills!C11=1,60+Inputs!$B$25+Inputs!$B$29,IF(Skills!C11=2,90+Inputs!$B$26+Inputs!$B$29,IF(Skills!C11=3,120+Inputs!$B$27+Inputs!$B$29,MAX(0,(Inputs!$B$3-100)*3)+Inputs!$B$28+Inputs!$B$29)))</f>
        <v/>
      </c>
      <c r="E376">
        <f>INDEX(FactorTable!$B$2:$Y$301, MATCH(ROUND(MIN(300,MAX(1,D376)),0), FactorTable!$A$2:$A$301,0), Skills!M11+1)</f>
        <v/>
      </c>
      <c r="F376">
        <f>IF(Skills!N11=TRUE,(Skills!L11/10)*(E376/1000),Skills!L11/10)+Skills!O11</f>
        <v/>
      </c>
      <c r="G376">
        <f>Skills!G11*IF(Skills!H11&gt;0,Skills!I11/Skills!H11,1)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11="ENHANCED_RAGING_BLOW",IF(Inputs!$B$3&gt;=134,MAX(0,IF(Inputs!$B$3&gt;=110,7,5)-5)*50,0),0)/100)*(1+(IF(Skills!A11="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376)</f>
        <v/>
      </c>
      <c r="L376">
        <f>K376*(MIN(Inputs!$B$22+((C387=TRUE)*(F387-Calc!F22)),(Inputs!$B$23+((C389=TRUE)*(F389-Calc!F24))+(IF(ArtifactsInput!$M$15,CHOOSE(ArtifactsInput!$N$15+1,25,30,35,40,45,50)/100*(Inputs!$B$11-Inputs!$B$11),0))))/100+(Inputs!$B$23+((C389=TRUE)*(F389-Calc!F24))+(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IFERROR(1/(IF(Inputs!$B$38="pvp",15,MAX(0.1,Skills!D11-IF(Skills!E11=TRUE,Inputs!$B$32,0)))*(1-IF(AND(ArtifactsInput!$M$27,Inputs!$B$4="Chapter Hunt"),CHOOSE(ArtifactsInput!$N$27+1,20,24,28,32,36,40),0)/100)),0)</f>
        <v/>
      </c>
      <c r="R376">
        <f>IF(AND(Inputs!$B$38&lt;&gt;"pvp",Inputs!$B$43&gt;0),IF(MAX(0,Inputs!$B$43-B401)&lt;=0,0,(INT(MAX(0,Inputs!$B$43-B401)/(IF(Inputs!$B$38="pvp",15,MAX(0.1,Skills!D11-IF(Skills!E11=TRUE,Inputs!$B$32,0)))*(1-IF(AND(ArtifactsInput!$M$27,Inputs!$B$4="Chapter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INDEX(FactorTable!$B$2:$Y$301, MATCH(ROUND(MIN(300,MAX(1,D377)),0),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INDEX(FactorTable!$B$2:$Y$301, MATCH(ROUND(MIN(300,MAX(1,D378)),0), FactorTable!$A$2:$A$301,0), Skills!M13+1)</f>
        <v/>
      </c>
      <c r="F378">
        <f>IF(Skills!N13=TRUE,(Skills!L13/10)*(E378/1000),Skills!L13/10)+Skills!O13</f>
        <v/>
      </c>
      <c r="G378">
        <f>Skills!G13*IF(Skills!H13&gt;0,Skills!I13/Skills!H13,1)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Inputs!$B$3&gt;=75</f>
        <v/>
      </c>
      <c r="D379">
        <f>IF(Skills!C14=1,60+Inputs!$B$25+Inputs!$B$29,IF(Skills!C14=2,90+Inputs!$B$26+Inputs!$B$29,IF(Skills!C14=3,120+Inputs!$B$27+Inputs!$B$29,MAX(0,(Inputs!$B$3-100)*3)+Inputs!$B$28+Inputs!$B$29)))</f>
        <v/>
      </c>
      <c r="E379">
        <f>INDEX(FactorTable!$B$2:$Y$301, MATCH(ROUND(MIN(300,MAX(1,D379)),0), FactorTable!$A$2:$A$301,0), Skills!M14+1)</f>
        <v/>
      </c>
      <c r="F379">
        <f>IF(Skills!N14=TRUE,(Skills!L14/10)*(E379/1000),Skills!L14/10)+Skills!O14</f>
        <v/>
      </c>
      <c r="G379">
        <f>Skills!G14*IF(Skills!H14&gt;0,Skills!I14/Skills!H14,1)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Inputs!$B$3&gt;=40</f>
        <v/>
      </c>
      <c r="D380">
        <f>IF(Skills!C15=1,60+Inputs!$B$25+Inputs!$B$29,IF(Skills!C15=2,90+Inputs!$B$26+Inputs!$B$29,IF(Skills!C15=3,120+Inputs!$B$27+Inputs!$B$29,MAX(0,(Inputs!$B$3-100)*3)+Inputs!$B$28+Inputs!$B$29)))</f>
        <v/>
      </c>
      <c r="E380">
        <f>INDEX(FactorTable!$B$2:$Y$301, MATCH(ROUND(MIN(300,MAX(1,D380)),0), FactorTable!$A$2:$A$301,0), Skills!M15+1)</f>
        <v/>
      </c>
      <c r="F380">
        <f>IF(Skills!N15=TRUE,(Skills!L15/10)*(E380/1000),Skills!L15/10)+Skills!O15</f>
        <v/>
      </c>
      <c r="G380">
        <f>Skills!G15*IF(Skills!H15&gt;0,Skills!I15/Skills!H15,1)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IFERROR(1/(IF(Inputs!$B$38="pvp",15,MAX(0.1,Skills!D15-IF(Skills!E15=TRUE,Inputs!$B$32,0)))*(1-IF(AND(ArtifactsInput!$M$27,Inputs!$B$4="Chapter Hunt"),CHOOSE(ArtifactsInput!$N$27+1,20,24,28,32,36,40),0)/100)),0)</f>
        <v/>
      </c>
      <c r="R380">
        <f>IF(AND(Inputs!$B$38&lt;&gt;"pvp",Inputs!$B$43&gt;0),IF(Inputs!$B$43&lt;=0,0,(INT(Inputs!$B$43/(IF(Inputs!$B$38="pvp",15,MAX(0.1,Skills!D15-IF(Skills!E15=TRUE,Inputs!$B$32,0)))*(1-IF(AND(ArtifactsInput!$M$27,Inputs!$B$4="Chapter Hunt"),CHOOSE(ArtifactsInput!$N$27+1,20,24,28,32,36,40),0)/100)))+1)),0)</f>
        <v/>
      </c>
      <c r="S380">
        <f>IFERROR(O380/N380,0)</f>
        <v/>
      </c>
      <c r="T380" t="n">
        <v>0</v>
      </c>
      <c r="V380" t="n">
        <v>0</v>
      </c>
    </row>
    <row r="381">
      <c r="A381">
        <f>Skills!A16</f>
        <v/>
      </c>
      <c r="B381">
        <f>Skills!B16</f>
        <v/>
      </c>
      <c r="C381">
        <f>Inputs!$B$3&gt;=66</f>
        <v/>
      </c>
      <c r="D381">
        <f>IF(Skills!C16=1,60+Inputs!$B$25+Inputs!$B$29,IF(Skills!C16=2,90+Inputs!$B$26+Inputs!$B$29,IF(Skills!C16=3,120+Inputs!$B$27+Inputs!$B$29,MAX(0,(Inputs!$B$3-100)*3)+Inputs!$B$28+Inputs!$B$29)))</f>
        <v/>
      </c>
      <c r="E381">
        <f>INDEX(FactorTable!$B$2:$Y$301, MATCH(ROUND(MIN(300,MAX(1,D381)),0), FactorTable!$A$2:$A$301,0), Skills!M16+1)</f>
        <v/>
      </c>
      <c r="F381">
        <f>IF(Skills!N16=TRUE,(Skills!L16/10)*(E381/1000),Skills!L16/10)+Skills!O16</f>
        <v/>
      </c>
      <c r="G381">
        <f>Skills!G16*IF(Skills!H16&gt;0,Skills!I16/Skills!H16,1)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IFERROR(1/(IF(Inputs!$B$38="pvp",15,MAX(0.1,Skills!D16-IF(Skills!E16=TRUE,Inputs!$B$32,0)))*(1-IF(AND(ArtifactsInput!$M$27,Inputs!$B$4="Chapter Hunt"),CHOOSE(ArtifactsInput!$N$27+1,20,24,28,32,36,40),0)/100)),0)</f>
        <v/>
      </c>
      <c r="R381">
        <f>IF(AND(Inputs!$B$38&lt;&gt;"pvp",Inputs!$B$43&gt;0),IF(Inputs!$B$43&lt;=0,0,(INT(Inputs!$B$43/(IF(Inputs!$B$38="pvp",15,MAX(0.1,Skills!D16-IF(Skills!E16=TRUE,Inputs!$B$32,0)))*(1-IF(AND(ArtifactsInput!$M$27,Inputs!$B$4="Chapter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INDEX(FactorTable!$B$2:$Y$301, MATCH(ROUND(MIN(300,MAX(1,D382)),0), FactorTable!$A$2:$A$301,0), Skills!M17+1)</f>
        <v/>
      </c>
      <c r="F382">
        <f>IF(Skills!N17=TRUE,(Skills!L17/10)*(E382/1000),Skills!L17/10)+Skills!O17</f>
        <v/>
      </c>
      <c r="G382">
        <f>Skills!G17*IF(Skills!H17&gt;0,Skills!I17/Skills!H17,1)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IFERROR(1/(IF(Inputs!$B$38="pvp",15,MAX(0.1,Skills!D17-IF(Skills!E17=TRUE,Inputs!$B$32,0)))*(1-IF(AND(ArtifactsInput!$M$27,Inputs!$B$4="Chapter Hunt"),CHOOSE(ArtifactsInput!$N$27+1,20,24,28,32,36,40),0)/100)),0)</f>
        <v/>
      </c>
      <c r="R382">
        <f>IF(AND(Inputs!$B$38&lt;&gt;"pvp",Inputs!$B$43&gt;0),IF(Inputs!$B$43&lt;=0,0,(INT(Inputs!$B$43/(IF(Inputs!$B$38="pvp",15,MAX(0.1,Skills!D17-IF(Skills!E17=TRUE,Inputs!$B$32,0)))*(1-IF(AND(ArtifactsInput!$M$27,Inputs!$B$4="Chapter Hunt"),CHOOSE(ArtifactsInput!$N$27+1,20,24,28,32,36,40),0)/100)))+1)),0)</f>
        <v/>
      </c>
      <c r="S382">
        <f>IFERROR(O382/N382,0)</f>
        <v/>
      </c>
      <c r="T382" t="n">
        <v>0</v>
      </c>
      <c r="V382" t="n">
        <v>0</v>
      </c>
    </row>
    <row r="383">
      <c r="A383">
        <f>Skills!A18</f>
        <v/>
      </c>
      <c r="B383">
        <f>Skills!B18</f>
        <v/>
      </c>
      <c r="C383">
        <f>Inputs!$B$3&gt;=115</f>
        <v/>
      </c>
      <c r="D383">
        <f>IF(Skills!C18=1,60+Inputs!$B$25+Inputs!$B$29,IF(Skills!C18=2,90+Inputs!$B$26+Inputs!$B$29,IF(Skills!C18=3,120+Inputs!$B$27+Inputs!$B$29,MAX(0,(Inputs!$B$3-100)*3)+Inputs!$B$28+Inputs!$B$29)))</f>
        <v/>
      </c>
      <c r="E383">
        <f>INDEX(FactorTable!$B$2:$Y$301, MATCH(ROUND(MIN(300,MAX(1,D383)),0), FactorTable!$A$2:$A$301,0), Skills!M18+1)</f>
        <v/>
      </c>
      <c r="F383">
        <f>IF(Skills!N18=TRUE,(Skills!L18/10)*(E383/1000),Skills!L18/10)+Skills!O18</f>
        <v/>
      </c>
      <c r="G383">
        <f>Skills!G18*IF(Skills!H18&gt;0,Skills!I18/Skills!H18,1)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IFERROR(1/(IF(Inputs!$B$38="pvp",15,MAX(0.1,Skills!D18-IF(Skills!E18=TRUE,Inputs!$B$32,0)))*(1-IF(AND(ArtifactsInput!$M$27,Inputs!$B$4="Chapter Hunt"),CHOOSE(ArtifactsInput!$N$27+1,20,24,28,32,36,40),0)/100)),0)</f>
        <v/>
      </c>
      <c r="R383">
        <f>IF(AND(Inputs!$B$38&lt;&gt;"pvp",Inputs!$B$43&gt;0),IF(Inputs!$B$43&lt;=0,0,(INT(Inputs!$B$43/(IF(Inputs!$B$38="pvp",15,MAX(0.1,Skills!D18-IF(Skills!E18=TRUE,Inputs!$B$32,0)))*(1-IF(AND(ArtifactsInput!$M$27,Inputs!$B$4="Chapter Hunt"),CHOOSE(ArtifactsInput!$N$27+1,20,24,28,32,36,40),0)/100)))+1)),0)</f>
        <v/>
      </c>
      <c r="S383">
        <f>IFERROR(O383/N383,0)</f>
        <v/>
      </c>
      <c r="T383" t="n">
        <v>0</v>
      </c>
      <c r="V383" t="n">
        <v>0</v>
      </c>
    </row>
    <row r="384">
      <c r="A384">
        <f>Skills!A19</f>
        <v/>
      </c>
      <c r="B384">
        <f>Skills!B19</f>
        <v/>
      </c>
      <c r="C384">
        <f>TRUE</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IFERROR(1/(IF(Inputs!$B$38="pvp",15,MAX(0.1,Skills!D19-IF(Skills!E19=TRUE,Inputs!$B$32,0)))*(1-IF(AND(ArtifactsInput!$M$27,Inputs!$B$4="Chapter Hunt"),CHOOSE(ArtifactsInput!$N$27+1,20,24,28,32,36,40),0)/100)),0)</f>
        <v/>
      </c>
      <c r="R384">
        <f>IF(AND(Inputs!$B$38&lt;&gt;"pvp",Inputs!$B$43&gt;0),IF(Inputs!$B$43&lt;=0,0,(INT(Inputs!$B$43/(IF(Inputs!$B$38="pvp",15,MAX(0.1,Skills!D19-IF(Skills!E19=TRUE,Inputs!$B$32,0)))*(1-IF(AND(ArtifactsInput!$M$27,Inputs!$B$4="Chapter Hunt"),CHOOSE(ArtifactsInput!$N$27+1,20,24,28,32,36,40),0)/100)))+1)),0)</f>
        <v/>
      </c>
      <c r="S384">
        <f>IFERROR(O384/N384,0)</f>
        <v/>
      </c>
      <c r="T384" t="n">
        <v>0</v>
      </c>
      <c r="V384" t="n">
        <v>0</v>
      </c>
    </row>
    <row r="385">
      <c r="A385">
        <f>Skills!A20</f>
        <v/>
      </c>
      <c r="B385">
        <f>Skills!B20</f>
        <v/>
      </c>
      <c r="C385">
        <f>Inputs!$B$3&gt;=33</f>
        <v/>
      </c>
      <c r="D385">
        <f>IF(Skills!C20=1,60+Inputs!$B$25+Inputs!$B$29,IF(Skills!C20=2,90+Inputs!$B$26+Inputs!$B$29,IF(Skills!C20=3,120+Inputs!$B$27+Inputs!$B$29,MAX(0,(Inputs!$B$3-100)*3)+Inputs!$B$28+Inputs!$B$29)))</f>
        <v/>
      </c>
      <c r="E385">
        <f>INDEX(FactorTable!$B$2:$Y$301, MATCH(ROUND(MIN(300,MAX(1,D385)),0), FactorTable!$A$2:$A$301,0), Skills!M20+1)</f>
        <v/>
      </c>
      <c r="F385">
        <f>IF(Skills!N20=TRUE,(Skills!L20/10)*(E385/1000),Skills!L20/10)+Skills!O20</f>
        <v/>
      </c>
      <c r="G385">
        <f>Skills!G20*IF(Skills!H20&gt;0,Skills!I20/Skills!H20,1)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Inputs!$B$3&gt;=38</f>
        <v/>
      </c>
      <c r="D386">
        <f>IF(Skills!C21=1,60+Inputs!$B$25+Inputs!$B$29,IF(Skills!C21=2,90+Inputs!$B$26+Inputs!$B$29,IF(Skills!C21=3,120+Inputs!$B$27+Inputs!$B$29,MAX(0,(Inputs!$B$3-100)*3)+Inputs!$B$28+Inputs!$B$29)))</f>
        <v/>
      </c>
      <c r="E386">
        <f>INDEX(FactorTable!$B$2:$Y$301, MATCH(ROUND(MIN(300,MAX(1,D386)),0), FactorTable!$A$2:$A$301,0), Skills!M21+1)</f>
        <v/>
      </c>
      <c r="F386">
        <f>IF(Skills!N21=TRUE,(Skills!L21/10)*(E386/1000),Skills!L21/10)+Skills!O21</f>
        <v/>
      </c>
      <c r="G386">
        <f>Skills!G21*IF(Skills!H21&gt;0,Skills!I21/Skills!H21,1)</f>
        <v/>
      </c>
      <c r="H386">
        <f>1-(1-Skills!J21/100)^Skills!K21</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Skills!A22</f>
        <v/>
      </c>
      <c r="B387">
        <f>Skills!B22</f>
        <v/>
      </c>
      <c r="C387">
        <f>Inputs!$B$3&gt;=43</f>
        <v/>
      </c>
      <c r="D387">
        <f>IF(Skills!C22=1,60+Inputs!$B$25+Inputs!$B$29,IF(Skills!C22=2,90+Inputs!$B$26+Inputs!$B$29,IF(Skills!C22=3,120+Inputs!$B$27+Inputs!$B$29,MAX(0,(Inputs!$B$3-100)*3)+Inputs!$B$28+Inputs!$B$29)))</f>
        <v/>
      </c>
      <c r="E387">
        <f>INDEX(FactorTable!$B$2:$Y$301, MATCH(ROUND(MIN(300,MAX(1,D387)),0), FactorTable!$A$2:$A$301,0), Skills!M22+1)</f>
        <v/>
      </c>
      <c r="F387">
        <f>IF(Skills!N22=TRUE,(Skills!L22/10)*(E387/1000),Skills!L22/10)+Skills!O22</f>
        <v/>
      </c>
      <c r="G387">
        <f>Skills!G22*IF(Skills!H22&gt;0,Skills!I22/Skills!H22,1)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Skills!M23+1)</f>
        <v/>
      </c>
      <c r="F388">
        <f>IF(Skills!N23=TRUE,(Skills!L23/10)*(E388/1000),Skills!L23/10)+Skills!O23</f>
        <v/>
      </c>
      <c r="G388">
        <f>Skills!G23*IF(Skills!H23&gt;0,Skills!I23/Skills!H23,1)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Inputs!$B$3&gt;=120</f>
        <v/>
      </c>
      <c r="D389">
        <f>IF(Skills!C24=1,60+Inputs!$B$25+Inputs!$B$29,IF(Skills!C24=2,90+Inputs!$B$26+Inputs!$B$29,IF(Skills!C24=3,120+Inputs!$B$27+Inputs!$B$29,MAX(0,(Inputs!$B$3-100)*3)+Inputs!$B$28+Inputs!$B$29)))</f>
        <v/>
      </c>
      <c r="E389">
        <f>INDEX(FactorTable!$B$2:$Y$301, MATCH(ROUND(MIN(300,MAX(1,D389)),0), FactorTable!$A$2:$A$301,0), Skills!M24+1)</f>
        <v/>
      </c>
      <c r="F389">
        <f>IF(Skills!N24=TRUE,(Skills!L24/10)*(E389/1000),Skills!L24/10)+Skills!O24</f>
        <v/>
      </c>
      <c r="G389">
        <f>Skills!G24*IF(Skills!H24&gt;0,Skills!I24/Skills!H24,1)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Inputs!$B$3&gt;=125</f>
        <v/>
      </c>
      <c r="D390">
        <f>IF(Skills!C25=1,60+Inputs!$B$25+Inputs!$B$29,IF(Skills!C25=2,90+Inputs!$B$26+Inputs!$B$29,IF(Skills!C25=3,120+Inputs!$B$27+Inputs!$B$29,MAX(0,(Inputs!$B$3-100)*3)+Inputs!$B$28+Inputs!$B$29)))</f>
        <v/>
      </c>
      <c r="E390">
        <f>INDEX(FactorTable!$B$2:$Y$301, MATCH(ROUND(MIN(300,MAX(1,D390)),0), FactorTable!$A$2:$A$301,0), Skills!M25+1)</f>
        <v/>
      </c>
      <c r="F390">
        <f>IF(Skills!N25=TRUE,(Skills!L25/10)*(E390/1000),Skills!L25/10)+Skills!O25</f>
        <v/>
      </c>
      <c r="G390">
        <f>Skills!G25*IF(Skills!H25&gt;0,Skills!I25/Skills!H25,1)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Inputs!$B$3&gt;=72</f>
        <v/>
      </c>
      <c r="D391">
        <f>IF(Skills!C26=1,60+Inputs!$B$25+Inputs!$B$29,IF(Skills!C26=2,90+Inputs!$B$26+Inputs!$B$29,IF(Skills!C26=3,120+Inputs!$B$27+Inputs!$B$29,MAX(0,(Inputs!$B$3-100)*3)+Inputs!$B$28+Inputs!$B$29)))</f>
        <v/>
      </c>
      <c r="E391">
        <f>INDEX(FactorTable!$B$2:$Y$301, MATCH(ROUND(MIN(300,MAX(1,D391)),0), FactorTable!$A$2:$A$301,0), Skills!M26+1)</f>
        <v/>
      </c>
      <c r="F391">
        <f>IF(Skills!N26=TRUE,(Skills!L26/10)*(E391/1000),Skills!L26/10)+Skills!O26</f>
        <v/>
      </c>
      <c r="G391">
        <f>Skills!G26*IF(Skills!H26&gt;0,Skills!I26/Skills!H26,1)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384=TRUE)*F384*IF(AND(Inputs!$B$38&lt;&gt;"pvp",Inputs!$B$43&gt;0),(((R384-1)*(Skills!T19*(1+(Inputs!$B$34+(ArtifactsInput!$M$7-ArtifactsInput!$M$7)*CHOOSE(ArtifactsInput!$N$7+1,6,7.2,8.4,9.6,10.8,12))/100))+MIN((Skills!T19*(1+(Inputs!$B$34+(ArtifactsInput!$M$7-ArtifactsInput!$M$7)*CHOOSE(ArtifactsInput!$N$7+1,6,7.2,8.4,9.6,10.8,12))/100)),MAX(0,Inputs!$B$43-((R384-1)*Skills!D19))))/Inputs!$B$43),IF(Inputs!$B$38="pvp",MIN((Skills!T19*(1+(Inputs!$B$34+(ArtifactsInput!$M$7-ArtifactsInput!$M$7)*CHOOSE(ArtifactsInput!$N$7+1,6,7.2,8.4,9.6,10.8,12))/100)),15)/15,(Skills!T19*(1+(Inputs!$B$34+(ArtifactsInput!$M$7-ArtifactsInput!$M$7)*CHOOSE(ArtifactsInput!$N$7+1,6,7.2,8.4,9.6,10.8,12))/100))/Skills!D19)))</f>
        <v/>
      </c>
    </row>
    <row r="396">
      <c r="A396" t="inlineStr">
        <is>
          <t>Actions Per Second</t>
        </is>
      </c>
      <c r="B396">
        <f>1+MIN(150,150*(1-(1-(Inputs!$B$11+((C385=TRUE)*(F385-Calc!F20)))/150)*(1-B395/150)))/100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Raging Blow Casts Per Second</t>
        </is>
      </c>
      <c r="B398">
        <f>MAX(0,B396-B397)</f>
        <v/>
      </c>
    </row>
    <row r="399">
      <c r="A399" t="inlineStr">
        <is>
          <t>Global Critical Damage Bonus % (Enrage)</t>
        </is>
      </c>
      <c r="B399">
        <f>((C383=TRUE)*F383*IF(AND(Inputs!$B$38&lt;&gt;"pvp",Inputs!$B$43&gt;0),(((R383-1)*(Skills!T18*(1+(Inputs!$B$34+(ArtifactsInput!$M$7-ArtifactsInput!$M$7)*CHOOSE(ArtifactsInput!$N$7+1,6,7.2,8.4,9.6,10.8,12))/100))+MIN((Skills!T18*(1+(Inputs!$B$34+(ArtifactsInput!$M$7-ArtifactsInput!$M$7)*CHOOSE(ArtifactsInput!$N$7+1,6,7.2,8.4,9.6,10.8,12))/100)),MAX(0,Inputs!$B$43-((R383-1)*Skills!D18))))/Inputs!$B$43),IF(Inputs!$B$38="pvp",MIN((Skills!T18*(1+(Inputs!$B$34+(ArtifactsInput!$M$7-ArtifactsInput!$M$7)*CHOOSE(ArtifactsInput!$N$7+1,6,7.2,8.4,9.6,10.8,12))/100)),15)/15,(Skills!T18*(1+(Inputs!$B$34+(ArtifactsInput!$M$7-ArtifactsInput!$M$7)*CHOOSE(ArtifactsInput!$N$7+1,6,7.2,8.4,9.6,10.8,12))/100))/Skills!D18)))</f>
        <v/>
      </c>
    </row>
    <row r="400">
      <c r="A400" t="inlineStr">
        <is>
          <t>Global Final Damage Bonus % (Enrage + Combo Synergy)</t>
        </is>
      </c>
      <c r="B400">
        <f>((C382=TRUE)*F382*IF(AND(Inputs!$B$38&lt;&gt;"pvp",Inputs!$B$43&gt;0),(((R382-1)*(Skills!T17*(1+(Inputs!$B$34+(ArtifactsInput!$M$7-ArtifactsInput!$M$7)*CHOOSE(ArtifactsInput!$N$7+1,6,7.2,8.4,9.6,10.8,12))/100))+MIN((Skills!T17*(1+(Inputs!$B$34+(ArtifactsInput!$M$7-ArtifactsInput!$M$7)*CHOOSE(ArtifactsInput!$N$7+1,6,7.2,8.4,9.6,10.8,12))/100)),MAX(0,Inputs!$B$43-((R382-1)*Skills!D17))))/Inputs!$B$43),IF(Inputs!$B$38="pvp",MIN((Skills!T17*(1+(Inputs!$B$34+(ArtifactsInput!$M$7-ArtifactsInput!$M$7)*CHOOSE(ArtifactsInput!$N$7+1,6,7.2,8.4,9.6,10.8,12))/100)),15)/15,(Skills!T17*(1+(Inputs!$B$34+(ArtifactsInput!$M$7-ArtifactsInput!$M$7)*CHOOSE(ArtifactsInput!$N$7+1,6,7.2,8.4,9.6,10.8,12))/100))/Skills!D17)))+((C379=TRUE)*F379*IF(Inputs!$B$3&gt;=110,7,5))</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409)</f>
        <v/>
      </c>
      <c r="L409">
        <f>K409*(MIN((Inputs!$B$22+1)+((C429=TRUE)*(F429-Calc!F22)),(Inputs!$B$23+((C431=TRUE)*(F431-Calc!F24))+(IF(ArtifactsInput!$M$15,CHOOSE(ArtifactsInput!$N$15+1,25,30,35,40,45,50)/100*(Inputs!$B$11-Inputs!$B$11),0))))/100+(Inputs!$B$23+((C431=TRUE)*(F431-Calc!F24))+(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INDEX(FactorTable!$B$2:$Y$301, MATCH(ROUND(MIN(300,MAX(1,U409)),0), FactorTable!$A$2:$A$301,0), 22)</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U411">
        <f>290*U410/1000</f>
        <v/>
      </c>
    </row>
    <row r="412">
      <c r="A412">
        <f>Skills!A5</f>
        <v/>
      </c>
      <c r="B412">
        <f>Skills!B5</f>
        <v/>
      </c>
      <c r="C412">
        <f>Inputs!$B$3&gt;=103</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412)</f>
        <v/>
      </c>
      <c r="L412">
        <f>K412*(MIN((Inputs!$B$22+1)+((C429=TRUE)*(F429-Calc!F22)),(Inputs!$B$23+((C431=TRUE)*(F431-Calc!F24))+(IF(ArtifactsInput!$M$15,CHOOSE(ArtifactsInput!$N$15+1,25,30,35,40,45,50)/100*(Inputs!$B$11-Inputs!$B$11),0))))/100+(Inputs!$B$23+((C431=TRUE)*(F431-Calc!F24))+(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IFERROR(1/(IF(Inputs!$B$38="pvp",15,MAX(0.1,Skills!D5-IF(Skills!E5=TRUE,Inputs!$B$32,0)))*(1-IF(AND(ArtifactsInput!$M$27,Inputs!$B$4="Chapter Hunt"),CHOOSE(ArtifactsInput!$N$27+1,20,24,28,32,36,40),0)/100)),0)</f>
        <v/>
      </c>
      <c r="R412">
        <f>IF(AND(Inputs!$B$38&lt;&gt;"pvp",Inputs!$B$43&gt;0),IF(MAX(0,Inputs!$B$43-B443)&lt;=0,0,(INT(MAX(0,Inputs!$B$43-B443)/(IF(Inputs!$B$38="pvp",15,MAX(0.1,Skills!D5-IF(Skills!E5=TRUE,Inputs!$B$32,0)))*(1-IF(AND(ArtifactsInput!$M$27,Inputs!$B$4="Chapter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413)</f>
        <v/>
      </c>
      <c r="L413">
        <f>K413*(MIN((Inputs!$B$22+1)+((C429=TRUE)*(F429-Calc!F22)),(Inputs!$B$23+((C431=TRUE)*(F431-Calc!F24))+(IF(ArtifactsInput!$M$15,CHOOSE(ArtifactsInput!$N$15+1,25,30,35,40,45,50)/100*(Inputs!$B$11-Inputs!$B$11),0))))/100+(Inputs!$B$23+((C431=TRUE)*(F431-Calc!F24))+(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IFERROR(1/(IF(Inputs!$B$38="pvp",15,MAX(0.1,Skills!D6-IF(Skills!E6=TRUE,Inputs!$B$32,0)))*(1-IF(AND(ArtifactsInput!$M$27,Inputs!$B$4="Chapter Hunt"),CHOOSE(ArtifactsInput!$N$27+1,20,24,28,32,36,40),0)/100)),0)</f>
        <v/>
      </c>
      <c r="R413">
        <f>IF(AND(Inputs!$B$38&lt;&gt;"pvp",Inputs!$B$43&gt;0),IF(MAX(0,Inputs!$B$43-B443)&lt;=0,0,(INT(MAX(0,Inputs!$B$43-B443)/(IF(Inputs!$B$38="pvp",15,MAX(0.1,Skills!D6-IF(Skills!E6=TRUE,Inputs!$B$32,0)))*(1-IF(AND(ArtifactsInput!$M$27,Inputs!$B$4="Chapter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f>Skills!G7*IF(Skills!H7&gt;0,Skills!I7/Skills!H7,1)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414)</f>
        <v/>
      </c>
      <c r="L414">
        <f>K414*(MIN((Inputs!$B$22+1)+((C429=TRUE)*(F429-Calc!F22)),(Inputs!$B$23+((C431=TRUE)*(F431-Calc!F24))+(IF(ArtifactsInput!$M$15,CHOOSE(ArtifactsInput!$N$15+1,25,30,35,40,45,50)/100*(Inputs!$B$11-Inputs!$B$11),0))))/100+(Inputs!$B$23+((C431=TRUE)*(F431-Calc!F24))+(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IFERROR(1/(IF(Inputs!$B$38="pvp",15,MAX(0.1,Skills!D7-IF(Skills!E7=TRUE,Inputs!$B$32,0)))*(1-IF(AND(ArtifactsInput!$M$27,Inputs!$B$4="Chapter Hunt"),CHOOSE(ArtifactsInput!$N$27+1,20,24,28,32,36,40),0)/100)),0)</f>
        <v/>
      </c>
      <c r="R414">
        <f>IF(AND(Inputs!$B$38&lt;&gt;"pvp",Inputs!$B$43&gt;0),IF(MAX(0,Inputs!$B$43-B443)&lt;=0,0,(INT(MAX(0,Inputs!$B$43-B443)/(IF(Inputs!$B$38="pvp",15,MAX(0.1,Skills!D7-IF(Skills!E7=TRUE,Inputs!$B$32,0)))*(1-IF(AND(ArtifactsInput!$M$27,Inputs!$B$4="Chapter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Inputs!$B$3&gt;=117</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415)</f>
        <v/>
      </c>
      <c r="L415">
        <f>K415*(MIN((Inputs!$B$22+1)+((C429=TRUE)*(F429-Calc!F22)),(Inputs!$B$23+((C431=TRUE)*(F431-Calc!F24))+(IF(ArtifactsInput!$M$15,CHOOSE(ArtifactsInput!$N$15+1,25,30,35,40,45,50)/100*(Inputs!$B$11-Inputs!$B$11),0))))/100+(Inputs!$B$23+((C431=TRUE)*(F431-Calc!F24))+(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IFERROR(1/(IF(Inputs!$B$38="pvp",15,MAX(0.1,Skills!D8-IF(Skills!E8=TRUE,Inputs!$B$32,0)))*(1-IF(AND(ArtifactsInput!$M$27,Inputs!$B$4="Chapter Hunt"),CHOOSE(ArtifactsInput!$N$27+1,20,24,28,32,36,40),0)/100)),0)</f>
        <v/>
      </c>
      <c r="R415">
        <f>IF(AND(Inputs!$B$38&lt;&gt;"pvp",Inputs!$B$43&gt;0),IF(MAX(0,Inputs!$B$43-B443)&lt;=0,0,(INT(MAX(0,Inputs!$B$43-B443)/(IF(Inputs!$B$38="pvp",15,MAX(0.1,Skills!D8-IF(Skills!E8=TRUE,Inputs!$B$32,0)))*(1-IF(AND(ArtifactsInput!$M$27,Inputs!$B$4="Chapter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9="ENHANCED_RAGING_BLOW",IF(Inputs!$B$3&gt;=134,MAX(0,IF(Inputs!$B$3&gt;=110,7,5)-5)*50,0),0)/100)*(1+(IF(Skills!A9="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416)</f>
        <v/>
      </c>
      <c r="L416">
        <f>K416*(MIN((Inputs!$B$22+1)+((C429=TRUE)*(F429-Calc!F22)),(Inputs!$B$23+((C431=TRUE)*(F431-Calc!F24))+(IF(ArtifactsInput!$M$15,CHOOSE(ArtifactsInput!$N$15+1,25,30,35,40,45,50)/100*(Inputs!$B$11-Inputs!$B$11),0))))/100+(Inputs!$B$23+((C431=TRUE)*(F431-Calc!F24))+(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IFERROR(1/(IF(Inputs!$B$38="pvp",15,MAX(0.1,Skills!D9-IF(Skills!E9=TRUE,Inputs!$B$32,0)))*(1-IF(AND(ArtifactsInput!$M$27,Inputs!$B$4="Chapter Hunt"),CHOOSE(ArtifactsInput!$N$27+1,20,24,28,32,36,40),0)/100)),0)</f>
        <v/>
      </c>
      <c r="R416">
        <f>IF(AND(Inputs!$B$38&lt;&gt;"pvp",Inputs!$B$43&gt;0),IF(MAX(0,Inputs!$B$43-B443)&lt;=0,0,(INT(MAX(0,Inputs!$B$43-B443)/(IF(Inputs!$B$38="pvp",15,MAX(0.1,Skills!D9-IF(Skills!E9=TRUE,Inputs!$B$32,0)))*(1-IF(AND(ArtifactsInput!$M$27,Inputs!$B$4="Chapter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10="ENHANCED_RAGING_BLOW",IF(Inputs!$B$3&gt;=134,MAX(0,IF(Inputs!$B$3&gt;=110,7,5)-5)*50,0),0)/100)*(1+(IF(Skills!A10="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417)</f>
        <v/>
      </c>
      <c r="L417">
        <f>K417*(MIN((Inputs!$B$22+1)+((C429=TRUE)*(F429-Calc!F22)),(Inputs!$B$23+((C431=TRUE)*(F431-Calc!F24))+(IF(ArtifactsInput!$M$15,CHOOSE(ArtifactsInput!$N$15+1,25,30,35,40,45,50)/100*(Inputs!$B$11-Inputs!$B$11),0))))/100+(Inputs!$B$23+((C431=TRUE)*(F431-Calc!F24))+(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IFERROR(1/(IF(Inputs!$B$38="pvp",15,MAX(0.1,Skills!D10-IF(Skills!E10=TRUE,Inputs!$B$32,0)))*(1-IF(AND(ArtifactsInput!$M$27,Inputs!$B$4="Chapter Hunt"),CHOOSE(ArtifactsInput!$N$27+1,20,24,28,32,36,40),0)/100)),0)</f>
        <v/>
      </c>
      <c r="R417">
        <f>IF(AND(Inputs!$B$38&lt;&gt;"pvp",Inputs!$B$43&gt;0),IF(MAX(0,Inputs!$B$43-B443)&lt;=0,0,(INT(MAX(0,Inputs!$B$43-B443)/(IF(Inputs!$B$38="pvp",15,MAX(0.1,Skills!D10-IF(Skills!E10=TRUE,Inputs!$B$32,0)))*(1-IF(AND(ArtifactsInput!$M$27,Inputs!$B$4="Chapter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Inputs!$B$3&gt;=35</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11="ENHANCED_RAGING_BLOW",IF(Inputs!$B$3&gt;=134,MAX(0,IF(Inputs!$B$3&gt;=110,7,5)-5)*50,0),0)/100)*(1+(IF(Skills!A11="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418)</f>
        <v/>
      </c>
      <c r="L418">
        <f>K418*(MIN((Inputs!$B$22+1)+((C429=TRUE)*(F429-Calc!F22)),(Inputs!$B$23+((C431=TRUE)*(F431-Calc!F24))+(IF(ArtifactsInput!$M$15,CHOOSE(ArtifactsInput!$N$15+1,25,30,35,40,45,50)/100*(Inputs!$B$11-Inputs!$B$11),0))))/100+(Inputs!$B$23+((C431=TRUE)*(F431-Calc!F24))+(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IFERROR(1/(IF(Inputs!$B$38="pvp",15,MAX(0.1,Skills!D11-IF(Skills!E11=TRUE,Inputs!$B$32,0)))*(1-IF(AND(ArtifactsInput!$M$27,Inputs!$B$4="Chapter Hunt"),CHOOSE(ArtifactsInput!$N$27+1,20,24,28,32,36,40),0)/100)),0)</f>
        <v/>
      </c>
      <c r="R418">
        <f>IF(AND(Inputs!$B$38&lt;&gt;"pvp",Inputs!$B$43&gt;0),IF(MAX(0,Inputs!$B$43-B443)&lt;=0,0,(INT(MAX(0,Inputs!$B$43-B443)/(IF(Inputs!$B$38="pvp",15,MAX(0.1,Skills!D11-IF(Skills!E11=TRUE,Inputs!$B$32,0)))*(1-IF(AND(ArtifactsInput!$M$27,Inputs!$B$4="Chapter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Inputs!$B$3&gt;=75</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f>Skills!G14*IF(Skills!H14&gt;0,Skills!I14/Skills!H14,1)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Inputs!$B$3&gt;=40</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IFERROR(1/(IF(Inputs!$B$38="pvp",15,MAX(0.1,Skills!D15-IF(Skills!E15=TRUE,Inputs!$B$32,0)))*(1-IF(AND(ArtifactsInput!$M$27,Inputs!$B$4="Chapter Hunt"),CHOOSE(ArtifactsInput!$N$27+1,20,24,28,32,36,40),0)/100)),0)</f>
        <v/>
      </c>
      <c r="R422">
        <f>IF(AND(Inputs!$B$38&lt;&gt;"pvp",Inputs!$B$43&gt;0),IF(Inputs!$B$43&lt;=0,0,(INT(Inputs!$B$43/(IF(Inputs!$B$38="pvp",15,MAX(0.1,Skills!D15-IF(Skills!E15=TRUE,Inputs!$B$32,0)))*(1-IF(AND(ArtifactsInput!$M$27,Inputs!$B$4="Chapter Hunt"),CHOOSE(ArtifactsInput!$N$27+1,20,24,28,32,36,40),0)/100)))+1)),0)</f>
        <v/>
      </c>
      <c r="S422">
        <f>IFERROR(O422/N422,0)</f>
        <v/>
      </c>
      <c r="T422" t="n">
        <v>0</v>
      </c>
      <c r="V422" t="n">
        <v>0</v>
      </c>
    </row>
    <row r="423">
      <c r="A423">
        <f>Skills!A16</f>
        <v/>
      </c>
      <c r="B423">
        <f>Skills!B16</f>
        <v/>
      </c>
      <c r="C423">
        <f>Inputs!$B$3&gt;=66</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IFERROR(1/(IF(Inputs!$B$38="pvp",15,MAX(0.1,Skills!D16-IF(Skills!E16=TRUE,Inputs!$B$32,0)))*(1-IF(AND(ArtifactsInput!$M$27,Inputs!$B$4="Chapter Hunt"),CHOOSE(ArtifactsInput!$N$27+1,20,24,28,32,36,40),0)/100)),0)</f>
        <v/>
      </c>
      <c r="R423">
        <f>IF(AND(Inputs!$B$38&lt;&gt;"pvp",Inputs!$B$43&gt;0),IF(Inputs!$B$43&lt;=0,0,(INT(Inputs!$B$43/(IF(Inputs!$B$38="pvp",15,MAX(0.1,Skills!D16-IF(Skills!E16=TRUE,Inputs!$B$32,0)))*(1-IF(AND(ArtifactsInput!$M$27,Inputs!$B$4="Chapter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IFERROR(1/(IF(Inputs!$B$38="pvp",15,MAX(0.1,Skills!D17-IF(Skills!E17=TRUE,Inputs!$B$32,0)))*(1-IF(AND(ArtifactsInput!$M$27,Inputs!$B$4="Chapter Hunt"),CHOOSE(ArtifactsInput!$N$27+1,20,24,28,32,36,40),0)/100)),0)</f>
        <v/>
      </c>
      <c r="R424">
        <f>IF(AND(Inputs!$B$38&lt;&gt;"pvp",Inputs!$B$43&gt;0),IF(Inputs!$B$43&lt;=0,0,(INT(Inputs!$B$43/(IF(Inputs!$B$38="pvp",15,MAX(0.1,Skills!D17-IF(Skills!E17=TRUE,Inputs!$B$32,0)))*(1-IF(AND(ArtifactsInput!$M$27,Inputs!$B$4="Chapter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IFERROR(1/(IF(Inputs!$B$38="pvp",15,MAX(0.1,Skills!D18-IF(Skills!E18=TRUE,Inputs!$B$32,0)))*(1-IF(AND(ArtifactsInput!$M$27,Inputs!$B$4="Chapter Hunt"),CHOOSE(ArtifactsInput!$N$27+1,20,24,28,32,36,40),0)/100)),0)</f>
        <v/>
      </c>
      <c r="R425">
        <f>IF(AND(Inputs!$B$38&lt;&gt;"pvp",Inputs!$B$43&gt;0),IF(Inputs!$B$43&lt;=0,0,(INT(Inputs!$B$43/(IF(Inputs!$B$38="pvp",15,MAX(0.1,Skills!D18-IF(Skills!E18=TRUE,Inputs!$B$32,0)))*(1-IF(AND(ArtifactsInput!$M$27,Inputs!$B$4="Chapter Hunt"),CHOOSE(ArtifactsInput!$N$27+1,20,24,28,32,36,40),0)/100)))+1)),0)</f>
        <v/>
      </c>
      <c r="S425">
        <f>IFERROR(O425/N425,0)</f>
        <v/>
      </c>
      <c r="T425" t="n">
        <v>0</v>
      </c>
      <c r="V425" t="n">
        <v>0</v>
      </c>
    </row>
    <row r="426">
      <c r="A426">
        <f>Skills!A19</f>
        <v/>
      </c>
      <c r="B426">
        <f>Skills!B19</f>
        <v/>
      </c>
      <c r="C426">
        <f>TRUE</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IFERROR(1/(IF(Inputs!$B$38="pvp",15,MAX(0.1,Skills!D19-IF(Skills!E19=TRUE,Inputs!$B$32,0)))*(1-IF(AND(ArtifactsInput!$M$27,Inputs!$B$4="Chapter Hunt"),CHOOSE(ArtifactsInput!$N$27+1,20,24,28,32,36,40),0)/100)),0)</f>
        <v/>
      </c>
      <c r="R426">
        <f>IF(AND(Inputs!$B$38&lt;&gt;"pvp",Inputs!$B$43&gt;0),IF(Inputs!$B$43&lt;=0,0,(INT(Inputs!$B$43/(IF(Inputs!$B$38="pvp",15,MAX(0.1,Skills!D19-IF(Skills!E19=TRUE,Inputs!$B$32,0)))*(1-IF(AND(ArtifactsInput!$M$27,Inputs!$B$4="Chapter Hunt"),CHOOSE(ArtifactsInput!$N$27+1,20,24,28,32,36,40),0)/100)))+1)),0)</f>
        <v/>
      </c>
      <c r="S426">
        <f>IFERROR(O426/N426,0)</f>
        <v/>
      </c>
      <c r="T426" t="n">
        <v>0</v>
      </c>
      <c r="V426" t="n">
        <v>0</v>
      </c>
    </row>
    <row r="427">
      <c r="A427">
        <f>Skills!A20</f>
        <v/>
      </c>
      <c r="B427">
        <f>Skills!B20</f>
        <v/>
      </c>
      <c r="C427">
        <f>Inputs!$B$3&gt;=33</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Inputs!$B$3&gt;=38</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Skills!G21*IF(Skills!H21&gt;0,Skills!I21/Skills!H21,1)</f>
        <v/>
      </c>
      <c r="H428">
        <f>1-(1-Skills!J21/100)^Skills!K21</f>
        <v/>
      </c>
      <c r="I428" t="inlineStr">
        <is>
          <t>1</t>
        </is>
      </c>
      <c r="J428" t="inlineStr"/>
      <c r="K428" t="inlineStr"/>
      <c r="L428" t="inlineStr"/>
      <c r="M428" t="inlineStr"/>
      <c r="N428" t="inlineStr"/>
      <c r="O428">
        <f>(1-Summary!$B$11)*T428+Summary!$B$11*V428</f>
        <v/>
      </c>
      <c r="P428">
        <f>IF(B446=0,0,O428/B446)</f>
        <v/>
      </c>
      <c r="Q428" t="n">
        <v>0</v>
      </c>
      <c r="R428" t="n">
        <v>0</v>
      </c>
      <c r="S428">
        <f>IFERROR(O428/N428,0)</f>
        <v/>
      </c>
      <c r="T428" t="n">
        <v>0</v>
      </c>
      <c r="V428" t="n">
        <v>0</v>
      </c>
    </row>
    <row r="429">
      <c r="A429">
        <f>Skills!A22</f>
        <v/>
      </c>
      <c r="B429">
        <f>Skills!B22</f>
        <v/>
      </c>
      <c r="C429">
        <f>Inputs!$B$3&gt;=43</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Inputs!$B$3&gt;=120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Inputs!$B$3&gt;=120</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Inputs!$B$3&gt;=125</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Inputs!$B$3&gt;=72</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426=TRUE)*F426*IF(AND(Inputs!$B$38&lt;&gt;"pvp",Inputs!$B$43&gt;0),(((R426-1)*(Skills!T19*(1+(Inputs!$B$34+(ArtifactsInput!$M$7-ArtifactsInput!$M$7)*CHOOSE(ArtifactsInput!$N$7+1,6,7.2,8.4,9.6,10.8,12))/100))+MIN((Skills!T19*(1+(Inputs!$B$34+(ArtifactsInput!$M$7-ArtifactsInput!$M$7)*CHOOSE(ArtifactsInput!$N$7+1,6,7.2,8.4,9.6,10.8,12))/100)),MAX(0,Inputs!$B$43-((R426-1)*Skills!D19))))/Inputs!$B$43),IF(Inputs!$B$38="pvp",MIN((Skills!T19*(1+(Inputs!$B$34+(ArtifactsInput!$M$7-ArtifactsInput!$M$7)*CHOOSE(ArtifactsInput!$N$7+1,6,7.2,8.4,9.6,10.8,12))/100)),15)/15,(Skills!T19*(1+(Inputs!$B$34+(ArtifactsInput!$M$7-ArtifactsInput!$M$7)*CHOOSE(ArtifactsInput!$N$7+1,6,7.2,8.4,9.6,10.8,12))/100))/Skills!D19)))</f>
        <v/>
      </c>
    </row>
    <row r="438">
      <c r="A438" t="inlineStr">
        <is>
          <t>Actions Per Second</t>
        </is>
      </c>
      <c r="B438">
        <f>1+MIN(150,150*(1-(1-(Inputs!$B$11+((C427=TRUE)*(F427-Calc!F20)))/150)*(1-B437/150)))/100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Raging Blow Casts Per Second</t>
        </is>
      </c>
      <c r="B440">
        <f>MAX(0,B438-B439)</f>
        <v/>
      </c>
    </row>
    <row r="441">
      <c r="A441" t="inlineStr">
        <is>
          <t>Global Critical Damage Bonus % (Enrage)</t>
        </is>
      </c>
      <c r="B441">
        <f>((C425=TRUE)*F425*IF(AND(Inputs!$B$38&lt;&gt;"pvp",Inputs!$B$43&gt;0),(((R425-1)*(Skills!T18*(1+(Inputs!$B$34+(ArtifactsInput!$M$7-ArtifactsInput!$M$7)*CHOOSE(ArtifactsInput!$N$7+1,6,7.2,8.4,9.6,10.8,12))/100))+MIN((Skills!T18*(1+(Inputs!$B$34+(ArtifactsInput!$M$7-ArtifactsInput!$M$7)*CHOOSE(ArtifactsInput!$N$7+1,6,7.2,8.4,9.6,10.8,12))/100)),MAX(0,Inputs!$B$43-((R425-1)*Skills!D18))))/Inputs!$B$43),IF(Inputs!$B$38="pvp",MIN((Skills!T18*(1+(Inputs!$B$34+(ArtifactsInput!$M$7-ArtifactsInput!$M$7)*CHOOSE(ArtifactsInput!$N$7+1,6,7.2,8.4,9.6,10.8,12))/100)),15)/15,(Skills!T18*(1+(Inputs!$B$34+(ArtifactsInput!$M$7-ArtifactsInput!$M$7)*CHOOSE(ArtifactsInput!$N$7+1,6,7.2,8.4,9.6,10.8,12))/100))/Skills!D18)))</f>
        <v/>
      </c>
    </row>
    <row r="442">
      <c r="A442" t="inlineStr">
        <is>
          <t>Global Final Damage Bonus % (Enrage + Combo Synergy)</t>
        </is>
      </c>
      <c r="B442">
        <f>((C424=TRUE)*F424*IF(AND(Inputs!$B$38&lt;&gt;"pvp",Inputs!$B$43&gt;0),(((R424-1)*(Skills!T17*(1+(Inputs!$B$34+(ArtifactsInput!$M$7-ArtifactsInput!$M$7)*CHOOSE(ArtifactsInput!$N$7+1,6,7.2,8.4,9.6,10.8,12))/100))+MIN((Skills!T17*(1+(Inputs!$B$34+(ArtifactsInput!$M$7-ArtifactsInput!$M$7)*CHOOSE(ArtifactsInput!$N$7+1,6,7.2,8.4,9.6,10.8,12))/100)),MAX(0,Inputs!$B$43-((R424-1)*Skills!D17))))/Inputs!$B$43),IF(Inputs!$B$38="pvp",MIN((Skills!T17*(1+(Inputs!$B$34+(ArtifactsInput!$M$7-ArtifactsInput!$M$7)*CHOOSE(ArtifactsInput!$N$7+1,6,7.2,8.4,9.6,10.8,12))/100)),15)/15,(Skills!T17*(1+(Inputs!$B$34+(ArtifactsInput!$M$7-ArtifactsInput!$M$7)*CHOOSE(ArtifactsInput!$N$7+1,6,7.2,8.4,9.6,10.8,12))/100))/Skills!D17)))+((C421=TRUE)*F421*IF(Inputs!$B$3&gt;=110,7,5))</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451)</f>
        <v/>
      </c>
      <c r="L451">
        <f>K451*(MIN(Inputs!$B$22+((C471=TRUE)*(F471-Calc!F22)),((Inputs!$B$23+1)+((C473=TRUE)*(F473-Calc!F24))+(IF(ArtifactsInput!$M$15,CHOOSE(ArtifactsInput!$N$15+1,25,30,35,40,45,50)/100*(Inputs!$B$11-Inputs!$B$11),0))))/100+((Inputs!$B$23+1)+((C473=TRUE)*(F473-Calc!F24))+(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INDEX(FactorTable!$B$2:$Y$301, MATCH(ROUND(MIN(300,MAX(1,D452)),0),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INDEX(FactorTable!$B$2:$Y$301, MATCH(ROUND(MIN(300,MAX(1,U451)),0), FactorTable!$A$2:$A$301,0), 22)</f>
        <v/>
      </c>
    </row>
    <row r="453">
      <c r="A453">
        <f>Skills!A4</f>
        <v/>
      </c>
      <c r="B453">
        <f>Skills!B4</f>
        <v/>
      </c>
      <c r="C453">
        <f>Inputs!$B$3&gt;=105</f>
        <v/>
      </c>
      <c r="D453">
        <f>IF(Skills!C4=1,60+Inputs!$B$25+Inputs!$B$29,IF(Skills!C4=2,90+Inputs!$B$26+Inputs!$B$29,IF(Skills!C4=3,120+Inputs!$B$27+Inputs!$B$29,MAX(0,(Inputs!$B$3-100)*3)+Inputs!$B$28+Inputs!$B$29)))</f>
        <v/>
      </c>
      <c r="E453">
        <f>INDEX(FactorTable!$B$2:$Y$301, MATCH(ROUND(MIN(300,MAX(1,D453)),0), FactorTable!$A$2:$A$301,0), Skills!M4+1)</f>
        <v/>
      </c>
      <c r="F453">
        <f>IF(Skills!N4=TRUE,(Skills!L4/10)*(E453/1000),Skills!L4/10)+Skills!O4</f>
        <v/>
      </c>
      <c r="G453" t="inlineStr"/>
      <c r="H453" t="inlineStr"/>
      <c r="I453" t="inlineStr">
        <is>
          <t>1</t>
        </is>
      </c>
      <c r="J453" t="inlineStr"/>
      <c r="K453" t="inlineStr"/>
      <c r="L453" t="inlineStr"/>
      <c r="M453" t="inlineStr"/>
      <c r="N453" t="inlineStr"/>
      <c r="O453" t="inlineStr"/>
      <c r="P453" t="inlineStr"/>
      <c r="Q453" t="inlineStr"/>
      <c r="R453" t="inlineStr"/>
      <c r="S453" t="inlineStr"/>
      <c r="U453">
        <f>290*U452/1000</f>
        <v/>
      </c>
    </row>
    <row r="454">
      <c r="A454">
        <f>Skills!A5</f>
        <v/>
      </c>
      <c r="B454">
        <f>Skills!B5</f>
        <v/>
      </c>
      <c r="C454">
        <f>Inputs!$B$3&gt;=103</f>
        <v/>
      </c>
      <c r="D454">
        <f>IF(Skills!C5=1,60+Inputs!$B$25+Inputs!$B$29,IF(Skills!C5=2,90+Inputs!$B$26+Inputs!$B$29,IF(Skills!C5=3,120+Inputs!$B$27+Inputs!$B$29,MAX(0,(Inputs!$B$3-100)*3)+Inputs!$B$28+Inputs!$B$29)))</f>
        <v/>
      </c>
      <c r="E454">
        <f>INDEX(FactorTable!$B$2:$Y$301, MATCH(ROUND(MIN(300,MAX(1,D454)),0), FactorTable!$A$2:$A$301,0), Skills!M5+1)</f>
        <v/>
      </c>
      <c r="F454">
        <f>IF(Skills!N5=TRUE,(Skills!L5/10)*(E454/1000),Skills!L5/10)+Skills!O5</f>
        <v/>
      </c>
      <c r="G454">
        <f>Skills!G5*IF(Skills!H5&gt;0,Skills!I5/Skills!H5,1)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454)</f>
        <v/>
      </c>
      <c r="L454">
        <f>K454*(MIN(Inputs!$B$22+((C471=TRUE)*(F471-Calc!F22)),((Inputs!$B$23+1)+((C473=TRUE)*(F473-Calc!F24))+(IF(ArtifactsInput!$M$15,CHOOSE(ArtifactsInput!$N$15+1,25,30,35,40,45,50)/100*(Inputs!$B$11-Inputs!$B$11),0))))/100+((Inputs!$B$23+1)+((C473=TRUE)*(F473-Calc!F24))+(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IFERROR(1/(IF(Inputs!$B$38="pvp",15,MAX(0.1,Skills!D5-IF(Skills!E5=TRUE,Inputs!$B$32,0)))*(1-IF(AND(ArtifactsInput!$M$27,Inputs!$B$4="Chapter Hunt"),CHOOSE(ArtifactsInput!$N$27+1,20,24,28,32,36,40),0)/100)),0)</f>
        <v/>
      </c>
      <c r="R454">
        <f>IF(AND(Inputs!$B$38&lt;&gt;"pvp",Inputs!$B$43&gt;0),IF(MAX(0,Inputs!$B$43-B485)&lt;=0,0,(INT(MAX(0,Inputs!$B$43-B485)/(IF(Inputs!$B$38="pvp",15,MAX(0.1,Skills!D5-IF(Skills!E5=TRUE,Inputs!$B$32,0)))*(1-IF(AND(ArtifactsInput!$M$27,Inputs!$B$4="Chapter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INDEX(FactorTable!$B$2:$Y$301, MATCH(ROUND(MIN(300,MAX(1,D455)),0), FactorTable!$A$2:$A$301,0), Skills!M6+1)</f>
        <v/>
      </c>
      <c r="F455">
        <f>IF(Skills!N6=TRUE,(Skills!L6/10)*(E455/1000),Skills!L6/10)+Skills!O6</f>
        <v/>
      </c>
      <c r="G455">
        <f>Skills!G6*IF(Skills!H6&gt;0,Skills!I6/Skills!H6,1)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455)</f>
        <v/>
      </c>
      <c r="L455">
        <f>K455*(MIN(Inputs!$B$22+((C471=TRUE)*(F471-Calc!F22)),((Inputs!$B$23+1)+((C473=TRUE)*(F473-Calc!F24))+(IF(ArtifactsInput!$M$15,CHOOSE(ArtifactsInput!$N$15+1,25,30,35,40,45,50)/100*(Inputs!$B$11-Inputs!$B$11),0))))/100+((Inputs!$B$23+1)+((C473=TRUE)*(F473-Calc!F24))+(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IFERROR(1/(IF(Inputs!$B$38="pvp",15,MAX(0.1,Skills!D6-IF(Skills!E6=TRUE,Inputs!$B$32,0)))*(1-IF(AND(ArtifactsInput!$M$27,Inputs!$B$4="Chapter Hunt"),CHOOSE(ArtifactsInput!$N$27+1,20,24,28,32,36,40),0)/100)),0)</f>
        <v/>
      </c>
      <c r="R455">
        <f>IF(AND(Inputs!$B$38&lt;&gt;"pvp",Inputs!$B$43&gt;0),IF(MAX(0,Inputs!$B$43-B485)&lt;=0,0,(INT(MAX(0,Inputs!$B$43-B485)/(IF(Inputs!$B$38="pvp",15,MAX(0.1,Skills!D6-IF(Skills!E6=TRUE,Inputs!$B$32,0)))*(1-IF(AND(ArtifactsInput!$M$27,Inputs!$B$4="Chapter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INDEX(FactorTable!$B$2:$Y$301, MATCH(ROUND(MIN(300,MAX(1,D456)),0), FactorTable!$A$2:$A$301,0), Skills!M7+1)</f>
        <v/>
      </c>
      <c r="F456">
        <f>IF(Skills!N7=TRUE,(Skills!L7/10)*(E456/1000),Skills!L7/10)+Skills!O7</f>
        <v/>
      </c>
      <c r="G456">
        <f>Skills!G7*IF(Skills!H7&gt;0,Skills!I7/Skills!H7,1)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456)</f>
        <v/>
      </c>
      <c r="L456">
        <f>K456*(MIN(Inputs!$B$22+((C471=TRUE)*(F471-Calc!F22)),((Inputs!$B$23+1)+((C473=TRUE)*(F473-Calc!F24))+(IF(ArtifactsInput!$M$15,CHOOSE(ArtifactsInput!$N$15+1,25,30,35,40,45,50)/100*(Inputs!$B$11-Inputs!$B$11),0))))/100+((Inputs!$B$23+1)+((C473=TRUE)*(F473-Calc!F24))+(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IFERROR(1/(IF(Inputs!$B$38="pvp",15,MAX(0.1,Skills!D7-IF(Skills!E7=TRUE,Inputs!$B$32,0)))*(1-IF(AND(ArtifactsInput!$M$27,Inputs!$B$4="Chapter Hunt"),CHOOSE(ArtifactsInput!$N$27+1,20,24,28,32,36,40),0)/100)),0)</f>
        <v/>
      </c>
      <c r="R456">
        <f>IF(AND(Inputs!$B$38&lt;&gt;"pvp",Inputs!$B$43&gt;0),IF(MAX(0,Inputs!$B$43-B485)&lt;=0,0,(INT(MAX(0,Inputs!$B$43-B485)/(IF(Inputs!$B$38="pvp",15,MAX(0.1,Skills!D7-IF(Skills!E7=TRUE,Inputs!$B$32,0)))*(1-IF(AND(ArtifactsInput!$M$27,Inputs!$B$4="Chapter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Inputs!$B$3&gt;=117</f>
        <v/>
      </c>
      <c r="D457">
        <f>IF(Skills!C8=1,60+Inputs!$B$25+Inputs!$B$29,IF(Skills!C8=2,90+Inputs!$B$26+Inputs!$B$29,IF(Skills!C8=3,120+Inputs!$B$27+Inputs!$B$29,MAX(0,(Inputs!$B$3-100)*3)+Inputs!$B$28+Inputs!$B$29)))</f>
        <v/>
      </c>
      <c r="E457">
        <f>INDEX(FactorTable!$B$2:$Y$301, MATCH(ROUND(MIN(300,MAX(1,D457)),0), FactorTable!$A$2:$A$301,0), Skills!M8+1)</f>
        <v/>
      </c>
      <c r="F457">
        <f>IF(Skills!N8=TRUE,(Skills!L8/10)*(E457/1000),Skills!L8/10)+Skills!O8</f>
        <v/>
      </c>
      <c r="G457">
        <f>Skills!G8*IF(Skills!H8&gt;0,Skills!I8/Skills!H8,1)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457)</f>
        <v/>
      </c>
      <c r="L457">
        <f>K457*(MIN(Inputs!$B$22+((C471=TRUE)*(F471-Calc!F22)),((Inputs!$B$23+1)+((C473=TRUE)*(F473-Calc!F24))+(IF(ArtifactsInput!$M$15,CHOOSE(ArtifactsInput!$N$15+1,25,30,35,40,45,50)/100*(Inputs!$B$11-Inputs!$B$11),0))))/100+((Inputs!$B$23+1)+((C473=TRUE)*(F473-Calc!F24))+(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IFERROR(1/(IF(Inputs!$B$38="pvp",15,MAX(0.1,Skills!D8-IF(Skills!E8=TRUE,Inputs!$B$32,0)))*(1-IF(AND(ArtifactsInput!$M$27,Inputs!$B$4="Chapter Hunt"),CHOOSE(ArtifactsInput!$N$27+1,20,24,28,32,36,40),0)/100)),0)</f>
        <v/>
      </c>
      <c r="R457">
        <f>IF(AND(Inputs!$B$38&lt;&gt;"pvp",Inputs!$B$43&gt;0),IF(MAX(0,Inputs!$B$43-B485)&lt;=0,0,(INT(MAX(0,Inputs!$B$43-B485)/(IF(Inputs!$B$38="pvp",15,MAX(0.1,Skills!D8-IF(Skills!E8=TRUE,Inputs!$B$32,0)))*(1-IF(AND(ArtifactsInput!$M$27,Inputs!$B$4="Chapter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Inputs!$B$3&gt;=69</f>
        <v/>
      </c>
      <c r="D458">
        <f>IF(Skills!C9=1,60+Inputs!$B$25+Inputs!$B$29,IF(Skills!C9=2,90+Inputs!$B$26+Inputs!$B$29,IF(Skills!C9=3,120+Inputs!$B$27+Inputs!$B$29,MAX(0,(Inputs!$B$3-100)*3)+Inputs!$B$28+Inputs!$B$29)))</f>
        <v/>
      </c>
      <c r="E458">
        <f>INDEX(FactorTable!$B$2:$Y$301, MATCH(ROUND(MIN(300,MAX(1,D458)),0), FactorTable!$A$2:$A$301,0), Skills!M9+1)</f>
        <v/>
      </c>
      <c r="F458">
        <f>IF(Skills!N9=TRUE,(Skills!L9/10)*(E458/1000),Skills!L9/10)+Skills!O9</f>
        <v/>
      </c>
      <c r="G458">
        <f>Skills!G9*IF(Skills!H9&gt;0,Skills!I9/Skills!H9,1)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9="ENHANCED_RAGING_BLOW",IF(Inputs!$B$3&gt;=134,MAX(0,IF(Inputs!$B$3&gt;=110,7,5)-5)*50,0),0)/100)*(1+(IF(Skills!A9="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458)</f>
        <v/>
      </c>
      <c r="L458">
        <f>K458*(MIN(Inputs!$B$22+((C471=TRUE)*(F471-Calc!F22)),((Inputs!$B$23+1)+((C473=TRUE)*(F473-Calc!F24))+(IF(ArtifactsInput!$M$15,CHOOSE(ArtifactsInput!$N$15+1,25,30,35,40,45,50)/100*(Inputs!$B$11-Inputs!$B$11),0))))/100+((Inputs!$B$23+1)+((C473=TRUE)*(F473-Calc!F24))+(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IFERROR(1/(IF(Inputs!$B$38="pvp",15,MAX(0.1,Skills!D9-IF(Skills!E9=TRUE,Inputs!$B$32,0)))*(1-IF(AND(ArtifactsInput!$M$27,Inputs!$B$4="Chapter Hunt"),CHOOSE(ArtifactsInput!$N$27+1,20,24,28,32,36,40),0)/100)),0)</f>
        <v/>
      </c>
      <c r="R458">
        <f>IF(AND(Inputs!$B$38&lt;&gt;"pvp",Inputs!$B$43&gt;0),IF(MAX(0,Inputs!$B$43-B485)&lt;=0,0,(INT(MAX(0,Inputs!$B$43-B485)/(IF(Inputs!$B$38="pvp",15,MAX(0.1,Skills!D9-IF(Skills!E9=TRUE,Inputs!$B$32,0)))*(1-IF(AND(ArtifactsInput!$M$27,Inputs!$B$4="Chapter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Inputs!$B$3&gt;=63</f>
        <v/>
      </c>
      <c r="D459">
        <f>IF(Skills!C10=1,60+Inputs!$B$25+Inputs!$B$29,IF(Skills!C10=2,90+Inputs!$B$26+Inputs!$B$29,IF(Skills!C10=3,120+Inputs!$B$27+Inputs!$B$29,MAX(0,(Inputs!$B$3-100)*3)+Inputs!$B$28+Inputs!$B$29)))</f>
        <v/>
      </c>
      <c r="E459">
        <f>INDEX(FactorTable!$B$2:$Y$301, MATCH(ROUND(MIN(300,MAX(1,D459)),0), FactorTable!$A$2:$A$301,0), Skills!M10+1)</f>
        <v/>
      </c>
      <c r="F459">
        <f>IF(Skills!N10=TRUE,(Skills!L10/10)*(E459/1000),Skills!L10/10)+Skills!O10</f>
        <v/>
      </c>
      <c r="G459">
        <f>Skills!G10*IF(Skills!H10&gt;0,Skills!I10/Skills!H10,1)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10="ENHANCED_RAGING_BLOW",IF(Inputs!$B$3&gt;=134,MAX(0,IF(Inputs!$B$3&gt;=110,7,5)-5)*50,0),0)/100)*(1+(IF(Skills!A10="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459)</f>
        <v/>
      </c>
      <c r="L459">
        <f>K459*(MIN(Inputs!$B$22+((C471=TRUE)*(F471-Calc!F22)),((Inputs!$B$23+1)+((C473=TRUE)*(F473-Calc!F24))+(IF(ArtifactsInput!$M$15,CHOOSE(ArtifactsInput!$N$15+1,25,30,35,40,45,50)/100*(Inputs!$B$11-Inputs!$B$11),0))))/100+((Inputs!$B$23+1)+((C473=TRUE)*(F473-Calc!F24))+(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IFERROR(1/(IF(Inputs!$B$38="pvp",15,MAX(0.1,Skills!D10-IF(Skills!E10=TRUE,Inputs!$B$32,0)))*(1-IF(AND(ArtifactsInput!$M$27,Inputs!$B$4="Chapter Hunt"),CHOOSE(ArtifactsInput!$N$27+1,20,24,28,32,36,40),0)/100)),0)</f>
        <v/>
      </c>
      <c r="R459">
        <f>IF(AND(Inputs!$B$38&lt;&gt;"pvp",Inputs!$B$43&gt;0),IF(MAX(0,Inputs!$B$43-B485)&lt;=0,0,(INT(MAX(0,Inputs!$B$43-B485)/(IF(Inputs!$B$38="pvp",15,MAX(0.1,Skills!D10-IF(Skills!E10=TRUE,Inputs!$B$32,0)))*(1-IF(AND(ArtifactsInput!$M$27,Inputs!$B$4="Chapter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Inputs!$B$3&gt;=35</f>
        <v/>
      </c>
      <c r="D460">
        <f>IF(Skills!C11=1,60+Inputs!$B$25+Inputs!$B$29,IF(Skills!C11=2,90+Inputs!$B$26+Inputs!$B$29,IF(Skills!C11=3,120+Inputs!$B$27+Inputs!$B$29,MAX(0,(Inputs!$B$3-100)*3)+Inputs!$B$28+Inputs!$B$29)))</f>
        <v/>
      </c>
      <c r="E460">
        <f>INDEX(FactorTable!$B$2:$Y$301, MATCH(ROUND(MIN(300,MAX(1,D460)),0), FactorTable!$A$2:$A$301,0), Skills!M11+1)</f>
        <v/>
      </c>
      <c r="F460">
        <f>IF(Skills!N11=TRUE,(Skills!L11/10)*(E460/1000),Skills!L11/10)+Skills!O11</f>
        <v/>
      </c>
      <c r="G460">
        <f>Skills!G11*IF(Skills!H11&gt;0,Skills!I11/Skills!H11,1)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11="ENHANCED_RAGING_BLOW",IF(Inputs!$B$3&gt;=134,MAX(0,IF(Inputs!$B$3&gt;=110,7,5)-5)*50,0),0)/100)*(1+(IF(Skills!A11="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460)</f>
        <v/>
      </c>
      <c r="L460">
        <f>K460*(MIN(Inputs!$B$22+((C471=TRUE)*(F471-Calc!F22)),((Inputs!$B$23+1)+((C473=TRUE)*(F473-Calc!F24))+(IF(ArtifactsInput!$M$15,CHOOSE(ArtifactsInput!$N$15+1,25,30,35,40,45,50)/100*(Inputs!$B$11-Inputs!$B$11),0))))/100+((Inputs!$B$23+1)+((C473=TRUE)*(F473-Calc!F24))+(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IFERROR(1/(IF(Inputs!$B$38="pvp",15,MAX(0.1,Skills!D11-IF(Skills!E11=TRUE,Inputs!$B$32,0)))*(1-IF(AND(ArtifactsInput!$M$27,Inputs!$B$4="Chapter Hunt"),CHOOSE(ArtifactsInput!$N$27+1,20,24,28,32,36,40),0)/100)),0)</f>
        <v/>
      </c>
      <c r="R460">
        <f>IF(AND(Inputs!$B$38&lt;&gt;"pvp",Inputs!$B$43&gt;0),IF(MAX(0,Inputs!$B$43-B485)&lt;=0,0,(INT(MAX(0,Inputs!$B$43-B485)/(IF(Inputs!$B$38="pvp",15,MAX(0.1,Skills!D11-IF(Skills!E11=TRUE,Inputs!$B$32,0)))*(1-IF(AND(ArtifactsInput!$M$27,Inputs!$B$4="Chapter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INDEX(FactorTable!$B$2:$Y$301, MATCH(ROUND(MIN(300,MAX(1,D461)),0),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INDEX(FactorTable!$B$2:$Y$301, MATCH(ROUND(MIN(300,MAX(1,D462)),0), FactorTable!$A$2:$A$301,0), Skills!M13+1)</f>
        <v/>
      </c>
      <c r="F462">
        <f>IF(Skills!N13=TRUE,(Skills!L13/10)*(E462/1000),Skills!L13/10)+Skills!O13</f>
        <v/>
      </c>
      <c r="G462">
        <f>Skills!G13*IF(Skills!H13&gt;0,Skills!I13/Skills!H13,1)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Inputs!$B$3&gt;=75</f>
        <v/>
      </c>
      <c r="D463">
        <f>IF(Skills!C14=1,60+Inputs!$B$25+Inputs!$B$29,IF(Skills!C14=2,90+Inputs!$B$26+Inputs!$B$29,IF(Skills!C14=3,120+Inputs!$B$27+Inputs!$B$29,MAX(0,(Inputs!$B$3-100)*3)+Inputs!$B$28+Inputs!$B$29)))</f>
        <v/>
      </c>
      <c r="E463">
        <f>INDEX(FactorTable!$B$2:$Y$301, MATCH(ROUND(MIN(300,MAX(1,D463)),0), FactorTable!$A$2:$A$301,0), Skills!M14+1)</f>
        <v/>
      </c>
      <c r="F463">
        <f>IF(Skills!N14=TRUE,(Skills!L14/10)*(E463/1000),Skills!L14/10)+Skills!O14</f>
        <v/>
      </c>
      <c r="G463">
        <f>Skills!G14*IF(Skills!H14&gt;0,Skills!I14/Skills!H14,1)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Inputs!$B$3&gt;=40</f>
        <v/>
      </c>
      <c r="D464">
        <f>IF(Skills!C15=1,60+Inputs!$B$25+Inputs!$B$29,IF(Skills!C15=2,90+Inputs!$B$26+Inputs!$B$29,IF(Skills!C15=3,120+Inputs!$B$27+Inputs!$B$29,MAX(0,(Inputs!$B$3-100)*3)+Inputs!$B$28+Inputs!$B$29)))</f>
        <v/>
      </c>
      <c r="E464">
        <f>INDEX(FactorTable!$B$2:$Y$301, MATCH(ROUND(MIN(300,MAX(1,D464)),0), FactorTable!$A$2:$A$301,0), Skills!M15+1)</f>
        <v/>
      </c>
      <c r="F464">
        <f>IF(Skills!N15=TRUE,(Skills!L15/10)*(E464/1000),Skills!L15/10)+Skills!O15</f>
        <v/>
      </c>
      <c r="G464">
        <f>Skills!G15*IF(Skills!H15&gt;0,Skills!I15/Skills!H15,1)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IFERROR(1/(IF(Inputs!$B$38="pvp",15,MAX(0.1,Skills!D15-IF(Skills!E15=TRUE,Inputs!$B$32,0)))*(1-IF(AND(ArtifactsInput!$M$27,Inputs!$B$4="Chapter Hunt"),CHOOSE(ArtifactsInput!$N$27+1,20,24,28,32,36,40),0)/100)),0)</f>
        <v/>
      </c>
      <c r="R464">
        <f>IF(AND(Inputs!$B$38&lt;&gt;"pvp",Inputs!$B$43&gt;0),IF(Inputs!$B$43&lt;=0,0,(INT(Inputs!$B$43/(IF(Inputs!$B$38="pvp",15,MAX(0.1,Skills!D15-IF(Skills!E15=TRUE,Inputs!$B$32,0)))*(1-IF(AND(ArtifactsInput!$M$27,Inputs!$B$4="Chapter Hunt"),CHOOSE(ArtifactsInput!$N$27+1,20,24,28,32,36,40),0)/100)))+1)),0)</f>
        <v/>
      </c>
      <c r="S464">
        <f>IFERROR(O464/N464,0)</f>
        <v/>
      </c>
      <c r="T464" t="n">
        <v>0</v>
      </c>
      <c r="V464" t="n">
        <v>0</v>
      </c>
    </row>
    <row r="465">
      <c r="A465">
        <f>Skills!A16</f>
        <v/>
      </c>
      <c r="B465">
        <f>Skills!B16</f>
        <v/>
      </c>
      <c r="C465">
        <f>Inputs!$B$3&gt;=66</f>
        <v/>
      </c>
      <c r="D465">
        <f>IF(Skills!C16=1,60+Inputs!$B$25+Inputs!$B$29,IF(Skills!C16=2,90+Inputs!$B$26+Inputs!$B$29,IF(Skills!C16=3,120+Inputs!$B$27+Inputs!$B$29,MAX(0,(Inputs!$B$3-100)*3)+Inputs!$B$28+Inputs!$B$29)))</f>
        <v/>
      </c>
      <c r="E465">
        <f>INDEX(FactorTable!$B$2:$Y$301, MATCH(ROUND(MIN(300,MAX(1,D465)),0), FactorTable!$A$2:$A$301,0), Skills!M16+1)</f>
        <v/>
      </c>
      <c r="F465">
        <f>IF(Skills!N16=TRUE,(Skills!L16/10)*(E465/1000),Skills!L16/10)+Skills!O16</f>
        <v/>
      </c>
      <c r="G465">
        <f>Skills!G16*IF(Skills!H16&gt;0,Skills!I16/Skills!H16,1)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IFERROR(1/(IF(Inputs!$B$38="pvp",15,MAX(0.1,Skills!D16-IF(Skills!E16=TRUE,Inputs!$B$32,0)))*(1-IF(AND(ArtifactsInput!$M$27,Inputs!$B$4="Chapter Hunt"),CHOOSE(ArtifactsInput!$N$27+1,20,24,28,32,36,40),0)/100)),0)</f>
        <v/>
      </c>
      <c r="R465">
        <f>IF(AND(Inputs!$B$38&lt;&gt;"pvp",Inputs!$B$43&gt;0),IF(Inputs!$B$43&lt;=0,0,(INT(Inputs!$B$43/(IF(Inputs!$B$38="pvp",15,MAX(0.1,Skills!D16-IF(Skills!E16=TRUE,Inputs!$B$32,0)))*(1-IF(AND(ArtifactsInput!$M$27,Inputs!$B$4="Chapter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INDEX(FactorTable!$B$2:$Y$301, MATCH(ROUND(MIN(300,MAX(1,D466)),0), FactorTable!$A$2:$A$301,0), Skills!M17+1)</f>
        <v/>
      </c>
      <c r="F466">
        <f>IF(Skills!N17=TRUE,(Skills!L17/10)*(E466/1000),Skills!L17/10)+Skills!O17</f>
        <v/>
      </c>
      <c r="G466">
        <f>Skills!G17*IF(Skills!H17&gt;0,Skills!I17/Skills!H17,1)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IFERROR(1/(IF(Inputs!$B$38="pvp",15,MAX(0.1,Skills!D17-IF(Skills!E17=TRUE,Inputs!$B$32,0)))*(1-IF(AND(ArtifactsInput!$M$27,Inputs!$B$4="Chapter Hunt"),CHOOSE(ArtifactsInput!$N$27+1,20,24,28,32,36,40),0)/100)),0)</f>
        <v/>
      </c>
      <c r="R466">
        <f>IF(AND(Inputs!$B$38&lt;&gt;"pvp",Inputs!$B$43&gt;0),IF(Inputs!$B$43&lt;=0,0,(INT(Inputs!$B$43/(IF(Inputs!$B$38="pvp",15,MAX(0.1,Skills!D17-IF(Skills!E17=TRUE,Inputs!$B$32,0)))*(1-IF(AND(ArtifactsInput!$M$27,Inputs!$B$4="Chapter Hunt"),CHOOSE(ArtifactsInput!$N$27+1,20,24,28,32,36,40),0)/100)))+1)),0)</f>
        <v/>
      </c>
      <c r="S466">
        <f>IFERROR(O466/N466,0)</f>
        <v/>
      </c>
      <c r="T466" t="n">
        <v>0</v>
      </c>
      <c r="V466" t="n">
        <v>0</v>
      </c>
    </row>
    <row r="467">
      <c r="A467">
        <f>Skills!A18</f>
        <v/>
      </c>
      <c r="B467">
        <f>Skills!B18</f>
        <v/>
      </c>
      <c r="C467">
        <f>Inputs!$B$3&gt;=115</f>
        <v/>
      </c>
      <c r="D467">
        <f>IF(Skills!C18=1,60+Inputs!$B$25+Inputs!$B$29,IF(Skills!C18=2,90+Inputs!$B$26+Inputs!$B$29,IF(Skills!C18=3,120+Inputs!$B$27+Inputs!$B$29,MAX(0,(Inputs!$B$3-100)*3)+Inputs!$B$28+Inputs!$B$29)))</f>
        <v/>
      </c>
      <c r="E467">
        <f>INDEX(FactorTable!$B$2:$Y$301, MATCH(ROUND(MIN(300,MAX(1,D467)),0), FactorTable!$A$2:$A$301,0), Skills!M18+1)</f>
        <v/>
      </c>
      <c r="F467">
        <f>IF(Skills!N18=TRUE,(Skills!L18/10)*(E467/1000),Skills!L18/10)+Skills!O18</f>
        <v/>
      </c>
      <c r="G467">
        <f>Skills!G18*IF(Skills!H18&gt;0,Skills!I18/Skills!H18,1)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IFERROR(1/(IF(Inputs!$B$38="pvp",15,MAX(0.1,Skills!D18-IF(Skills!E18=TRUE,Inputs!$B$32,0)))*(1-IF(AND(ArtifactsInput!$M$27,Inputs!$B$4="Chapter Hunt"),CHOOSE(ArtifactsInput!$N$27+1,20,24,28,32,36,40),0)/100)),0)</f>
        <v/>
      </c>
      <c r="R467">
        <f>IF(AND(Inputs!$B$38&lt;&gt;"pvp",Inputs!$B$43&gt;0),IF(Inputs!$B$43&lt;=0,0,(INT(Inputs!$B$43/(IF(Inputs!$B$38="pvp",15,MAX(0.1,Skills!D18-IF(Skills!E18=TRUE,Inputs!$B$32,0)))*(1-IF(AND(ArtifactsInput!$M$27,Inputs!$B$4="Chapter Hunt"),CHOOSE(ArtifactsInput!$N$27+1,20,24,28,32,36,40),0)/100)))+1)),0)</f>
        <v/>
      </c>
      <c r="S467">
        <f>IFERROR(O467/N467,0)</f>
        <v/>
      </c>
      <c r="T467" t="n">
        <v>0</v>
      </c>
      <c r="V467" t="n">
        <v>0</v>
      </c>
    </row>
    <row r="468">
      <c r="A468">
        <f>Skills!A19</f>
        <v/>
      </c>
      <c r="B468">
        <f>Skills!B19</f>
        <v/>
      </c>
      <c r="C468">
        <f>TRUE</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IFERROR(1/(IF(Inputs!$B$38="pvp",15,MAX(0.1,Skills!D19-IF(Skills!E19=TRUE,Inputs!$B$32,0)))*(1-IF(AND(ArtifactsInput!$M$27,Inputs!$B$4="Chapter Hunt"),CHOOSE(ArtifactsInput!$N$27+1,20,24,28,32,36,40),0)/100)),0)</f>
        <v/>
      </c>
      <c r="R468">
        <f>IF(AND(Inputs!$B$38&lt;&gt;"pvp",Inputs!$B$43&gt;0),IF(Inputs!$B$43&lt;=0,0,(INT(Inputs!$B$43/(IF(Inputs!$B$38="pvp",15,MAX(0.1,Skills!D19-IF(Skills!E19=TRUE,Inputs!$B$32,0)))*(1-IF(AND(ArtifactsInput!$M$27,Inputs!$B$4="Chapter Hunt"),CHOOSE(ArtifactsInput!$N$27+1,20,24,28,32,36,40),0)/100)))+1)),0)</f>
        <v/>
      </c>
      <c r="S468">
        <f>IFERROR(O468/N468,0)</f>
        <v/>
      </c>
      <c r="T468" t="n">
        <v>0</v>
      </c>
      <c r="V468" t="n">
        <v>0</v>
      </c>
    </row>
    <row r="469">
      <c r="A469">
        <f>Skills!A20</f>
        <v/>
      </c>
      <c r="B469">
        <f>Skills!B20</f>
        <v/>
      </c>
      <c r="C469">
        <f>Inputs!$B$3&gt;=33</f>
        <v/>
      </c>
      <c r="D469">
        <f>IF(Skills!C20=1,60+Inputs!$B$25+Inputs!$B$29,IF(Skills!C20=2,90+Inputs!$B$26+Inputs!$B$29,IF(Skills!C20=3,120+Inputs!$B$27+Inputs!$B$29,MAX(0,(Inputs!$B$3-100)*3)+Inputs!$B$28+Inputs!$B$29)))</f>
        <v/>
      </c>
      <c r="E469">
        <f>INDEX(FactorTable!$B$2:$Y$301, MATCH(ROUND(MIN(300,MAX(1,D469)),0), FactorTable!$A$2:$A$301,0), Skills!M20+1)</f>
        <v/>
      </c>
      <c r="F469">
        <f>IF(Skills!N20=TRUE,(Skills!L20/10)*(E469/1000),Skills!L20/10)+Skills!O20</f>
        <v/>
      </c>
      <c r="G469">
        <f>Skills!G20*IF(Skills!H20&gt;0,Skills!I20/Skills!H20,1)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Inputs!$B$3&gt;=38</f>
        <v/>
      </c>
      <c r="D470">
        <f>IF(Skills!C21=1,60+Inputs!$B$25+Inputs!$B$29,IF(Skills!C21=2,90+Inputs!$B$26+Inputs!$B$29,IF(Skills!C21=3,120+Inputs!$B$27+Inputs!$B$29,MAX(0,(Inputs!$B$3-100)*3)+Inputs!$B$28+Inputs!$B$29)))</f>
        <v/>
      </c>
      <c r="E470">
        <f>INDEX(FactorTable!$B$2:$Y$301, MATCH(ROUND(MIN(300,MAX(1,D470)),0), FactorTable!$A$2:$A$301,0), Skills!M21+1)</f>
        <v/>
      </c>
      <c r="F470">
        <f>IF(Skills!N21=TRUE,(Skills!L21/10)*(E470/1000),Skills!L21/10)+Skills!O21</f>
        <v/>
      </c>
      <c r="G470">
        <f>Skills!G21*IF(Skills!H21&gt;0,Skills!I21/Skills!H21,1)</f>
        <v/>
      </c>
      <c r="H470">
        <f>1-(1-Skills!J21/100)^Skills!K21</f>
        <v/>
      </c>
      <c r="I470" t="inlineStr">
        <is>
          <t>1</t>
        </is>
      </c>
      <c r="J470" t="inlineStr"/>
      <c r="K470" t="inlineStr"/>
      <c r="L470" t="inlineStr"/>
      <c r="M470" t="inlineStr"/>
      <c r="N470" t="inlineStr"/>
      <c r="O470">
        <f>(1-Summary!$B$11)*T470+Summary!$B$11*V470</f>
        <v/>
      </c>
      <c r="P470">
        <f>IF(B488=0,0,O470/B488)</f>
        <v/>
      </c>
      <c r="Q470" t="n">
        <v>0</v>
      </c>
      <c r="R470" t="n">
        <v>0</v>
      </c>
      <c r="S470">
        <f>IFERROR(O470/N470,0)</f>
        <v/>
      </c>
      <c r="T470" t="n">
        <v>0</v>
      </c>
      <c r="V470" t="n">
        <v>0</v>
      </c>
    </row>
    <row r="471">
      <c r="A471">
        <f>Skills!A22</f>
        <v/>
      </c>
      <c r="B471">
        <f>Skills!B22</f>
        <v/>
      </c>
      <c r="C471">
        <f>Inputs!$B$3&gt;=43</f>
        <v/>
      </c>
      <c r="D471">
        <f>IF(Skills!C22=1,60+Inputs!$B$25+Inputs!$B$29,IF(Skills!C22=2,90+Inputs!$B$26+Inputs!$B$29,IF(Skills!C22=3,120+Inputs!$B$27+Inputs!$B$29,MAX(0,(Inputs!$B$3-100)*3)+Inputs!$B$28+Inputs!$B$29)))</f>
        <v/>
      </c>
      <c r="E471">
        <f>INDEX(FactorTable!$B$2:$Y$301, MATCH(ROUND(MIN(300,MAX(1,D471)),0), FactorTable!$A$2:$A$301,0), Skills!M22+1)</f>
        <v/>
      </c>
      <c r="F471">
        <f>IF(Skills!N22=TRUE,(Skills!L22/10)*(E471/1000),Skills!L22/10)+Skills!O22</f>
        <v/>
      </c>
      <c r="G471">
        <f>Skills!G22*IF(Skills!H22&gt;0,Skills!I22/Skills!H22,1)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Inputs!$B$3&gt;=120</f>
        <v/>
      </c>
      <c r="D472">
        <f>IF(Skills!C23=1,60+Inputs!$B$25+Inputs!$B$29,IF(Skills!C23=2,90+Inputs!$B$26+Inputs!$B$29,IF(Skills!C23=3,120+Inputs!$B$27+Inputs!$B$29,MAX(0,(Inputs!$B$3-100)*3)+Inputs!$B$28+Inputs!$B$29)))</f>
        <v/>
      </c>
      <c r="E472">
        <f>INDEX(FactorTable!$B$2:$Y$301, MATCH(ROUND(MIN(300,MAX(1,D472)),0), FactorTable!$A$2:$A$301,0), Skills!M23+1)</f>
        <v/>
      </c>
      <c r="F472">
        <f>IF(Skills!N23=TRUE,(Skills!L23/10)*(E472/1000),Skills!L23/10)+Skills!O23</f>
        <v/>
      </c>
      <c r="G472">
        <f>Skills!G23*IF(Skills!H23&gt;0,Skills!I23/Skills!H23,1)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Inputs!$B$3&gt;=120</f>
        <v/>
      </c>
      <c r="D473">
        <f>IF(Skills!C24=1,60+Inputs!$B$25+Inputs!$B$29,IF(Skills!C24=2,90+Inputs!$B$26+Inputs!$B$29,IF(Skills!C24=3,120+Inputs!$B$27+Inputs!$B$29,MAX(0,(Inputs!$B$3-100)*3)+Inputs!$B$28+Inputs!$B$29)))</f>
        <v/>
      </c>
      <c r="E473">
        <f>INDEX(FactorTable!$B$2:$Y$301, MATCH(ROUND(MIN(300,MAX(1,D473)),0), FactorTable!$A$2:$A$301,0), Skills!M24+1)</f>
        <v/>
      </c>
      <c r="F473">
        <f>IF(Skills!N24=TRUE,(Skills!L24/10)*(E473/1000),Skills!L24/10)+Skills!O24</f>
        <v/>
      </c>
      <c r="G473">
        <f>Skills!G24*IF(Skills!H24&gt;0,Skills!I24/Skills!H24,1)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Inputs!$B$3&gt;=125</f>
        <v/>
      </c>
      <c r="D474">
        <f>IF(Skills!C25=1,60+Inputs!$B$25+Inputs!$B$29,IF(Skills!C25=2,90+Inputs!$B$26+Inputs!$B$29,IF(Skills!C25=3,120+Inputs!$B$27+Inputs!$B$29,MAX(0,(Inputs!$B$3-100)*3)+Inputs!$B$28+Inputs!$B$29)))</f>
        <v/>
      </c>
      <c r="E474">
        <f>INDEX(FactorTable!$B$2:$Y$301, MATCH(ROUND(MIN(300,MAX(1,D474)),0), FactorTable!$A$2:$A$301,0), Skills!M25+1)</f>
        <v/>
      </c>
      <c r="F474">
        <f>IF(Skills!N25=TRUE,(Skills!L25/10)*(E474/1000),Skills!L25/10)+Skills!O25</f>
        <v/>
      </c>
      <c r="G474">
        <f>Skills!G25*IF(Skills!H25&gt;0,Skills!I25/Skills!H25,1)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Inputs!$B$3&gt;=72</f>
        <v/>
      </c>
      <c r="D475">
        <f>IF(Skills!C26=1,60+Inputs!$B$25+Inputs!$B$29,IF(Skills!C26=2,90+Inputs!$B$26+Inputs!$B$29,IF(Skills!C26=3,120+Inputs!$B$27+Inputs!$B$29,MAX(0,(Inputs!$B$3-100)*3)+Inputs!$B$28+Inputs!$B$29)))</f>
        <v/>
      </c>
      <c r="E475">
        <f>INDEX(FactorTable!$B$2:$Y$301, MATCH(ROUND(MIN(300,MAX(1,D475)),0), FactorTable!$A$2:$A$301,0), Skills!M26+1)</f>
        <v/>
      </c>
      <c r="F475">
        <f>IF(Skills!N26=TRUE,(Skills!L26/10)*(E475/1000),Skills!L26/10)+Skills!O26</f>
        <v/>
      </c>
      <c r="G475">
        <f>Skills!G26*IF(Skills!H26&gt;0,Skills!I26/Skills!H26,1)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468=TRUE)*F468*IF(AND(Inputs!$B$38&lt;&gt;"pvp",Inputs!$B$43&gt;0),(((R468-1)*(Skills!T19*(1+(Inputs!$B$34+(ArtifactsInput!$M$7-ArtifactsInput!$M$7)*CHOOSE(ArtifactsInput!$N$7+1,6,7.2,8.4,9.6,10.8,12))/100))+MIN((Skills!T19*(1+(Inputs!$B$34+(ArtifactsInput!$M$7-ArtifactsInput!$M$7)*CHOOSE(ArtifactsInput!$N$7+1,6,7.2,8.4,9.6,10.8,12))/100)),MAX(0,Inputs!$B$43-((R468-1)*Skills!D19))))/Inputs!$B$43),IF(Inputs!$B$38="pvp",MIN((Skills!T19*(1+(Inputs!$B$34+(ArtifactsInput!$M$7-ArtifactsInput!$M$7)*CHOOSE(ArtifactsInput!$N$7+1,6,7.2,8.4,9.6,10.8,12))/100)),15)/15,(Skills!T19*(1+(Inputs!$B$34+(ArtifactsInput!$M$7-ArtifactsInput!$M$7)*CHOOSE(ArtifactsInput!$N$7+1,6,7.2,8.4,9.6,10.8,12))/100))/Skills!D19)))</f>
        <v/>
      </c>
    </row>
    <row r="480">
      <c r="A480" t="inlineStr">
        <is>
          <t>Actions Per Second</t>
        </is>
      </c>
      <c r="B480">
        <f>1+MIN(150,150*(1-(1-(Inputs!$B$11+((C469=TRUE)*(F469-Calc!F20)))/150)*(1-B479/150)))/100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Raging Blow Casts Per Second</t>
        </is>
      </c>
      <c r="B482">
        <f>MAX(0,B480-B481)</f>
        <v/>
      </c>
    </row>
    <row r="483">
      <c r="A483" t="inlineStr">
        <is>
          <t>Global Critical Damage Bonus % (Enrage)</t>
        </is>
      </c>
      <c r="B483">
        <f>((C467=TRUE)*F467*IF(AND(Inputs!$B$38&lt;&gt;"pvp",Inputs!$B$43&gt;0),(((R467-1)*(Skills!T18*(1+(Inputs!$B$34+(ArtifactsInput!$M$7-ArtifactsInput!$M$7)*CHOOSE(ArtifactsInput!$N$7+1,6,7.2,8.4,9.6,10.8,12))/100))+MIN((Skills!T18*(1+(Inputs!$B$34+(ArtifactsInput!$M$7-ArtifactsInput!$M$7)*CHOOSE(ArtifactsInput!$N$7+1,6,7.2,8.4,9.6,10.8,12))/100)),MAX(0,Inputs!$B$43-((R467-1)*Skills!D18))))/Inputs!$B$43),IF(Inputs!$B$38="pvp",MIN((Skills!T18*(1+(Inputs!$B$34+(ArtifactsInput!$M$7-ArtifactsInput!$M$7)*CHOOSE(ArtifactsInput!$N$7+1,6,7.2,8.4,9.6,10.8,12))/100)),15)/15,(Skills!T18*(1+(Inputs!$B$34+(ArtifactsInput!$M$7-ArtifactsInput!$M$7)*CHOOSE(ArtifactsInput!$N$7+1,6,7.2,8.4,9.6,10.8,12))/100))/Skills!D18)))</f>
        <v/>
      </c>
    </row>
    <row r="484">
      <c r="A484" t="inlineStr">
        <is>
          <t>Global Final Damage Bonus % (Enrage + Combo Synergy)</t>
        </is>
      </c>
      <c r="B484">
        <f>((C466=TRUE)*F466*IF(AND(Inputs!$B$38&lt;&gt;"pvp",Inputs!$B$43&gt;0),(((R466-1)*(Skills!T17*(1+(Inputs!$B$34+(ArtifactsInput!$M$7-ArtifactsInput!$M$7)*CHOOSE(ArtifactsInput!$N$7+1,6,7.2,8.4,9.6,10.8,12))/100))+MIN((Skills!T17*(1+(Inputs!$B$34+(ArtifactsInput!$M$7-ArtifactsInput!$M$7)*CHOOSE(ArtifactsInput!$N$7+1,6,7.2,8.4,9.6,10.8,12))/100)),MAX(0,Inputs!$B$43-((R466-1)*Skills!D17))))/Inputs!$B$43),IF(Inputs!$B$38="pvp",MIN((Skills!T17*(1+(Inputs!$B$34+(ArtifactsInput!$M$7-ArtifactsInput!$M$7)*CHOOSE(ArtifactsInput!$N$7+1,6,7.2,8.4,9.6,10.8,12))/100)),15)/15,(Skills!T17*(1+(Inputs!$B$34+(ArtifactsInput!$M$7-ArtifactsInput!$M$7)*CHOOSE(ArtifactsInput!$N$7+1,6,7.2,8.4,9.6,10.8,12))/100))/Skills!D17)))+((C463=TRUE)*F463*IF(Inputs!$B$3&gt;=110,7,5))</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493)</f>
        <v/>
      </c>
      <c r="L493">
        <f>K493*(MIN(Inputs!$B$22+((C513=TRUE)*(F513-Calc!F22)),(Inputs!$B$23+((C515=TRUE)*(F515-Calc!F24))+(IF(ArtifactsInput!$M$15,CHOOSE(ArtifactsInput!$N$15+1,25,30,35,40,45,50)/100*(Inputs!$B$11-Inputs!$B$11),0))))/100+(Inputs!$B$23+((C515=TRUE)*(F515-Calc!F24))+(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INDEX(FactorTable!$B$2:$Y$301, MATCH(ROUND(MIN(300,MAX(1,D494)),0),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INDEX(FactorTable!$B$2:$Y$301, MATCH(ROUND(MIN(300,MAX(1,U493)),0), FactorTable!$A$2:$A$301,0), 22)</f>
        <v/>
      </c>
    </row>
    <row r="495">
      <c r="A495">
        <f>Skills!A4</f>
        <v/>
      </c>
      <c r="B495">
        <f>Skills!B4</f>
        <v/>
      </c>
      <c r="C495">
        <f>Inputs!$B$3&gt;=105</f>
        <v/>
      </c>
      <c r="D495">
        <f>IF(Skills!C4=1,60+Inputs!$B$25+Inputs!$B$29,IF(Skills!C4=2,90+Inputs!$B$26+Inputs!$B$29,IF(Skills!C4=3,120+Inputs!$B$27+Inputs!$B$29,MAX(0,(Inputs!$B$3-100)*3)+Inputs!$B$28+Inputs!$B$29)))</f>
        <v/>
      </c>
      <c r="E495">
        <f>INDEX(FactorTable!$B$2:$Y$301, MATCH(ROUND(MIN(300,MAX(1,D495)),0), FactorTable!$A$2:$A$301,0), Skills!M4+1)</f>
        <v/>
      </c>
      <c r="F495">
        <f>IF(Skills!N4=TRUE,(Skills!L4/10)*(E495/1000),Skills!L4/10)+Skills!O4</f>
        <v/>
      </c>
      <c r="G495" t="inlineStr"/>
      <c r="H495" t="inlineStr"/>
      <c r="I495" t="inlineStr">
        <is>
          <t>1</t>
        </is>
      </c>
      <c r="J495" t="inlineStr"/>
      <c r="K495" t="inlineStr"/>
      <c r="L495" t="inlineStr"/>
      <c r="M495" t="inlineStr"/>
      <c r="N495" t="inlineStr"/>
      <c r="O495" t="inlineStr"/>
      <c r="P495" t="inlineStr"/>
      <c r="Q495" t="inlineStr"/>
      <c r="R495" t="inlineStr"/>
      <c r="S495" t="inlineStr"/>
      <c r="U495">
        <f>290*U494/1000</f>
        <v/>
      </c>
    </row>
    <row r="496">
      <c r="A496">
        <f>Skills!A5</f>
        <v/>
      </c>
      <c r="B496">
        <f>Skills!B5</f>
        <v/>
      </c>
      <c r="C496">
        <f>Inputs!$B$3&gt;=103</f>
        <v/>
      </c>
      <c r="D496">
        <f>IF(Skills!C5=1,60+Inputs!$B$25+Inputs!$B$29,IF(Skills!C5=2,90+Inputs!$B$26+Inputs!$B$29,IF(Skills!C5=3,120+Inputs!$B$27+Inputs!$B$29,MAX(0,(Inputs!$B$3-100)*3)+Inputs!$B$28+Inputs!$B$29)))</f>
        <v/>
      </c>
      <c r="E496">
        <f>INDEX(FactorTable!$B$2:$Y$301, MATCH(ROUND(MIN(300,MAX(1,D496)),0), FactorTable!$A$2:$A$301,0), Skills!M5+1)</f>
        <v/>
      </c>
      <c r="F496">
        <f>IF(Skills!N5=TRUE,(Skills!L5/10)*(E496/1000),Skills!L5/10)+Skills!O5</f>
        <v/>
      </c>
      <c r="G496">
        <f>Skills!G5*IF(Skills!H5&gt;0,Skills!I5/Skills!H5,1)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496)</f>
        <v/>
      </c>
      <c r="L496">
        <f>K496*(MIN(Inputs!$B$22+((C513=TRUE)*(F513-Calc!F22)),(Inputs!$B$23+((C515=TRUE)*(F515-Calc!F24))+(IF(ArtifactsInput!$M$15,CHOOSE(ArtifactsInput!$N$15+1,25,30,35,40,45,50)/100*(Inputs!$B$11-Inputs!$B$11),0))))/100+(Inputs!$B$23+((C515=TRUE)*(F515-Calc!F24))+(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IFERROR(1/(IF(Inputs!$B$38="pvp",15,MAX(0.1,Skills!D5-IF(Skills!E5=TRUE,Inputs!$B$32,0)))*(1-IF(AND(ArtifactsInput!$M$27,Inputs!$B$4="Chapter Hunt"),CHOOSE(ArtifactsInput!$N$27+1,20,24,28,32,36,40),0)/100)),0)</f>
        <v/>
      </c>
      <c r="R496">
        <f>IF(AND(Inputs!$B$38&lt;&gt;"pvp",Inputs!$B$43&gt;0),IF(MAX(0,Inputs!$B$43-B527)&lt;=0,0,(INT(MAX(0,Inputs!$B$43-B527)/(IF(Inputs!$B$38="pvp",15,MAX(0.1,Skills!D5-IF(Skills!E5=TRUE,Inputs!$B$32,0)))*(1-IF(AND(ArtifactsInput!$M$27,Inputs!$B$4="Chapter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INDEX(FactorTable!$B$2:$Y$301, MATCH(ROUND(MIN(300,MAX(1,D497)),0), FactorTable!$A$2:$A$301,0), Skills!M6+1)</f>
        <v/>
      </c>
      <c r="F497">
        <f>IF(Skills!N6=TRUE,(Skills!L6/10)*(E497/1000),Skills!L6/10)+Skills!O6</f>
        <v/>
      </c>
      <c r="G497">
        <f>Skills!G6*IF(Skills!H6&gt;0,Skills!I6/Skills!H6,1)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497)</f>
        <v/>
      </c>
      <c r="L497">
        <f>K497*(MIN(Inputs!$B$22+((C513=TRUE)*(F513-Calc!F22)),(Inputs!$B$23+((C515=TRUE)*(F515-Calc!F24))+(IF(ArtifactsInput!$M$15,CHOOSE(ArtifactsInput!$N$15+1,25,30,35,40,45,50)/100*(Inputs!$B$11-Inputs!$B$11),0))))/100+(Inputs!$B$23+((C515=TRUE)*(F515-Calc!F24))+(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IFERROR(1/(IF(Inputs!$B$38="pvp",15,MAX(0.1,Skills!D6-IF(Skills!E6=TRUE,Inputs!$B$32,0)))*(1-IF(AND(ArtifactsInput!$M$27,Inputs!$B$4="Chapter Hunt"),CHOOSE(ArtifactsInput!$N$27+1,20,24,28,32,36,40),0)/100)),0)</f>
        <v/>
      </c>
      <c r="R497">
        <f>IF(AND(Inputs!$B$38&lt;&gt;"pvp",Inputs!$B$43&gt;0),IF(MAX(0,Inputs!$B$43-B527)&lt;=0,0,(INT(MAX(0,Inputs!$B$43-B527)/(IF(Inputs!$B$38="pvp",15,MAX(0.1,Skills!D6-IF(Skills!E6=TRUE,Inputs!$B$32,0)))*(1-IF(AND(ArtifactsInput!$M$27,Inputs!$B$4="Chapter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INDEX(FactorTable!$B$2:$Y$301, MATCH(ROUND(MIN(300,MAX(1,D498)),0), FactorTable!$A$2:$A$301,0), Skills!M7+1)</f>
        <v/>
      </c>
      <c r="F498">
        <f>IF(Skills!N7=TRUE,(Skills!L7/10)*(E498/1000),Skills!L7/10)+Skills!O7</f>
        <v/>
      </c>
      <c r="G498">
        <f>Skills!G7*IF(Skills!H7&gt;0,Skills!I7/Skills!H7,1)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498)</f>
        <v/>
      </c>
      <c r="L498">
        <f>K498*(MIN(Inputs!$B$22+((C513=TRUE)*(F513-Calc!F22)),(Inputs!$B$23+((C515=TRUE)*(F515-Calc!F24))+(IF(ArtifactsInput!$M$15,CHOOSE(ArtifactsInput!$N$15+1,25,30,35,40,45,50)/100*(Inputs!$B$11-Inputs!$B$11),0))))/100+(Inputs!$B$23+((C515=TRUE)*(F515-Calc!F24))+(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IFERROR(1/(IF(Inputs!$B$38="pvp",15,MAX(0.1,Skills!D7-IF(Skills!E7=TRUE,Inputs!$B$32,0)))*(1-IF(AND(ArtifactsInput!$M$27,Inputs!$B$4="Chapter Hunt"),CHOOSE(ArtifactsInput!$N$27+1,20,24,28,32,36,40),0)/100)),0)</f>
        <v/>
      </c>
      <c r="R498">
        <f>IF(AND(Inputs!$B$38&lt;&gt;"pvp",Inputs!$B$43&gt;0),IF(MAX(0,Inputs!$B$43-B527)&lt;=0,0,(INT(MAX(0,Inputs!$B$43-B527)/(IF(Inputs!$B$38="pvp",15,MAX(0.1,Skills!D7-IF(Skills!E7=TRUE,Inputs!$B$32,0)))*(1-IF(AND(ArtifactsInput!$M$27,Inputs!$B$4="Chapter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Inputs!$B$3&gt;=117</f>
        <v/>
      </c>
      <c r="D499">
        <f>IF(Skills!C8=1,60+Inputs!$B$25+Inputs!$B$29,IF(Skills!C8=2,90+Inputs!$B$26+Inputs!$B$29,IF(Skills!C8=3,120+Inputs!$B$27+Inputs!$B$29,MAX(0,(Inputs!$B$3-100)*3)+Inputs!$B$28+Inputs!$B$29)))</f>
        <v/>
      </c>
      <c r="E499">
        <f>INDEX(FactorTable!$B$2:$Y$301, MATCH(ROUND(MIN(300,MAX(1,D499)),0), FactorTable!$A$2:$A$301,0), Skills!M8+1)</f>
        <v/>
      </c>
      <c r="F499">
        <f>IF(Skills!N8=TRUE,(Skills!L8/10)*(E499/1000),Skills!L8/10)+Skills!O8</f>
        <v/>
      </c>
      <c r="G499">
        <f>Skills!G8*IF(Skills!H8&gt;0,Skills!I8/Skills!H8,1)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499)</f>
        <v/>
      </c>
      <c r="L499">
        <f>K499*(MIN(Inputs!$B$22+((C513=TRUE)*(F513-Calc!F22)),(Inputs!$B$23+((C515=TRUE)*(F515-Calc!F24))+(IF(ArtifactsInput!$M$15,CHOOSE(ArtifactsInput!$N$15+1,25,30,35,40,45,50)/100*(Inputs!$B$11-Inputs!$B$11),0))))/100+(Inputs!$B$23+((C515=TRUE)*(F515-Calc!F24))+(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IFERROR(1/(IF(Inputs!$B$38="pvp",15,MAX(0.1,Skills!D8-IF(Skills!E8=TRUE,Inputs!$B$32,0)))*(1-IF(AND(ArtifactsInput!$M$27,Inputs!$B$4="Chapter Hunt"),CHOOSE(ArtifactsInput!$N$27+1,20,24,28,32,36,40),0)/100)),0)</f>
        <v/>
      </c>
      <c r="R499">
        <f>IF(AND(Inputs!$B$38&lt;&gt;"pvp",Inputs!$B$43&gt;0),IF(MAX(0,Inputs!$B$43-B527)&lt;=0,0,(INT(MAX(0,Inputs!$B$43-B527)/(IF(Inputs!$B$38="pvp",15,MAX(0.1,Skills!D8-IF(Skills!E8=TRUE,Inputs!$B$32,0)))*(1-IF(AND(ArtifactsInput!$M$27,Inputs!$B$4="Chapter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Inputs!$B$3&gt;=69</f>
        <v/>
      </c>
      <c r="D500">
        <f>IF(Skills!C9=1,60+Inputs!$B$25+Inputs!$B$29,IF(Skills!C9=2,90+Inputs!$B$26+Inputs!$B$29,IF(Skills!C9=3,120+Inputs!$B$27+Inputs!$B$29,MAX(0,(Inputs!$B$3-100)*3)+Inputs!$B$28+Inputs!$B$29)))</f>
        <v/>
      </c>
      <c r="E500">
        <f>INDEX(FactorTable!$B$2:$Y$301, MATCH(ROUND(MIN(300,MAX(1,D500)),0), FactorTable!$A$2:$A$301,0), Skills!M9+1)</f>
        <v/>
      </c>
      <c r="F500">
        <f>IF(Skills!N9=TRUE,(Skills!L9/10)*(E500/1000),Skills!L9/10)+Skills!O9</f>
        <v/>
      </c>
      <c r="G500">
        <f>Skills!G9*IF(Skills!H9&gt;0,Skills!I9/Skills!H9,1)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9="ENHANCED_RAGING_BLOW",IF(Inputs!$B$3&gt;=134,MAX(0,IF(Inputs!$B$3&gt;=110,7,5)-5)*50,0),0)/100)*(1+(IF(Skills!A9="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500)</f>
        <v/>
      </c>
      <c r="L500">
        <f>K500*(MIN(Inputs!$B$22+((C513=TRUE)*(F513-Calc!F22)),(Inputs!$B$23+((C515=TRUE)*(F515-Calc!F24))+(IF(ArtifactsInput!$M$15,CHOOSE(ArtifactsInput!$N$15+1,25,30,35,40,45,50)/100*(Inputs!$B$11-Inputs!$B$11),0))))/100+(Inputs!$B$23+((C515=TRUE)*(F515-Calc!F24))+(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IFERROR(1/(IF(Inputs!$B$38="pvp",15,MAX(0.1,Skills!D9-IF(Skills!E9=TRUE,Inputs!$B$32,0)))*(1-IF(AND(ArtifactsInput!$M$27,Inputs!$B$4="Chapter Hunt"),CHOOSE(ArtifactsInput!$N$27+1,20,24,28,32,36,40),0)/100)),0)</f>
        <v/>
      </c>
      <c r="R500">
        <f>IF(AND(Inputs!$B$38&lt;&gt;"pvp",Inputs!$B$43&gt;0),IF(MAX(0,Inputs!$B$43-B527)&lt;=0,0,(INT(MAX(0,Inputs!$B$43-B527)/(IF(Inputs!$B$38="pvp",15,MAX(0.1,Skills!D9-IF(Skills!E9=TRUE,Inputs!$B$32,0)))*(1-IF(AND(ArtifactsInput!$M$27,Inputs!$B$4="Chapter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Inputs!$B$3&gt;=63</f>
        <v/>
      </c>
      <c r="D501">
        <f>IF(Skills!C10=1,60+Inputs!$B$25+Inputs!$B$29,IF(Skills!C10=2,90+Inputs!$B$26+Inputs!$B$29,IF(Skills!C10=3,120+Inputs!$B$27+Inputs!$B$29,MAX(0,(Inputs!$B$3-100)*3)+Inputs!$B$28+Inputs!$B$29)))</f>
        <v/>
      </c>
      <c r="E501">
        <f>INDEX(FactorTable!$B$2:$Y$301, MATCH(ROUND(MIN(300,MAX(1,D501)),0), FactorTable!$A$2:$A$301,0), Skills!M10+1)</f>
        <v/>
      </c>
      <c r="F501">
        <f>IF(Skills!N10=TRUE,(Skills!L10/10)*(E501/1000),Skills!L10/10)+Skills!O10</f>
        <v/>
      </c>
      <c r="G501">
        <f>Skills!G10*IF(Skills!H10&gt;0,Skills!I10/Skills!H10,1)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10="ENHANCED_RAGING_BLOW",IF(Inputs!$B$3&gt;=134,MAX(0,IF(Inputs!$B$3&gt;=110,7,5)-5)*50,0),0)/100)*(1+(IF(Skills!A10="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501)</f>
        <v/>
      </c>
      <c r="L501">
        <f>K501*(MIN(Inputs!$B$22+((C513=TRUE)*(F513-Calc!F22)),(Inputs!$B$23+((C515=TRUE)*(F515-Calc!F24))+(IF(ArtifactsInput!$M$15,CHOOSE(ArtifactsInput!$N$15+1,25,30,35,40,45,50)/100*(Inputs!$B$11-Inputs!$B$11),0))))/100+(Inputs!$B$23+((C515=TRUE)*(F515-Calc!F24))+(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IFERROR(1/(IF(Inputs!$B$38="pvp",15,MAX(0.1,Skills!D10-IF(Skills!E10=TRUE,Inputs!$B$32,0)))*(1-IF(AND(ArtifactsInput!$M$27,Inputs!$B$4="Chapter Hunt"),CHOOSE(ArtifactsInput!$N$27+1,20,24,28,32,36,40),0)/100)),0)</f>
        <v/>
      </c>
      <c r="R501">
        <f>IF(AND(Inputs!$B$38&lt;&gt;"pvp",Inputs!$B$43&gt;0),IF(MAX(0,Inputs!$B$43-B527)&lt;=0,0,(INT(MAX(0,Inputs!$B$43-B527)/(IF(Inputs!$B$38="pvp",15,MAX(0.1,Skills!D10-IF(Skills!E10=TRUE,Inputs!$B$32,0)))*(1-IF(AND(ArtifactsInput!$M$27,Inputs!$B$4="Chapter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Inputs!$B$3&gt;=35</f>
        <v/>
      </c>
      <c r="D502">
        <f>IF(Skills!C11=1,60+Inputs!$B$25+Inputs!$B$29,IF(Skills!C11=2,90+Inputs!$B$26+Inputs!$B$29,IF(Skills!C11=3,120+Inputs!$B$27+Inputs!$B$29,MAX(0,(Inputs!$B$3-100)*3)+Inputs!$B$28+Inputs!$B$29)))</f>
        <v/>
      </c>
      <c r="E502">
        <f>INDEX(FactorTable!$B$2:$Y$301, MATCH(ROUND(MIN(300,MAX(1,D502)),0), FactorTable!$A$2:$A$301,0), Skills!M11+1)</f>
        <v/>
      </c>
      <c r="F502">
        <f>IF(Skills!N11=TRUE,(Skills!L11/10)*(E502/1000),Skills!L11/10)+Skills!O11</f>
        <v/>
      </c>
      <c r="G502">
        <f>Skills!G11*IF(Skills!H11&gt;0,Skills!I11/Skills!H11,1)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11="ENHANCED_RAGING_BLOW",IF(Inputs!$B$3&gt;=134,MAX(0,IF(Inputs!$B$3&gt;=110,7,5)-5)*50,0),0)/100)*(1+(IF(Skills!A11="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502)</f>
        <v/>
      </c>
      <c r="L502">
        <f>K502*(MIN(Inputs!$B$22+((C513=TRUE)*(F513-Calc!F22)),(Inputs!$B$23+((C515=TRUE)*(F515-Calc!F24))+(IF(ArtifactsInput!$M$15,CHOOSE(ArtifactsInput!$N$15+1,25,30,35,40,45,50)/100*(Inputs!$B$11-Inputs!$B$11),0))))/100+(Inputs!$B$23+((C515=TRUE)*(F515-Calc!F24))+(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IFERROR(1/(IF(Inputs!$B$38="pvp",15,MAX(0.1,Skills!D11-IF(Skills!E11=TRUE,Inputs!$B$32,0)))*(1-IF(AND(ArtifactsInput!$M$27,Inputs!$B$4="Chapter Hunt"),CHOOSE(ArtifactsInput!$N$27+1,20,24,28,32,36,40),0)/100)),0)</f>
        <v/>
      </c>
      <c r="R502">
        <f>IF(AND(Inputs!$B$38&lt;&gt;"pvp",Inputs!$B$43&gt;0),IF(MAX(0,Inputs!$B$43-B527)&lt;=0,0,(INT(MAX(0,Inputs!$B$43-B527)/(IF(Inputs!$B$38="pvp",15,MAX(0.1,Skills!D11-IF(Skills!E11=TRUE,Inputs!$B$32,0)))*(1-IF(AND(ArtifactsInput!$M$27,Inputs!$B$4="Chapter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INDEX(FactorTable!$B$2:$Y$301, MATCH(ROUND(MIN(300,MAX(1,D503)),0),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INDEX(FactorTable!$B$2:$Y$301, MATCH(ROUND(MIN(300,MAX(1,D504)),0), FactorTable!$A$2:$A$301,0), Skills!M13+1)</f>
        <v/>
      </c>
      <c r="F504">
        <f>IF(Skills!N13=TRUE,(Skills!L13/10)*(E504/1000),Skills!L13/10)+Skills!O13</f>
        <v/>
      </c>
      <c r="G504">
        <f>Skills!G13*IF(Skills!H13&gt;0,Skills!I13/Skills!H13,1)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Inputs!$B$3&gt;=75</f>
        <v/>
      </c>
      <c r="D505">
        <f>IF(Skills!C14=1,60+Inputs!$B$25+Inputs!$B$29,IF(Skills!C14=2,90+Inputs!$B$26+Inputs!$B$29,IF(Skills!C14=3,120+Inputs!$B$27+Inputs!$B$29,MAX(0,(Inputs!$B$3-100)*3)+Inputs!$B$28+Inputs!$B$29)))</f>
        <v/>
      </c>
      <c r="E505">
        <f>INDEX(FactorTable!$B$2:$Y$301, MATCH(ROUND(MIN(300,MAX(1,D505)),0), FactorTable!$A$2:$A$301,0), Skills!M14+1)</f>
        <v/>
      </c>
      <c r="F505">
        <f>IF(Skills!N14=TRUE,(Skills!L14/10)*(E505/1000),Skills!L14/10)+Skills!O14</f>
        <v/>
      </c>
      <c r="G505">
        <f>Skills!G14*IF(Skills!H14&gt;0,Skills!I14/Skills!H14,1)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Inputs!$B$3&gt;=40</f>
        <v/>
      </c>
      <c r="D506">
        <f>IF(Skills!C15=1,60+Inputs!$B$25+Inputs!$B$29,IF(Skills!C15=2,90+Inputs!$B$26+Inputs!$B$29,IF(Skills!C15=3,120+Inputs!$B$27+Inputs!$B$29,MAX(0,(Inputs!$B$3-100)*3)+Inputs!$B$28+Inputs!$B$29)))</f>
        <v/>
      </c>
      <c r="E506">
        <f>INDEX(FactorTable!$B$2:$Y$301, MATCH(ROUND(MIN(300,MAX(1,D506)),0), FactorTable!$A$2:$A$301,0), Skills!M15+1)</f>
        <v/>
      </c>
      <c r="F506">
        <f>IF(Skills!N15=TRUE,(Skills!L15/10)*(E506/1000),Skills!L15/10)+Skills!O15</f>
        <v/>
      </c>
      <c r="G506">
        <f>Skills!G15*IF(Skills!H15&gt;0,Skills!I15/Skills!H15,1)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IFERROR(1/(IF(Inputs!$B$38="pvp",15,MAX(0.1,Skills!D15-IF(Skills!E15=TRUE,Inputs!$B$32,0)))*(1-IF(AND(ArtifactsInput!$M$27,Inputs!$B$4="Chapter Hunt"),CHOOSE(ArtifactsInput!$N$27+1,20,24,28,32,36,40),0)/100)),0)</f>
        <v/>
      </c>
      <c r="R506">
        <f>IF(AND(Inputs!$B$38&lt;&gt;"pvp",Inputs!$B$43&gt;0),IF(Inputs!$B$43&lt;=0,0,(INT(Inputs!$B$43/(IF(Inputs!$B$38="pvp",15,MAX(0.1,Skills!D15-IF(Skills!E15=TRUE,Inputs!$B$32,0)))*(1-IF(AND(ArtifactsInput!$M$27,Inputs!$B$4="Chapter Hunt"),CHOOSE(ArtifactsInput!$N$27+1,20,24,28,32,36,40),0)/100)))+1)),0)</f>
        <v/>
      </c>
      <c r="S506">
        <f>IFERROR(O506/N506,0)</f>
        <v/>
      </c>
      <c r="T506" t="n">
        <v>0</v>
      </c>
      <c r="V506" t="n">
        <v>0</v>
      </c>
    </row>
    <row r="507">
      <c r="A507">
        <f>Skills!A16</f>
        <v/>
      </c>
      <c r="B507">
        <f>Skills!B16</f>
        <v/>
      </c>
      <c r="C507">
        <f>Inputs!$B$3&gt;=66</f>
        <v/>
      </c>
      <c r="D507">
        <f>IF(Skills!C16=1,60+Inputs!$B$25+Inputs!$B$29,IF(Skills!C16=2,90+Inputs!$B$26+Inputs!$B$29,IF(Skills!C16=3,120+Inputs!$B$27+Inputs!$B$29,MAX(0,(Inputs!$B$3-100)*3)+Inputs!$B$28+Inputs!$B$29)))</f>
        <v/>
      </c>
      <c r="E507">
        <f>INDEX(FactorTable!$B$2:$Y$301, MATCH(ROUND(MIN(300,MAX(1,D507)),0), FactorTable!$A$2:$A$301,0), Skills!M16+1)</f>
        <v/>
      </c>
      <c r="F507">
        <f>IF(Skills!N16=TRUE,(Skills!L16/10)*(E507/1000),Skills!L16/10)+Skills!O16</f>
        <v/>
      </c>
      <c r="G507">
        <f>Skills!G16*IF(Skills!H16&gt;0,Skills!I16/Skills!H16,1)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IFERROR(1/(IF(Inputs!$B$38="pvp",15,MAX(0.1,Skills!D16-IF(Skills!E16=TRUE,Inputs!$B$32,0)))*(1-IF(AND(ArtifactsInput!$M$27,Inputs!$B$4="Chapter Hunt"),CHOOSE(ArtifactsInput!$N$27+1,20,24,28,32,36,40),0)/100)),0)</f>
        <v/>
      </c>
      <c r="R507">
        <f>IF(AND(Inputs!$B$38&lt;&gt;"pvp",Inputs!$B$43&gt;0),IF(Inputs!$B$43&lt;=0,0,(INT(Inputs!$B$43/(IF(Inputs!$B$38="pvp",15,MAX(0.1,Skills!D16-IF(Skills!E16=TRUE,Inputs!$B$32,0)))*(1-IF(AND(ArtifactsInput!$M$27,Inputs!$B$4="Chapter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INDEX(FactorTable!$B$2:$Y$301, MATCH(ROUND(MIN(300,MAX(1,D508)),0), FactorTable!$A$2:$A$301,0), Skills!M17+1)</f>
        <v/>
      </c>
      <c r="F508">
        <f>IF(Skills!N17=TRUE,(Skills!L17/10)*(E508/1000),Skills!L17/10)+Skills!O17</f>
        <v/>
      </c>
      <c r="G508">
        <f>Skills!G17*IF(Skills!H17&gt;0,Skills!I17/Skills!H17,1)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IFERROR(1/(IF(Inputs!$B$38="pvp",15,MAX(0.1,Skills!D17-IF(Skills!E17=TRUE,Inputs!$B$32,0)))*(1-IF(AND(ArtifactsInput!$M$27,Inputs!$B$4="Chapter Hunt"),CHOOSE(ArtifactsInput!$N$27+1,20,24,28,32,36,40),0)/100)),0)</f>
        <v/>
      </c>
      <c r="R508">
        <f>IF(AND(Inputs!$B$38&lt;&gt;"pvp",Inputs!$B$43&gt;0),IF(Inputs!$B$43&lt;=0,0,(INT(Inputs!$B$43/(IF(Inputs!$B$38="pvp",15,MAX(0.1,Skills!D17-IF(Skills!E17=TRUE,Inputs!$B$32,0)))*(1-IF(AND(ArtifactsInput!$M$27,Inputs!$B$4="Chapter Hunt"),CHOOSE(ArtifactsInput!$N$27+1,20,24,28,32,36,40),0)/100)))+1)),0)</f>
        <v/>
      </c>
      <c r="S508">
        <f>IFERROR(O508/N508,0)</f>
        <v/>
      </c>
      <c r="T508" t="n">
        <v>0</v>
      </c>
      <c r="V508" t="n">
        <v>0</v>
      </c>
    </row>
    <row r="509">
      <c r="A509">
        <f>Skills!A18</f>
        <v/>
      </c>
      <c r="B509">
        <f>Skills!B18</f>
        <v/>
      </c>
      <c r="C509">
        <f>Inputs!$B$3&gt;=115</f>
        <v/>
      </c>
      <c r="D509">
        <f>IF(Skills!C18=1,60+Inputs!$B$25+Inputs!$B$29,IF(Skills!C18=2,90+Inputs!$B$26+Inputs!$B$29,IF(Skills!C18=3,120+Inputs!$B$27+Inputs!$B$29,MAX(0,(Inputs!$B$3-100)*3)+Inputs!$B$28+Inputs!$B$29)))</f>
        <v/>
      </c>
      <c r="E509">
        <f>INDEX(FactorTable!$B$2:$Y$301, MATCH(ROUND(MIN(300,MAX(1,D509)),0), FactorTable!$A$2:$A$301,0), Skills!M18+1)</f>
        <v/>
      </c>
      <c r="F509">
        <f>IF(Skills!N18=TRUE,(Skills!L18/10)*(E509/1000),Skills!L18/10)+Skills!O18</f>
        <v/>
      </c>
      <c r="G509">
        <f>Skills!G18*IF(Skills!H18&gt;0,Skills!I18/Skills!H18,1)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IFERROR(1/(IF(Inputs!$B$38="pvp",15,MAX(0.1,Skills!D18-IF(Skills!E18=TRUE,Inputs!$B$32,0)))*(1-IF(AND(ArtifactsInput!$M$27,Inputs!$B$4="Chapter Hunt"),CHOOSE(ArtifactsInput!$N$27+1,20,24,28,32,36,40),0)/100)),0)</f>
        <v/>
      </c>
      <c r="R509">
        <f>IF(AND(Inputs!$B$38&lt;&gt;"pvp",Inputs!$B$43&gt;0),IF(Inputs!$B$43&lt;=0,0,(INT(Inputs!$B$43/(IF(Inputs!$B$38="pvp",15,MAX(0.1,Skills!D18-IF(Skills!E18=TRUE,Inputs!$B$32,0)))*(1-IF(AND(ArtifactsInput!$M$27,Inputs!$B$4="Chapter Hunt"),CHOOSE(ArtifactsInput!$N$27+1,20,24,28,32,36,40),0)/100)))+1)),0)</f>
        <v/>
      </c>
      <c r="S509">
        <f>IFERROR(O509/N509,0)</f>
        <v/>
      </c>
      <c r="T509" t="n">
        <v>0</v>
      </c>
      <c r="V509" t="n">
        <v>0</v>
      </c>
    </row>
    <row r="510">
      <c r="A510">
        <f>Skills!A19</f>
        <v/>
      </c>
      <c r="B510">
        <f>Skills!B19</f>
        <v/>
      </c>
      <c r="C510">
        <f>TRUE</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IFERROR(1/(IF(Inputs!$B$38="pvp",15,MAX(0.1,Skills!D19-IF(Skills!E19=TRUE,Inputs!$B$32,0)))*(1-IF(AND(ArtifactsInput!$M$27,Inputs!$B$4="Chapter Hunt"),CHOOSE(ArtifactsInput!$N$27+1,20,24,28,32,36,40),0)/100)),0)</f>
        <v/>
      </c>
      <c r="R510">
        <f>IF(AND(Inputs!$B$38&lt;&gt;"pvp",Inputs!$B$43&gt;0),IF(Inputs!$B$43&lt;=0,0,(INT(Inputs!$B$43/(IF(Inputs!$B$38="pvp",15,MAX(0.1,Skills!D19-IF(Skills!E19=TRUE,Inputs!$B$32,0)))*(1-IF(AND(ArtifactsInput!$M$27,Inputs!$B$4="Chapter Hunt"),CHOOSE(ArtifactsInput!$N$27+1,20,24,28,32,36,40),0)/100)))+1)),0)</f>
        <v/>
      </c>
      <c r="S510">
        <f>IFERROR(O510/N510,0)</f>
        <v/>
      </c>
      <c r="T510" t="n">
        <v>0</v>
      </c>
      <c r="V510" t="n">
        <v>0</v>
      </c>
    </row>
    <row r="511">
      <c r="A511">
        <f>Skills!A20</f>
        <v/>
      </c>
      <c r="B511">
        <f>Skills!B20</f>
        <v/>
      </c>
      <c r="C511">
        <f>Inputs!$B$3&gt;=33</f>
        <v/>
      </c>
      <c r="D511">
        <f>IF(Skills!C20=1,60+Inputs!$B$25+Inputs!$B$29,IF(Skills!C20=2,90+Inputs!$B$26+Inputs!$B$29,IF(Skills!C20=3,120+Inputs!$B$27+Inputs!$B$29,MAX(0,(Inputs!$B$3-100)*3)+Inputs!$B$28+Inputs!$B$29)))</f>
        <v/>
      </c>
      <c r="E511">
        <f>INDEX(FactorTable!$B$2:$Y$301, MATCH(ROUND(MIN(300,MAX(1,D511)),0), FactorTable!$A$2:$A$301,0), Skills!M20+1)</f>
        <v/>
      </c>
      <c r="F511">
        <f>IF(Skills!N20=TRUE,(Skills!L20/10)*(E511/1000),Skills!L20/10)+Skills!O20</f>
        <v/>
      </c>
      <c r="G511">
        <f>Skills!G20*IF(Skills!H20&gt;0,Skills!I20/Skills!H20,1)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Inputs!$B$3&gt;=38</f>
        <v/>
      </c>
      <c r="D512">
        <f>IF(Skills!C21=1,60+Inputs!$B$25+Inputs!$B$29,IF(Skills!C21=2,90+Inputs!$B$26+Inputs!$B$29,IF(Skills!C21=3,120+Inputs!$B$27+Inputs!$B$29,MAX(0,(Inputs!$B$3-100)*3)+Inputs!$B$28+Inputs!$B$29)))</f>
        <v/>
      </c>
      <c r="E512">
        <f>INDEX(FactorTable!$B$2:$Y$301, MATCH(ROUND(MIN(300,MAX(1,D512)),0), FactorTable!$A$2:$A$301,0), Skills!M21+1)</f>
        <v/>
      </c>
      <c r="F512">
        <f>IF(Skills!N21=TRUE,(Skills!L21/10)*(E512/1000),Skills!L21/10)+Skills!O21</f>
        <v/>
      </c>
      <c r="G512">
        <f>Skills!G21*IF(Skills!H21&gt;0,Skills!I21/Skills!H21,1)</f>
        <v/>
      </c>
      <c r="H512">
        <f>1-(1-Skills!J21/100)^Skills!K21</f>
        <v/>
      </c>
      <c r="I512" t="inlineStr">
        <is>
          <t>1</t>
        </is>
      </c>
      <c r="J512" t="inlineStr"/>
      <c r="K512" t="inlineStr"/>
      <c r="L512" t="inlineStr"/>
      <c r="M512" t="inlineStr"/>
      <c r="N512" t="inlineStr"/>
      <c r="O512">
        <f>(1-Summary!$B$11)*T512+Summary!$B$11*V512</f>
        <v/>
      </c>
      <c r="P512">
        <f>IF(B530=0,0,O512/B530)</f>
        <v/>
      </c>
      <c r="Q512" t="n">
        <v>0</v>
      </c>
      <c r="R512" t="n">
        <v>0</v>
      </c>
      <c r="S512">
        <f>IFERROR(O512/N512,0)</f>
        <v/>
      </c>
      <c r="T512" t="n">
        <v>0</v>
      </c>
      <c r="V512" t="n">
        <v>0</v>
      </c>
    </row>
    <row r="513">
      <c r="A513">
        <f>Skills!A22</f>
        <v/>
      </c>
      <c r="B513">
        <f>Skills!B22</f>
        <v/>
      </c>
      <c r="C513">
        <f>Inputs!$B$3&gt;=43</f>
        <v/>
      </c>
      <c r="D513">
        <f>IF(Skills!C22=1,60+Inputs!$B$25+Inputs!$B$29,IF(Skills!C22=2,90+Inputs!$B$26+Inputs!$B$29,IF(Skills!C22=3,120+Inputs!$B$27+Inputs!$B$29,MAX(0,(Inputs!$B$3-100)*3)+Inputs!$B$28+Inputs!$B$29)))</f>
        <v/>
      </c>
      <c r="E513">
        <f>INDEX(FactorTable!$B$2:$Y$301, MATCH(ROUND(MIN(300,MAX(1,D513)),0), FactorTable!$A$2:$A$301,0), Skills!M22+1)</f>
        <v/>
      </c>
      <c r="F513">
        <f>IF(Skills!N22=TRUE,(Skills!L22/10)*(E513/1000),Skills!L22/10)+Skills!O22</f>
        <v/>
      </c>
      <c r="G513">
        <f>Skills!G22*IF(Skills!H22&gt;0,Skills!I22/Skills!H22,1)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Inputs!$B$3&gt;=120</f>
        <v/>
      </c>
      <c r="D514">
        <f>IF(Skills!C23=1,60+Inputs!$B$25+Inputs!$B$29,IF(Skills!C23=2,90+Inputs!$B$26+Inputs!$B$29,IF(Skills!C23=3,120+Inputs!$B$27+Inputs!$B$29,MAX(0,(Inputs!$B$3-100)*3)+Inputs!$B$28+Inputs!$B$29)))</f>
        <v/>
      </c>
      <c r="E514">
        <f>INDEX(FactorTable!$B$2:$Y$301, MATCH(ROUND(MIN(300,MAX(1,D514)),0), FactorTable!$A$2:$A$301,0), Skills!M23+1)</f>
        <v/>
      </c>
      <c r="F514">
        <f>IF(Skills!N23=TRUE,(Skills!L23/10)*(E514/1000),Skills!L23/10)+Skills!O23</f>
        <v/>
      </c>
      <c r="G514">
        <f>Skills!G23*IF(Skills!H23&gt;0,Skills!I23/Skills!H23,1)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Inputs!$B$3&gt;=120</f>
        <v/>
      </c>
      <c r="D515">
        <f>IF(Skills!C24=1,60+Inputs!$B$25+Inputs!$B$29,IF(Skills!C24=2,90+Inputs!$B$26+Inputs!$B$29,IF(Skills!C24=3,120+Inputs!$B$27+Inputs!$B$29,MAX(0,(Inputs!$B$3-100)*3)+Inputs!$B$28+Inputs!$B$29)))</f>
        <v/>
      </c>
      <c r="E515">
        <f>INDEX(FactorTable!$B$2:$Y$301, MATCH(ROUND(MIN(300,MAX(1,D515)),0), FactorTable!$A$2:$A$301,0), Skills!M24+1)</f>
        <v/>
      </c>
      <c r="F515">
        <f>IF(Skills!N24=TRUE,(Skills!L24/10)*(E515/1000),Skills!L24/10)+Skills!O24</f>
        <v/>
      </c>
      <c r="G515">
        <f>Skills!G24*IF(Skills!H24&gt;0,Skills!I24/Skills!H24,1)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Inputs!$B$3&gt;=125</f>
        <v/>
      </c>
      <c r="D516">
        <f>IF(Skills!C25=1,60+Inputs!$B$25+Inputs!$B$29,IF(Skills!C25=2,90+Inputs!$B$26+Inputs!$B$29,IF(Skills!C25=3,120+Inputs!$B$27+Inputs!$B$29,MAX(0,(Inputs!$B$3-100)*3)+Inputs!$B$28+Inputs!$B$29)))</f>
        <v/>
      </c>
      <c r="E516">
        <f>INDEX(FactorTable!$B$2:$Y$301, MATCH(ROUND(MIN(300,MAX(1,D516)),0), FactorTable!$A$2:$A$301,0), Skills!M25+1)</f>
        <v/>
      </c>
      <c r="F516">
        <f>IF(Skills!N25=TRUE,(Skills!L25/10)*(E516/1000),Skills!L25/10)+Skills!O25</f>
        <v/>
      </c>
      <c r="G516">
        <f>Skills!G25*IF(Skills!H25&gt;0,Skills!I25/Skills!H25,1)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Inputs!$B$3&gt;=72</f>
        <v/>
      </c>
      <c r="D517">
        <f>IF(Skills!C26=1,60+Inputs!$B$25+Inputs!$B$29,IF(Skills!C26=2,90+Inputs!$B$26+Inputs!$B$29,IF(Skills!C26=3,120+Inputs!$B$27+Inputs!$B$29,MAX(0,(Inputs!$B$3-100)*3)+Inputs!$B$28+Inputs!$B$29)))</f>
        <v/>
      </c>
      <c r="E517">
        <f>INDEX(FactorTable!$B$2:$Y$301, MATCH(ROUND(MIN(300,MAX(1,D517)),0), FactorTable!$A$2:$A$301,0), Skills!M26+1)</f>
        <v/>
      </c>
      <c r="F517">
        <f>IF(Skills!N26=TRUE,(Skills!L26/10)*(E517/1000),Skills!L26/10)+Skills!O26</f>
        <v/>
      </c>
      <c r="G517">
        <f>Skills!G26*IF(Skills!H26&gt;0,Skills!I26/Skills!H26,1)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510=TRUE)*F510*IF(AND(Inputs!$B$38&lt;&gt;"pvp",Inputs!$B$43&gt;0),(((R510-1)*(Skills!T19*(1+(Inputs!$B$34+(ArtifactsInput!$M$7-ArtifactsInput!$M$7)*CHOOSE(ArtifactsInput!$N$7+1,6,7.2,8.4,9.6,10.8,12))/100))+MIN((Skills!T19*(1+(Inputs!$B$34+(ArtifactsInput!$M$7-ArtifactsInput!$M$7)*CHOOSE(ArtifactsInput!$N$7+1,6,7.2,8.4,9.6,10.8,12))/100)),MAX(0,Inputs!$B$43-((R510-1)*Skills!D19))))/Inputs!$B$43),IF(Inputs!$B$38="pvp",MIN((Skills!T19*(1+(Inputs!$B$34+(ArtifactsInput!$M$7-ArtifactsInput!$M$7)*CHOOSE(ArtifactsInput!$N$7+1,6,7.2,8.4,9.6,10.8,12))/100)),15)/15,(Skills!T19*(1+(Inputs!$B$34+(ArtifactsInput!$M$7-ArtifactsInput!$M$7)*CHOOSE(ArtifactsInput!$N$7+1,6,7.2,8.4,9.6,10.8,12))/100))/Skills!D19)))</f>
        <v/>
      </c>
    </row>
    <row r="522">
      <c r="A522" t="inlineStr">
        <is>
          <t>Actions Per Second</t>
        </is>
      </c>
      <c r="B522">
        <f>1+MIN(150,150*(1-(1-(Inputs!$B$11+((C511=TRUE)*(F511-Calc!F20)))/150)*(1-B521/150)))/100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Raging Blow Casts Per Second</t>
        </is>
      </c>
      <c r="B524">
        <f>MAX(0,B522-B523)</f>
        <v/>
      </c>
    </row>
    <row r="525">
      <c r="A525" t="inlineStr">
        <is>
          <t>Global Critical Damage Bonus % (Enrage)</t>
        </is>
      </c>
      <c r="B525">
        <f>((C509=TRUE)*F509*IF(AND(Inputs!$B$38&lt;&gt;"pvp",Inputs!$B$43&gt;0),(((R509-1)*(Skills!T18*(1+(Inputs!$B$34+(ArtifactsInput!$M$7-ArtifactsInput!$M$7)*CHOOSE(ArtifactsInput!$N$7+1,6,7.2,8.4,9.6,10.8,12))/100))+MIN((Skills!T18*(1+(Inputs!$B$34+(ArtifactsInput!$M$7-ArtifactsInput!$M$7)*CHOOSE(ArtifactsInput!$N$7+1,6,7.2,8.4,9.6,10.8,12))/100)),MAX(0,Inputs!$B$43-((R509-1)*Skills!D18))))/Inputs!$B$43),IF(Inputs!$B$38="pvp",MIN((Skills!T18*(1+(Inputs!$B$34+(ArtifactsInput!$M$7-ArtifactsInput!$M$7)*CHOOSE(ArtifactsInput!$N$7+1,6,7.2,8.4,9.6,10.8,12))/100)),15)/15,(Skills!T18*(1+(Inputs!$B$34+(ArtifactsInput!$M$7-ArtifactsInput!$M$7)*CHOOSE(ArtifactsInput!$N$7+1,6,7.2,8.4,9.6,10.8,12))/100))/Skills!D18)))</f>
        <v/>
      </c>
    </row>
    <row r="526">
      <c r="A526" t="inlineStr">
        <is>
          <t>Global Final Damage Bonus % (Enrage + Combo Synergy)</t>
        </is>
      </c>
      <c r="B526">
        <f>((C508=TRUE)*F508*IF(AND(Inputs!$B$38&lt;&gt;"pvp",Inputs!$B$43&gt;0),(((R508-1)*(Skills!T17*(1+(Inputs!$B$34+(ArtifactsInput!$M$7-ArtifactsInput!$M$7)*CHOOSE(ArtifactsInput!$N$7+1,6,7.2,8.4,9.6,10.8,12))/100))+MIN((Skills!T17*(1+(Inputs!$B$34+(ArtifactsInput!$M$7-ArtifactsInput!$M$7)*CHOOSE(ArtifactsInput!$N$7+1,6,7.2,8.4,9.6,10.8,12))/100)),MAX(0,Inputs!$B$43-((R508-1)*Skills!D17))))/Inputs!$B$43),IF(Inputs!$B$38="pvp",MIN((Skills!T17*(1+(Inputs!$B$34+(ArtifactsInput!$M$7-ArtifactsInput!$M$7)*CHOOSE(ArtifactsInput!$N$7+1,6,7.2,8.4,9.6,10.8,12))/100)),15)/15,(Skills!T17*(1+(Inputs!$B$34+(ArtifactsInput!$M$7-ArtifactsInput!$M$7)*CHOOSE(ArtifactsInput!$N$7+1,6,7.2,8.4,9.6,10.8,12))/100))/Skills!D17)))+((C505=TRUE)*F505*IF(Inputs!$B$3&gt;=110,7,5))</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535)</f>
        <v/>
      </c>
      <c r="L535">
        <f>K535*(MIN(Inputs!$B$22+((C555=TRUE)*(F555-Calc!F22)),(Inputs!$B$23+((C557=TRUE)*(F557-Calc!F24))+(IF(ArtifactsInput!$M$15,CHOOSE(ArtifactsInput!$N$15+1,25,30,35,40,45,50)/100*(Inputs!$B$11-Inputs!$B$11),0))))/100+(Inputs!$B$23+((C557=TRUE)*(F557-Calc!F24))+(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INDEX(FactorTable!$B$2:$Y$301, MATCH(ROUND(MIN(300,MAX(1,D536)),0),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INDEX(FactorTable!$B$2:$Y$301, MATCH(ROUND(MIN(300,MAX(1,U535)),0), FactorTable!$A$2:$A$301,0), 22)</f>
        <v/>
      </c>
    </row>
    <row r="537">
      <c r="A537">
        <f>Skills!A4</f>
        <v/>
      </c>
      <c r="B537">
        <f>Skills!B4</f>
        <v/>
      </c>
      <c r="C537">
        <f>Inputs!$B$3&gt;=105</f>
        <v/>
      </c>
      <c r="D537">
        <f>IF(Skills!C4=1,60+Inputs!$B$25+Inputs!$B$29,IF(Skills!C4=2,90+Inputs!$B$26+Inputs!$B$29,IF(Skills!C4=3,120+Inputs!$B$27+Inputs!$B$29,MAX(0,(Inputs!$B$3-100)*3)+Inputs!$B$28+Inputs!$B$29)))</f>
        <v/>
      </c>
      <c r="E537">
        <f>INDEX(FactorTable!$B$2:$Y$301, MATCH(ROUND(MIN(300,MAX(1,D537)),0), FactorTable!$A$2:$A$301,0), Skills!M4+1)</f>
        <v/>
      </c>
      <c r="F537">
        <f>IF(Skills!N4=TRUE,(Skills!L4/10)*(E537/1000),Skills!L4/10)+Skills!O4</f>
        <v/>
      </c>
      <c r="G537" t="inlineStr"/>
      <c r="H537" t="inlineStr"/>
      <c r="I537" t="inlineStr">
        <is>
          <t>1</t>
        </is>
      </c>
      <c r="J537" t="inlineStr"/>
      <c r="K537" t="inlineStr"/>
      <c r="L537" t="inlineStr"/>
      <c r="M537" t="inlineStr"/>
      <c r="N537" t="inlineStr"/>
      <c r="O537" t="inlineStr"/>
      <c r="P537" t="inlineStr"/>
      <c r="Q537" t="inlineStr"/>
      <c r="R537" t="inlineStr"/>
      <c r="S537" t="inlineStr"/>
      <c r="U537">
        <f>290*U536/1000</f>
        <v/>
      </c>
    </row>
    <row r="538">
      <c r="A538">
        <f>Skills!A5</f>
        <v/>
      </c>
      <c r="B538">
        <f>Skills!B5</f>
        <v/>
      </c>
      <c r="C538">
        <f>Inputs!$B$3&gt;=103</f>
        <v/>
      </c>
      <c r="D538">
        <f>IF(Skills!C5=1,60+Inputs!$B$25+Inputs!$B$29,IF(Skills!C5=2,90+Inputs!$B$26+Inputs!$B$29,IF(Skills!C5=3,120+Inputs!$B$27+Inputs!$B$29,MAX(0,(Inputs!$B$3-100)*3)+Inputs!$B$28+Inputs!$B$29)))</f>
        <v/>
      </c>
      <c r="E538">
        <f>INDEX(FactorTable!$B$2:$Y$301, MATCH(ROUND(MIN(300,MAX(1,D538)),0), FactorTable!$A$2:$A$301,0), Skills!M5+1)</f>
        <v/>
      </c>
      <c r="F538">
        <f>IF(Skills!N5=TRUE,(Skills!L5/10)*(E538/1000),Skills!L5/10)+Skills!O5</f>
        <v/>
      </c>
      <c r="G538">
        <f>Skills!G5*IF(Skills!H5&gt;0,Skills!I5/Skills!H5,1)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538)</f>
        <v/>
      </c>
      <c r="L538">
        <f>K538*(MIN(Inputs!$B$22+((C555=TRUE)*(F555-Calc!F22)),(Inputs!$B$23+((C557=TRUE)*(F557-Calc!F24))+(IF(ArtifactsInput!$M$15,CHOOSE(ArtifactsInput!$N$15+1,25,30,35,40,45,50)/100*(Inputs!$B$11-Inputs!$B$11),0))))/100+(Inputs!$B$23+((C557=TRUE)*(F557-Calc!F24))+(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IFERROR(1/(IF(Inputs!$B$38="pvp",15,MAX(0.1,Skills!D5-IF(Skills!E5=TRUE,Inputs!$B$32,0)))*(1-IF(AND(ArtifactsInput!$M$27,Inputs!$B$4="Chapter Hunt"),CHOOSE(ArtifactsInput!$N$27+1,20,24,28,32,36,40),0)/100)),0)</f>
        <v/>
      </c>
      <c r="R538">
        <f>IF(AND(Inputs!$B$38&lt;&gt;"pvp",Inputs!$B$43&gt;0),IF(MAX(0,Inputs!$B$43-B569)&lt;=0,0,(INT(MAX(0,Inputs!$B$43-B569)/(IF(Inputs!$B$38="pvp",15,MAX(0.1,Skills!D5-IF(Skills!E5=TRUE,Inputs!$B$32,0)))*(1-IF(AND(ArtifactsInput!$M$27,Inputs!$B$4="Chapter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INDEX(FactorTable!$B$2:$Y$301, MATCH(ROUND(MIN(300,MAX(1,D539)),0), FactorTable!$A$2:$A$301,0), Skills!M6+1)</f>
        <v/>
      </c>
      <c r="F539">
        <f>IF(Skills!N6=TRUE,(Skills!L6/10)*(E539/1000),Skills!L6/10)+Skills!O6</f>
        <v/>
      </c>
      <c r="G539">
        <f>Skills!G6*IF(Skills!H6&gt;0,Skills!I6/Skills!H6,1)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539)</f>
        <v/>
      </c>
      <c r="L539">
        <f>K539*(MIN(Inputs!$B$22+((C555=TRUE)*(F555-Calc!F22)),(Inputs!$B$23+((C557=TRUE)*(F557-Calc!F24))+(IF(ArtifactsInput!$M$15,CHOOSE(ArtifactsInput!$N$15+1,25,30,35,40,45,50)/100*(Inputs!$B$11-Inputs!$B$11),0))))/100+(Inputs!$B$23+((C557=TRUE)*(F557-Calc!F24))+(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IFERROR(1/(IF(Inputs!$B$38="pvp",15,MAX(0.1,Skills!D6-IF(Skills!E6=TRUE,Inputs!$B$32,0)))*(1-IF(AND(ArtifactsInput!$M$27,Inputs!$B$4="Chapter Hunt"),CHOOSE(ArtifactsInput!$N$27+1,20,24,28,32,36,40),0)/100)),0)</f>
        <v/>
      </c>
      <c r="R539">
        <f>IF(AND(Inputs!$B$38&lt;&gt;"pvp",Inputs!$B$43&gt;0),IF(MAX(0,Inputs!$B$43-B569)&lt;=0,0,(INT(MAX(0,Inputs!$B$43-B569)/(IF(Inputs!$B$38="pvp",15,MAX(0.1,Skills!D6-IF(Skills!E6=TRUE,Inputs!$B$32,0)))*(1-IF(AND(ArtifactsInput!$M$27,Inputs!$B$4="Chapter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INDEX(FactorTable!$B$2:$Y$301, MATCH(ROUND(MIN(300,MAX(1,D540)),0), FactorTable!$A$2:$A$301,0), Skills!M7+1)</f>
        <v/>
      </c>
      <c r="F540">
        <f>IF(Skills!N7=TRUE,(Skills!L7/10)*(E540/1000),Skills!L7/10)+Skills!O7</f>
        <v/>
      </c>
      <c r="G540">
        <f>Skills!G7*IF(Skills!H7&gt;0,Skills!I7/Skills!H7,1)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540)</f>
        <v/>
      </c>
      <c r="L540">
        <f>K540*(MIN(Inputs!$B$22+((C555=TRUE)*(F555-Calc!F22)),(Inputs!$B$23+((C557=TRUE)*(F557-Calc!F24))+(IF(ArtifactsInput!$M$15,CHOOSE(ArtifactsInput!$N$15+1,25,30,35,40,45,50)/100*(Inputs!$B$11-Inputs!$B$11),0))))/100+(Inputs!$B$23+((C557=TRUE)*(F557-Calc!F24))+(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IFERROR(1/(IF(Inputs!$B$38="pvp",15,MAX(0.1,Skills!D7-IF(Skills!E7=TRUE,Inputs!$B$32,0)))*(1-IF(AND(ArtifactsInput!$M$27,Inputs!$B$4="Chapter Hunt"),CHOOSE(ArtifactsInput!$N$27+1,20,24,28,32,36,40),0)/100)),0)</f>
        <v/>
      </c>
      <c r="R540">
        <f>IF(AND(Inputs!$B$38&lt;&gt;"pvp",Inputs!$B$43&gt;0),IF(MAX(0,Inputs!$B$43-B569)&lt;=0,0,(INT(MAX(0,Inputs!$B$43-B569)/(IF(Inputs!$B$38="pvp",15,MAX(0.1,Skills!D7-IF(Skills!E7=TRUE,Inputs!$B$32,0)))*(1-IF(AND(ArtifactsInput!$M$27,Inputs!$B$4="Chapter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Inputs!$B$3&gt;=117</f>
        <v/>
      </c>
      <c r="D541">
        <f>IF(Skills!C8=1,60+Inputs!$B$25+Inputs!$B$29,IF(Skills!C8=2,90+Inputs!$B$26+Inputs!$B$29,IF(Skills!C8=3,120+Inputs!$B$27+Inputs!$B$29,MAX(0,(Inputs!$B$3-100)*3)+Inputs!$B$28+Inputs!$B$29)))</f>
        <v/>
      </c>
      <c r="E541">
        <f>INDEX(FactorTable!$B$2:$Y$301, MATCH(ROUND(MIN(300,MAX(1,D541)),0), FactorTable!$A$2:$A$301,0), Skills!M8+1)</f>
        <v/>
      </c>
      <c r="F541">
        <f>IF(Skills!N8=TRUE,(Skills!L8/10)*(E541/1000),Skills!L8/10)+Skills!O8</f>
        <v/>
      </c>
      <c r="G541">
        <f>Skills!G8*IF(Skills!H8&gt;0,Skills!I8/Skills!H8,1)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541)</f>
        <v/>
      </c>
      <c r="L541">
        <f>K541*(MIN(Inputs!$B$22+((C555=TRUE)*(F555-Calc!F22)),(Inputs!$B$23+((C557=TRUE)*(F557-Calc!F24))+(IF(ArtifactsInput!$M$15,CHOOSE(ArtifactsInput!$N$15+1,25,30,35,40,45,50)/100*(Inputs!$B$11-Inputs!$B$11),0))))/100+(Inputs!$B$23+((C557=TRUE)*(F557-Calc!F24))+(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IFERROR(1/(IF(Inputs!$B$38="pvp",15,MAX(0.1,Skills!D8-IF(Skills!E8=TRUE,Inputs!$B$32,0)))*(1-IF(AND(ArtifactsInput!$M$27,Inputs!$B$4="Chapter Hunt"),CHOOSE(ArtifactsInput!$N$27+1,20,24,28,32,36,40),0)/100)),0)</f>
        <v/>
      </c>
      <c r="R541">
        <f>IF(AND(Inputs!$B$38&lt;&gt;"pvp",Inputs!$B$43&gt;0),IF(MAX(0,Inputs!$B$43-B569)&lt;=0,0,(INT(MAX(0,Inputs!$B$43-B569)/(IF(Inputs!$B$38="pvp",15,MAX(0.1,Skills!D8-IF(Skills!E8=TRUE,Inputs!$B$32,0)))*(1-IF(AND(ArtifactsInput!$M$27,Inputs!$B$4="Chapter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Inputs!$B$3&gt;=69</f>
        <v/>
      </c>
      <c r="D542">
        <f>IF(Skills!C9=1,60+Inputs!$B$25+Inputs!$B$29,IF(Skills!C9=2,90+Inputs!$B$26+Inputs!$B$29,IF(Skills!C9=3,120+Inputs!$B$27+Inputs!$B$29,MAX(0,(Inputs!$B$3-100)*3)+Inputs!$B$28+Inputs!$B$29)))</f>
        <v/>
      </c>
      <c r="E542">
        <f>INDEX(FactorTable!$B$2:$Y$301, MATCH(ROUND(MIN(300,MAX(1,D542)),0), FactorTable!$A$2:$A$301,0), Skills!M9+1)</f>
        <v/>
      </c>
      <c r="F542">
        <f>IF(Skills!N9=TRUE,(Skills!L9/10)*(E542/1000),Skills!L9/10)+Skills!O9</f>
        <v/>
      </c>
      <c r="G542">
        <f>Skills!G9*IF(Skills!H9&gt;0,Skills!I9/Skills!H9,1)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9="ENHANCED_RAGING_BLOW",IF(Inputs!$B$3&gt;=134,MAX(0,IF(Inputs!$B$3&gt;=110,7,5)-5)*50,0),0)/100)*(1+(IF(Skills!A9="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542)</f>
        <v/>
      </c>
      <c r="L542">
        <f>K542*(MIN(Inputs!$B$22+((C555=TRUE)*(F555-Calc!F22)),(Inputs!$B$23+((C557=TRUE)*(F557-Calc!F24))+(IF(ArtifactsInput!$M$15,CHOOSE(ArtifactsInput!$N$15+1,25,30,35,40,45,50)/100*(Inputs!$B$11-Inputs!$B$11),0))))/100+(Inputs!$B$23+((C557=TRUE)*(F557-Calc!F24))+(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IFERROR(1/(IF(Inputs!$B$38="pvp",15,MAX(0.1,Skills!D9-IF(Skills!E9=TRUE,Inputs!$B$32,0)))*(1-IF(AND(ArtifactsInput!$M$27,Inputs!$B$4="Chapter Hunt"),CHOOSE(ArtifactsInput!$N$27+1,20,24,28,32,36,40),0)/100)),0)</f>
        <v/>
      </c>
      <c r="R542">
        <f>IF(AND(Inputs!$B$38&lt;&gt;"pvp",Inputs!$B$43&gt;0),IF(MAX(0,Inputs!$B$43-B569)&lt;=0,0,(INT(MAX(0,Inputs!$B$43-B569)/(IF(Inputs!$B$38="pvp",15,MAX(0.1,Skills!D9-IF(Skills!E9=TRUE,Inputs!$B$32,0)))*(1-IF(AND(ArtifactsInput!$M$27,Inputs!$B$4="Chapter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Inputs!$B$3&gt;=63</f>
        <v/>
      </c>
      <c r="D543">
        <f>IF(Skills!C10=1,60+Inputs!$B$25+Inputs!$B$29,IF(Skills!C10=2,90+Inputs!$B$26+Inputs!$B$29,IF(Skills!C10=3,120+Inputs!$B$27+Inputs!$B$29,MAX(0,(Inputs!$B$3-100)*3)+Inputs!$B$28+Inputs!$B$29)))</f>
        <v/>
      </c>
      <c r="E543">
        <f>INDEX(FactorTable!$B$2:$Y$301, MATCH(ROUND(MIN(300,MAX(1,D543)),0), FactorTable!$A$2:$A$301,0), Skills!M10+1)</f>
        <v/>
      </c>
      <c r="F543">
        <f>IF(Skills!N10=TRUE,(Skills!L10/10)*(E543/1000),Skills!L10/10)+Skills!O10</f>
        <v/>
      </c>
      <c r="G543">
        <f>Skills!G10*IF(Skills!H10&gt;0,Skills!I10/Skills!H10,1)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10="ENHANCED_RAGING_BLOW",IF(Inputs!$B$3&gt;=134,MAX(0,IF(Inputs!$B$3&gt;=110,7,5)-5)*50,0),0)/100)*(1+(IF(Skills!A10="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543)</f>
        <v/>
      </c>
      <c r="L543">
        <f>K543*(MIN(Inputs!$B$22+((C555=TRUE)*(F555-Calc!F22)),(Inputs!$B$23+((C557=TRUE)*(F557-Calc!F24))+(IF(ArtifactsInput!$M$15,CHOOSE(ArtifactsInput!$N$15+1,25,30,35,40,45,50)/100*(Inputs!$B$11-Inputs!$B$11),0))))/100+(Inputs!$B$23+((C557=TRUE)*(F557-Calc!F24))+(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IFERROR(1/(IF(Inputs!$B$38="pvp",15,MAX(0.1,Skills!D10-IF(Skills!E10=TRUE,Inputs!$B$32,0)))*(1-IF(AND(ArtifactsInput!$M$27,Inputs!$B$4="Chapter Hunt"),CHOOSE(ArtifactsInput!$N$27+1,20,24,28,32,36,40),0)/100)),0)</f>
        <v/>
      </c>
      <c r="R543">
        <f>IF(AND(Inputs!$B$38&lt;&gt;"pvp",Inputs!$B$43&gt;0),IF(MAX(0,Inputs!$B$43-B569)&lt;=0,0,(INT(MAX(0,Inputs!$B$43-B569)/(IF(Inputs!$B$38="pvp",15,MAX(0.1,Skills!D10-IF(Skills!E10=TRUE,Inputs!$B$32,0)))*(1-IF(AND(ArtifactsInput!$M$27,Inputs!$B$4="Chapter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Inputs!$B$3&gt;=35</f>
        <v/>
      </c>
      <c r="D544">
        <f>IF(Skills!C11=1,60+Inputs!$B$25+Inputs!$B$29,IF(Skills!C11=2,90+Inputs!$B$26+Inputs!$B$29,IF(Skills!C11=3,120+Inputs!$B$27+Inputs!$B$29,MAX(0,(Inputs!$B$3-100)*3)+Inputs!$B$28+Inputs!$B$29)))</f>
        <v/>
      </c>
      <c r="E544">
        <f>INDEX(FactorTable!$B$2:$Y$301, MATCH(ROUND(MIN(300,MAX(1,D544)),0), FactorTable!$A$2:$A$301,0), Skills!M11+1)</f>
        <v/>
      </c>
      <c r="F544">
        <f>IF(Skills!N11=TRUE,(Skills!L11/10)*(E544/1000),Skills!L11/10)+Skills!O11</f>
        <v/>
      </c>
      <c r="G544">
        <f>Skills!G11*IF(Skills!H11&gt;0,Skills!I11/Skills!H11,1)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11="ENHANCED_RAGING_BLOW",IF(Inputs!$B$3&gt;=134,MAX(0,IF(Inputs!$B$3&gt;=110,7,5)-5)*50,0),0)/100)*(1+(IF(Skills!A11="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544)</f>
        <v/>
      </c>
      <c r="L544">
        <f>K544*(MIN(Inputs!$B$22+((C555=TRUE)*(F555-Calc!F22)),(Inputs!$B$23+((C557=TRUE)*(F557-Calc!F24))+(IF(ArtifactsInput!$M$15,CHOOSE(ArtifactsInput!$N$15+1,25,30,35,40,45,50)/100*(Inputs!$B$11-Inputs!$B$11),0))))/100+(Inputs!$B$23+((C557=TRUE)*(F557-Calc!F24))+(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IFERROR(1/(IF(Inputs!$B$38="pvp",15,MAX(0.1,Skills!D11-IF(Skills!E11=TRUE,Inputs!$B$32,0)))*(1-IF(AND(ArtifactsInput!$M$27,Inputs!$B$4="Chapter Hunt"),CHOOSE(ArtifactsInput!$N$27+1,20,24,28,32,36,40),0)/100)),0)</f>
        <v/>
      </c>
      <c r="R544">
        <f>IF(AND(Inputs!$B$38&lt;&gt;"pvp",Inputs!$B$43&gt;0),IF(MAX(0,Inputs!$B$43-B569)&lt;=0,0,(INT(MAX(0,Inputs!$B$43-B569)/(IF(Inputs!$B$38="pvp",15,MAX(0.1,Skills!D11-IF(Skills!E11=TRUE,Inputs!$B$32,0)))*(1-IF(AND(ArtifactsInput!$M$27,Inputs!$B$4="Chapter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INDEX(FactorTable!$B$2:$Y$301, MATCH(ROUND(MIN(300,MAX(1,D545)),0),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INDEX(FactorTable!$B$2:$Y$301, MATCH(ROUND(MIN(300,MAX(1,D546)),0), FactorTable!$A$2:$A$301,0), Skills!M13+1)</f>
        <v/>
      </c>
      <c r="F546">
        <f>IF(Skills!N13=TRUE,(Skills!L13/10)*(E546/1000),Skills!L13/10)+Skills!O13</f>
        <v/>
      </c>
      <c r="G546">
        <f>Skills!G13*IF(Skills!H13&gt;0,Skills!I13/Skills!H13,1)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Inputs!$B$3&gt;=75</f>
        <v/>
      </c>
      <c r="D547">
        <f>IF(Skills!C14=1,60+Inputs!$B$25+Inputs!$B$29,IF(Skills!C14=2,90+Inputs!$B$26+Inputs!$B$29,IF(Skills!C14=3,120+Inputs!$B$27+Inputs!$B$29,MAX(0,(Inputs!$B$3-100)*3)+Inputs!$B$28+Inputs!$B$29)))</f>
        <v/>
      </c>
      <c r="E547">
        <f>INDEX(FactorTable!$B$2:$Y$301, MATCH(ROUND(MIN(300,MAX(1,D547)),0), FactorTable!$A$2:$A$301,0), Skills!M14+1)</f>
        <v/>
      </c>
      <c r="F547">
        <f>IF(Skills!N14=TRUE,(Skills!L14/10)*(E547/1000),Skills!L14/10)+Skills!O14</f>
        <v/>
      </c>
      <c r="G547">
        <f>Skills!G14*IF(Skills!H14&gt;0,Skills!I14/Skills!H14,1)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Inputs!$B$3&gt;=40</f>
        <v/>
      </c>
      <c r="D548">
        <f>IF(Skills!C15=1,60+Inputs!$B$25+Inputs!$B$29,IF(Skills!C15=2,90+Inputs!$B$26+Inputs!$B$29,IF(Skills!C15=3,120+Inputs!$B$27+Inputs!$B$29,MAX(0,(Inputs!$B$3-100)*3)+Inputs!$B$28+Inputs!$B$29)))</f>
        <v/>
      </c>
      <c r="E548">
        <f>INDEX(FactorTable!$B$2:$Y$301, MATCH(ROUND(MIN(300,MAX(1,D548)),0), FactorTable!$A$2:$A$301,0), Skills!M15+1)</f>
        <v/>
      </c>
      <c r="F548">
        <f>IF(Skills!N15=TRUE,(Skills!L15/10)*(E548/1000),Skills!L15/10)+Skills!O15</f>
        <v/>
      </c>
      <c r="G548">
        <f>Skills!G15*IF(Skills!H15&gt;0,Skills!I15/Skills!H15,1)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IFERROR(1/(IF(Inputs!$B$38="pvp",15,MAX(0.1,Skills!D15-IF(Skills!E15=TRUE,Inputs!$B$32,0)))*(1-IF(AND(ArtifactsInput!$M$27,Inputs!$B$4="Chapter Hunt"),CHOOSE(ArtifactsInput!$N$27+1,20,24,28,32,36,40),0)/100)),0)</f>
        <v/>
      </c>
      <c r="R548">
        <f>IF(AND(Inputs!$B$38&lt;&gt;"pvp",Inputs!$B$43&gt;0),IF(Inputs!$B$43&lt;=0,0,(INT(Inputs!$B$43/(IF(Inputs!$B$38="pvp",15,MAX(0.1,Skills!D15-IF(Skills!E15=TRUE,Inputs!$B$32,0)))*(1-IF(AND(ArtifactsInput!$M$27,Inputs!$B$4="Chapter Hunt"),CHOOSE(ArtifactsInput!$N$27+1,20,24,28,32,36,40),0)/100)))+1)),0)</f>
        <v/>
      </c>
      <c r="S548">
        <f>IFERROR(O548/N548,0)</f>
        <v/>
      </c>
      <c r="T548" t="n">
        <v>0</v>
      </c>
      <c r="V548" t="n">
        <v>0</v>
      </c>
    </row>
    <row r="549">
      <c r="A549">
        <f>Skills!A16</f>
        <v/>
      </c>
      <c r="B549">
        <f>Skills!B16</f>
        <v/>
      </c>
      <c r="C549">
        <f>Inputs!$B$3&gt;=66</f>
        <v/>
      </c>
      <c r="D549">
        <f>IF(Skills!C16=1,60+Inputs!$B$25+Inputs!$B$29,IF(Skills!C16=2,90+Inputs!$B$26+Inputs!$B$29,IF(Skills!C16=3,120+Inputs!$B$27+Inputs!$B$29,MAX(0,(Inputs!$B$3-100)*3)+Inputs!$B$28+Inputs!$B$29)))</f>
        <v/>
      </c>
      <c r="E549">
        <f>INDEX(FactorTable!$B$2:$Y$301, MATCH(ROUND(MIN(300,MAX(1,D549)),0), FactorTable!$A$2:$A$301,0), Skills!M16+1)</f>
        <v/>
      </c>
      <c r="F549">
        <f>IF(Skills!N16=TRUE,(Skills!L16/10)*(E549/1000),Skills!L16/10)+Skills!O16</f>
        <v/>
      </c>
      <c r="G549">
        <f>Skills!G16*IF(Skills!H16&gt;0,Skills!I16/Skills!H16,1)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IFERROR(1/(IF(Inputs!$B$38="pvp",15,MAX(0.1,Skills!D16-IF(Skills!E16=TRUE,Inputs!$B$32,0)))*(1-IF(AND(ArtifactsInput!$M$27,Inputs!$B$4="Chapter Hunt"),CHOOSE(ArtifactsInput!$N$27+1,20,24,28,32,36,40),0)/100)),0)</f>
        <v/>
      </c>
      <c r="R549">
        <f>IF(AND(Inputs!$B$38&lt;&gt;"pvp",Inputs!$B$43&gt;0),IF(Inputs!$B$43&lt;=0,0,(INT(Inputs!$B$43/(IF(Inputs!$B$38="pvp",15,MAX(0.1,Skills!D16-IF(Skills!E16=TRUE,Inputs!$B$32,0)))*(1-IF(AND(ArtifactsInput!$M$27,Inputs!$B$4="Chapter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INDEX(FactorTable!$B$2:$Y$301, MATCH(ROUND(MIN(300,MAX(1,D550)),0), FactorTable!$A$2:$A$301,0), Skills!M17+1)</f>
        <v/>
      </c>
      <c r="F550">
        <f>IF(Skills!N17=TRUE,(Skills!L17/10)*(E550/1000),Skills!L17/10)+Skills!O17</f>
        <v/>
      </c>
      <c r="G550">
        <f>Skills!G17*IF(Skills!H17&gt;0,Skills!I17/Skills!H17,1)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IFERROR(1/(IF(Inputs!$B$38="pvp",15,MAX(0.1,Skills!D17-IF(Skills!E17=TRUE,Inputs!$B$32,0)))*(1-IF(AND(ArtifactsInput!$M$27,Inputs!$B$4="Chapter Hunt"),CHOOSE(ArtifactsInput!$N$27+1,20,24,28,32,36,40),0)/100)),0)</f>
        <v/>
      </c>
      <c r="R550">
        <f>IF(AND(Inputs!$B$38&lt;&gt;"pvp",Inputs!$B$43&gt;0),IF(Inputs!$B$43&lt;=0,0,(INT(Inputs!$B$43/(IF(Inputs!$B$38="pvp",15,MAX(0.1,Skills!D17-IF(Skills!E17=TRUE,Inputs!$B$32,0)))*(1-IF(AND(ArtifactsInput!$M$27,Inputs!$B$4="Chapter Hunt"),CHOOSE(ArtifactsInput!$N$27+1,20,24,28,32,36,40),0)/100)))+1)),0)</f>
        <v/>
      </c>
      <c r="S550">
        <f>IFERROR(O550/N550,0)</f>
        <v/>
      </c>
      <c r="T550" t="n">
        <v>0</v>
      </c>
      <c r="V550" t="n">
        <v>0</v>
      </c>
    </row>
    <row r="551">
      <c r="A551">
        <f>Skills!A18</f>
        <v/>
      </c>
      <c r="B551">
        <f>Skills!B18</f>
        <v/>
      </c>
      <c r="C551">
        <f>Inputs!$B$3&gt;=115</f>
        <v/>
      </c>
      <c r="D551">
        <f>IF(Skills!C18=1,60+Inputs!$B$25+Inputs!$B$29,IF(Skills!C18=2,90+Inputs!$B$26+Inputs!$B$29,IF(Skills!C18=3,120+Inputs!$B$27+Inputs!$B$29,MAX(0,(Inputs!$B$3-100)*3)+Inputs!$B$28+Inputs!$B$29)))</f>
        <v/>
      </c>
      <c r="E551">
        <f>INDEX(FactorTable!$B$2:$Y$301, MATCH(ROUND(MIN(300,MAX(1,D551)),0), FactorTable!$A$2:$A$301,0), Skills!M18+1)</f>
        <v/>
      </c>
      <c r="F551">
        <f>IF(Skills!N18=TRUE,(Skills!L18/10)*(E551/1000),Skills!L18/10)+Skills!O18</f>
        <v/>
      </c>
      <c r="G551">
        <f>Skills!G18*IF(Skills!H18&gt;0,Skills!I18/Skills!H18,1)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IFERROR(1/(IF(Inputs!$B$38="pvp",15,MAX(0.1,Skills!D18-IF(Skills!E18=TRUE,Inputs!$B$32,0)))*(1-IF(AND(ArtifactsInput!$M$27,Inputs!$B$4="Chapter Hunt"),CHOOSE(ArtifactsInput!$N$27+1,20,24,28,32,36,40),0)/100)),0)</f>
        <v/>
      </c>
      <c r="R551">
        <f>IF(AND(Inputs!$B$38&lt;&gt;"pvp",Inputs!$B$43&gt;0),IF(Inputs!$B$43&lt;=0,0,(INT(Inputs!$B$43/(IF(Inputs!$B$38="pvp",15,MAX(0.1,Skills!D18-IF(Skills!E18=TRUE,Inputs!$B$32,0)))*(1-IF(AND(ArtifactsInput!$M$27,Inputs!$B$4="Chapter Hunt"),CHOOSE(ArtifactsInput!$N$27+1,20,24,28,32,36,40),0)/100)))+1)),0)</f>
        <v/>
      </c>
      <c r="S551">
        <f>IFERROR(O551/N551,0)</f>
        <v/>
      </c>
      <c r="T551" t="n">
        <v>0</v>
      </c>
      <c r="V551" t="n">
        <v>0</v>
      </c>
    </row>
    <row r="552">
      <c r="A552">
        <f>Skills!A19</f>
        <v/>
      </c>
      <c r="B552">
        <f>Skills!B19</f>
        <v/>
      </c>
      <c r="C552">
        <f>TRUE</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IFERROR(1/(IF(Inputs!$B$38="pvp",15,MAX(0.1,Skills!D19-IF(Skills!E19=TRUE,Inputs!$B$32,0)))*(1-IF(AND(ArtifactsInput!$M$27,Inputs!$B$4="Chapter Hunt"),CHOOSE(ArtifactsInput!$N$27+1,20,24,28,32,36,40),0)/100)),0)</f>
        <v/>
      </c>
      <c r="R552">
        <f>IF(AND(Inputs!$B$38&lt;&gt;"pvp",Inputs!$B$43&gt;0),IF(Inputs!$B$43&lt;=0,0,(INT(Inputs!$B$43/(IF(Inputs!$B$38="pvp",15,MAX(0.1,Skills!D19-IF(Skills!E19=TRUE,Inputs!$B$32,0)))*(1-IF(AND(ArtifactsInput!$M$27,Inputs!$B$4="Chapter Hunt"),CHOOSE(ArtifactsInput!$N$27+1,20,24,28,32,36,40),0)/100)))+1)),0)</f>
        <v/>
      </c>
      <c r="S552">
        <f>IFERROR(O552/N552,0)</f>
        <v/>
      </c>
      <c r="T552" t="n">
        <v>0</v>
      </c>
      <c r="V552" t="n">
        <v>0</v>
      </c>
    </row>
    <row r="553">
      <c r="A553">
        <f>Skills!A20</f>
        <v/>
      </c>
      <c r="B553">
        <f>Skills!B20</f>
        <v/>
      </c>
      <c r="C553">
        <f>Inputs!$B$3&gt;=33</f>
        <v/>
      </c>
      <c r="D553">
        <f>IF(Skills!C20=1,60+Inputs!$B$25+Inputs!$B$29,IF(Skills!C20=2,90+Inputs!$B$26+Inputs!$B$29,IF(Skills!C20=3,120+Inputs!$B$27+Inputs!$B$29,MAX(0,(Inputs!$B$3-100)*3)+Inputs!$B$28+Inputs!$B$29)))</f>
        <v/>
      </c>
      <c r="E553">
        <f>INDEX(FactorTable!$B$2:$Y$301, MATCH(ROUND(MIN(300,MAX(1,D553)),0), FactorTable!$A$2:$A$301,0), Skills!M20+1)</f>
        <v/>
      </c>
      <c r="F553">
        <f>IF(Skills!N20=TRUE,(Skills!L20/10)*(E553/1000),Skills!L20/10)+Skills!O20</f>
        <v/>
      </c>
      <c r="G553">
        <f>Skills!G20*IF(Skills!H20&gt;0,Skills!I20/Skills!H20,1)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Inputs!$B$3&gt;=38</f>
        <v/>
      </c>
      <c r="D554">
        <f>IF(Skills!C21=1,60+Inputs!$B$25+Inputs!$B$29,IF(Skills!C21=2,90+Inputs!$B$26+Inputs!$B$29,IF(Skills!C21=3,120+Inputs!$B$27+Inputs!$B$29,MAX(0,(Inputs!$B$3-100)*3)+Inputs!$B$28+Inputs!$B$29)))</f>
        <v/>
      </c>
      <c r="E554">
        <f>INDEX(FactorTable!$B$2:$Y$301, MATCH(ROUND(MIN(300,MAX(1,D554)),0), FactorTable!$A$2:$A$301,0), Skills!M21+1)</f>
        <v/>
      </c>
      <c r="F554">
        <f>IF(Skills!N21=TRUE,(Skills!L21/10)*(E554/1000),Skills!L21/10)+Skills!O21</f>
        <v/>
      </c>
      <c r="G554">
        <f>Skills!G21*IF(Skills!H21&gt;0,Skills!I21/Skills!H21,1)</f>
        <v/>
      </c>
      <c r="H554">
        <f>1-(1-Skills!J21/100)^Skills!K21</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Skills!A22</f>
        <v/>
      </c>
      <c r="B555">
        <f>Skills!B22</f>
        <v/>
      </c>
      <c r="C555">
        <f>Inputs!$B$3&gt;=43</f>
        <v/>
      </c>
      <c r="D555">
        <f>IF(Skills!C22=1,60+Inputs!$B$25+Inputs!$B$29,IF(Skills!C22=2,90+Inputs!$B$26+Inputs!$B$29,IF(Skills!C22=3,120+Inputs!$B$27+Inputs!$B$29,MAX(0,(Inputs!$B$3-100)*3)+Inputs!$B$28+Inputs!$B$29)))</f>
        <v/>
      </c>
      <c r="E555">
        <f>INDEX(FactorTable!$B$2:$Y$301, MATCH(ROUND(MIN(300,MAX(1,D555)),0), FactorTable!$A$2:$A$301,0), Skills!M22+1)</f>
        <v/>
      </c>
      <c r="F555">
        <f>IF(Skills!N22=TRUE,(Skills!L22/10)*(E555/1000),Skills!L22/10)+Skills!O22</f>
        <v/>
      </c>
      <c r="G555">
        <f>Skills!G22*IF(Skills!H22&gt;0,Skills!I22/Skills!H22,1)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Inputs!$B$3&gt;=120</f>
        <v/>
      </c>
      <c r="D556">
        <f>IF(Skills!C23=1,60+Inputs!$B$25+Inputs!$B$29,IF(Skills!C23=2,90+Inputs!$B$26+Inputs!$B$29,IF(Skills!C23=3,120+Inputs!$B$27+Inputs!$B$29,MAX(0,(Inputs!$B$3-100)*3)+Inputs!$B$28+Inputs!$B$29)))</f>
        <v/>
      </c>
      <c r="E556">
        <f>INDEX(FactorTable!$B$2:$Y$301, MATCH(ROUND(MIN(300,MAX(1,D556)),0), FactorTable!$A$2:$A$301,0), Skills!M23+1)</f>
        <v/>
      </c>
      <c r="F556">
        <f>IF(Skills!N23=TRUE,(Skills!L23/10)*(E556/1000),Skills!L23/10)+Skills!O23</f>
        <v/>
      </c>
      <c r="G556">
        <f>Skills!G23*IF(Skills!H23&gt;0,Skills!I23/Skills!H23,1)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Inputs!$B$3&gt;=120</f>
        <v/>
      </c>
      <c r="D557">
        <f>IF(Skills!C24=1,60+Inputs!$B$25+Inputs!$B$29,IF(Skills!C24=2,90+Inputs!$B$26+Inputs!$B$29,IF(Skills!C24=3,120+Inputs!$B$27+Inputs!$B$29,MAX(0,(Inputs!$B$3-100)*3)+Inputs!$B$28+Inputs!$B$29)))</f>
        <v/>
      </c>
      <c r="E557">
        <f>INDEX(FactorTable!$B$2:$Y$301, MATCH(ROUND(MIN(300,MAX(1,D557)),0), FactorTable!$A$2:$A$301,0), Skills!M24+1)</f>
        <v/>
      </c>
      <c r="F557">
        <f>IF(Skills!N24=TRUE,(Skills!L24/10)*(E557/1000),Skills!L24/10)+Skills!O24</f>
        <v/>
      </c>
      <c r="G557">
        <f>Skills!G24*IF(Skills!H24&gt;0,Skills!I24/Skills!H24,1)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Inputs!$B$3&gt;=125</f>
        <v/>
      </c>
      <c r="D558">
        <f>IF(Skills!C25=1,60+Inputs!$B$25+Inputs!$B$29,IF(Skills!C25=2,90+Inputs!$B$26+Inputs!$B$29,IF(Skills!C25=3,120+Inputs!$B$27+Inputs!$B$29,MAX(0,(Inputs!$B$3-100)*3)+Inputs!$B$28+Inputs!$B$29)))</f>
        <v/>
      </c>
      <c r="E558">
        <f>INDEX(FactorTable!$B$2:$Y$301, MATCH(ROUND(MIN(300,MAX(1,D558)),0), FactorTable!$A$2:$A$301,0), Skills!M25+1)</f>
        <v/>
      </c>
      <c r="F558">
        <f>IF(Skills!N25=TRUE,(Skills!L25/10)*(E558/1000),Skills!L25/10)+Skills!O25</f>
        <v/>
      </c>
      <c r="G558">
        <f>Skills!G25*IF(Skills!H25&gt;0,Skills!I25/Skills!H25,1)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Inputs!$B$3&gt;=72</f>
        <v/>
      </c>
      <c r="D559">
        <f>IF(Skills!C26=1,60+Inputs!$B$25+Inputs!$B$29,IF(Skills!C26=2,90+Inputs!$B$26+Inputs!$B$29,IF(Skills!C26=3,120+Inputs!$B$27+Inputs!$B$29,MAX(0,(Inputs!$B$3-100)*3)+Inputs!$B$28+Inputs!$B$29)))</f>
        <v/>
      </c>
      <c r="E559">
        <f>INDEX(FactorTable!$B$2:$Y$301, MATCH(ROUND(MIN(300,MAX(1,D559)),0), FactorTable!$A$2:$A$301,0), Skills!M26+1)</f>
        <v/>
      </c>
      <c r="F559">
        <f>IF(Skills!N26=TRUE,(Skills!L26/10)*(E559/1000),Skills!L26/10)+Skills!O26</f>
        <v/>
      </c>
      <c r="G559">
        <f>Skills!G26*IF(Skills!H26&gt;0,Skills!I26/Skills!H26,1)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552=TRUE)*F552*IF(AND(Inputs!$B$38&lt;&gt;"pvp",Inputs!$B$43&gt;0),(((R552-1)*(Skills!T19*(1+(Inputs!$B$34+(ArtifactsInput!$M$7-ArtifactsInput!$M$7)*CHOOSE(ArtifactsInput!$N$7+1,6,7.2,8.4,9.6,10.8,12))/100))+MIN((Skills!T19*(1+(Inputs!$B$34+(ArtifactsInput!$M$7-ArtifactsInput!$M$7)*CHOOSE(ArtifactsInput!$N$7+1,6,7.2,8.4,9.6,10.8,12))/100)),MAX(0,Inputs!$B$43-((R552-1)*Skills!D19))))/Inputs!$B$43),IF(Inputs!$B$38="pvp",MIN((Skills!T19*(1+(Inputs!$B$34+(ArtifactsInput!$M$7-ArtifactsInput!$M$7)*CHOOSE(ArtifactsInput!$N$7+1,6,7.2,8.4,9.6,10.8,12))/100)),15)/15,(Skills!T19*(1+(Inputs!$B$34+(ArtifactsInput!$M$7-ArtifactsInput!$M$7)*CHOOSE(ArtifactsInput!$N$7+1,6,7.2,8.4,9.6,10.8,12))/100))/Skills!D19)))</f>
        <v/>
      </c>
    </row>
    <row r="564">
      <c r="A564" t="inlineStr">
        <is>
          <t>Actions Per Second</t>
        </is>
      </c>
      <c r="B564">
        <f>1+MIN(150,150*(1-(1-(Inputs!$B$11+((C553=TRUE)*(F553-Calc!F20)))/150)*(1-B563/150)))/100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Raging Blow Casts Per Second</t>
        </is>
      </c>
      <c r="B566">
        <f>MAX(0,B564-B565)</f>
        <v/>
      </c>
    </row>
    <row r="567">
      <c r="A567" t="inlineStr">
        <is>
          <t>Global Critical Damage Bonus % (Enrage)</t>
        </is>
      </c>
      <c r="B567">
        <f>((C551=TRUE)*F551*IF(AND(Inputs!$B$38&lt;&gt;"pvp",Inputs!$B$43&gt;0),(((R551-1)*(Skills!T18*(1+(Inputs!$B$34+(ArtifactsInput!$M$7-ArtifactsInput!$M$7)*CHOOSE(ArtifactsInput!$N$7+1,6,7.2,8.4,9.6,10.8,12))/100))+MIN((Skills!T18*(1+(Inputs!$B$34+(ArtifactsInput!$M$7-ArtifactsInput!$M$7)*CHOOSE(ArtifactsInput!$N$7+1,6,7.2,8.4,9.6,10.8,12))/100)),MAX(0,Inputs!$B$43-((R551-1)*Skills!D18))))/Inputs!$B$43),IF(Inputs!$B$38="pvp",MIN((Skills!T18*(1+(Inputs!$B$34+(ArtifactsInput!$M$7-ArtifactsInput!$M$7)*CHOOSE(ArtifactsInput!$N$7+1,6,7.2,8.4,9.6,10.8,12))/100)),15)/15,(Skills!T18*(1+(Inputs!$B$34+(ArtifactsInput!$M$7-ArtifactsInput!$M$7)*CHOOSE(ArtifactsInput!$N$7+1,6,7.2,8.4,9.6,10.8,12))/100))/Skills!D18)))</f>
        <v/>
      </c>
    </row>
    <row r="568">
      <c r="A568" t="inlineStr">
        <is>
          <t>Global Final Damage Bonus % (Enrage + Combo Synergy)</t>
        </is>
      </c>
      <c r="B568">
        <f>((C550=TRUE)*F550*IF(AND(Inputs!$B$38&lt;&gt;"pvp",Inputs!$B$43&gt;0),(((R550-1)*(Skills!T17*(1+(Inputs!$B$34+(ArtifactsInput!$M$7-ArtifactsInput!$M$7)*CHOOSE(ArtifactsInput!$N$7+1,6,7.2,8.4,9.6,10.8,12))/100))+MIN((Skills!T17*(1+(Inputs!$B$34+(ArtifactsInput!$M$7-ArtifactsInput!$M$7)*CHOOSE(ArtifactsInput!$N$7+1,6,7.2,8.4,9.6,10.8,12))/100)),MAX(0,Inputs!$B$43-((R550-1)*Skills!D17))))/Inputs!$B$43),IF(Inputs!$B$38="pvp",MIN((Skills!T17*(1+(Inputs!$B$34+(ArtifactsInput!$M$7-ArtifactsInput!$M$7)*CHOOSE(ArtifactsInput!$N$7+1,6,7.2,8.4,9.6,10.8,12))/100)),15)/15,(Skills!T17*(1+(Inputs!$B$34+(ArtifactsInput!$M$7-ArtifactsInput!$M$7)*CHOOSE(ArtifactsInput!$N$7+1,6,7.2,8.4,9.6,10.8,12))/100))/Skills!D17)))+((C547=TRUE)*F547*IF(Inputs!$B$3&gt;=110,7,5))</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NHANCED_RAGING_BLOW",IF(Inputs!$B$3&gt;=134,MAX(0,IF(Inputs!$B$3&gt;=110,7,5)-5)*50,0),0)/100)*(1+(IF(Skills!A2="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577)</f>
        <v/>
      </c>
      <c r="L577">
        <f>K577*(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INDEX(FactorTable!$B$2:$Y$301, MATCH(ROUND(MIN(300,MAX(1,D578)),0),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INDEX(FactorTable!$B$2:$Y$301, MATCH(ROUND(MIN(300,MAX(1,U577)),0), FactorTable!$A$2:$A$301,0), 22)</f>
        <v/>
      </c>
    </row>
    <row r="579">
      <c r="A579">
        <f>Skills!A4</f>
        <v/>
      </c>
      <c r="B579">
        <f>Skills!B4</f>
        <v/>
      </c>
      <c r="C579">
        <f>Inputs!$B$3&gt;=105</f>
        <v/>
      </c>
      <c r="D579">
        <f>IF(Skills!C4=1,60+Inputs!$B$25+Inputs!$B$29,IF(Skills!C4=2,90+Inputs!$B$26+Inputs!$B$29,IF(Skills!C4=3,120+Inputs!$B$27+Inputs!$B$29,MAX(0,(Inputs!$B$3-100)*3)+Inputs!$B$28+Inputs!$B$29)))</f>
        <v/>
      </c>
      <c r="E579">
        <f>INDEX(FactorTable!$B$2:$Y$301, MATCH(ROUND(MIN(300,MAX(1,D579)),0), FactorTable!$A$2:$A$301,0), Skills!M4+1)</f>
        <v/>
      </c>
      <c r="F579">
        <f>IF(Skills!N4=TRUE,(Skills!L4/10)*(E579/1000),Skills!L4/10)+Skills!O4</f>
        <v/>
      </c>
      <c r="G579" t="inlineStr"/>
      <c r="H579" t="inlineStr"/>
      <c r="I579" t="inlineStr">
        <is>
          <t>1</t>
        </is>
      </c>
      <c r="J579" t="inlineStr"/>
      <c r="K579" t="inlineStr"/>
      <c r="L579" t="inlineStr"/>
      <c r="M579" t="inlineStr"/>
      <c r="N579" t="inlineStr"/>
      <c r="O579" t="inlineStr"/>
      <c r="P579" t="inlineStr"/>
      <c r="Q579" t="inlineStr"/>
      <c r="R579" t="inlineStr"/>
      <c r="S579" t="inlineStr"/>
      <c r="U579">
        <f>290*U578/1000</f>
        <v/>
      </c>
    </row>
    <row r="580">
      <c r="A580">
        <f>Skills!A5</f>
        <v/>
      </c>
      <c r="B580">
        <f>Skills!B5</f>
        <v/>
      </c>
      <c r="C580">
        <f>Inputs!$B$3&gt;=103</f>
        <v/>
      </c>
      <c r="D580">
        <f>IF(Skills!C5=1,60+Inputs!$B$25+Inputs!$B$29,IF(Skills!C5=2,90+Inputs!$B$26+Inputs!$B$29,IF(Skills!C5=3,120+Inputs!$B$27+Inputs!$B$29,MAX(0,(Inputs!$B$3-100)*3)+Inputs!$B$28+Inputs!$B$29)))</f>
        <v/>
      </c>
      <c r="E580">
        <f>INDEX(FactorTable!$B$2:$Y$301, MATCH(ROUND(MIN(300,MAX(1,D580)),0), FactorTable!$A$2:$A$301,0), Skills!M5+1)</f>
        <v/>
      </c>
      <c r="F580">
        <f>IF(Skills!N5=TRUE,(Skills!L5/10)*(E580/1000),Skills!L5/10)+Skills!O5</f>
        <v/>
      </c>
      <c r="G580">
        <f>Skills!G5*IF(Skills!H5&gt;0,Skills!I5/Skills!H5,1)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ENHANCED_RAGING_BLOW",IF(Inputs!$B$3&gt;=134,MAX(0,IF(Inputs!$B$3&gt;=110,7,5)-5)*50,0),0)/100)*(1+(IF(Skills!A5="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580)</f>
        <v/>
      </c>
      <c r="L580">
        <f>K580*(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IFERROR(1/(IF(Inputs!$B$38="pvp",15,MAX(0.1,Skills!D5-IF(Skills!E5=TRUE,Inputs!$B$32,0)))*(1-IF(AND(ArtifactsInput!$M$27,Inputs!$B$4="Chapter Hunt"),CHOOSE(ArtifactsInput!$N$27+1,20,24,28,32,36,40),0)/100)),0)</f>
        <v/>
      </c>
      <c r="R580">
        <f>IF(AND(Inputs!$B$38&lt;&gt;"pvp",Inputs!$B$43&gt;0),IF(MAX(0,Inputs!$B$43-B611)&lt;=0,0,(INT(MAX(0,Inputs!$B$43-B611)/(IF(Inputs!$B$38="pvp",15,MAX(0.1,Skills!D5-IF(Skills!E5=TRUE,Inputs!$B$32,0)))*(1-IF(AND(ArtifactsInput!$M$27,Inputs!$B$4="Chapter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INDEX(FactorTable!$B$2:$Y$301, MATCH(ROUND(MIN(300,MAX(1,D581)),0), FactorTable!$A$2:$A$301,0), Skills!M6+1)</f>
        <v/>
      </c>
      <c r="F581">
        <f>IF(Skills!N6=TRUE,(Skills!L6/10)*(E581/1000),Skills!L6/10)+Skills!O6</f>
        <v/>
      </c>
      <c r="G581">
        <f>Skills!G6*IF(Skills!H6&gt;0,Skills!I6/Skills!H6,1)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ENHANCED_RAGING_BLOW",IF(Inputs!$B$3&gt;=134,MAX(0,IF(Inputs!$B$3&gt;=110,7,5)-5)*50,0),0)/100)*(1+(IF(Skills!A6="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581)</f>
        <v/>
      </c>
      <c r="L581">
        <f>K581*(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IFERROR(1/(IF(Inputs!$B$38="pvp",15,MAX(0.1,Skills!D6-IF(Skills!E6=TRUE,Inputs!$B$32,0)))*(1-IF(AND(ArtifactsInput!$M$27,Inputs!$B$4="Chapter Hunt"),CHOOSE(ArtifactsInput!$N$27+1,20,24,28,32,36,40),0)/100)),0)</f>
        <v/>
      </c>
      <c r="R581">
        <f>IF(AND(Inputs!$B$38&lt;&gt;"pvp",Inputs!$B$43&gt;0),IF(MAX(0,Inputs!$B$43-B611)&lt;=0,0,(INT(MAX(0,Inputs!$B$43-B611)/(IF(Inputs!$B$38="pvp",15,MAX(0.1,Skills!D6-IF(Skills!E6=TRUE,Inputs!$B$32,0)))*(1-IF(AND(ArtifactsInput!$M$27,Inputs!$B$4="Chapter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INDEX(FactorTable!$B$2:$Y$301, MATCH(ROUND(MIN(300,MAX(1,D582)),0), FactorTable!$A$2:$A$301,0), Skills!M7+1)</f>
        <v/>
      </c>
      <c r="F582">
        <f>IF(Skills!N7=TRUE,(Skills!L7/10)*(E582/1000),Skills!L7/10)+Skills!O7</f>
        <v/>
      </c>
      <c r="G582">
        <f>Skills!G7*IF(Skills!H7&gt;0,Skills!I7/Skills!H7,1)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ENHANCED_RAGING_BLOW",IF(Inputs!$B$3&gt;=134,MAX(0,IF(Inputs!$B$3&gt;=110,7,5)-5)*50,0),0)/100)*(1+(IF(Skills!A7="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582)</f>
        <v/>
      </c>
      <c r="L582">
        <f>K582*(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IFERROR(1/(IF(Inputs!$B$38="pvp",15,MAX(0.1,Skills!D7-IF(Skills!E7=TRUE,Inputs!$B$32,0)))*(1-IF(AND(ArtifactsInput!$M$27,Inputs!$B$4="Chapter Hunt"),CHOOSE(ArtifactsInput!$N$27+1,20,24,28,32,36,40),0)/100)),0)</f>
        <v/>
      </c>
      <c r="R582">
        <f>IF(AND(Inputs!$B$38&lt;&gt;"pvp",Inputs!$B$43&gt;0),IF(MAX(0,Inputs!$B$43-B611)&lt;=0,0,(INT(MAX(0,Inputs!$B$43-B611)/(IF(Inputs!$B$38="pvp",15,MAX(0.1,Skills!D7-IF(Skills!E7=TRUE,Inputs!$B$32,0)))*(1-IF(AND(ArtifactsInput!$M$27,Inputs!$B$4="Chapter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Inputs!$B$3&gt;=117</f>
        <v/>
      </c>
      <c r="D583">
        <f>IF(Skills!C8=1,60+Inputs!$B$25+Inputs!$B$29,IF(Skills!C8=2,90+Inputs!$B$26+Inputs!$B$29,IF(Skills!C8=3,120+Inputs!$B$27+Inputs!$B$29,MAX(0,(Inputs!$B$3-100)*3)+Inputs!$B$28+Inputs!$B$29)))</f>
        <v/>
      </c>
      <c r="E583">
        <f>INDEX(FactorTable!$B$2:$Y$301, MATCH(ROUND(MIN(300,MAX(1,D583)),0), FactorTable!$A$2:$A$301,0), Skills!M8+1)</f>
        <v/>
      </c>
      <c r="F583">
        <f>IF(Skills!N8=TRUE,(Skills!L8/10)*(E583/1000),Skills!L8/10)+Skills!O8</f>
        <v/>
      </c>
      <c r="G583">
        <f>Skills!G8*IF(Skills!H8&gt;0,Skills!I8/Skills!H8,1)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NHANCED_RAGING_BLOW",IF(Inputs!$B$3&gt;=134,MAX(0,IF(Inputs!$B$3&gt;=110,7,5)-5)*50,0),0)/100)*(1+(IF(Skills!A8="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583)</f>
        <v/>
      </c>
      <c r="L583">
        <f>K583*(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IFERROR(1/(IF(Inputs!$B$38="pvp",15,MAX(0.1,Skills!D8-IF(Skills!E8=TRUE,Inputs!$B$32,0)))*(1-IF(AND(ArtifactsInput!$M$27,Inputs!$B$4="Chapter Hunt"),CHOOSE(ArtifactsInput!$N$27+1,20,24,28,32,36,40),0)/100)),0)</f>
        <v/>
      </c>
      <c r="R583">
        <f>IF(AND(Inputs!$B$38&lt;&gt;"pvp",Inputs!$B$43&gt;0),IF(MAX(0,Inputs!$B$43-B611)&lt;=0,0,(INT(MAX(0,Inputs!$B$43-B611)/(IF(Inputs!$B$38="pvp",15,MAX(0.1,Skills!D8-IF(Skills!E8=TRUE,Inputs!$B$32,0)))*(1-IF(AND(ArtifactsInput!$M$27,Inputs!$B$4="Chapter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Inputs!$B$3&gt;=69</f>
        <v/>
      </c>
      <c r="D584">
        <f>IF(Skills!C9=1,60+Inputs!$B$25+Inputs!$B$29,IF(Skills!C9=2,90+Inputs!$B$26+Inputs!$B$29,IF(Skills!C9=3,120+Inputs!$B$27+Inputs!$B$29,MAX(0,(Inputs!$B$3-100)*3)+Inputs!$B$28+Inputs!$B$29)))</f>
        <v/>
      </c>
      <c r="E584">
        <f>INDEX(FactorTable!$B$2:$Y$301, MATCH(ROUND(MIN(300,MAX(1,D584)),0), FactorTable!$A$2:$A$301,0), Skills!M9+1)</f>
        <v/>
      </c>
      <c r="F584">
        <f>IF(Skills!N9=TRUE,(Skills!L9/10)*(E584/1000),Skills!L9/10)+Skills!O9</f>
        <v/>
      </c>
      <c r="G584">
        <f>Skills!G9*IF(Skills!H9&gt;0,Skills!I9/Skills!H9,1)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9="ENHANCED_RAGING_BLOW",IF(Inputs!$B$3&gt;=134,MAX(0,IF(Inputs!$B$3&gt;=110,7,5)-5)*50,0),0)/100)*(1+(IF(Skills!A9="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584)</f>
        <v/>
      </c>
      <c r="L584">
        <f>K584*(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IFERROR(1/(IF(Inputs!$B$38="pvp",15,MAX(0.1,Skills!D9-IF(Skills!E9=TRUE,Inputs!$B$32,0)))*(1-IF(AND(ArtifactsInput!$M$27,Inputs!$B$4="Chapter Hunt"),CHOOSE(ArtifactsInput!$N$27+1,20,24,28,32,36,40),0)/100)),0)</f>
        <v/>
      </c>
      <c r="R584">
        <f>IF(AND(Inputs!$B$38&lt;&gt;"pvp",Inputs!$B$43&gt;0),IF(MAX(0,Inputs!$B$43-B611)&lt;=0,0,(INT(MAX(0,Inputs!$B$43-B611)/(IF(Inputs!$B$38="pvp",15,MAX(0.1,Skills!D9-IF(Skills!E9=TRUE,Inputs!$B$32,0)))*(1-IF(AND(ArtifactsInput!$M$27,Inputs!$B$4="Chapter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Inputs!$B$3&gt;=63</f>
        <v/>
      </c>
      <c r="D585">
        <f>IF(Skills!C10=1,60+Inputs!$B$25+Inputs!$B$29,IF(Skills!C10=2,90+Inputs!$B$26+Inputs!$B$29,IF(Skills!C10=3,120+Inputs!$B$27+Inputs!$B$29,MAX(0,(Inputs!$B$3-100)*3)+Inputs!$B$28+Inputs!$B$29)))</f>
        <v/>
      </c>
      <c r="E585">
        <f>INDEX(FactorTable!$B$2:$Y$301, MATCH(ROUND(MIN(300,MAX(1,D585)),0), FactorTable!$A$2:$A$301,0), Skills!M10+1)</f>
        <v/>
      </c>
      <c r="F585">
        <f>IF(Skills!N10=TRUE,(Skills!L10/10)*(E585/1000),Skills!L10/10)+Skills!O10</f>
        <v/>
      </c>
      <c r="G585">
        <f>Skills!G10*IF(Skills!H10&gt;0,Skills!I10/Skills!H10,1)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10="ENHANCED_RAGING_BLOW",IF(Inputs!$B$3&gt;=134,MAX(0,IF(Inputs!$B$3&gt;=110,7,5)-5)*50,0),0)/100)*(1+(IF(Skills!A10="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585)</f>
        <v/>
      </c>
      <c r="L585">
        <f>K585*(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IFERROR(1/(IF(Inputs!$B$38="pvp",15,MAX(0.1,Skills!D10-IF(Skills!E10=TRUE,Inputs!$B$32,0)))*(1-IF(AND(ArtifactsInput!$M$27,Inputs!$B$4="Chapter Hunt"),CHOOSE(ArtifactsInput!$N$27+1,20,24,28,32,36,40),0)/100)),0)</f>
        <v/>
      </c>
      <c r="R585">
        <f>IF(AND(Inputs!$B$38&lt;&gt;"pvp",Inputs!$B$43&gt;0),IF(MAX(0,Inputs!$B$43-B611)&lt;=0,0,(INT(MAX(0,Inputs!$B$43-B611)/(IF(Inputs!$B$38="pvp",15,MAX(0.1,Skills!D10-IF(Skills!E10=TRUE,Inputs!$B$32,0)))*(1-IF(AND(ArtifactsInput!$M$27,Inputs!$B$4="Chapter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Inputs!$B$3&gt;=35</f>
        <v/>
      </c>
      <c r="D586">
        <f>IF(Skills!C11=1,60+Inputs!$B$25+Inputs!$B$29,IF(Skills!C11=2,90+Inputs!$B$26+Inputs!$B$29,IF(Skills!C11=3,120+Inputs!$B$27+Inputs!$B$29,MAX(0,(Inputs!$B$3-100)*3)+Inputs!$B$28+Inputs!$B$29)))</f>
        <v/>
      </c>
      <c r="E586">
        <f>INDEX(FactorTable!$B$2:$Y$301, MATCH(ROUND(MIN(300,MAX(1,D586)),0), FactorTable!$A$2:$A$301,0), Skills!M11+1)</f>
        <v/>
      </c>
      <c r="F586">
        <f>IF(Skills!N11=TRUE,(Skills!L11/10)*(E586/1000),Skills!L11/10)+Skills!O11</f>
        <v/>
      </c>
      <c r="G586">
        <f>Skills!G11*IF(Skills!H11&gt;0,Skills!I11/Skills!H11,1)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11="ENHANCED_RAGING_BLOW",IF(Inputs!$B$3&gt;=134,MAX(0,IF(Inputs!$B$3&gt;=110,7,5)-5)*50,0),0)/100)*(1+(IF(Skills!A11="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586)</f>
        <v/>
      </c>
      <c r="L586">
        <f>K586*(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IFERROR(1/(IF(Inputs!$B$38="pvp",15,MAX(0.1,Skills!D11-IF(Skills!E11=TRUE,Inputs!$B$32,0)))*(1-IF(AND(ArtifactsInput!$M$27,Inputs!$B$4="Chapter Hunt"),CHOOSE(ArtifactsInput!$N$27+1,20,24,28,32,36,40),0)/100)),0)</f>
        <v/>
      </c>
      <c r="R586">
        <f>IF(AND(Inputs!$B$38&lt;&gt;"pvp",Inputs!$B$43&gt;0),IF(MAX(0,Inputs!$B$43-B611)&lt;=0,0,(INT(MAX(0,Inputs!$B$43-B611)/(IF(Inputs!$B$38="pvp",15,MAX(0.1,Skills!D11-IF(Skills!E11=TRUE,Inputs!$B$32,0)))*(1-IF(AND(ArtifactsInput!$M$27,Inputs!$B$4="Chapter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INDEX(FactorTable!$B$2:$Y$301, MATCH(ROUND(MIN(300,MAX(1,D587)),0),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INDEX(FactorTable!$B$2:$Y$301, MATCH(ROUND(MIN(300,MAX(1,D588)),0), FactorTable!$A$2:$A$301,0), Skills!M13+1)</f>
        <v/>
      </c>
      <c r="F588">
        <f>IF(Skills!N13=TRUE,(Skills!L13/10)*(E588/1000),Skills!L13/10)+Skills!O13</f>
        <v/>
      </c>
      <c r="G588">
        <f>Skills!G13*IF(Skills!H13&gt;0,Skills!I13/Skills!H13,1)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Inputs!$B$3&gt;=75</f>
        <v/>
      </c>
      <c r="D589">
        <f>IF(Skills!C14=1,60+Inputs!$B$25+Inputs!$B$29,IF(Skills!C14=2,90+Inputs!$B$26+Inputs!$B$29,IF(Skills!C14=3,120+Inputs!$B$27+Inputs!$B$29,MAX(0,(Inputs!$B$3-100)*3)+Inputs!$B$28+Inputs!$B$29)))</f>
        <v/>
      </c>
      <c r="E589">
        <f>INDEX(FactorTable!$B$2:$Y$301, MATCH(ROUND(MIN(300,MAX(1,D589)),0), FactorTable!$A$2:$A$301,0), Skills!M14+1)</f>
        <v/>
      </c>
      <c r="F589">
        <f>IF(Skills!N14=TRUE,(Skills!L14/10)*(E589/1000),Skills!L14/10)+Skills!O14</f>
        <v/>
      </c>
      <c r="G589">
        <f>Skills!G14*IF(Skills!H14&gt;0,Skills!I14/Skills!H14,1)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Inputs!$B$3&gt;=40</f>
        <v/>
      </c>
      <c r="D590">
        <f>IF(Skills!C15=1,60+Inputs!$B$25+Inputs!$B$29,IF(Skills!C15=2,90+Inputs!$B$26+Inputs!$B$29,IF(Skills!C15=3,120+Inputs!$B$27+Inputs!$B$29,MAX(0,(Inputs!$B$3-100)*3)+Inputs!$B$28+Inputs!$B$29)))</f>
        <v/>
      </c>
      <c r="E590">
        <f>INDEX(FactorTable!$B$2:$Y$301, MATCH(ROUND(MIN(300,MAX(1,D590)),0), FactorTable!$A$2:$A$301,0), Skills!M15+1)</f>
        <v/>
      </c>
      <c r="F590">
        <f>IF(Skills!N15=TRUE,(Skills!L15/10)*(E590/1000),Skills!L15/10)+Skills!O15</f>
        <v/>
      </c>
      <c r="G590">
        <f>Skills!G15*IF(Skills!H15&gt;0,Skills!I15/Skills!H15,1)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IFERROR(1/(IF(Inputs!$B$38="pvp",15,MAX(0.1,Skills!D15-IF(Skills!E15=TRUE,Inputs!$B$32,0)))*(1-IF(AND(ArtifactsInput!$M$27,Inputs!$B$4="Chapter Hunt"),CHOOSE(ArtifactsInput!$N$27+1,20,24,28,32,36,40),0)/100)),0)</f>
        <v/>
      </c>
      <c r="R590">
        <f>IF(AND(Inputs!$B$38&lt;&gt;"pvp",Inputs!$B$43&gt;0),IF(Inputs!$B$43&lt;=0,0,(INT(Inputs!$B$43/(IF(Inputs!$B$38="pvp",15,MAX(0.1,Skills!D15-IF(Skills!E15=TRUE,Inputs!$B$32,0)))*(1-IF(AND(ArtifactsInput!$M$27,Inputs!$B$4="Chapter Hunt"),CHOOSE(ArtifactsInput!$N$27+1,20,24,28,32,36,40),0)/100)))+1)),0)</f>
        <v/>
      </c>
      <c r="S590">
        <f>IFERROR(O590/N590,0)</f>
        <v/>
      </c>
      <c r="T590" t="n">
        <v>0</v>
      </c>
      <c r="V590" t="n">
        <v>0</v>
      </c>
    </row>
    <row r="591">
      <c r="A591">
        <f>Skills!A16</f>
        <v/>
      </c>
      <c r="B591">
        <f>Skills!B16</f>
        <v/>
      </c>
      <c r="C591">
        <f>Inputs!$B$3&gt;=66</f>
        <v/>
      </c>
      <c r="D591">
        <f>IF(Skills!C16=1,60+Inputs!$B$25+Inputs!$B$29,IF(Skills!C16=2,90+Inputs!$B$26+Inputs!$B$29,IF(Skills!C16=3,120+Inputs!$B$27+Inputs!$B$29,MAX(0,(Inputs!$B$3-100)*3)+Inputs!$B$28+Inputs!$B$29)))</f>
        <v/>
      </c>
      <c r="E591">
        <f>INDEX(FactorTable!$B$2:$Y$301, MATCH(ROUND(MIN(300,MAX(1,D591)),0), FactorTable!$A$2:$A$301,0), Skills!M16+1)</f>
        <v/>
      </c>
      <c r="F591">
        <f>IF(Skills!N16=TRUE,(Skills!L16/10)*(E591/1000),Skills!L16/10)+Skills!O16</f>
        <v/>
      </c>
      <c r="G591">
        <f>Skills!G16*IF(Skills!H16&gt;0,Skills!I16/Skills!H16,1)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IFERROR(1/(IF(Inputs!$B$38="pvp",15,MAX(0.1,Skills!D16-IF(Skills!E16=TRUE,Inputs!$B$32,0)))*(1-IF(AND(ArtifactsInput!$M$27,Inputs!$B$4="Chapter Hunt"),CHOOSE(ArtifactsInput!$N$27+1,20,24,28,32,36,40),0)/100)),0)</f>
        <v/>
      </c>
      <c r="R591">
        <f>IF(AND(Inputs!$B$38&lt;&gt;"pvp",Inputs!$B$43&gt;0),IF(Inputs!$B$43&lt;=0,0,(INT(Inputs!$B$43/(IF(Inputs!$B$38="pvp",15,MAX(0.1,Skills!D16-IF(Skills!E16=TRUE,Inputs!$B$32,0)))*(1-IF(AND(ArtifactsInput!$M$27,Inputs!$B$4="Chapter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INDEX(FactorTable!$B$2:$Y$301, MATCH(ROUND(MIN(300,MAX(1,D592)),0), FactorTable!$A$2:$A$301,0), Skills!M17+1)</f>
        <v/>
      </c>
      <c r="F592">
        <f>IF(Skills!N17=TRUE,(Skills!L17/10)*(E592/1000),Skills!L17/10)+Skills!O17</f>
        <v/>
      </c>
      <c r="G592">
        <f>Skills!G17*IF(Skills!H17&gt;0,Skills!I17/Skills!H17,1)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IFERROR(1/(IF(Inputs!$B$38="pvp",15,MAX(0.1,Skills!D17-IF(Skills!E17=TRUE,Inputs!$B$32,0)))*(1-IF(AND(ArtifactsInput!$M$27,Inputs!$B$4="Chapter Hunt"),CHOOSE(ArtifactsInput!$N$27+1,20,24,28,32,36,40),0)/100)),0)</f>
        <v/>
      </c>
      <c r="R592">
        <f>IF(AND(Inputs!$B$38&lt;&gt;"pvp",Inputs!$B$43&gt;0),IF(Inputs!$B$43&lt;=0,0,(INT(Inputs!$B$43/(IF(Inputs!$B$38="pvp",15,MAX(0.1,Skills!D17-IF(Skills!E17=TRUE,Inputs!$B$32,0)))*(1-IF(AND(ArtifactsInput!$M$27,Inputs!$B$4="Chapter Hunt"),CHOOSE(ArtifactsInput!$N$27+1,20,24,28,32,36,40),0)/100)))+1)),0)</f>
        <v/>
      </c>
      <c r="S592">
        <f>IFERROR(O592/N592,0)</f>
        <v/>
      </c>
      <c r="T592" t="n">
        <v>0</v>
      </c>
      <c r="V592" t="n">
        <v>0</v>
      </c>
    </row>
    <row r="593">
      <c r="A593">
        <f>Skills!A18</f>
        <v/>
      </c>
      <c r="B593">
        <f>Skills!B18</f>
        <v/>
      </c>
      <c r="C593">
        <f>Inputs!$B$3&gt;=115</f>
        <v/>
      </c>
      <c r="D593">
        <f>IF(Skills!C18=1,60+Inputs!$B$25+Inputs!$B$29,IF(Skills!C18=2,90+Inputs!$B$26+Inputs!$B$29,IF(Skills!C18=3,120+Inputs!$B$27+Inputs!$B$29,MAX(0,(Inputs!$B$3-100)*3)+Inputs!$B$28+Inputs!$B$29)))</f>
        <v/>
      </c>
      <c r="E593">
        <f>INDEX(FactorTable!$B$2:$Y$301, MATCH(ROUND(MIN(300,MAX(1,D593)),0), FactorTable!$A$2:$A$301,0), Skills!M18+1)</f>
        <v/>
      </c>
      <c r="F593">
        <f>IF(Skills!N18=TRUE,(Skills!L18/10)*(E593/1000),Skills!L18/10)+Skills!O18</f>
        <v/>
      </c>
      <c r="G593">
        <f>Skills!G18*IF(Skills!H18&gt;0,Skills!I18/Skills!H18,1)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IFERROR(1/(IF(Inputs!$B$38="pvp",15,MAX(0.1,Skills!D18-IF(Skills!E18=TRUE,Inputs!$B$32,0)))*(1-IF(AND(ArtifactsInput!$M$27,Inputs!$B$4="Chapter Hunt"),CHOOSE(ArtifactsInput!$N$27+1,20,24,28,32,36,40),0)/100)),0)</f>
        <v/>
      </c>
      <c r="R593">
        <f>IF(AND(Inputs!$B$38&lt;&gt;"pvp",Inputs!$B$43&gt;0),IF(Inputs!$B$43&lt;=0,0,(INT(Inputs!$B$43/(IF(Inputs!$B$38="pvp",15,MAX(0.1,Skills!D18-IF(Skills!E18=TRUE,Inputs!$B$32,0)))*(1-IF(AND(ArtifactsInput!$M$27,Inputs!$B$4="Chapter Hunt"),CHOOSE(ArtifactsInput!$N$27+1,20,24,28,32,36,40),0)/100)))+1)),0)</f>
        <v/>
      </c>
      <c r="S593">
        <f>IFERROR(O593/N593,0)</f>
        <v/>
      </c>
      <c r="T593" t="n">
        <v>0</v>
      </c>
      <c r="V593" t="n">
        <v>0</v>
      </c>
    </row>
    <row r="594">
      <c r="A594">
        <f>Skills!A19</f>
        <v/>
      </c>
      <c r="B594">
        <f>Skills!B19</f>
        <v/>
      </c>
      <c r="C594">
        <f>TRUE</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IFERROR(1/(IF(Inputs!$B$38="pvp",15,MAX(0.1,Skills!D19-IF(Skills!E19=TRUE,Inputs!$B$32,0)))*(1-IF(AND(ArtifactsInput!$M$27,Inputs!$B$4="Chapter Hunt"),CHOOSE(ArtifactsInput!$N$27+1,20,24,28,32,36,40),0)/100)),0)</f>
        <v/>
      </c>
      <c r="R594">
        <f>IF(AND(Inputs!$B$38&lt;&gt;"pvp",Inputs!$B$43&gt;0),IF(Inputs!$B$43&lt;=0,0,(INT(Inputs!$B$43/(IF(Inputs!$B$38="pvp",15,MAX(0.1,Skills!D19-IF(Skills!E19=TRUE,Inputs!$B$32,0)))*(1-IF(AND(ArtifactsInput!$M$27,Inputs!$B$4="Chapter Hunt"),CHOOSE(ArtifactsInput!$N$27+1,20,24,28,32,36,40),0)/100)))+1)),0)</f>
        <v/>
      </c>
      <c r="S594">
        <f>IFERROR(O594/N594,0)</f>
        <v/>
      </c>
      <c r="T594" t="n">
        <v>0</v>
      </c>
      <c r="V594" t="n">
        <v>0</v>
      </c>
    </row>
    <row r="595">
      <c r="A595">
        <f>Skills!A20</f>
        <v/>
      </c>
      <c r="B595">
        <f>Skills!B20</f>
        <v/>
      </c>
      <c r="C595">
        <f>Inputs!$B$3&gt;=33</f>
        <v/>
      </c>
      <c r="D595">
        <f>IF(Skills!C20=1,60+Inputs!$B$25+Inputs!$B$29,IF(Skills!C20=2,90+Inputs!$B$26+Inputs!$B$29,IF(Skills!C20=3,120+Inputs!$B$27+Inputs!$B$29,MAX(0,(Inputs!$B$3-100)*3)+Inputs!$B$28+Inputs!$B$29)))</f>
        <v/>
      </c>
      <c r="E595">
        <f>INDEX(FactorTable!$B$2:$Y$301, MATCH(ROUND(MIN(300,MAX(1,D595)),0), FactorTable!$A$2:$A$301,0), Skills!M20+1)</f>
        <v/>
      </c>
      <c r="F595">
        <f>IF(Skills!N20=TRUE,(Skills!L20/10)*(E595/1000),Skills!L20/10)+Skills!O20</f>
        <v/>
      </c>
      <c r="G595">
        <f>Skills!G20*IF(Skills!H20&gt;0,Skills!I20/Skills!H20,1)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Inputs!$B$3&gt;=38</f>
        <v/>
      </c>
      <c r="D596">
        <f>IF(Skills!C21=1,60+Inputs!$B$25+Inputs!$B$29,IF(Skills!C21=2,90+Inputs!$B$26+Inputs!$B$29,IF(Skills!C21=3,120+Inputs!$B$27+Inputs!$B$29,MAX(0,(Inputs!$B$3-100)*3)+Inputs!$B$28+Inputs!$B$29)))</f>
        <v/>
      </c>
      <c r="E596">
        <f>INDEX(FactorTable!$B$2:$Y$301, MATCH(ROUND(MIN(300,MAX(1,D596)),0), FactorTable!$A$2:$A$301,0), Skills!M21+1)</f>
        <v/>
      </c>
      <c r="F596">
        <f>IF(Skills!N21=TRUE,(Skills!L21/10)*(E596/1000),Skills!L21/10)+Skills!O21</f>
        <v/>
      </c>
      <c r="G596">
        <f>Skills!G21*IF(Skills!H21&gt;0,Skills!I21/Skills!H21,1)</f>
        <v/>
      </c>
      <c r="H596">
        <f>1-(1-Skills!J21/100)^Skills!K21</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Skills!A22</f>
        <v/>
      </c>
      <c r="B597">
        <f>Skills!B22</f>
        <v/>
      </c>
      <c r="C597">
        <f>Inputs!$B$3&gt;=43</f>
        <v/>
      </c>
      <c r="D597">
        <f>IF(Skills!C22=1,60+Inputs!$B$25+Inputs!$B$29,IF(Skills!C22=2,90+Inputs!$B$26+Inputs!$B$29,IF(Skills!C22=3,120+Inputs!$B$27+Inputs!$B$29,MAX(0,(Inputs!$B$3-100)*3)+Inputs!$B$28+Inputs!$B$29)))</f>
        <v/>
      </c>
      <c r="E597">
        <f>INDEX(FactorTable!$B$2:$Y$301, MATCH(ROUND(MIN(300,MAX(1,D597)),0), FactorTable!$A$2:$A$301,0), Skills!M22+1)</f>
        <v/>
      </c>
      <c r="F597">
        <f>IF(Skills!N22=TRUE,(Skills!L22/10)*(E597/1000),Skills!L22/10)+Skills!O22</f>
        <v/>
      </c>
      <c r="G597">
        <f>Skills!G22*IF(Skills!H22&gt;0,Skills!I22/Skills!H22,1)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Inputs!$B$3&gt;=120</f>
        <v/>
      </c>
      <c r="D598">
        <f>IF(Skills!C23=1,60+Inputs!$B$25+Inputs!$B$29,IF(Skills!C23=2,90+Inputs!$B$26+Inputs!$B$29,IF(Skills!C23=3,120+Inputs!$B$27+Inputs!$B$29,MAX(0,(Inputs!$B$3-100)*3)+Inputs!$B$28+Inputs!$B$29)))</f>
        <v/>
      </c>
      <c r="E598">
        <f>INDEX(FactorTable!$B$2:$Y$301, MATCH(ROUND(MIN(300,MAX(1,D598)),0), FactorTable!$A$2:$A$301,0), Skills!M23+1)</f>
        <v/>
      </c>
      <c r="F598">
        <f>IF(Skills!N23=TRUE,(Skills!L23/10)*(E598/1000),Skills!L23/10)+Skills!O23</f>
        <v/>
      </c>
      <c r="G598">
        <f>Skills!G23*IF(Skills!H23&gt;0,Skills!I23/Skills!H23,1)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Inputs!$B$3&gt;=120</f>
        <v/>
      </c>
      <c r="D599">
        <f>IF(Skills!C24=1,60+Inputs!$B$25+Inputs!$B$29,IF(Skills!C24=2,90+Inputs!$B$26+Inputs!$B$29,IF(Skills!C24=3,120+Inputs!$B$27+Inputs!$B$29,MAX(0,(Inputs!$B$3-100)*3)+Inputs!$B$28+Inputs!$B$29)))</f>
        <v/>
      </c>
      <c r="E599">
        <f>INDEX(FactorTable!$B$2:$Y$301, MATCH(ROUND(MIN(300,MAX(1,D599)),0), FactorTable!$A$2:$A$301,0), Skills!M24+1)</f>
        <v/>
      </c>
      <c r="F599">
        <f>IF(Skills!N24=TRUE,(Skills!L24/10)*(E599/1000),Skills!L24/10)+Skills!O24</f>
        <v/>
      </c>
      <c r="G599">
        <f>Skills!G24*IF(Skills!H24&gt;0,Skills!I24/Skills!H24,1)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Inputs!$B$3&gt;=125</f>
        <v/>
      </c>
      <c r="D600">
        <f>IF(Skills!C25=1,60+Inputs!$B$25+Inputs!$B$29,IF(Skills!C25=2,90+Inputs!$B$26+Inputs!$B$29,IF(Skills!C25=3,120+Inputs!$B$27+Inputs!$B$29,MAX(0,(Inputs!$B$3-100)*3)+Inputs!$B$28+Inputs!$B$29)))</f>
        <v/>
      </c>
      <c r="E600">
        <f>INDEX(FactorTable!$B$2:$Y$301, MATCH(ROUND(MIN(300,MAX(1,D600)),0), FactorTable!$A$2:$A$301,0), Skills!M25+1)</f>
        <v/>
      </c>
      <c r="F600">
        <f>IF(Skills!N25=TRUE,(Skills!L25/10)*(E600/1000),Skills!L25/10)+Skills!O25</f>
        <v/>
      </c>
      <c r="G600">
        <f>Skills!G25*IF(Skills!H25&gt;0,Skills!I25/Skills!H25,1)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Inputs!$B$3&gt;=72</f>
        <v/>
      </c>
      <c r="D601">
        <f>IF(Skills!C26=1,60+Inputs!$B$25+Inputs!$B$29,IF(Skills!C26=2,90+Inputs!$B$26+Inputs!$B$29,IF(Skills!C26=3,120+Inputs!$B$27+Inputs!$B$29,MAX(0,(Inputs!$B$3-100)*3)+Inputs!$B$28+Inputs!$B$29)))</f>
        <v/>
      </c>
      <c r="E601">
        <f>INDEX(FactorTable!$B$2:$Y$301, MATCH(ROUND(MIN(300,MAX(1,D601)),0), FactorTable!$A$2:$A$301,0), Skills!M26+1)</f>
        <v/>
      </c>
      <c r="F601">
        <f>IF(Skills!N26=TRUE,(Skills!L26/10)*(E601/1000),Skills!L26/10)+Skills!O26</f>
        <v/>
      </c>
      <c r="G601">
        <f>Skills!G26*IF(Skills!H26&gt;0,Skills!I26/Skills!H26,1)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594=TRUE)*F594*IF(AND(Inputs!$B$38&lt;&gt;"pvp",Inputs!$B$43&gt;0),(((R594-1)*(Skills!T19*(1+(Inputs!$B$34+(ArtifactsInput!$M$7-ArtifactsInput!$M$7)*CHOOSE(ArtifactsInput!$N$7+1,6,7.2,8.4,9.6,10.8,12))/100))+MIN((Skills!T19*(1+(Inputs!$B$34+(ArtifactsInput!$M$7-ArtifactsInput!$M$7)*CHOOSE(ArtifactsInput!$N$7+1,6,7.2,8.4,9.6,10.8,12))/100)),MAX(0,Inputs!$B$43-((R594-1)*Skills!D19))))/Inputs!$B$43),IF(Inputs!$B$38="pvp",MIN((Skills!T19*(1+(Inputs!$B$34+(ArtifactsInput!$M$7-ArtifactsInput!$M$7)*CHOOSE(ArtifactsInput!$N$7+1,6,7.2,8.4,9.6,10.8,12))/100)),15)/15,(Skills!T19*(1+(Inputs!$B$34+(ArtifactsInput!$M$7-ArtifactsInput!$M$7)*CHOOSE(ArtifactsInput!$N$7+1,6,7.2,8.4,9.6,10.8,12))/100))/Skills!D19)))</f>
        <v/>
      </c>
    </row>
    <row r="606">
      <c r="A606" t="inlineStr">
        <is>
          <t>Actions Per Second</t>
        </is>
      </c>
      <c r="B606">
        <f>1+MIN(150,150*(1-(1-(((1-(1-Inputs!$B$11/150)*(1-1/150))*150)+((C595=TRUE)*(F595-Calc!F20)))/150)*(1-B605/150)))/100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Raging Blow Casts Per Second</t>
        </is>
      </c>
      <c r="B608">
        <f>MAX(0,B606-B607)</f>
        <v/>
      </c>
    </row>
    <row r="609">
      <c r="A609" t="inlineStr">
        <is>
          <t>Global Critical Damage Bonus % (Enrage)</t>
        </is>
      </c>
      <c r="B609">
        <f>((C593=TRUE)*F593*IF(AND(Inputs!$B$38&lt;&gt;"pvp",Inputs!$B$43&gt;0),(((R593-1)*(Skills!T18*(1+(Inputs!$B$34+(ArtifactsInput!$M$7-ArtifactsInput!$M$7)*CHOOSE(ArtifactsInput!$N$7+1,6,7.2,8.4,9.6,10.8,12))/100))+MIN((Skills!T18*(1+(Inputs!$B$34+(ArtifactsInput!$M$7-ArtifactsInput!$M$7)*CHOOSE(ArtifactsInput!$N$7+1,6,7.2,8.4,9.6,10.8,12))/100)),MAX(0,Inputs!$B$43-((R593-1)*Skills!D18))))/Inputs!$B$43),IF(Inputs!$B$38="pvp",MIN((Skills!T18*(1+(Inputs!$B$34+(ArtifactsInput!$M$7-ArtifactsInput!$M$7)*CHOOSE(ArtifactsInput!$N$7+1,6,7.2,8.4,9.6,10.8,12))/100)),15)/15,(Skills!T18*(1+(Inputs!$B$34+(ArtifactsInput!$M$7-ArtifactsInput!$M$7)*CHOOSE(ArtifactsInput!$N$7+1,6,7.2,8.4,9.6,10.8,12))/100))/Skills!D18)))</f>
        <v/>
      </c>
    </row>
    <row r="610">
      <c r="A610" t="inlineStr">
        <is>
          <t>Global Final Damage Bonus % (Enrage + Combo Synergy)</t>
        </is>
      </c>
      <c r="B610">
        <f>((C592=TRUE)*F592*IF(AND(Inputs!$B$38&lt;&gt;"pvp",Inputs!$B$43&gt;0),(((R592-1)*(Skills!T17*(1+(Inputs!$B$34+(ArtifactsInput!$M$7-ArtifactsInput!$M$7)*CHOOSE(ArtifactsInput!$N$7+1,6,7.2,8.4,9.6,10.8,12))/100))+MIN((Skills!T17*(1+(Inputs!$B$34+(ArtifactsInput!$M$7-ArtifactsInput!$M$7)*CHOOSE(ArtifactsInput!$N$7+1,6,7.2,8.4,9.6,10.8,12))/100)),MAX(0,Inputs!$B$43-((R592-1)*Skills!D17))))/Inputs!$B$43),IF(Inputs!$B$38="pvp",MIN((Skills!T17*(1+(Inputs!$B$34+(ArtifactsInput!$M$7-ArtifactsInput!$M$7)*CHOOSE(ArtifactsInput!$N$7+1,6,7.2,8.4,9.6,10.8,12))/100)),15)/15,(Skills!T17*(1+(Inputs!$B$34+(ArtifactsInput!$M$7-ArtifactsInput!$M$7)*CHOOSE(ArtifactsInput!$N$7+1,6,7.2,8.4,9.6,10.8,12))/100))/Skills!D17)))+((C589=TRUE)*F589*IF(Inputs!$B$3&gt;=110,7,5))</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619)</f>
        <v/>
      </c>
      <c r="L619">
        <f>K619*(MIN(Inputs!$B$22+((C639=TRUE)*(F639-Calc!F22)),(Inputs!$B$23+((C641=TRUE)*(F641-Calc!F24))+(IF(ArtifactsInput!$M$15,CHOOSE(ArtifactsInput!$N$15+1,25,30,35,40,45,50)/100*(Inputs!$B$11-Inputs!$B$11),0))))/100+(Inputs!$B$23+((C641=TRUE)*(F641-Calc!F24))+(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INDEX(FactorTable!$B$2:$Y$301, MATCH(ROUND(MIN(300,MAX(1,U619)),0), FactorTable!$A$2:$A$301,0), 22)</f>
        <v/>
      </c>
    </row>
    <row r="621">
      <c r="A621">
        <f>Skills!A4</f>
        <v/>
      </c>
      <c r="B621">
        <f>Skills!B4</f>
        <v/>
      </c>
      <c r="C621">
        <f>Inputs!$B$3&gt;=105</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t="inlineStr"/>
      <c r="H621" t="inlineStr"/>
      <c r="I621" t="inlineStr">
        <is>
          <t>1</t>
        </is>
      </c>
      <c r="J621" t="inlineStr"/>
      <c r="K621" t="inlineStr"/>
      <c r="L621" t="inlineStr"/>
      <c r="M621" t="inlineStr"/>
      <c r="N621" t="inlineStr"/>
      <c r="O621" t="inlineStr"/>
      <c r="P621" t="inlineStr"/>
      <c r="Q621" t="inlineStr"/>
      <c r="R621" t="inlineStr"/>
      <c r="S621" t="inlineStr"/>
      <c r="U621">
        <f>290*U620/1000</f>
        <v/>
      </c>
    </row>
    <row r="622">
      <c r="A622">
        <f>Skills!A5</f>
        <v/>
      </c>
      <c r="B622">
        <f>Skills!B5</f>
        <v/>
      </c>
      <c r="C622">
        <f>Inputs!$B$3&gt;=103</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622)</f>
        <v/>
      </c>
      <c r="L622">
        <f>K622*(MIN(Inputs!$B$22+((C639=TRUE)*(F639-Calc!F22)),(Inputs!$B$23+((C641=TRUE)*(F641-Calc!F24))+(IF(ArtifactsInput!$M$15,CHOOSE(ArtifactsInput!$N$15+1,25,30,35,40,45,50)/100*(Inputs!$B$11-Inputs!$B$11),0))))/100+(Inputs!$B$23+((C641=TRUE)*(F641-Calc!F24))+(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IFERROR(1/(IF(Inputs!$B$38="pvp",15,MAX(0.1,Skills!D5-IF(Skills!E5=TRUE,Inputs!$B$32,0)))*(1-IF(AND(ArtifactsInput!$M$27,Inputs!$B$4="Chapter Hunt"),CHOOSE(ArtifactsInput!$N$27+1,20,24,28,32,36,40),0)/100)),0)</f>
        <v/>
      </c>
      <c r="R622">
        <f>IF(AND(Inputs!$B$38&lt;&gt;"pvp",Inputs!$B$43&gt;0),IF(MAX(0,Inputs!$B$43-B653)&lt;=0,0,(INT(MAX(0,Inputs!$B$43-B653)/(IF(Inputs!$B$38="pvp",15,MAX(0.1,Skills!D5-IF(Skills!E5=TRUE,Inputs!$B$32,0)))*(1-IF(AND(ArtifactsInput!$M$27,Inputs!$B$4="Chapter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623)</f>
        <v/>
      </c>
      <c r="L623">
        <f>K623*(MIN(Inputs!$B$22+((C639=TRUE)*(F639-Calc!F22)),(Inputs!$B$23+((C641=TRUE)*(F641-Calc!F24))+(IF(ArtifactsInput!$M$15,CHOOSE(ArtifactsInput!$N$15+1,25,30,35,40,45,50)/100*(Inputs!$B$11-Inputs!$B$11),0))))/100+(Inputs!$B$23+((C641=TRUE)*(F641-Calc!F24))+(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IFERROR(1/(IF(Inputs!$B$38="pvp",15,MAX(0.1,Skills!D6-IF(Skills!E6=TRUE,Inputs!$B$32,0)))*(1-IF(AND(ArtifactsInput!$M$27,Inputs!$B$4="Chapter Hunt"),CHOOSE(ArtifactsInput!$N$27+1,20,24,28,32,36,40),0)/100)),0)</f>
        <v/>
      </c>
      <c r="R623">
        <f>IF(AND(Inputs!$B$38&lt;&gt;"pvp",Inputs!$B$43&gt;0),IF(MAX(0,Inputs!$B$43-B653)&lt;=0,0,(INT(MAX(0,Inputs!$B$43-B653)/(IF(Inputs!$B$38="pvp",15,MAX(0.1,Skills!D6-IF(Skills!E6=TRUE,Inputs!$B$32,0)))*(1-IF(AND(ArtifactsInput!$M$27,Inputs!$B$4="Chapter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624)</f>
        <v/>
      </c>
      <c r="L624">
        <f>K624*(MIN(Inputs!$B$22+((C639=TRUE)*(F639-Calc!F22)),(Inputs!$B$23+((C641=TRUE)*(F641-Calc!F24))+(IF(ArtifactsInput!$M$15,CHOOSE(ArtifactsInput!$N$15+1,25,30,35,40,45,50)/100*(Inputs!$B$11-Inputs!$B$11),0))))/100+(Inputs!$B$23+((C641=TRUE)*(F641-Calc!F24))+(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IFERROR(1/(IF(Inputs!$B$38="pvp",15,MAX(0.1,Skills!D7-IF(Skills!E7=TRUE,Inputs!$B$32,0)))*(1-IF(AND(ArtifactsInput!$M$27,Inputs!$B$4="Chapter Hunt"),CHOOSE(ArtifactsInput!$N$27+1,20,24,28,32,36,40),0)/100)),0)</f>
        <v/>
      </c>
      <c r="R624">
        <f>IF(AND(Inputs!$B$38&lt;&gt;"pvp",Inputs!$B$43&gt;0),IF(MAX(0,Inputs!$B$43-B653)&lt;=0,0,(INT(MAX(0,Inputs!$B$43-B653)/(IF(Inputs!$B$38="pvp",15,MAX(0.1,Skills!D7-IF(Skills!E7=TRUE,Inputs!$B$32,0)))*(1-IF(AND(ArtifactsInput!$M$27,Inputs!$B$4="Chapter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Inputs!$B$3&gt;=117</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625)</f>
        <v/>
      </c>
      <c r="L625">
        <f>K625*(MIN(Inputs!$B$22+((C639=TRUE)*(F639-Calc!F22)),(Inputs!$B$23+((C641=TRUE)*(F641-Calc!F24))+(IF(ArtifactsInput!$M$15,CHOOSE(ArtifactsInput!$N$15+1,25,30,35,40,45,50)/100*(Inputs!$B$11-Inputs!$B$11),0))))/100+(Inputs!$B$23+((C641=TRUE)*(F641-Calc!F24))+(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IFERROR(1/(IF(Inputs!$B$38="pvp",15,MAX(0.1,Skills!D8-IF(Skills!E8=TRUE,Inputs!$B$32,0)))*(1-IF(AND(ArtifactsInput!$M$27,Inputs!$B$4="Chapter Hunt"),CHOOSE(ArtifactsInput!$N$27+1,20,24,28,32,36,40),0)/100)),0)</f>
        <v/>
      </c>
      <c r="R625">
        <f>IF(AND(Inputs!$B$38&lt;&gt;"pvp",Inputs!$B$43&gt;0),IF(MAX(0,Inputs!$B$43-B653)&lt;=0,0,(INT(MAX(0,Inputs!$B$43-B653)/(IF(Inputs!$B$38="pvp",15,MAX(0.1,Skills!D8-IF(Skills!E8=TRUE,Inputs!$B$32,0)))*(1-IF(AND(ArtifactsInput!$M$27,Inputs!$B$4="Chapter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Inputs!$B$3&gt;=69</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9="ENHANCED_RAGING_BLOW",IF(Inputs!$B$3&gt;=134,MAX(0,IF(Inputs!$B$3&gt;=110,7,5)-5)*50,0),0)/100)*(1+(IF(Skills!A9="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626)</f>
        <v/>
      </c>
      <c r="L626">
        <f>K626*(MIN(Inputs!$B$22+((C639=TRUE)*(F639-Calc!F22)),(Inputs!$B$23+((C641=TRUE)*(F641-Calc!F24))+(IF(ArtifactsInput!$M$15,CHOOSE(ArtifactsInput!$N$15+1,25,30,35,40,45,50)/100*(Inputs!$B$11-Inputs!$B$11),0))))/100+(Inputs!$B$23+((C641=TRUE)*(F641-Calc!F24))+(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IFERROR(1/(IF(Inputs!$B$38="pvp",15,MAX(0.1,Skills!D9-IF(Skills!E9=TRUE,Inputs!$B$32,0)))*(1-IF(AND(ArtifactsInput!$M$27,Inputs!$B$4="Chapter Hunt"),CHOOSE(ArtifactsInput!$N$27+1,20,24,28,32,36,40),0)/100)),0)</f>
        <v/>
      </c>
      <c r="R626">
        <f>IF(AND(Inputs!$B$38&lt;&gt;"pvp",Inputs!$B$43&gt;0),IF(MAX(0,Inputs!$B$43-B653)&lt;=0,0,(INT(MAX(0,Inputs!$B$43-B653)/(IF(Inputs!$B$38="pvp",15,MAX(0.1,Skills!D9-IF(Skills!E9=TRUE,Inputs!$B$32,0)))*(1-IF(AND(ArtifactsInput!$M$27,Inputs!$B$4="Chapter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Inputs!$B$3&gt;=63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10="ENHANCED_RAGING_BLOW",IF(Inputs!$B$3&gt;=134,MAX(0,IF(Inputs!$B$3&gt;=110,7,5)-5)*50,0),0)/100)*(1+(IF(Skills!A10="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627)</f>
        <v/>
      </c>
      <c r="L627">
        <f>K627*(MIN(Inputs!$B$22+((C639=TRUE)*(F639-Calc!F22)),(Inputs!$B$23+((C641=TRUE)*(F641-Calc!F24))+(IF(ArtifactsInput!$M$15,CHOOSE(ArtifactsInput!$N$15+1,25,30,35,40,45,50)/100*(Inputs!$B$11-Inputs!$B$11),0))))/100+(Inputs!$B$23+((C641=TRUE)*(F641-Calc!F24))+(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IFERROR(1/(IF(Inputs!$B$38="pvp",15,MAX(0.1,Skills!D10-IF(Skills!E10=TRUE,Inputs!$B$32,0)))*(1-IF(AND(ArtifactsInput!$M$27,Inputs!$B$4="Chapter Hunt"),CHOOSE(ArtifactsInput!$N$27+1,20,24,28,32,36,40),0)/100)),0)</f>
        <v/>
      </c>
      <c r="R627">
        <f>IF(AND(Inputs!$B$38&lt;&gt;"pvp",Inputs!$B$43&gt;0),IF(MAX(0,Inputs!$B$43-B653)&lt;=0,0,(INT(MAX(0,Inputs!$B$43-B653)/(IF(Inputs!$B$38="pvp",15,MAX(0.1,Skills!D10-IF(Skills!E10=TRUE,Inputs!$B$32,0)))*(1-IF(AND(ArtifactsInput!$M$27,Inputs!$B$4="Chapter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Inputs!$B$3&gt;=35</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11="ENHANCED_RAGING_BLOW",IF(Inputs!$B$3&gt;=134,MAX(0,IF(Inputs!$B$3&gt;=110,7,5)-5)*50,0),0)/100)*(1+(IF(Skills!A11="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628)</f>
        <v/>
      </c>
      <c r="L628">
        <f>K628*(MIN(Inputs!$B$22+((C639=TRUE)*(F639-Calc!F22)),(Inputs!$B$23+((C641=TRUE)*(F641-Calc!F24))+(IF(ArtifactsInput!$M$15,CHOOSE(ArtifactsInput!$N$15+1,25,30,35,40,45,50)/100*(Inputs!$B$11-Inputs!$B$11),0))))/100+(Inputs!$B$23+((C641=TRUE)*(F641-Calc!F24))+(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IFERROR(1/(IF(Inputs!$B$38="pvp",15,MAX(0.1,Skills!D11-IF(Skills!E11=TRUE,Inputs!$B$32,0)))*(1-IF(AND(ArtifactsInput!$M$27,Inputs!$B$4="Chapter Hunt"),CHOOSE(ArtifactsInput!$N$27+1,20,24,28,32,36,40),0)/100)),0)</f>
        <v/>
      </c>
      <c r="R628">
        <f>IF(AND(Inputs!$B$38&lt;&gt;"pvp",Inputs!$B$43&gt;0),IF(MAX(0,Inputs!$B$43-B653)&lt;=0,0,(INT(MAX(0,Inputs!$B$43-B653)/(IF(Inputs!$B$38="pvp",15,MAX(0.1,Skills!D11-IF(Skills!E11=TRUE,Inputs!$B$32,0)))*(1-IF(AND(ArtifactsInput!$M$27,Inputs!$B$4="Chapter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Inputs!$B$3&gt;=75</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Inputs!$B$3&gt;=40</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Inputs!$B$3&gt;=66</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IFERROR(1/(IF(Inputs!$B$38="pvp",15,MAX(0.1,Skills!D16-IF(Skills!E16=TRUE,Inputs!$B$32,0)))*(1-IF(AND(ArtifactsInput!$M$27,Inputs!$B$4="Chapter Hunt"),CHOOSE(ArtifactsInput!$N$27+1,20,24,28,32,36,40),0)/100)),0)</f>
        <v/>
      </c>
      <c r="R633">
        <f>IF(AND(Inputs!$B$38&lt;&gt;"pvp",Inputs!$B$43&gt;0),IF(Inputs!$B$43&lt;=0,0,(INT(Inputs!$B$43/(IF(Inputs!$B$38="pvp",15,MAX(0.1,Skills!D16-IF(Skills!E16=TRUE,Inputs!$B$32,0)))*(1-IF(AND(ArtifactsInput!$M$27,Inputs!$B$4="Chapter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IFERROR(1/(IF(Inputs!$B$38="pvp",15,MAX(0.1,Skills!D17-IF(Skills!E17=TRUE,Inputs!$B$32,0)))*(1-IF(AND(ArtifactsInput!$M$27,Inputs!$B$4="Chapter Hunt"),CHOOSE(ArtifactsInput!$N$27+1,20,24,28,32,36,40),0)/100)),0)</f>
        <v/>
      </c>
      <c r="R634">
        <f>IF(AND(Inputs!$B$38&lt;&gt;"pvp",Inputs!$B$43&gt;0),IF(Inputs!$B$43&lt;=0,0,(INT(Inputs!$B$43/(IF(Inputs!$B$38="pvp",15,MAX(0.1,Skills!D17-IF(Skills!E17=TRUE,Inputs!$B$32,0)))*(1-IF(AND(ArtifactsInput!$M$27,Inputs!$B$4="Chapter Hunt"),CHOOSE(ArtifactsInput!$N$27+1,20,24,28,32,36,40),0)/100)))+1)),0)</f>
        <v/>
      </c>
      <c r="S634">
        <f>IFERROR(O634/N634,0)</f>
        <v/>
      </c>
      <c r="T634" t="n">
        <v>0</v>
      </c>
      <c r="V634" t="n">
        <v>0</v>
      </c>
    </row>
    <row r="635">
      <c r="A635">
        <f>Skills!A18</f>
        <v/>
      </c>
      <c r="B635">
        <f>Skills!B18</f>
        <v/>
      </c>
      <c r="C635">
        <f>Inputs!$B$3&gt;=115</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IFERROR(1/(IF(Inputs!$B$38="pvp",15,MAX(0.1,Skills!D18-IF(Skills!E18=TRUE,Inputs!$B$32,0)))*(1-IF(AND(ArtifactsInput!$M$27,Inputs!$B$4="Chapter Hunt"),CHOOSE(ArtifactsInput!$N$27+1,20,24,28,32,36,40),0)/100)),0)</f>
        <v/>
      </c>
      <c r="R635">
        <f>IF(AND(Inputs!$B$38&lt;&gt;"pvp",Inputs!$B$43&gt;0),IF(Inputs!$B$43&lt;=0,0,(INT(Inputs!$B$43/(IF(Inputs!$B$38="pvp",15,MAX(0.1,Skills!D18-IF(Skills!E18=TRUE,Inputs!$B$32,0)))*(1-IF(AND(ArtifactsInput!$M$27,Inputs!$B$4="Chapter Hunt"),CHOOSE(ArtifactsInput!$N$27+1,20,24,28,32,36,40),0)/100)))+1)),0)</f>
        <v/>
      </c>
      <c r="S635">
        <f>IFERROR(O635/N635,0)</f>
        <v/>
      </c>
      <c r="T635" t="n">
        <v>0</v>
      </c>
      <c r="V635" t="n">
        <v>0</v>
      </c>
    </row>
    <row r="636">
      <c r="A636">
        <f>Skills!A19</f>
        <v/>
      </c>
      <c r="B636">
        <f>Skills!B19</f>
        <v/>
      </c>
      <c r="C636">
        <f>TRUE</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IFERROR(1/(IF(Inputs!$B$38="pvp",15,MAX(0.1,Skills!D19-IF(Skills!E19=TRUE,Inputs!$B$32,0)))*(1-IF(AND(ArtifactsInput!$M$27,Inputs!$B$4="Chapter Hunt"),CHOOSE(ArtifactsInput!$N$27+1,20,24,28,32,36,40),0)/100)),0)</f>
        <v/>
      </c>
      <c r="R636">
        <f>IF(AND(Inputs!$B$38&lt;&gt;"pvp",Inputs!$B$43&gt;0),IF(Inputs!$B$43&lt;=0,0,(INT(Inputs!$B$43/(IF(Inputs!$B$38="pvp",15,MAX(0.1,Skills!D19-IF(Skills!E19=TRUE,Inputs!$B$32,0)))*(1-IF(AND(ArtifactsInput!$M$27,Inputs!$B$4="Chapter Hunt"),CHOOSE(ArtifactsInput!$N$27+1,20,24,28,32,36,40),0)/100)))+1)),0)</f>
        <v/>
      </c>
      <c r="S636">
        <f>IFERROR(O636/N636,0)</f>
        <v/>
      </c>
      <c r="T636" t="n">
        <v>0</v>
      </c>
      <c r="V636" t="n">
        <v>0</v>
      </c>
    </row>
    <row r="637">
      <c r="A637">
        <f>Skills!A20</f>
        <v/>
      </c>
      <c r="B637">
        <f>Skills!B20</f>
        <v/>
      </c>
      <c r="C637">
        <f>Inputs!$B$3&gt;=33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IF(B656=0,0,O638/B656)</f>
        <v/>
      </c>
      <c r="Q638" t="n">
        <v>0</v>
      </c>
      <c r="R638" t="n">
        <v>0</v>
      </c>
      <c r="S638">
        <f>IFERROR(O638/N638,0)</f>
        <v/>
      </c>
      <c r="T638" t="n">
        <v>0</v>
      </c>
      <c r="V638" t="n">
        <v>0</v>
      </c>
    </row>
    <row r="639">
      <c r="A639">
        <f>Skills!A22</f>
        <v/>
      </c>
      <c r="B639">
        <f>Skills!B22</f>
        <v/>
      </c>
      <c r="C639">
        <f>Inputs!$B$3&gt;=43</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Inputs!$B$3&gt;=120</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Inputs!$B$3&gt;=120</f>
        <v/>
      </c>
      <c r="D641">
        <f>IF(Skills!C24=1,60+Inputs!$B$25+Inputs!$B$29,IF(Skills!C24=2,90+Inputs!$B$26+Inputs!$B$29,IF(Skills!C24=3,120+Inputs!$B$27+Inputs!$B$29,MAX(0,(Inputs!$B$3-100)*3)+Inputs!$B$28+Inputs!$B$29)))</f>
        <v/>
      </c>
      <c r="E641">
        <f>INDEX(FactorTable!$B$2:$Y$301, MATCH(ROUND(MIN(300,MAX(1,D641)),0), FactorTable!$A$2:$A$301,0), Skills!M24+1)</f>
        <v/>
      </c>
      <c r="F641">
        <f>IF(Skills!N24=TRUE,(Skills!L24/10)*(E641/1000),Skills!L24/10)+Skills!O24</f>
        <v/>
      </c>
      <c r="G641">
        <f>Skills!G24*IF(Skills!H24&gt;0,Skills!I24/Skills!H24,1)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Inputs!$B$3&gt;=125</f>
        <v/>
      </c>
      <c r="D642">
        <f>IF(Skills!C25=1,60+Inputs!$B$25+Inputs!$B$29,IF(Skills!C25=2,90+Inputs!$B$26+Inputs!$B$29,IF(Skills!C25=3,120+Inputs!$B$27+Inputs!$B$29,MAX(0,(Inputs!$B$3-100)*3)+Inputs!$B$28+Inputs!$B$29)))</f>
        <v/>
      </c>
      <c r="E642">
        <f>INDEX(FactorTable!$B$2:$Y$301, MATCH(ROUND(MIN(300,MAX(1,D642)),0), FactorTable!$A$2:$A$301,0), Skills!M25+1)</f>
        <v/>
      </c>
      <c r="F642">
        <f>IF(Skills!N25=TRUE,(Skills!L25/10)*(E642/1000),Skills!L25/10)+Skills!O25</f>
        <v/>
      </c>
      <c r="G642">
        <f>Skills!G25*IF(Skills!H25&gt;0,Skills!I25/Skills!H25,1)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Inputs!$B$3&gt;=72</f>
        <v/>
      </c>
      <c r="D643">
        <f>IF(Skills!C26=1,60+Inputs!$B$25+Inputs!$B$29,IF(Skills!C26=2,90+Inputs!$B$26+Inputs!$B$29,IF(Skills!C26=3,120+Inputs!$B$27+Inputs!$B$29,MAX(0,(Inputs!$B$3-100)*3)+Inputs!$B$28+Inputs!$B$29)))</f>
        <v/>
      </c>
      <c r="E643">
        <f>INDEX(FactorTable!$B$2:$Y$301, MATCH(ROUND(MIN(300,MAX(1,D643)),0), FactorTable!$A$2:$A$301,0), Skills!M26+1)</f>
        <v/>
      </c>
      <c r="F643">
        <f>IF(Skills!N26=TRUE,(Skills!L26/10)*(E643/1000),Skills!L26/10)+Skills!O26</f>
        <v/>
      </c>
      <c r="G643">
        <f>Skills!G26*IF(Skills!H26&gt;0,Skills!I26/Skills!H26,1)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636=TRUE)*F636*IF(AND(Inputs!$B$38&lt;&gt;"pvp",Inputs!$B$43&gt;0),(((R636-1)*(Skills!T19*(1+(Inputs!$B$34+(ArtifactsInput!$M$7-ArtifactsInput!$M$7)*CHOOSE(ArtifactsInput!$N$7+1,6,7.2,8.4,9.6,10.8,12))/100))+MIN((Skills!T19*(1+(Inputs!$B$34+(ArtifactsInput!$M$7-ArtifactsInput!$M$7)*CHOOSE(ArtifactsInput!$N$7+1,6,7.2,8.4,9.6,10.8,12))/100)),MAX(0,Inputs!$B$43-((R636-1)*Skills!D19))))/Inputs!$B$43),IF(Inputs!$B$38="pvp",MIN((Skills!T19*(1+(Inputs!$B$34+(ArtifactsInput!$M$7-ArtifactsInput!$M$7)*CHOOSE(ArtifactsInput!$N$7+1,6,7.2,8.4,9.6,10.8,12))/100)),15)/15,(Skills!T19*(1+(Inputs!$B$34+(ArtifactsInput!$M$7-ArtifactsInput!$M$7)*CHOOSE(ArtifactsInput!$N$7+1,6,7.2,8.4,9.6,10.8,12))/100))/Skills!D19)))</f>
        <v/>
      </c>
    </row>
    <row r="648">
      <c r="A648" t="inlineStr">
        <is>
          <t>Actions Per Second</t>
        </is>
      </c>
      <c r="B648">
        <f>1+MIN(150,150*(1-(1-(Inputs!$B$11+((C637=TRUE)*(F637-Calc!F20)))/150)*(1-B647/150)))/100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Raging Blow Casts Per Second</t>
        </is>
      </c>
      <c r="B650">
        <f>MAX(0,B648-B649)</f>
        <v/>
      </c>
    </row>
    <row r="651">
      <c r="A651" t="inlineStr">
        <is>
          <t>Global Critical Damage Bonus % (Enrage)</t>
        </is>
      </c>
      <c r="B651">
        <f>((C635=TRUE)*F635*IF(AND(Inputs!$B$38&lt;&gt;"pvp",Inputs!$B$43&gt;0),(((R635-1)*(Skills!T18*(1+(Inputs!$B$34+(ArtifactsInput!$M$7-ArtifactsInput!$M$7)*CHOOSE(ArtifactsInput!$N$7+1,6,7.2,8.4,9.6,10.8,12))/100))+MIN((Skills!T18*(1+(Inputs!$B$34+(ArtifactsInput!$M$7-ArtifactsInput!$M$7)*CHOOSE(ArtifactsInput!$N$7+1,6,7.2,8.4,9.6,10.8,12))/100)),MAX(0,Inputs!$B$43-((R635-1)*Skills!D18))))/Inputs!$B$43),IF(Inputs!$B$38="pvp",MIN((Skills!T18*(1+(Inputs!$B$34+(ArtifactsInput!$M$7-ArtifactsInput!$M$7)*CHOOSE(ArtifactsInput!$N$7+1,6,7.2,8.4,9.6,10.8,12))/100)),15)/15,(Skills!T18*(1+(Inputs!$B$34+(ArtifactsInput!$M$7-ArtifactsInput!$M$7)*CHOOSE(ArtifactsInput!$N$7+1,6,7.2,8.4,9.6,10.8,12))/100))/Skills!D18)))</f>
        <v/>
      </c>
    </row>
    <row r="652">
      <c r="A652" t="inlineStr">
        <is>
          <t>Global Final Damage Bonus % (Enrage + Combo Synergy)</t>
        </is>
      </c>
      <c r="B652">
        <f>((C634=TRUE)*F634*IF(AND(Inputs!$B$38&lt;&gt;"pvp",Inputs!$B$43&gt;0),(((R634-1)*(Skills!T17*(1+(Inputs!$B$34+(ArtifactsInput!$M$7-ArtifactsInput!$M$7)*CHOOSE(ArtifactsInput!$N$7+1,6,7.2,8.4,9.6,10.8,12))/100))+MIN((Skills!T17*(1+(Inputs!$B$34+(ArtifactsInput!$M$7-ArtifactsInput!$M$7)*CHOOSE(ArtifactsInput!$N$7+1,6,7.2,8.4,9.6,10.8,12))/100)),MAX(0,Inputs!$B$43-((R634-1)*Skills!D17))))/Inputs!$B$43),IF(Inputs!$B$38="pvp",MIN((Skills!T17*(1+(Inputs!$B$34+(ArtifactsInput!$M$7-ArtifactsInput!$M$7)*CHOOSE(ArtifactsInput!$N$7+1,6,7.2,8.4,9.6,10.8,12))/100)),15)/15,(Skills!T17*(1+(Inputs!$B$34+(ArtifactsInput!$M$7-ArtifactsInput!$M$7)*CHOOSE(ArtifactsInput!$N$7+1,6,7.2,8.4,9.6,10.8,12))/100))/Skills!D17)))+((C631=TRUE)*F631*IF(Inputs!$B$3&gt;=110,7,5))</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661)</f>
        <v/>
      </c>
      <c r="L661">
        <f>K661*(MIN(Inputs!$B$22+((C681=TRUE)*(F681-Calc!F22)),(Inputs!$B$23+((C683=TRUE)*(F683-Calc!F24))+(IF(ArtifactsInput!$M$15,CHOOSE(ArtifactsInput!$N$15+1,25,30,35,40,45,50)/100*(Inputs!$B$11-Inputs!$B$11),0))))/100+(Inputs!$B$23+((C683=TRUE)*(F683-Calc!F24))+(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INDEX(FactorTable!$B$2:$Y$301, MATCH(ROUND(MIN(300,MAX(1,D662)),0),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INDEX(FactorTable!$B$2:$Y$301, MATCH(ROUND(MIN(300,MAX(1,U661)),0), FactorTable!$A$2:$A$301,0), 22)</f>
        <v/>
      </c>
    </row>
    <row r="663">
      <c r="A663">
        <f>Skills!A4</f>
        <v/>
      </c>
      <c r="B663">
        <f>Skills!B4</f>
        <v/>
      </c>
      <c r="C663">
        <f>Inputs!$B$3&gt;=105</f>
        <v/>
      </c>
      <c r="D663">
        <f>IF(Skills!C4=1,60+Inputs!$B$25+Inputs!$B$29,IF(Skills!C4=2,90+Inputs!$B$26+Inputs!$B$29,IF(Skills!C4=3,120+Inputs!$B$27+Inputs!$B$29,MAX(0,(Inputs!$B$3-100)*3)+Inputs!$B$28+Inputs!$B$29)))</f>
        <v/>
      </c>
      <c r="E663">
        <f>INDEX(FactorTable!$B$2:$Y$301, MATCH(ROUND(MIN(300,MAX(1,D663)),0), FactorTable!$A$2:$A$301,0), Skills!M4+1)</f>
        <v/>
      </c>
      <c r="F663">
        <f>IF(Skills!N4=TRUE,(Skills!L4/10)*(E663/1000),Skills!L4/10)+Skills!O4</f>
        <v/>
      </c>
      <c r="G663" t="inlineStr"/>
      <c r="H663" t="inlineStr"/>
      <c r="I663" t="inlineStr">
        <is>
          <t>1</t>
        </is>
      </c>
      <c r="J663" t="inlineStr"/>
      <c r="K663" t="inlineStr"/>
      <c r="L663" t="inlineStr"/>
      <c r="M663" t="inlineStr"/>
      <c r="N663" t="inlineStr"/>
      <c r="O663" t="inlineStr"/>
      <c r="P663" t="inlineStr"/>
      <c r="Q663" t="inlineStr"/>
      <c r="R663" t="inlineStr"/>
      <c r="S663" t="inlineStr"/>
      <c r="U663">
        <f>290*U662/1000</f>
        <v/>
      </c>
    </row>
    <row r="664">
      <c r="A664">
        <f>Skills!A5</f>
        <v/>
      </c>
      <c r="B664">
        <f>Skills!B5</f>
        <v/>
      </c>
      <c r="C664">
        <f>Inputs!$B$3&gt;=103</f>
        <v/>
      </c>
      <c r="D664">
        <f>IF(Skills!C5=1,60+Inputs!$B$25+Inputs!$B$29,IF(Skills!C5=2,90+Inputs!$B$26+Inputs!$B$29,IF(Skills!C5=3,120+Inputs!$B$27+Inputs!$B$29,MAX(0,(Inputs!$B$3-100)*3)+Inputs!$B$28+Inputs!$B$29)))</f>
        <v/>
      </c>
      <c r="E664">
        <f>INDEX(FactorTable!$B$2:$Y$301, MATCH(ROUND(MIN(300,MAX(1,D664)),0), FactorTable!$A$2:$A$301,0), Skills!M5+1)</f>
        <v/>
      </c>
      <c r="F664">
        <f>IF(Skills!N5=TRUE,(Skills!L5/10)*(E664/1000),Skills!L5/10)+Skills!O5</f>
        <v/>
      </c>
      <c r="G664">
        <f>Skills!G5*IF(Skills!H5&gt;0,Skills!I5/Skills!H5,1)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664)</f>
        <v/>
      </c>
      <c r="L664">
        <f>K664*(MIN(Inputs!$B$22+((C681=TRUE)*(F681-Calc!F22)),(Inputs!$B$23+((C683=TRUE)*(F683-Calc!F24))+(IF(ArtifactsInput!$M$15,CHOOSE(ArtifactsInput!$N$15+1,25,30,35,40,45,50)/100*(Inputs!$B$11-Inputs!$B$11),0))))/100+(Inputs!$B$23+((C683=TRUE)*(F683-Calc!F24))+(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IFERROR(1/(IF(Inputs!$B$38="pvp",15,MAX(0.1,Skills!D5-IF(Skills!E5=TRUE,Inputs!$B$32,0)))*(1-IF(AND(ArtifactsInput!$M$27,Inputs!$B$4="Chapter Hunt"),CHOOSE(ArtifactsInput!$N$27+1,20,24,28,32,36,40),0)/100)),0)</f>
        <v/>
      </c>
      <c r="R664">
        <f>IF(AND(Inputs!$B$38&lt;&gt;"pvp",Inputs!$B$43&gt;0),IF(MAX(0,Inputs!$B$43-B695)&lt;=0,0,(INT(MAX(0,Inputs!$B$43-B695)/(IF(Inputs!$B$38="pvp",15,MAX(0.1,Skills!D5-IF(Skills!E5=TRUE,Inputs!$B$32,0)))*(1-IF(AND(ArtifactsInput!$M$27,Inputs!$B$4="Chapter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INDEX(FactorTable!$B$2:$Y$301, MATCH(ROUND(MIN(300,MAX(1,D665)),0), FactorTable!$A$2:$A$301,0), Skills!M6+1)</f>
        <v/>
      </c>
      <c r="F665">
        <f>IF(Skills!N6=TRUE,(Skills!L6/10)*(E665/1000),Skills!L6/10)+Skills!O6</f>
        <v/>
      </c>
      <c r="G665">
        <f>Skills!G6*IF(Skills!H6&gt;0,Skills!I6/Skills!H6,1)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665)</f>
        <v/>
      </c>
      <c r="L665">
        <f>K665*(MIN(Inputs!$B$22+((C681=TRUE)*(F681-Calc!F22)),(Inputs!$B$23+((C683=TRUE)*(F683-Calc!F24))+(IF(ArtifactsInput!$M$15,CHOOSE(ArtifactsInput!$N$15+1,25,30,35,40,45,50)/100*(Inputs!$B$11-Inputs!$B$11),0))))/100+(Inputs!$B$23+((C683=TRUE)*(F683-Calc!F24))+(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IFERROR(1/(IF(Inputs!$B$38="pvp",15,MAX(0.1,Skills!D6-IF(Skills!E6=TRUE,Inputs!$B$32,0)))*(1-IF(AND(ArtifactsInput!$M$27,Inputs!$B$4="Chapter Hunt"),CHOOSE(ArtifactsInput!$N$27+1,20,24,28,32,36,40),0)/100)),0)</f>
        <v/>
      </c>
      <c r="R665">
        <f>IF(AND(Inputs!$B$38&lt;&gt;"pvp",Inputs!$B$43&gt;0),IF(MAX(0,Inputs!$B$43-B695)&lt;=0,0,(INT(MAX(0,Inputs!$B$43-B695)/(IF(Inputs!$B$38="pvp",15,MAX(0.1,Skills!D6-IF(Skills!E6=TRUE,Inputs!$B$32,0)))*(1-IF(AND(ArtifactsInput!$M$27,Inputs!$B$4="Chapter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INDEX(FactorTable!$B$2:$Y$301, MATCH(ROUND(MIN(300,MAX(1,D666)),0), FactorTable!$A$2:$A$301,0), Skills!M7+1)</f>
        <v/>
      </c>
      <c r="F666">
        <f>IF(Skills!N7=TRUE,(Skills!L7/10)*(E666/1000),Skills!L7/10)+Skills!O7</f>
        <v/>
      </c>
      <c r="G666">
        <f>Skills!G7*IF(Skills!H7&gt;0,Skills!I7/Skills!H7,1)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666)</f>
        <v/>
      </c>
      <c r="L666">
        <f>K666*(MIN(Inputs!$B$22+((C681=TRUE)*(F681-Calc!F22)),(Inputs!$B$23+((C683=TRUE)*(F683-Calc!F24))+(IF(ArtifactsInput!$M$15,CHOOSE(ArtifactsInput!$N$15+1,25,30,35,40,45,50)/100*(Inputs!$B$11-Inputs!$B$11),0))))/100+(Inputs!$B$23+((C683=TRUE)*(F683-Calc!F24))+(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IFERROR(1/(IF(Inputs!$B$38="pvp",15,MAX(0.1,Skills!D7-IF(Skills!E7=TRUE,Inputs!$B$32,0)))*(1-IF(AND(ArtifactsInput!$M$27,Inputs!$B$4="Chapter Hunt"),CHOOSE(ArtifactsInput!$N$27+1,20,24,28,32,36,40),0)/100)),0)</f>
        <v/>
      </c>
      <c r="R666">
        <f>IF(AND(Inputs!$B$38&lt;&gt;"pvp",Inputs!$B$43&gt;0),IF(MAX(0,Inputs!$B$43-B695)&lt;=0,0,(INT(MAX(0,Inputs!$B$43-B695)/(IF(Inputs!$B$38="pvp",15,MAX(0.1,Skills!D7-IF(Skills!E7=TRUE,Inputs!$B$32,0)))*(1-IF(AND(ArtifactsInput!$M$27,Inputs!$B$4="Chapter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Inputs!$B$3&gt;=117</f>
        <v/>
      </c>
      <c r="D667">
        <f>IF(Skills!C8=1,60+Inputs!$B$25+Inputs!$B$29,IF(Skills!C8=2,90+Inputs!$B$26+Inputs!$B$29,IF(Skills!C8=3,120+Inputs!$B$27+Inputs!$B$29,MAX(0,(Inputs!$B$3-100)*3)+Inputs!$B$28+Inputs!$B$29)))</f>
        <v/>
      </c>
      <c r="E667">
        <f>INDEX(FactorTable!$B$2:$Y$301, MATCH(ROUND(MIN(300,MAX(1,D667)),0), FactorTable!$A$2:$A$301,0), Skills!M8+1)</f>
        <v/>
      </c>
      <c r="F667">
        <f>IF(Skills!N8=TRUE,(Skills!L8/10)*(E667/1000),Skills!L8/10)+Skills!O8</f>
        <v/>
      </c>
      <c r="G667">
        <f>Skills!G8*IF(Skills!H8&gt;0,Skills!I8/Skills!H8,1)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667)</f>
        <v/>
      </c>
      <c r="L667">
        <f>K667*(MIN(Inputs!$B$22+((C681=TRUE)*(F681-Calc!F22)),(Inputs!$B$23+((C683=TRUE)*(F683-Calc!F24))+(IF(ArtifactsInput!$M$15,CHOOSE(ArtifactsInput!$N$15+1,25,30,35,40,45,50)/100*(Inputs!$B$11-Inputs!$B$11),0))))/100+(Inputs!$B$23+((C683=TRUE)*(F683-Calc!F24))+(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IFERROR(1/(IF(Inputs!$B$38="pvp",15,MAX(0.1,Skills!D8-IF(Skills!E8=TRUE,Inputs!$B$32,0)))*(1-IF(AND(ArtifactsInput!$M$27,Inputs!$B$4="Chapter Hunt"),CHOOSE(ArtifactsInput!$N$27+1,20,24,28,32,36,40),0)/100)),0)</f>
        <v/>
      </c>
      <c r="R667">
        <f>IF(AND(Inputs!$B$38&lt;&gt;"pvp",Inputs!$B$43&gt;0),IF(MAX(0,Inputs!$B$43-B695)&lt;=0,0,(INT(MAX(0,Inputs!$B$43-B695)/(IF(Inputs!$B$38="pvp",15,MAX(0.1,Skills!D8-IF(Skills!E8=TRUE,Inputs!$B$32,0)))*(1-IF(AND(ArtifactsInput!$M$27,Inputs!$B$4="Chapter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Inputs!$B$3&gt;=69</f>
        <v/>
      </c>
      <c r="D668">
        <f>IF(Skills!C9=1,60+Inputs!$B$25+Inputs!$B$29,IF(Skills!C9=2,90+Inputs!$B$26+Inputs!$B$29,IF(Skills!C9=3,120+Inputs!$B$27+Inputs!$B$29,MAX(0,(Inputs!$B$3-100)*3)+Inputs!$B$28+Inputs!$B$29)))</f>
        <v/>
      </c>
      <c r="E668">
        <f>INDEX(FactorTable!$B$2:$Y$301, MATCH(ROUND(MIN(300,MAX(1,D668)),0), FactorTable!$A$2:$A$301,0), Skills!M9+1)</f>
        <v/>
      </c>
      <c r="F668">
        <f>IF(Skills!N9=TRUE,(Skills!L9/10)*(E668/1000),Skills!L9/10)+Skills!O9</f>
        <v/>
      </c>
      <c r="G668">
        <f>Skills!G9*IF(Skills!H9&gt;0,Skills!I9/Skills!H9,1)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9="ENHANCED_RAGING_BLOW",IF(Inputs!$B$3&gt;=134,MAX(0,IF(Inputs!$B$3&gt;=110,7,5)-5)*50,0),0)/100)*(1+(IF(Skills!A9="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668)</f>
        <v/>
      </c>
      <c r="L668">
        <f>K668*(MIN(Inputs!$B$22+((C681=TRUE)*(F681-Calc!F22)),(Inputs!$B$23+((C683=TRUE)*(F683-Calc!F24))+(IF(ArtifactsInput!$M$15,CHOOSE(ArtifactsInput!$N$15+1,25,30,35,40,45,50)/100*(Inputs!$B$11-Inputs!$B$11),0))))/100+(Inputs!$B$23+((C683=TRUE)*(F683-Calc!F24))+(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IFERROR(1/(IF(Inputs!$B$38="pvp",15,MAX(0.1,Skills!D9-IF(Skills!E9=TRUE,Inputs!$B$32,0)))*(1-IF(AND(ArtifactsInput!$M$27,Inputs!$B$4="Chapter Hunt"),CHOOSE(ArtifactsInput!$N$27+1,20,24,28,32,36,40),0)/100)),0)</f>
        <v/>
      </c>
      <c r="R668">
        <f>IF(AND(Inputs!$B$38&lt;&gt;"pvp",Inputs!$B$43&gt;0),IF(MAX(0,Inputs!$B$43-B695)&lt;=0,0,(INT(MAX(0,Inputs!$B$43-B695)/(IF(Inputs!$B$38="pvp",15,MAX(0.1,Skills!D9-IF(Skills!E9=TRUE,Inputs!$B$32,0)))*(1-IF(AND(ArtifactsInput!$M$27,Inputs!$B$4="Chapter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Inputs!$B$3&gt;=63</f>
        <v/>
      </c>
      <c r="D669">
        <f>IF(Skills!C10=1,60+Inputs!$B$25+Inputs!$B$29,IF(Skills!C10=2,90+Inputs!$B$26+Inputs!$B$29,IF(Skills!C10=3,120+Inputs!$B$27+Inputs!$B$29,MAX(0,(Inputs!$B$3-100)*3)+Inputs!$B$28+Inputs!$B$29)))</f>
        <v/>
      </c>
      <c r="E669">
        <f>INDEX(FactorTable!$B$2:$Y$301, MATCH(ROUND(MIN(300,MAX(1,D669)),0), FactorTable!$A$2:$A$301,0), Skills!M10+1)</f>
        <v/>
      </c>
      <c r="F669">
        <f>IF(Skills!N10=TRUE,(Skills!L10/10)*(E669/1000),Skills!L10/10)+Skills!O10</f>
        <v/>
      </c>
      <c r="G669">
        <f>Skills!G10*IF(Skills!H10&gt;0,Skills!I10/Skills!H10,1)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10="ENHANCED_RAGING_BLOW",IF(Inputs!$B$3&gt;=134,MAX(0,IF(Inputs!$B$3&gt;=110,7,5)-5)*50,0),0)/100)*(1+(IF(Skills!A10="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669)</f>
        <v/>
      </c>
      <c r="L669">
        <f>K669*(MIN(Inputs!$B$22+((C681=TRUE)*(F681-Calc!F22)),(Inputs!$B$23+((C683=TRUE)*(F683-Calc!F24))+(IF(ArtifactsInput!$M$15,CHOOSE(ArtifactsInput!$N$15+1,25,30,35,40,45,50)/100*(Inputs!$B$11-Inputs!$B$11),0))))/100+(Inputs!$B$23+((C683=TRUE)*(F683-Calc!F24))+(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IFERROR(1/(IF(Inputs!$B$38="pvp",15,MAX(0.1,Skills!D10-IF(Skills!E10=TRUE,Inputs!$B$32,0)))*(1-IF(AND(ArtifactsInput!$M$27,Inputs!$B$4="Chapter Hunt"),CHOOSE(ArtifactsInput!$N$27+1,20,24,28,32,36,40),0)/100)),0)</f>
        <v/>
      </c>
      <c r="R669">
        <f>IF(AND(Inputs!$B$38&lt;&gt;"pvp",Inputs!$B$43&gt;0),IF(MAX(0,Inputs!$B$43-B695)&lt;=0,0,(INT(MAX(0,Inputs!$B$43-B695)/(IF(Inputs!$B$38="pvp",15,MAX(0.1,Skills!D10-IF(Skills!E10=TRUE,Inputs!$B$32,0)))*(1-IF(AND(ArtifactsInput!$M$27,Inputs!$B$4="Chapter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Inputs!$B$3&gt;=35</f>
        <v/>
      </c>
      <c r="D670">
        <f>IF(Skills!C11=1,60+Inputs!$B$25+Inputs!$B$29,IF(Skills!C11=2,90+Inputs!$B$26+Inputs!$B$29,IF(Skills!C11=3,120+Inputs!$B$27+Inputs!$B$29,MAX(0,(Inputs!$B$3-100)*3)+Inputs!$B$28+Inputs!$B$29)))</f>
        <v/>
      </c>
      <c r="E670">
        <f>INDEX(FactorTable!$B$2:$Y$301, MATCH(ROUND(MIN(300,MAX(1,D670)),0), FactorTable!$A$2:$A$301,0), Skills!M11+1)</f>
        <v/>
      </c>
      <c r="F670">
        <f>IF(Skills!N11=TRUE,(Skills!L11/10)*(E670/1000),Skills!L11/10)+Skills!O11</f>
        <v/>
      </c>
      <c r="G670">
        <f>Skills!G11*IF(Skills!H11&gt;0,Skills!I11/Skills!H11,1)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11="ENHANCED_RAGING_BLOW",IF(Inputs!$B$3&gt;=134,MAX(0,IF(Inputs!$B$3&gt;=110,7,5)-5)*50,0),0)/100)*(1+(IF(Skills!A11="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670)</f>
        <v/>
      </c>
      <c r="L670">
        <f>K670*(MIN(Inputs!$B$22+((C681=TRUE)*(F681-Calc!F22)),(Inputs!$B$23+((C683=TRUE)*(F683-Calc!F24))+(IF(ArtifactsInput!$M$15,CHOOSE(ArtifactsInput!$N$15+1,25,30,35,40,45,50)/100*(Inputs!$B$11-Inputs!$B$11),0))))/100+(Inputs!$B$23+((C683=TRUE)*(F683-Calc!F24))+(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IFERROR(1/(IF(Inputs!$B$38="pvp",15,MAX(0.1,Skills!D11-IF(Skills!E11=TRUE,Inputs!$B$32,0)))*(1-IF(AND(ArtifactsInput!$M$27,Inputs!$B$4="Chapter Hunt"),CHOOSE(ArtifactsInput!$N$27+1,20,24,28,32,36,40),0)/100)),0)</f>
        <v/>
      </c>
      <c r="R670">
        <f>IF(AND(Inputs!$B$38&lt;&gt;"pvp",Inputs!$B$43&gt;0),IF(MAX(0,Inputs!$B$43-B695)&lt;=0,0,(INT(MAX(0,Inputs!$B$43-B695)/(IF(Inputs!$B$38="pvp",15,MAX(0.1,Skills!D11-IF(Skills!E11=TRUE,Inputs!$B$32,0)))*(1-IF(AND(ArtifactsInput!$M$27,Inputs!$B$4="Chapter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INDEX(FactorTable!$B$2:$Y$301, MATCH(ROUND(MIN(300,MAX(1,D671)),0),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INDEX(FactorTable!$B$2:$Y$301, MATCH(ROUND(MIN(300,MAX(1,D672)),0), FactorTable!$A$2:$A$301,0), Skills!M13+1)</f>
        <v/>
      </c>
      <c r="F672">
        <f>IF(Skills!N13=TRUE,(Skills!L13/10)*(E672/1000),Skills!L13/10)+Skills!O13</f>
        <v/>
      </c>
      <c r="G672">
        <f>Skills!G13*IF(Skills!H13&gt;0,Skills!I13/Skills!H13,1)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Inputs!$B$3&gt;=75</f>
        <v/>
      </c>
      <c r="D673">
        <f>IF(Skills!C14=1,60+Inputs!$B$25+Inputs!$B$29,IF(Skills!C14=2,90+Inputs!$B$26+Inputs!$B$29,IF(Skills!C14=3,120+Inputs!$B$27+Inputs!$B$29,MAX(0,(Inputs!$B$3-100)*3)+Inputs!$B$28+Inputs!$B$29)))</f>
        <v/>
      </c>
      <c r="E673">
        <f>INDEX(FactorTable!$B$2:$Y$301, MATCH(ROUND(MIN(300,MAX(1,D673)),0), FactorTable!$A$2:$A$301,0), Skills!M14+1)</f>
        <v/>
      </c>
      <c r="F673">
        <f>IF(Skills!N14=TRUE,(Skills!L14/10)*(E673/1000),Skills!L14/10)+Skills!O14</f>
        <v/>
      </c>
      <c r="G673">
        <f>Skills!G14*IF(Skills!H14&gt;0,Skills!I14/Skills!H14,1)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Inputs!$B$3&gt;=40</f>
        <v/>
      </c>
      <c r="D674">
        <f>IF(Skills!C15=1,60+Inputs!$B$25+Inputs!$B$29,IF(Skills!C15=2,90+Inputs!$B$26+Inputs!$B$29,IF(Skills!C15=3,120+Inputs!$B$27+Inputs!$B$29,MAX(0,(Inputs!$B$3-100)*3)+Inputs!$B$28+Inputs!$B$29)))</f>
        <v/>
      </c>
      <c r="E674">
        <f>INDEX(FactorTable!$B$2:$Y$301, MATCH(ROUND(MIN(300,MAX(1,D674)),0), FactorTable!$A$2:$A$301,0), Skills!M15+1)</f>
        <v/>
      </c>
      <c r="F674">
        <f>IF(Skills!N15=TRUE,(Skills!L15/10)*(E674/1000),Skills!L15/10)+Skills!O15</f>
        <v/>
      </c>
      <c r="G674">
        <f>Skills!G15*IF(Skills!H15&gt;0,Skills!I15/Skills!H15,1)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IFERROR(1/(IF(Inputs!$B$38="pvp",15,MAX(0.1,Skills!D15-IF(Skills!E15=TRUE,Inputs!$B$32,0)))*(1-IF(AND(ArtifactsInput!$M$27,Inputs!$B$4="Chapter Hunt"),CHOOSE(ArtifactsInput!$N$27+1,20,24,28,32,36,40),0)/100)),0)</f>
        <v/>
      </c>
      <c r="R674">
        <f>IF(AND(Inputs!$B$38&lt;&gt;"pvp",Inputs!$B$43&gt;0),IF(Inputs!$B$43&lt;=0,0,(INT(Inputs!$B$43/(IF(Inputs!$B$38="pvp",15,MAX(0.1,Skills!D15-IF(Skills!E15=TRUE,Inputs!$B$32,0)))*(1-IF(AND(ArtifactsInput!$M$27,Inputs!$B$4="Chapter Hunt"),CHOOSE(ArtifactsInput!$N$27+1,20,24,28,32,36,40),0)/100)))+1)),0)</f>
        <v/>
      </c>
      <c r="S674">
        <f>IFERROR(O674/N674,0)</f>
        <v/>
      </c>
      <c r="T674" t="n">
        <v>0</v>
      </c>
      <c r="V674" t="n">
        <v>0</v>
      </c>
    </row>
    <row r="675">
      <c r="A675">
        <f>Skills!A16</f>
        <v/>
      </c>
      <c r="B675">
        <f>Skills!B16</f>
        <v/>
      </c>
      <c r="C675">
        <f>Inputs!$B$3&gt;=66</f>
        <v/>
      </c>
      <c r="D675">
        <f>IF(Skills!C16=1,60+Inputs!$B$25+Inputs!$B$29,IF(Skills!C16=2,90+Inputs!$B$26+Inputs!$B$29,IF(Skills!C16=3,120+Inputs!$B$27+Inputs!$B$29,MAX(0,(Inputs!$B$3-100)*3)+Inputs!$B$28+Inputs!$B$29)))</f>
        <v/>
      </c>
      <c r="E675">
        <f>INDEX(FactorTable!$B$2:$Y$301, MATCH(ROUND(MIN(300,MAX(1,D675)),0), FactorTable!$A$2:$A$301,0), Skills!M16+1)</f>
        <v/>
      </c>
      <c r="F675">
        <f>IF(Skills!N16=TRUE,(Skills!L16/10)*(E675/1000),Skills!L16/10)+Skills!O16</f>
        <v/>
      </c>
      <c r="G675">
        <f>Skills!G16*IF(Skills!H16&gt;0,Skills!I16/Skills!H16,1)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IFERROR(1/(IF(Inputs!$B$38="pvp",15,MAX(0.1,Skills!D16-IF(Skills!E16=TRUE,Inputs!$B$32,0)))*(1-IF(AND(ArtifactsInput!$M$27,Inputs!$B$4="Chapter Hunt"),CHOOSE(ArtifactsInput!$N$27+1,20,24,28,32,36,40),0)/100)),0)</f>
        <v/>
      </c>
      <c r="R675">
        <f>IF(AND(Inputs!$B$38&lt;&gt;"pvp",Inputs!$B$43&gt;0),IF(Inputs!$B$43&lt;=0,0,(INT(Inputs!$B$43/(IF(Inputs!$B$38="pvp",15,MAX(0.1,Skills!D16-IF(Skills!E16=TRUE,Inputs!$B$32,0)))*(1-IF(AND(ArtifactsInput!$M$27,Inputs!$B$4="Chapter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INDEX(FactorTable!$B$2:$Y$301, MATCH(ROUND(MIN(300,MAX(1,D676)),0), FactorTable!$A$2:$A$301,0), Skills!M17+1)</f>
        <v/>
      </c>
      <c r="F676">
        <f>IF(Skills!N17=TRUE,(Skills!L17/10)*(E676/1000),Skills!L17/10)+Skills!O17</f>
        <v/>
      </c>
      <c r="G676">
        <f>Skills!G17*IF(Skills!H17&gt;0,Skills!I17/Skills!H17,1)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IFERROR(1/(IF(Inputs!$B$38="pvp",15,MAX(0.1,Skills!D17-IF(Skills!E17=TRUE,Inputs!$B$32,0)))*(1-IF(AND(ArtifactsInput!$M$27,Inputs!$B$4="Chapter Hunt"),CHOOSE(ArtifactsInput!$N$27+1,20,24,28,32,36,40),0)/100)),0)</f>
        <v/>
      </c>
      <c r="R676">
        <f>IF(AND(Inputs!$B$38&lt;&gt;"pvp",Inputs!$B$43&gt;0),IF(Inputs!$B$43&lt;=0,0,(INT(Inputs!$B$43/(IF(Inputs!$B$38="pvp",15,MAX(0.1,Skills!D17-IF(Skills!E17=TRUE,Inputs!$B$32,0)))*(1-IF(AND(ArtifactsInput!$M$27,Inputs!$B$4="Chapter Hunt"),CHOOSE(ArtifactsInput!$N$27+1,20,24,28,32,36,40),0)/100)))+1)),0)</f>
        <v/>
      </c>
      <c r="S676">
        <f>IFERROR(O676/N676,0)</f>
        <v/>
      </c>
      <c r="T676" t="n">
        <v>0</v>
      </c>
      <c r="V676" t="n">
        <v>0</v>
      </c>
    </row>
    <row r="677">
      <c r="A677">
        <f>Skills!A18</f>
        <v/>
      </c>
      <c r="B677">
        <f>Skills!B18</f>
        <v/>
      </c>
      <c r="C677">
        <f>Inputs!$B$3&gt;=115</f>
        <v/>
      </c>
      <c r="D677">
        <f>IF(Skills!C18=1,60+Inputs!$B$25+Inputs!$B$29,IF(Skills!C18=2,90+Inputs!$B$26+Inputs!$B$29,IF(Skills!C18=3,120+Inputs!$B$27+Inputs!$B$29,MAX(0,(Inputs!$B$3-100)*3)+Inputs!$B$28+Inputs!$B$29)))</f>
        <v/>
      </c>
      <c r="E677">
        <f>INDEX(FactorTable!$B$2:$Y$301, MATCH(ROUND(MIN(300,MAX(1,D677)),0), FactorTable!$A$2:$A$301,0), Skills!M18+1)</f>
        <v/>
      </c>
      <c r="F677">
        <f>IF(Skills!N18=TRUE,(Skills!L18/10)*(E677/1000),Skills!L18/10)+Skills!O18</f>
        <v/>
      </c>
      <c r="G677">
        <f>Skills!G18*IF(Skills!H18&gt;0,Skills!I18/Skills!H18,1)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IFERROR(1/(IF(Inputs!$B$38="pvp",15,MAX(0.1,Skills!D18-IF(Skills!E18=TRUE,Inputs!$B$32,0)))*(1-IF(AND(ArtifactsInput!$M$27,Inputs!$B$4="Chapter Hunt"),CHOOSE(ArtifactsInput!$N$27+1,20,24,28,32,36,40),0)/100)),0)</f>
        <v/>
      </c>
      <c r="R677">
        <f>IF(AND(Inputs!$B$38&lt;&gt;"pvp",Inputs!$B$43&gt;0),IF(Inputs!$B$43&lt;=0,0,(INT(Inputs!$B$43/(IF(Inputs!$B$38="pvp",15,MAX(0.1,Skills!D18-IF(Skills!E18=TRUE,Inputs!$B$32,0)))*(1-IF(AND(ArtifactsInput!$M$27,Inputs!$B$4="Chapter Hunt"),CHOOSE(ArtifactsInput!$N$27+1,20,24,28,32,36,40),0)/100)))+1)),0)</f>
        <v/>
      </c>
      <c r="S677">
        <f>IFERROR(O677/N677,0)</f>
        <v/>
      </c>
      <c r="T677" t="n">
        <v>0</v>
      </c>
      <c r="V677" t="n">
        <v>0</v>
      </c>
    </row>
    <row r="678">
      <c r="A678">
        <f>Skills!A19</f>
        <v/>
      </c>
      <c r="B678">
        <f>Skills!B19</f>
        <v/>
      </c>
      <c r="C678">
        <f>TRUE</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IFERROR(1/(IF(Inputs!$B$38="pvp",15,MAX(0.1,Skills!D19-IF(Skills!E19=TRUE,Inputs!$B$32,0)))*(1-IF(AND(ArtifactsInput!$M$27,Inputs!$B$4="Chapter Hunt"),CHOOSE(ArtifactsInput!$N$27+1,20,24,28,32,36,40),0)/100)),0)</f>
        <v/>
      </c>
      <c r="R678">
        <f>IF(AND(Inputs!$B$38&lt;&gt;"pvp",Inputs!$B$43&gt;0),IF(Inputs!$B$43&lt;=0,0,(INT(Inputs!$B$43/(IF(Inputs!$B$38="pvp",15,MAX(0.1,Skills!D19-IF(Skills!E19=TRUE,Inputs!$B$32,0)))*(1-IF(AND(ArtifactsInput!$M$27,Inputs!$B$4="Chapter Hunt"),CHOOSE(ArtifactsInput!$N$27+1,20,24,28,32,36,40),0)/100)))+1)),0)</f>
        <v/>
      </c>
      <c r="S678">
        <f>IFERROR(O678/N678,0)</f>
        <v/>
      </c>
      <c r="T678" t="n">
        <v>0</v>
      </c>
      <c r="V678" t="n">
        <v>0</v>
      </c>
    </row>
    <row r="679">
      <c r="A679">
        <f>Skills!A20</f>
        <v/>
      </c>
      <c r="B679">
        <f>Skills!B20</f>
        <v/>
      </c>
      <c r="C679">
        <f>Inputs!$B$3&gt;=33</f>
        <v/>
      </c>
      <c r="D679">
        <f>IF(Skills!C20=1,60+Inputs!$B$25+Inputs!$B$29,IF(Skills!C20=2,90+Inputs!$B$26+Inputs!$B$29,IF(Skills!C20=3,120+Inputs!$B$27+Inputs!$B$29,MAX(0,(Inputs!$B$3-100)*3)+Inputs!$B$28+Inputs!$B$29)))</f>
        <v/>
      </c>
      <c r="E679">
        <f>INDEX(FactorTable!$B$2:$Y$301, MATCH(ROUND(MIN(300,MAX(1,D679)),0), FactorTable!$A$2:$A$301,0), Skills!M20+1)</f>
        <v/>
      </c>
      <c r="F679">
        <f>IF(Skills!N20=TRUE,(Skills!L20/10)*(E679/1000),Skills!L20/10)+Skills!O20</f>
        <v/>
      </c>
      <c r="G679">
        <f>Skills!G20*IF(Skills!H20&gt;0,Skills!I20/Skills!H20,1)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Inputs!$B$3&gt;=38</f>
        <v/>
      </c>
      <c r="D680">
        <f>IF(Skills!C21=1,60+Inputs!$B$25+Inputs!$B$29,IF(Skills!C21=2,90+Inputs!$B$26+Inputs!$B$29,IF(Skills!C21=3,120+Inputs!$B$27+Inputs!$B$29,MAX(0,(Inputs!$B$3-100)*3)+Inputs!$B$28+Inputs!$B$29)))</f>
        <v/>
      </c>
      <c r="E680">
        <f>INDEX(FactorTable!$B$2:$Y$301, MATCH(ROUND(MIN(300,MAX(1,D680)),0), FactorTable!$A$2:$A$301,0), Skills!M21+1)</f>
        <v/>
      </c>
      <c r="F680">
        <f>IF(Skills!N21=TRUE,(Skills!L21/10)*(E680/1000),Skills!L21/10)+Skills!O21</f>
        <v/>
      </c>
      <c r="G680">
        <f>Skills!G21*IF(Skills!H21&gt;0,Skills!I21/Skills!H21,1)</f>
        <v/>
      </c>
      <c r="H680">
        <f>1-(1-Skills!J21/100)^Skills!K21</f>
        <v/>
      </c>
      <c r="I680" t="inlineStr">
        <is>
          <t>1</t>
        </is>
      </c>
      <c r="J680" t="inlineStr"/>
      <c r="K680" t="inlineStr"/>
      <c r="L680" t="inlineStr"/>
      <c r="M680" t="inlineStr"/>
      <c r="N680" t="inlineStr"/>
      <c r="O680">
        <f>(1-Summary!$B$11)*T680+Summary!$B$11*V680</f>
        <v/>
      </c>
      <c r="P680">
        <f>IF(B698=0,0,O680/B698)</f>
        <v/>
      </c>
      <c r="Q680" t="n">
        <v>0</v>
      </c>
      <c r="R680" t="n">
        <v>0</v>
      </c>
      <c r="S680">
        <f>IFERROR(O680/N680,0)</f>
        <v/>
      </c>
      <c r="T680" t="n">
        <v>0</v>
      </c>
      <c r="V680" t="n">
        <v>0</v>
      </c>
    </row>
    <row r="681">
      <c r="A681">
        <f>Skills!A22</f>
        <v/>
      </c>
      <c r="B681">
        <f>Skills!B22</f>
        <v/>
      </c>
      <c r="C681">
        <f>Inputs!$B$3&gt;=43</f>
        <v/>
      </c>
      <c r="D681">
        <f>IF(Skills!C22=1,60+Inputs!$B$25+Inputs!$B$29,IF(Skills!C22=2,90+Inputs!$B$26+Inputs!$B$29,IF(Skills!C22=3,120+Inputs!$B$27+Inputs!$B$29,MAX(0,(Inputs!$B$3-100)*3)+Inputs!$B$28+Inputs!$B$29)))</f>
        <v/>
      </c>
      <c r="E681">
        <f>INDEX(FactorTable!$B$2:$Y$301, MATCH(ROUND(MIN(300,MAX(1,D681)),0), FactorTable!$A$2:$A$301,0), Skills!M22+1)</f>
        <v/>
      </c>
      <c r="F681">
        <f>IF(Skills!N22=TRUE,(Skills!L22/10)*(E681/1000),Skills!L22/10)+Skills!O22</f>
        <v/>
      </c>
      <c r="G681">
        <f>Skills!G22*IF(Skills!H22&gt;0,Skills!I22/Skills!H22,1)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Inputs!$B$3&gt;=120</f>
        <v/>
      </c>
      <c r="D682">
        <f>IF(Skills!C23=1,60+Inputs!$B$25+Inputs!$B$29,IF(Skills!C23=2,90+Inputs!$B$26+Inputs!$B$29,IF(Skills!C23=3,120+Inputs!$B$27+Inputs!$B$29,MAX(0,(Inputs!$B$3-100)*3)+Inputs!$B$28+Inputs!$B$29)))</f>
        <v/>
      </c>
      <c r="E682">
        <f>INDEX(FactorTable!$B$2:$Y$301, MATCH(ROUND(MIN(300,MAX(1,D682)),0), FactorTable!$A$2:$A$301,0), Skills!M23+1)</f>
        <v/>
      </c>
      <c r="F682">
        <f>IF(Skills!N23=TRUE,(Skills!L23/10)*(E682/1000),Skills!L23/10)+Skills!O23</f>
        <v/>
      </c>
      <c r="G682">
        <f>Skills!G23*IF(Skills!H23&gt;0,Skills!I23/Skills!H23,1)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Inputs!$B$3&gt;=120</f>
        <v/>
      </c>
      <c r="D683">
        <f>IF(Skills!C24=1,60+Inputs!$B$25+Inputs!$B$29,IF(Skills!C24=2,90+Inputs!$B$26+Inputs!$B$29,IF(Skills!C24=3,120+Inputs!$B$27+Inputs!$B$29,MAX(0,(Inputs!$B$3-100)*3)+Inputs!$B$28+Inputs!$B$29)))</f>
        <v/>
      </c>
      <c r="E683">
        <f>INDEX(FactorTable!$B$2:$Y$301, MATCH(ROUND(MIN(300,MAX(1,D683)),0), FactorTable!$A$2:$A$301,0), Skills!M24+1)</f>
        <v/>
      </c>
      <c r="F683">
        <f>IF(Skills!N24=TRUE,(Skills!L24/10)*(E683/1000),Skills!L24/10)+Skills!O24</f>
        <v/>
      </c>
      <c r="G683">
        <f>Skills!G24*IF(Skills!H24&gt;0,Skills!I24/Skills!H24,1)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Inputs!$B$3&gt;=125</f>
        <v/>
      </c>
      <c r="D684">
        <f>IF(Skills!C25=1,60+Inputs!$B$25+Inputs!$B$29,IF(Skills!C25=2,90+Inputs!$B$26+Inputs!$B$29,IF(Skills!C25=3,120+Inputs!$B$27+Inputs!$B$29,MAX(0,(Inputs!$B$3-100)*3)+Inputs!$B$28+Inputs!$B$29)))</f>
        <v/>
      </c>
      <c r="E684">
        <f>INDEX(FactorTable!$B$2:$Y$301, MATCH(ROUND(MIN(300,MAX(1,D684)),0), FactorTable!$A$2:$A$301,0), Skills!M25+1)</f>
        <v/>
      </c>
      <c r="F684">
        <f>IF(Skills!N25=TRUE,(Skills!L25/10)*(E684/1000),Skills!L25/10)+Skills!O25</f>
        <v/>
      </c>
      <c r="G684">
        <f>Skills!G25*IF(Skills!H25&gt;0,Skills!I25/Skills!H25,1)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Inputs!$B$3&gt;=72</f>
        <v/>
      </c>
      <c r="D685">
        <f>IF(Skills!C26=1,60+Inputs!$B$25+Inputs!$B$29,IF(Skills!C26=2,90+Inputs!$B$26+Inputs!$B$29,IF(Skills!C26=3,120+Inputs!$B$27+Inputs!$B$29,MAX(0,(Inputs!$B$3-100)*3)+Inputs!$B$28+Inputs!$B$29)))</f>
        <v/>
      </c>
      <c r="E685">
        <f>INDEX(FactorTable!$B$2:$Y$301, MATCH(ROUND(MIN(300,MAX(1,D685)),0), FactorTable!$A$2:$A$301,0), Skills!M26+1)</f>
        <v/>
      </c>
      <c r="F685">
        <f>IF(Skills!N26=TRUE,(Skills!L26/10)*(E685/1000),Skills!L26/10)+Skills!O26</f>
        <v/>
      </c>
      <c r="G685">
        <f>Skills!G26*IF(Skills!H26&gt;0,Skills!I26/Skills!H26,1)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678=TRUE)*F678*IF(AND(Inputs!$B$38&lt;&gt;"pvp",Inputs!$B$43&gt;0),(((R678-1)*(Skills!T19*(1+(Inputs!$B$34+(ArtifactsInput!$M$7-ArtifactsInput!$M$7)*CHOOSE(ArtifactsInput!$N$7+1,6,7.2,8.4,9.6,10.8,12))/100))+MIN((Skills!T19*(1+(Inputs!$B$34+(ArtifactsInput!$M$7-ArtifactsInput!$M$7)*CHOOSE(ArtifactsInput!$N$7+1,6,7.2,8.4,9.6,10.8,12))/100)),MAX(0,Inputs!$B$43-((R678-1)*Skills!D19))))/Inputs!$B$43),IF(Inputs!$B$38="pvp",MIN((Skills!T19*(1+(Inputs!$B$34+(ArtifactsInput!$M$7-ArtifactsInput!$M$7)*CHOOSE(ArtifactsInput!$N$7+1,6,7.2,8.4,9.6,10.8,12))/100)),15)/15,(Skills!T19*(1+(Inputs!$B$34+(ArtifactsInput!$M$7-ArtifactsInput!$M$7)*CHOOSE(ArtifactsInput!$N$7+1,6,7.2,8.4,9.6,10.8,12))/100))/Skills!D19)))</f>
        <v/>
      </c>
    </row>
    <row r="690">
      <c r="A690" t="inlineStr">
        <is>
          <t>Actions Per Second</t>
        </is>
      </c>
      <c r="B690">
        <f>1+MIN(150,150*(1-(1-(Inputs!$B$11+((C679=TRUE)*(F679-Calc!F20)))/150)*(1-B689/150)))/100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Raging Blow Casts Per Second</t>
        </is>
      </c>
      <c r="B692">
        <f>MAX(0,B690-B691)</f>
        <v/>
      </c>
    </row>
    <row r="693">
      <c r="A693" t="inlineStr">
        <is>
          <t>Global Critical Damage Bonus % (Enrage)</t>
        </is>
      </c>
      <c r="B693">
        <f>((C677=TRUE)*F677*IF(AND(Inputs!$B$38&lt;&gt;"pvp",Inputs!$B$43&gt;0),(((R677-1)*(Skills!T18*(1+(Inputs!$B$34+(ArtifactsInput!$M$7-ArtifactsInput!$M$7)*CHOOSE(ArtifactsInput!$N$7+1,6,7.2,8.4,9.6,10.8,12))/100))+MIN((Skills!T18*(1+(Inputs!$B$34+(ArtifactsInput!$M$7-ArtifactsInput!$M$7)*CHOOSE(ArtifactsInput!$N$7+1,6,7.2,8.4,9.6,10.8,12))/100)),MAX(0,Inputs!$B$43-((R677-1)*Skills!D18))))/Inputs!$B$43),IF(Inputs!$B$38="pvp",MIN((Skills!T18*(1+(Inputs!$B$34+(ArtifactsInput!$M$7-ArtifactsInput!$M$7)*CHOOSE(ArtifactsInput!$N$7+1,6,7.2,8.4,9.6,10.8,12))/100)),15)/15,(Skills!T18*(1+(Inputs!$B$34+(ArtifactsInput!$M$7-ArtifactsInput!$M$7)*CHOOSE(ArtifactsInput!$N$7+1,6,7.2,8.4,9.6,10.8,12))/100))/Skills!D18)))</f>
        <v/>
      </c>
    </row>
    <row r="694">
      <c r="A694" t="inlineStr">
        <is>
          <t>Global Final Damage Bonus % (Enrage + Combo Synergy)</t>
        </is>
      </c>
      <c r="B694">
        <f>((C676=TRUE)*F676*IF(AND(Inputs!$B$38&lt;&gt;"pvp",Inputs!$B$43&gt;0),(((R676-1)*(Skills!T17*(1+(Inputs!$B$34+(ArtifactsInput!$M$7-ArtifactsInput!$M$7)*CHOOSE(ArtifactsInput!$N$7+1,6,7.2,8.4,9.6,10.8,12))/100))+MIN((Skills!T17*(1+(Inputs!$B$34+(ArtifactsInput!$M$7-ArtifactsInput!$M$7)*CHOOSE(ArtifactsInput!$N$7+1,6,7.2,8.4,9.6,10.8,12))/100)),MAX(0,Inputs!$B$43-((R676-1)*Skills!D17))))/Inputs!$B$43),IF(Inputs!$B$38="pvp",MIN((Skills!T17*(1+(Inputs!$B$34+(ArtifactsInput!$M$7-ArtifactsInput!$M$7)*CHOOSE(ArtifactsInput!$N$7+1,6,7.2,8.4,9.6,10.8,12))/100)),15)/15,(Skills!T17*(1+(Inputs!$B$34+(ArtifactsInput!$M$7-ArtifactsInput!$M$7)*CHOOSE(ArtifactsInput!$N$7+1,6,7.2,8.4,9.6,10.8,12))/100))/Skills!D17)))+((C673=TRUE)*F673*IF(Inputs!$B$3&gt;=110,7,5))</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703)</f>
        <v/>
      </c>
      <c r="L703">
        <f>K703*(MIN(Inputs!$B$22+((C723=TRUE)*(F723-Calc!F22)),(Inputs!$B$23+((C725=TRUE)*(F725-Calc!F24))+(IF(ArtifactsInput!$M$15,CHOOSE(ArtifactsInput!$N$15+1,25,30,35,40,45,50)/100*(Inputs!$B$11-Inputs!$B$11),0))))/100+(Inputs!$B$23+((C725=TRUE)*(F725-Calc!F24))+(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INDEX(FactorTable!$B$2:$Y$301, MATCH(ROUND(MIN(300,MAX(1,U703)),0), FactorTable!$A$2:$A$301,0), 22)</f>
        <v/>
      </c>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U705">
        <f>290*U704/1000</f>
        <v/>
      </c>
    </row>
    <row r="706">
      <c r="A706">
        <f>Skills!A5</f>
        <v/>
      </c>
      <c r="B706">
        <f>Skills!B5</f>
        <v/>
      </c>
      <c r="C706">
        <f>Inputs!$B$3&gt;=103</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706)</f>
        <v/>
      </c>
      <c r="L706">
        <f>K706*(MIN(Inputs!$B$22+((C723=TRUE)*(F723-Calc!F22)),(Inputs!$B$23+((C725=TRUE)*(F725-Calc!F24))+(IF(ArtifactsInput!$M$15,CHOOSE(ArtifactsInput!$N$15+1,25,30,35,40,45,50)/100*(Inputs!$B$11-Inputs!$B$11),0))))/100+(Inputs!$B$23+((C725=TRUE)*(F725-Calc!F24))+(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IFERROR(1/(IF(Inputs!$B$38="pvp",15,MAX(0.1,Skills!D5-IF(Skills!E5=TRUE,Inputs!$B$32,0)))*(1-IF(AND(ArtifactsInput!$M$27,Inputs!$B$4="Chapter Hunt"),CHOOSE(ArtifactsInput!$N$27+1,20,24,28,32,36,40),0)/100)),0)</f>
        <v/>
      </c>
      <c r="R706">
        <f>IF(AND(Inputs!$B$38&lt;&gt;"pvp",Inputs!$B$43&gt;0),IF(MAX(0,Inputs!$B$43-B737)&lt;=0,0,(INT(MAX(0,Inputs!$B$43-B737)/(IF(Inputs!$B$38="pvp",15,MAX(0.1,Skills!D5-IF(Skills!E5=TRUE,Inputs!$B$32,0)))*(1-IF(AND(ArtifactsInput!$M$27,Inputs!$B$4="Chapter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707)</f>
        <v/>
      </c>
      <c r="L707">
        <f>K707*(MIN(Inputs!$B$22+((C723=TRUE)*(F723-Calc!F22)),(Inputs!$B$23+((C725=TRUE)*(F725-Calc!F24))+(IF(ArtifactsInput!$M$15,CHOOSE(ArtifactsInput!$N$15+1,25,30,35,40,45,50)/100*(Inputs!$B$11-Inputs!$B$11),0))))/100+(Inputs!$B$23+((C725=TRUE)*(F725-Calc!F24))+(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IFERROR(1/(IF(Inputs!$B$38="pvp",15,MAX(0.1,Skills!D6-IF(Skills!E6=TRUE,Inputs!$B$32,0)))*(1-IF(AND(ArtifactsInput!$M$27,Inputs!$B$4="Chapter Hunt"),CHOOSE(ArtifactsInput!$N$27+1,20,24,28,32,36,40),0)/100)),0)</f>
        <v/>
      </c>
      <c r="R707">
        <f>IF(AND(Inputs!$B$38&lt;&gt;"pvp",Inputs!$B$43&gt;0),IF(MAX(0,Inputs!$B$43-B737)&lt;=0,0,(INT(MAX(0,Inputs!$B$43-B737)/(IF(Inputs!$B$38="pvp",15,MAX(0.1,Skills!D6-IF(Skills!E6=TRUE,Inputs!$B$32,0)))*(1-IF(AND(ArtifactsInput!$M$27,Inputs!$B$4="Chapter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708)</f>
        <v/>
      </c>
      <c r="L708">
        <f>K708*(MIN(Inputs!$B$22+((C723=TRUE)*(F723-Calc!F22)),(Inputs!$B$23+((C725=TRUE)*(F725-Calc!F24))+(IF(ArtifactsInput!$M$15,CHOOSE(ArtifactsInput!$N$15+1,25,30,35,40,45,50)/100*(Inputs!$B$11-Inputs!$B$11),0))))/100+(Inputs!$B$23+((C725=TRUE)*(F725-Calc!F24))+(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IFERROR(1/(IF(Inputs!$B$38="pvp",15,MAX(0.1,Skills!D7-IF(Skills!E7=TRUE,Inputs!$B$32,0)))*(1-IF(AND(ArtifactsInput!$M$27,Inputs!$B$4="Chapter Hunt"),CHOOSE(ArtifactsInput!$N$27+1,20,24,28,32,36,40),0)/100)),0)</f>
        <v/>
      </c>
      <c r="R708">
        <f>IF(AND(Inputs!$B$38&lt;&gt;"pvp",Inputs!$B$43&gt;0),IF(MAX(0,Inputs!$B$43-B737)&lt;=0,0,(INT(MAX(0,Inputs!$B$43-B737)/(IF(Inputs!$B$38="pvp",15,MAX(0.1,Skills!D7-IF(Skills!E7=TRUE,Inputs!$B$32,0)))*(1-IF(AND(ArtifactsInput!$M$27,Inputs!$B$4="Chapter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709)</f>
        <v/>
      </c>
      <c r="L709">
        <f>K709*(MIN(Inputs!$B$22+((C723=TRUE)*(F723-Calc!F22)),(Inputs!$B$23+((C725=TRUE)*(F725-Calc!F24))+(IF(ArtifactsInput!$M$15,CHOOSE(ArtifactsInput!$N$15+1,25,30,35,40,45,50)/100*(Inputs!$B$11-Inputs!$B$11),0))))/100+(Inputs!$B$23+((C725=TRUE)*(F725-Calc!F24))+(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IFERROR(1/(IF(Inputs!$B$38="pvp",15,MAX(0.1,Skills!D8-IF(Skills!E8=TRUE,Inputs!$B$32,0)))*(1-IF(AND(ArtifactsInput!$M$27,Inputs!$B$4="Chapter Hunt"),CHOOSE(ArtifactsInput!$N$27+1,20,24,28,32,36,40),0)/100)),0)</f>
        <v/>
      </c>
      <c r="R709">
        <f>IF(AND(Inputs!$B$38&lt;&gt;"pvp",Inputs!$B$43&gt;0),IF(MAX(0,Inputs!$B$43-B737)&lt;=0,0,(INT(MAX(0,Inputs!$B$43-B737)/(IF(Inputs!$B$38="pvp",15,MAX(0.1,Skills!D8-IF(Skills!E8=TRUE,Inputs!$B$32,0)))*(1-IF(AND(ArtifactsInput!$M$27,Inputs!$B$4="Chapter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Inputs!$B$3&gt;=69</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9="ENHANCED_RAGING_BLOW",IF(Inputs!$B$3&gt;=134,MAX(0,IF(Inputs!$B$3&gt;=110,7,5)-5)*50,0),0)/100)*(1+(IF(Skills!A9="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710)</f>
        <v/>
      </c>
      <c r="L710">
        <f>K710*(MIN(Inputs!$B$22+((C723=TRUE)*(F723-Calc!F22)),(Inputs!$B$23+((C725=TRUE)*(F725-Calc!F24))+(IF(ArtifactsInput!$M$15,CHOOSE(ArtifactsInput!$N$15+1,25,30,35,40,45,50)/100*(Inputs!$B$11-Inputs!$B$11),0))))/100+(Inputs!$B$23+((C725=TRUE)*(F725-Calc!F24))+(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IFERROR(1/(IF(Inputs!$B$38="pvp",15,MAX(0.1,Skills!D9-IF(Skills!E9=TRUE,Inputs!$B$32,0)))*(1-IF(AND(ArtifactsInput!$M$27,Inputs!$B$4="Chapter Hunt"),CHOOSE(ArtifactsInput!$N$27+1,20,24,28,32,36,40),0)/100)),0)</f>
        <v/>
      </c>
      <c r="R710">
        <f>IF(AND(Inputs!$B$38&lt;&gt;"pvp",Inputs!$B$43&gt;0),IF(MAX(0,Inputs!$B$43-B737)&lt;=0,0,(INT(MAX(0,Inputs!$B$43-B737)/(IF(Inputs!$B$38="pvp",15,MAX(0.1,Skills!D9-IF(Skills!E9=TRUE,Inputs!$B$32,0)))*(1-IF(AND(ArtifactsInput!$M$27,Inputs!$B$4="Chapter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Inputs!$B$3&gt;=63</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10="ENHANCED_RAGING_BLOW",IF(Inputs!$B$3&gt;=134,MAX(0,IF(Inputs!$B$3&gt;=110,7,5)-5)*50,0),0)/100)*(1+(IF(Skills!A10="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711)</f>
        <v/>
      </c>
      <c r="L711">
        <f>K711*(MIN(Inputs!$B$22+((C723=TRUE)*(F723-Calc!F22)),(Inputs!$B$23+((C725=TRUE)*(F725-Calc!F24))+(IF(ArtifactsInput!$M$15,CHOOSE(ArtifactsInput!$N$15+1,25,30,35,40,45,50)/100*(Inputs!$B$11-Inputs!$B$11),0))))/100+(Inputs!$B$23+((C725=TRUE)*(F725-Calc!F24))+(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IFERROR(1/(IF(Inputs!$B$38="pvp",15,MAX(0.1,Skills!D10-IF(Skills!E10=TRUE,Inputs!$B$32,0)))*(1-IF(AND(ArtifactsInput!$M$27,Inputs!$B$4="Chapter Hunt"),CHOOSE(ArtifactsInput!$N$27+1,20,24,28,32,36,40),0)/100)),0)</f>
        <v/>
      </c>
      <c r="R711">
        <f>IF(AND(Inputs!$B$38&lt;&gt;"pvp",Inputs!$B$43&gt;0),IF(MAX(0,Inputs!$B$43-B737)&lt;=0,0,(INT(MAX(0,Inputs!$B$43-B737)/(IF(Inputs!$B$38="pvp",15,MAX(0.1,Skills!D10-IF(Skills!E10=TRUE,Inputs!$B$32,0)))*(1-IF(AND(ArtifactsInput!$M$27,Inputs!$B$4="Chapter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Inputs!$B$3&gt;=35</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11="ENHANCED_RAGING_BLOW",IF(Inputs!$B$3&gt;=134,MAX(0,IF(Inputs!$B$3&gt;=110,7,5)-5)*50,0),0)/100)*(1+(IF(Skills!A11="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712)</f>
        <v/>
      </c>
      <c r="L712">
        <f>K712*(MIN(Inputs!$B$22+((C723=TRUE)*(F723-Calc!F22)),(Inputs!$B$23+((C725=TRUE)*(F725-Calc!F24))+(IF(ArtifactsInput!$M$15,CHOOSE(ArtifactsInput!$N$15+1,25,30,35,40,45,50)/100*(Inputs!$B$11-Inputs!$B$11),0))))/100+(Inputs!$B$23+((C725=TRUE)*(F725-Calc!F24))+(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IFERROR(1/(IF(Inputs!$B$38="pvp",15,MAX(0.1,Skills!D11-IF(Skills!E11=TRUE,Inputs!$B$32,0)))*(1-IF(AND(ArtifactsInput!$M$27,Inputs!$B$4="Chapter Hunt"),CHOOSE(ArtifactsInput!$N$27+1,20,24,28,32,36,40),0)/100)),0)</f>
        <v/>
      </c>
      <c r="R712">
        <f>IF(AND(Inputs!$B$38&lt;&gt;"pvp",Inputs!$B$43&gt;0),IF(MAX(0,Inputs!$B$43-B737)&lt;=0,0,(INT(MAX(0,Inputs!$B$43-B737)/(IF(Inputs!$B$38="pvp",15,MAX(0.1,Skills!D11-IF(Skills!E11=TRUE,Inputs!$B$32,0)))*(1-IF(AND(ArtifactsInput!$M$27,Inputs!$B$4="Chapter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Inputs!$B$3&gt;=75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Inputs!$B$3&gt;=40</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IFERROR(1/(IF(Inputs!$B$38="pvp",15,MAX(0.1,Skills!D15-IF(Skills!E15=TRUE,Inputs!$B$32,0)))*(1-IF(AND(ArtifactsInput!$M$27,Inputs!$B$4="Chapter Hunt"),CHOOSE(ArtifactsInput!$N$27+1,20,24,28,32,36,40),0)/100)),0)</f>
        <v/>
      </c>
      <c r="R716">
        <f>IF(AND(Inputs!$B$38&lt;&gt;"pvp",Inputs!$B$43&gt;0),IF(Inputs!$B$43&lt;=0,0,(INT(Inputs!$B$43/(IF(Inputs!$B$38="pvp",15,MAX(0.1,Skills!D15-IF(Skills!E15=TRUE,Inputs!$B$32,0)))*(1-IF(AND(ArtifactsInput!$M$27,Inputs!$B$4="Chapter Hunt"),CHOOSE(ArtifactsInput!$N$27+1,20,24,28,32,36,40),0)/100)))+1)),0)</f>
        <v/>
      </c>
      <c r="S716">
        <f>IFERROR(O716/N716,0)</f>
        <v/>
      </c>
      <c r="T716" t="n">
        <v>0</v>
      </c>
      <c r="V716" t="n">
        <v>0</v>
      </c>
    </row>
    <row r="717">
      <c r="A717">
        <f>Skills!A16</f>
        <v/>
      </c>
      <c r="B717">
        <f>Skills!B16</f>
        <v/>
      </c>
      <c r="C717">
        <f>Inputs!$B$3&gt;=66</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IFERROR(1/(IF(Inputs!$B$38="pvp",15,MAX(0.1,Skills!D16-IF(Skills!E16=TRUE,Inputs!$B$32,0)))*(1-IF(AND(ArtifactsInput!$M$27,Inputs!$B$4="Chapter Hunt"),CHOOSE(ArtifactsInput!$N$27+1,20,24,28,32,36,40),0)/100)),0)</f>
        <v/>
      </c>
      <c r="R717">
        <f>IF(AND(Inputs!$B$38&lt;&gt;"pvp",Inputs!$B$43&gt;0),IF(Inputs!$B$43&lt;=0,0,(INT(Inputs!$B$43/(IF(Inputs!$B$38="pvp",15,MAX(0.1,Skills!D16-IF(Skills!E16=TRUE,Inputs!$B$32,0)))*(1-IF(AND(ArtifactsInput!$M$27,Inputs!$B$4="Chapter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IFERROR(1/(IF(Inputs!$B$38="pvp",15,MAX(0.1,Skills!D17-IF(Skills!E17=TRUE,Inputs!$B$32,0)))*(1-IF(AND(ArtifactsInput!$M$27,Inputs!$B$4="Chapter Hunt"),CHOOSE(ArtifactsInput!$N$27+1,20,24,28,32,36,40),0)/100)),0)</f>
        <v/>
      </c>
      <c r="R718">
        <f>IF(AND(Inputs!$B$38&lt;&gt;"pvp",Inputs!$B$43&gt;0),IF(Inputs!$B$43&lt;=0,0,(INT(Inputs!$B$43/(IF(Inputs!$B$38="pvp",15,MAX(0.1,Skills!D17-IF(Skills!E17=TRUE,Inputs!$B$32,0)))*(1-IF(AND(ArtifactsInput!$M$27,Inputs!$B$4="Chapter Hunt"),CHOOSE(ArtifactsInput!$N$27+1,20,24,28,32,36,40),0)/100)))+1)),0)</f>
        <v/>
      </c>
      <c r="S718">
        <f>IFERROR(O718/N718,0)</f>
        <v/>
      </c>
      <c r="T718" t="n">
        <v>0</v>
      </c>
      <c r="V718" t="n">
        <v>0</v>
      </c>
    </row>
    <row r="719">
      <c r="A719">
        <f>Skills!A18</f>
        <v/>
      </c>
      <c r="B719">
        <f>Skills!B18</f>
        <v/>
      </c>
      <c r="C719">
        <f>Inputs!$B$3&gt;=115</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IFERROR(1/(IF(Inputs!$B$38="pvp",15,MAX(0.1,Skills!D18-IF(Skills!E18=TRUE,Inputs!$B$32,0)))*(1-IF(AND(ArtifactsInput!$M$27,Inputs!$B$4="Chapter Hunt"),CHOOSE(ArtifactsInput!$N$27+1,20,24,28,32,36,40),0)/100)),0)</f>
        <v/>
      </c>
      <c r="R719">
        <f>IF(AND(Inputs!$B$38&lt;&gt;"pvp",Inputs!$B$43&gt;0),IF(Inputs!$B$43&lt;=0,0,(INT(Inputs!$B$43/(IF(Inputs!$B$38="pvp",15,MAX(0.1,Skills!D18-IF(Skills!E18=TRUE,Inputs!$B$32,0)))*(1-IF(AND(ArtifactsInput!$M$27,Inputs!$B$4="Chapter Hunt"),CHOOSE(ArtifactsInput!$N$27+1,20,24,28,32,36,40),0)/100)))+1)),0)</f>
        <v/>
      </c>
      <c r="S719">
        <f>IFERROR(O719/N719,0)</f>
        <v/>
      </c>
      <c r="T719" t="n">
        <v>0</v>
      </c>
      <c r="V719" t="n">
        <v>0</v>
      </c>
    </row>
    <row r="720">
      <c r="A720">
        <f>Skills!A19</f>
        <v/>
      </c>
      <c r="B720">
        <f>Skills!B19</f>
        <v/>
      </c>
      <c r="C720">
        <f>TRUE</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IFERROR(1/(IF(Inputs!$B$38="pvp",15,MAX(0.1,Skills!D19-IF(Skills!E19=TRUE,Inputs!$B$32,0)))*(1-IF(AND(ArtifactsInput!$M$27,Inputs!$B$4="Chapter Hunt"),CHOOSE(ArtifactsInput!$N$27+1,20,24,28,32,36,40),0)/100)),0)</f>
        <v/>
      </c>
      <c r="R720">
        <f>IF(AND(Inputs!$B$38&lt;&gt;"pvp",Inputs!$B$43&gt;0),IF(Inputs!$B$43&lt;=0,0,(INT(Inputs!$B$43/(IF(Inputs!$B$38="pvp",15,MAX(0.1,Skills!D19-IF(Skills!E19=TRUE,Inputs!$B$32,0)))*(1-IF(AND(ArtifactsInput!$M$27,Inputs!$B$4="Chapter Hunt"),CHOOSE(ArtifactsInput!$N$27+1,20,24,28,32,36,40),0)/100)))+1)),0)</f>
        <v/>
      </c>
      <c r="S720">
        <f>IFERROR(O720/N720,0)</f>
        <v/>
      </c>
      <c r="T720" t="n">
        <v>0</v>
      </c>
      <c r="V720" t="n">
        <v>0</v>
      </c>
    </row>
    <row r="721">
      <c r="A721">
        <f>Skills!A20</f>
        <v/>
      </c>
      <c r="B721">
        <f>Skills!B20</f>
        <v/>
      </c>
      <c r="C721">
        <f>Inputs!$B$3&gt;=33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Inputs!$B$3&gt;=43</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Inputs!$B$3&gt;=120</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Inputs!$B$3&gt;=120</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Inputs!$B$3&gt;=72</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720=TRUE)*F720*IF(AND(Inputs!$B$38&lt;&gt;"pvp",Inputs!$B$43&gt;0),(((R720-1)*(Skills!T19*(1+(Inputs!$B$34+(ArtifactsInput!$M$7-ArtifactsInput!$M$7)*CHOOSE(ArtifactsInput!$N$7+1,6,7.2,8.4,9.6,10.8,12))/100))+MIN((Skills!T19*(1+(Inputs!$B$34+(ArtifactsInput!$M$7-ArtifactsInput!$M$7)*CHOOSE(ArtifactsInput!$N$7+1,6,7.2,8.4,9.6,10.8,12))/100)),MAX(0,Inputs!$B$43-((R720-1)*Skills!D19))))/Inputs!$B$43),IF(Inputs!$B$38="pvp",MIN((Skills!T19*(1+(Inputs!$B$34+(ArtifactsInput!$M$7-ArtifactsInput!$M$7)*CHOOSE(ArtifactsInput!$N$7+1,6,7.2,8.4,9.6,10.8,12))/100)),15)/15,(Skills!T19*(1+(Inputs!$B$34+(ArtifactsInput!$M$7-ArtifactsInput!$M$7)*CHOOSE(ArtifactsInput!$N$7+1,6,7.2,8.4,9.6,10.8,12))/100))/Skills!D19)))</f>
        <v/>
      </c>
    </row>
    <row r="732">
      <c r="A732" t="inlineStr">
        <is>
          <t>Actions Per Second</t>
        </is>
      </c>
      <c r="B732">
        <f>1+MIN(150,150*(1-(1-(Inputs!$B$11+((C721=TRUE)*(F721-Calc!F20)))/150)*(1-B731/150)))/100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Raging Blow Casts Per Second</t>
        </is>
      </c>
      <c r="B734">
        <f>MAX(0,B732-B733)</f>
        <v/>
      </c>
    </row>
    <row r="735">
      <c r="A735" t="inlineStr">
        <is>
          <t>Global Critical Damage Bonus % (Enrage)</t>
        </is>
      </c>
      <c r="B735">
        <f>((C719=TRUE)*F719*IF(AND(Inputs!$B$38&lt;&gt;"pvp",Inputs!$B$43&gt;0),(((R719-1)*(Skills!T18*(1+(Inputs!$B$34+(ArtifactsInput!$M$7-ArtifactsInput!$M$7)*CHOOSE(ArtifactsInput!$N$7+1,6,7.2,8.4,9.6,10.8,12))/100))+MIN((Skills!T18*(1+(Inputs!$B$34+(ArtifactsInput!$M$7-ArtifactsInput!$M$7)*CHOOSE(ArtifactsInput!$N$7+1,6,7.2,8.4,9.6,10.8,12))/100)),MAX(0,Inputs!$B$43-((R719-1)*Skills!D18))))/Inputs!$B$43),IF(Inputs!$B$38="pvp",MIN((Skills!T18*(1+(Inputs!$B$34+(ArtifactsInput!$M$7-ArtifactsInput!$M$7)*CHOOSE(ArtifactsInput!$N$7+1,6,7.2,8.4,9.6,10.8,12))/100)),15)/15,(Skills!T18*(1+(Inputs!$B$34+(ArtifactsInput!$M$7-ArtifactsInput!$M$7)*CHOOSE(ArtifactsInput!$N$7+1,6,7.2,8.4,9.6,10.8,12))/100))/Skills!D18)))</f>
        <v/>
      </c>
    </row>
    <row r="736">
      <c r="A736" t="inlineStr">
        <is>
          <t>Global Final Damage Bonus % (Enrage + Combo Synergy)</t>
        </is>
      </c>
      <c r="B736">
        <f>((C718=TRUE)*F718*IF(AND(Inputs!$B$38&lt;&gt;"pvp",Inputs!$B$43&gt;0),(((R718-1)*(Skills!T17*(1+(Inputs!$B$34+(ArtifactsInput!$M$7-ArtifactsInput!$M$7)*CHOOSE(ArtifactsInput!$N$7+1,6,7.2,8.4,9.6,10.8,12))/100))+MIN((Skills!T17*(1+(Inputs!$B$34+(ArtifactsInput!$M$7-ArtifactsInput!$M$7)*CHOOSE(ArtifactsInput!$N$7+1,6,7.2,8.4,9.6,10.8,12))/100)),MAX(0,Inputs!$B$43-((R718-1)*Skills!D17))))/Inputs!$B$43),IF(Inputs!$B$38="pvp",MIN((Skills!T17*(1+(Inputs!$B$34+(ArtifactsInput!$M$7-ArtifactsInput!$M$7)*CHOOSE(ArtifactsInput!$N$7+1,6,7.2,8.4,9.6,10.8,12))/100)),15)/15,(Skills!T17*(1+(Inputs!$B$34+(ArtifactsInput!$M$7-ArtifactsInput!$M$7)*CHOOSE(ArtifactsInput!$N$7+1,6,7.2,8.4,9.6,10.8,12))/100))/Skills!D17)))+((C715=TRUE)*F715*IF(Inputs!$B$3&gt;=110,7,5))</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745)</f>
        <v/>
      </c>
      <c r="L745">
        <f>K745*(MIN(Inputs!$B$22+((C765=TRUE)*(F765-Calc!F22)),(Inputs!$B$23+((C767=TRUE)*(F767-Calc!F24))+(IF(ArtifactsInput!$M$15,CHOOSE(ArtifactsInput!$N$15+1,25,30,35,40,45,50)/100*(Inputs!$B$11-Inputs!$B$11),0))))/100+(Inputs!$B$23+((C767=TRUE)*(F767-Calc!F24))+(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INDEX(FactorTable!$B$2:$Y$301, MATCH(ROUND(MIN(300,MAX(1,D746)),0),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INDEX(FactorTable!$B$2:$Y$301, MATCH(ROUND(MIN(300,MAX(1,U745)),0), FactorTable!$A$2:$A$301,0), 22)</f>
        <v/>
      </c>
    </row>
    <row r="747">
      <c r="A747">
        <f>Skills!A4</f>
        <v/>
      </c>
      <c r="B747">
        <f>Skills!B4</f>
        <v/>
      </c>
      <c r="C747">
        <f>Inputs!$B$3&gt;=105</f>
        <v/>
      </c>
      <c r="D747">
        <f>IF(Skills!C4=1,60+(Inputs!$B$25+1)+Inputs!$B$29,IF(Skills!C4=2,90+Inputs!$B$26+Inputs!$B$29,IF(Skills!C4=3,120+Inputs!$B$27+Inputs!$B$29,MAX(0,(Inputs!$B$3-100)*3)+Inputs!$B$28+Inputs!$B$29)))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U747">
        <f>290*U746/1000</f>
        <v/>
      </c>
    </row>
    <row r="748">
      <c r="A748">
        <f>Skills!A5</f>
        <v/>
      </c>
      <c r="B748">
        <f>Skills!B5</f>
        <v/>
      </c>
      <c r="C748">
        <f>Inputs!$B$3&gt;=103</f>
        <v/>
      </c>
      <c r="D748">
        <f>IF(Skills!C5=1,60+(Inputs!$B$25+1)+Inputs!$B$29,IF(Skills!C5=2,90+Inputs!$B$26+Inputs!$B$29,IF(Skills!C5=3,120+Inputs!$B$27+Inputs!$B$29,MAX(0,(Inputs!$B$3-100)*3)+Inputs!$B$28+Inputs!$B$29)))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748)</f>
        <v/>
      </c>
      <c r="L748">
        <f>K748*(MIN(Inputs!$B$22+((C765=TRUE)*(F765-Calc!F22)),(Inputs!$B$23+((C767=TRUE)*(F767-Calc!F24))+(IF(ArtifactsInput!$M$15,CHOOSE(ArtifactsInput!$N$15+1,25,30,35,40,45,50)/100*(Inputs!$B$11-Inputs!$B$11),0))))/100+(Inputs!$B$23+((C767=TRUE)*(F767-Calc!F24))+(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IFERROR(1/(IF(Inputs!$B$38="pvp",15,MAX(0.1,Skills!D5-IF(Skills!E5=TRUE,Inputs!$B$32,0)))*(1-IF(AND(ArtifactsInput!$M$27,Inputs!$B$4="Chapter Hunt"),CHOOSE(ArtifactsInput!$N$27+1,20,24,28,32,36,40),0)/100)),0)</f>
        <v/>
      </c>
      <c r="R748">
        <f>IF(AND(Inputs!$B$38&lt;&gt;"pvp",Inputs!$B$43&gt;0),IF(MAX(0,Inputs!$B$43-B779)&lt;=0,0,(INT(MAX(0,Inputs!$B$43-B779)/(IF(Inputs!$B$38="pvp",15,MAX(0.1,Skills!D5-IF(Skills!E5=TRUE,Inputs!$B$32,0)))*(1-IF(AND(ArtifactsInput!$M$27,Inputs!$B$4="Chapter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749)</f>
        <v/>
      </c>
      <c r="L749">
        <f>K749*(MIN(Inputs!$B$22+((C765=TRUE)*(F765-Calc!F22)),(Inputs!$B$23+((C767=TRUE)*(F767-Calc!F24))+(IF(ArtifactsInput!$M$15,CHOOSE(ArtifactsInput!$N$15+1,25,30,35,40,45,50)/100*(Inputs!$B$11-Inputs!$B$11),0))))/100+(Inputs!$B$23+((C767=TRUE)*(F767-Calc!F24))+(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IFERROR(1/(IF(Inputs!$B$38="pvp",15,MAX(0.1,Skills!D6-IF(Skills!E6=TRUE,Inputs!$B$32,0)))*(1-IF(AND(ArtifactsInput!$M$27,Inputs!$B$4="Chapter Hunt"),CHOOSE(ArtifactsInput!$N$27+1,20,24,28,32,36,40),0)/100)),0)</f>
        <v/>
      </c>
      <c r="R749">
        <f>IF(AND(Inputs!$B$38&lt;&gt;"pvp",Inputs!$B$43&gt;0),IF(MAX(0,Inputs!$B$43-B779)&lt;=0,0,(INT(MAX(0,Inputs!$B$43-B779)/(IF(Inputs!$B$38="pvp",15,MAX(0.1,Skills!D6-IF(Skills!E6=TRUE,Inputs!$B$32,0)))*(1-IF(AND(ArtifactsInput!$M$27,Inputs!$B$4="Chapter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INDEX(FactorTable!$B$2:$Y$301, MATCH(ROUND(MIN(300,MAX(1,D750)),0), FactorTable!$A$2:$A$301,0), Skills!M7+1)</f>
        <v/>
      </c>
      <c r="F750">
        <f>IF(Skills!N7=TRUE,(Skills!L7/10)*(E750/1000),Skills!L7/10)+Skills!O7</f>
        <v/>
      </c>
      <c r="G750">
        <f>Skills!G7*IF(Skills!H7&gt;0,Skills!I7/Skills!H7,1)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750)</f>
        <v/>
      </c>
      <c r="L750">
        <f>K750*(MIN(Inputs!$B$22+((C765=TRUE)*(F765-Calc!F22)),(Inputs!$B$23+((C767=TRUE)*(F767-Calc!F24))+(IF(ArtifactsInput!$M$15,CHOOSE(ArtifactsInput!$N$15+1,25,30,35,40,45,50)/100*(Inputs!$B$11-Inputs!$B$11),0))))/100+(Inputs!$B$23+((C767=TRUE)*(F767-Calc!F24))+(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IFERROR(1/(IF(Inputs!$B$38="pvp",15,MAX(0.1,Skills!D7-IF(Skills!E7=TRUE,Inputs!$B$32,0)))*(1-IF(AND(ArtifactsInput!$M$27,Inputs!$B$4="Chapter Hunt"),CHOOSE(ArtifactsInput!$N$27+1,20,24,28,32,36,40),0)/100)),0)</f>
        <v/>
      </c>
      <c r="R750">
        <f>IF(AND(Inputs!$B$38&lt;&gt;"pvp",Inputs!$B$43&gt;0),IF(MAX(0,Inputs!$B$43-B779)&lt;=0,0,(INT(MAX(0,Inputs!$B$43-B779)/(IF(Inputs!$B$38="pvp",15,MAX(0.1,Skills!D7-IF(Skills!E7=TRUE,Inputs!$B$32,0)))*(1-IF(AND(ArtifactsInput!$M$27,Inputs!$B$4="Chapter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Inputs!$B$3&gt;=117</f>
        <v/>
      </c>
      <c r="D751">
        <f>IF(Skills!C8=1,60+(Inputs!$B$25+1)+Inputs!$B$29,IF(Skills!C8=2,90+Inputs!$B$26+Inputs!$B$29,IF(Skills!C8=3,120+Inputs!$B$27+Inputs!$B$29,MAX(0,(Inputs!$B$3-100)*3)+Inputs!$B$28+Inputs!$B$29)))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751)</f>
        <v/>
      </c>
      <c r="L751">
        <f>K751*(MIN(Inputs!$B$22+((C765=TRUE)*(F765-Calc!F22)),(Inputs!$B$23+((C767=TRUE)*(F767-Calc!F24))+(IF(ArtifactsInput!$M$15,CHOOSE(ArtifactsInput!$N$15+1,25,30,35,40,45,50)/100*(Inputs!$B$11-Inputs!$B$11),0))))/100+(Inputs!$B$23+((C767=TRUE)*(F767-Calc!F24))+(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IFERROR(1/(IF(Inputs!$B$38="pvp",15,MAX(0.1,Skills!D8-IF(Skills!E8=TRUE,Inputs!$B$32,0)))*(1-IF(AND(ArtifactsInput!$M$27,Inputs!$B$4="Chapter Hunt"),CHOOSE(ArtifactsInput!$N$27+1,20,24,28,32,36,40),0)/100)),0)</f>
        <v/>
      </c>
      <c r="R751">
        <f>IF(AND(Inputs!$B$38&lt;&gt;"pvp",Inputs!$B$43&gt;0),IF(MAX(0,Inputs!$B$43-B779)&lt;=0,0,(INT(MAX(0,Inputs!$B$43-B779)/(IF(Inputs!$B$38="pvp",15,MAX(0.1,Skills!D8-IF(Skills!E8=TRUE,Inputs!$B$32,0)))*(1-IF(AND(ArtifactsInput!$M$27,Inputs!$B$4="Chapter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IF(Skills!C9=1,60+(Inputs!$B$25+1)+Inputs!$B$29,IF(Skills!C9=2,90+Inputs!$B$26+Inputs!$B$29,IF(Skills!C9=3,120+Inputs!$B$27+Inputs!$B$29,MAX(0,(Inputs!$B$3-100)*3)+Inputs!$B$28+Inputs!$B$29)))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9="ENHANCED_RAGING_BLOW",IF(Inputs!$B$3&gt;=134,MAX(0,IF(Inputs!$B$3&gt;=110,7,5)-5)*50,0),0)/100)*(1+(IF(Skills!A9="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752)</f>
        <v/>
      </c>
      <c r="L752">
        <f>K752*(MIN(Inputs!$B$22+((C765=TRUE)*(F765-Calc!F22)),(Inputs!$B$23+((C767=TRUE)*(F767-Calc!F24))+(IF(ArtifactsInput!$M$15,CHOOSE(ArtifactsInput!$N$15+1,25,30,35,40,45,50)/100*(Inputs!$B$11-Inputs!$B$11),0))))/100+(Inputs!$B$23+((C767=TRUE)*(F767-Calc!F24))+(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IFERROR(1/(IF(Inputs!$B$38="pvp",15,MAX(0.1,Skills!D9-IF(Skills!E9=TRUE,Inputs!$B$32,0)))*(1-IF(AND(ArtifactsInput!$M$27,Inputs!$B$4="Chapter Hunt"),CHOOSE(ArtifactsInput!$N$27+1,20,24,28,32,36,40),0)/100)),0)</f>
        <v/>
      </c>
      <c r="R752">
        <f>IF(AND(Inputs!$B$38&lt;&gt;"pvp",Inputs!$B$43&gt;0),IF(MAX(0,Inputs!$B$43-B779)&lt;=0,0,(INT(MAX(0,Inputs!$B$43-B779)/(IF(Inputs!$B$38="pvp",15,MAX(0.1,Skills!D9-IF(Skills!E9=TRUE,Inputs!$B$32,0)))*(1-IF(AND(ArtifactsInput!$M$27,Inputs!$B$4="Chapter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IF(Skills!C10=1,60+(Inputs!$B$25+1)+Inputs!$B$29,IF(Skills!C10=2,90+Inputs!$B$26+Inputs!$B$29,IF(Skills!C10=3,120+Inputs!$B$27+Inputs!$B$29,MAX(0,(Inputs!$B$3-100)*3)+Inputs!$B$28+Inputs!$B$29)))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10="ENHANCED_RAGING_BLOW",IF(Inputs!$B$3&gt;=134,MAX(0,IF(Inputs!$B$3&gt;=110,7,5)-5)*50,0),0)/100)*(1+(IF(Skills!A10="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753)</f>
        <v/>
      </c>
      <c r="L753">
        <f>K753*(MIN(Inputs!$B$22+((C765=TRUE)*(F765-Calc!F22)),(Inputs!$B$23+((C767=TRUE)*(F767-Calc!F24))+(IF(ArtifactsInput!$M$15,CHOOSE(ArtifactsInput!$N$15+1,25,30,35,40,45,50)/100*(Inputs!$B$11-Inputs!$B$11),0))))/100+(Inputs!$B$23+((C767=TRUE)*(F767-Calc!F24))+(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IFERROR(1/(IF(Inputs!$B$38="pvp",15,MAX(0.1,Skills!D10-IF(Skills!E10=TRUE,Inputs!$B$32,0)))*(1-IF(AND(ArtifactsInput!$M$27,Inputs!$B$4="Chapter Hunt"),CHOOSE(ArtifactsInput!$N$27+1,20,24,28,32,36,40),0)/100)),0)</f>
        <v/>
      </c>
      <c r="R753">
        <f>IF(AND(Inputs!$B$38&lt;&gt;"pvp",Inputs!$B$43&gt;0),IF(MAX(0,Inputs!$B$43-B779)&lt;=0,0,(INT(MAX(0,Inputs!$B$43-B779)/(IF(Inputs!$B$38="pvp",15,MAX(0.1,Skills!D10-IF(Skills!E10=TRUE,Inputs!$B$32,0)))*(1-IF(AND(ArtifactsInput!$M$27,Inputs!$B$4="Chapter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Inputs!$B$3&gt;=35</f>
        <v/>
      </c>
      <c r="D754">
        <f>IF(Skills!C11=1,60+(Inputs!$B$25+1)+Inputs!$B$29,IF(Skills!C11=2,90+Inputs!$B$26+Inputs!$B$29,IF(Skills!C11=3,120+Inputs!$B$27+Inputs!$B$29,MAX(0,(Inputs!$B$3-100)*3)+Inputs!$B$28+Inputs!$B$29)))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11="ENHANCED_RAGING_BLOW",IF(Inputs!$B$3&gt;=134,MAX(0,IF(Inputs!$B$3&gt;=110,7,5)-5)*50,0),0)/100)*(1+(IF(Skills!A11="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754)</f>
        <v/>
      </c>
      <c r="L754">
        <f>K754*(MIN(Inputs!$B$22+((C765=TRUE)*(F765-Calc!F22)),(Inputs!$B$23+((C767=TRUE)*(F767-Calc!F24))+(IF(ArtifactsInput!$M$15,CHOOSE(ArtifactsInput!$N$15+1,25,30,35,40,45,50)/100*(Inputs!$B$11-Inputs!$B$11),0))))/100+(Inputs!$B$23+((C767=TRUE)*(F767-Calc!F24))+(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IFERROR(1/(IF(Inputs!$B$38="pvp",15,MAX(0.1,Skills!D11-IF(Skills!E11=TRUE,Inputs!$B$32,0)))*(1-IF(AND(ArtifactsInput!$M$27,Inputs!$B$4="Chapter Hunt"),CHOOSE(ArtifactsInput!$N$27+1,20,24,28,32,36,40),0)/100)),0)</f>
        <v/>
      </c>
      <c r="R754">
        <f>IF(AND(Inputs!$B$38&lt;&gt;"pvp",Inputs!$B$43&gt;0),IF(MAX(0,Inputs!$B$43-B779)&lt;=0,0,(INT(MAX(0,Inputs!$B$43-B779)/(IF(Inputs!$B$38="pvp",15,MAX(0.1,Skills!D11-IF(Skills!E11=TRUE,Inputs!$B$32,0)))*(1-IF(AND(ArtifactsInput!$M$27,Inputs!$B$4="Chapter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Inputs!$B$3&gt;=75</f>
        <v/>
      </c>
      <c r="D757">
        <f>IF(Skills!C14=1,60+(Inputs!$B$25+1)+Inputs!$B$29,IF(Skills!C14=2,90+Inputs!$B$26+Inputs!$B$29,IF(Skills!C14=3,120+Inputs!$B$27+Inputs!$B$29,MAX(0,(Inputs!$B$3-100)*3)+Inputs!$B$28+Inputs!$B$29)))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f>Skills!G14*IF(Skills!H14&gt;0,Skills!I14/Skills!H14,1)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Inputs!$B$3&gt;=40</f>
        <v/>
      </c>
      <c r="D758">
        <f>IF(Skills!C15=1,60+(Inputs!$B$25+1)+Inputs!$B$29,IF(Skills!C15=2,90+Inputs!$B$26+Inputs!$B$29,IF(Skills!C15=3,120+Inputs!$B$27+Inputs!$B$29,MAX(0,(Inputs!$B$3-100)*3)+Inputs!$B$28+Inputs!$B$29)))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IFERROR(1/(IF(Inputs!$B$38="pvp",15,MAX(0.1,Skills!D15-IF(Skills!E15=TRUE,Inputs!$B$32,0)))*(1-IF(AND(ArtifactsInput!$M$27,Inputs!$B$4="Chapter Hunt"),CHOOSE(ArtifactsInput!$N$27+1,20,24,28,32,36,40),0)/100)),0)</f>
        <v/>
      </c>
      <c r="R758">
        <f>IF(AND(Inputs!$B$38&lt;&gt;"pvp",Inputs!$B$43&gt;0),IF(Inputs!$B$43&lt;=0,0,(INT(Inputs!$B$43/(IF(Inputs!$B$38="pvp",15,MAX(0.1,Skills!D15-IF(Skills!E15=TRUE,Inputs!$B$32,0)))*(1-IF(AND(ArtifactsInput!$M$27,Inputs!$B$4="Chapter Hunt"),CHOOSE(ArtifactsInput!$N$27+1,20,24,28,32,36,40),0)/100)))+1)),0)</f>
        <v/>
      </c>
      <c r="S758">
        <f>IFERROR(O758/N758,0)</f>
        <v/>
      </c>
      <c r="T758" t="n">
        <v>0</v>
      </c>
      <c r="V758" t="n">
        <v>0</v>
      </c>
    </row>
    <row r="759">
      <c r="A759">
        <f>Skills!A16</f>
        <v/>
      </c>
      <c r="B759">
        <f>Skills!B16</f>
        <v/>
      </c>
      <c r="C759">
        <f>Inputs!$B$3&gt;=66</f>
        <v/>
      </c>
      <c r="D759">
        <f>IF(Skills!C16=1,60+(Inputs!$B$25+1)+Inputs!$B$29,IF(Skills!C16=2,90+Inputs!$B$26+Inputs!$B$29,IF(Skills!C16=3,120+Inputs!$B$27+Inputs!$B$29,MAX(0,(Inputs!$B$3-100)*3)+Inputs!$B$28+Inputs!$B$29)))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IFERROR(1/(IF(Inputs!$B$38="pvp",15,MAX(0.1,Skills!D16-IF(Skills!E16=TRUE,Inputs!$B$32,0)))*(1-IF(AND(ArtifactsInput!$M$27,Inputs!$B$4="Chapter Hunt"),CHOOSE(ArtifactsInput!$N$27+1,20,24,28,32,36,40),0)/100)),0)</f>
        <v/>
      </c>
      <c r="R759">
        <f>IF(AND(Inputs!$B$38&lt;&gt;"pvp",Inputs!$B$43&gt;0),IF(Inputs!$B$43&lt;=0,0,(INT(Inputs!$B$43/(IF(Inputs!$B$38="pvp",15,MAX(0.1,Skills!D16-IF(Skills!E16=TRUE,Inputs!$B$32,0)))*(1-IF(AND(ArtifactsInput!$M$27,Inputs!$B$4="Chapter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IFERROR(1/(IF(Inputs!$B$38="pvp",15,MAX(0.1,Skills!D17-IF(Skills!E17=TRUE,Inputs!$B$32,0)))*(1-IF(AND(ArtifactsInput!$M$27,Inputs!$B$4="Chapter Hunt"),CHOOSE(ArtifactsInput!$N$27+1,20,24,28,32,36,40),0)/100)),0)</f>
        <v/>
      </c>
      <c r="R760">
        <f>IF(AND(Inputs!$B$38&lt;&gt;"pvp",Inputs!$B$43&gt;0),IF(Inputs!$B$43&lt;=0,0,(INT(Inputs!$B$43/(IF(Inputs!$B$38="pvp",15,MAX(0.1,Skills!D17-IF(Skills!E17=TRUE,Inputs!$B$32,0)))*(1-IF(AND(ArtifactsInput!$M$27,Inputs!$B$4="Chapter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IF(Skills!C18=1,60+(Inputs!$B$25+1)+Inputs!$B$29,IF(Skills!C18=2,90+Inputs!$B$26+Inputs!$B$29,IF(Skills!C18=3,120+Inputs!$B$27+Inputs!$B$29,MAX(0,(Inputs!$B$3-100)*3)+Inputs!$B$28+Inputs!$B$29)))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IFERROR(1/(IF(Inputs!$B$38="pvp",15,MAX(0.1,Skills!D18-IF(Skills!E18=TRUE,Inputs!$B$32,0)))*(1-IF(AND(ArtifactsInput!$M$27,Inputs!$B$4="Chapter Hunt"),CHOOSE(ArtifactsInput!$N$27+1,20,24,28,32,36,40),0)/100)),0)</f>
        <v/>
      </c>
      <c r="R761">
        <f>IF(AND(Inputs!$B$38&lt;&gt;"pvp",Inputs!$B$43&gt;0),IF(Inputs!$B$43&lt;=0,0,(INT(Inputs!$B$43/(IF(Inputs!$B$38="pvp",15,MAX(0.1,Skills!D18-IF(Skills!E18=TRUE,Inputs!$B$32,0)))*(1-IF(AND(ArtifactsInput!$M$27,Inputs!$B$4="Chapter Hunt"),CHOOSE(ArtifactsInput!$N$27+1,20,24,28,32,36,40),0)/100)))+1)),0)</f>
        <v/>
      </c>
      <c r="S761">
        <f>IFERROR(O761/N761,0)</f>
        <v/>
      </c>
      <c r="T761" t="n">
        <v>0</v>
      </c>
      <c r="V761" t="n">
        <v>0</v>
      </c>
    </row>
    <row r="762">
      <c r="A762">
        <f>Skills!A19</f>
        <v/>
      </c>
      <c r="B762">
        <f>Skills!B19</f>
        <v/>
      </c>
      <c r="C762">
        <f>TRUE</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IFERROR(1/(IF(Inputs!$B$38="pvp",15,MAX(0.1,Skills!D19-IF(Skills!E19=TRUE,Inputs!$B$32,0)))*(1-IF(AND(ArtifactsInput!$M$27,Inputs!$B$4="Chapter Hunt"),CHOOSE(ArtifactsInput!$N$27+1,20,24,28,32,36,40),0)/100)),0)</f>
        <v/>
      </c>
      <c r="R762">
        <f>IF(AND(Inputs!$B$38&lt;&gt;"pvp",Inputs!$B$43&gt;0),IF(Inputs!$B$43&lt;=0,0,(INT(Inputs!$B$43/(IF(Inputs!$B$38="pvp",15,MAX(0.1,Skills!D19-IF(Skills!E19=TRUE,Inputs!$B$32,0)))*(1-IF(AND(ArtifactsInput!$M$27,Inputs!$B$4="Chapter Hunt"),CHOOSE(ArtifactsInput!$N$27+1,20,24,28,32,36,40),0)/100)))+1)),0)</f>
        <v/>
      </c>
      <c r="S762">
        <f>IFERROR(O762/N762,0)</f>
        <v/>
      </c>
      <c r="T762" t="n">
        <v>0</v>
      </c>
      <c r="V762" t="n">
        <v>0</v>
      </c>
    </row>
    <row r="763">
      <c r="A763">
        <f>Skills!A20</f>
        <v/>
      </c>
      <c r="B763">
        <f>Skills!B20</f>
        <v/>
      </c>
      <c r="C763">
        <f>Inputs!$B$3&gt;=33</f>
        <v/>
      </c>
      <c r="D763">
        <f>IF(Skills!C20=1,60+(Inputs!$B$25+1)+Inputs!$B$29,IF(Skills!C20=2,90+Inputs!$B$26+Inputs!$B$29,IF(Skills!C20=3,120+Inputs!$B$27+Inputs!$B$29,MAX(0,(Inputs!$B$3-100)*3)+Inputs!$B$28+Inputs!$B$29)))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Inputs!$B$3&gt;=38</f>
        <v/>
      </c>
      <c r="D764">
        <f>IF(Skills!C21=1,60+(Inputs!$B$25+1)+Inputs!$B$29,IF(Skills!C21=2,90+Inputs!$B$26+Inputs!$B$29,IF(Skills!C21=3,120+Inputs!$B$27+Inputs!$B$29,MAX(0,(Inputs!$B$3-100)*3)+Inputs!$B$28+Inputs!$B$29)))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Skills!G21*IF(Skills!H21&gt;0,Skills!I21/Skills!H21,1)</f>
        <v/>
      </c>
      <c r="H764">
        <f>1-(1-Skills!J21/100)^Skills!K21</f>
        <v/>
      </c>
      <c r="I764" t="inlineStr">
        <is>
          <t>1</t>
        </is>
      </c>
      <c r="J764" t="inlineStr"/>
      <c r="K764" t="inlineStr"/>
      <c r="L764" t="inlineStr"/>
      <c r="M764" t="inlineStr"/>
      <c r="N764" t="inlineStr"/>
      <c r="O764">
        <f>(1-Summary!$B$11)*T764+Summary!$B$11*V764</f>
        <v/>
      </c>
      <c r="P764">
        <f>IF(B782=0,0,O764/B782)</f>
        <v/>
      </c>
      <c r="Q764" t="n">
        <v>0</v>
      </c>
      <c r="R764" t="n">
        <v>0</v>
      </c>
      <c r="S764">
        <f>IFERROR(O764/N764,0)</f>
        <v/>
      </c>
      <c r="T764" t="n">
        <v>0</v>
      </c>
      <c r="V764" t="n">
        <v>0</v>
      </c>
    </row>
    <row r="765">
      <c r="A765">
        <f>Skills!A22</f>
        <v/>
      </c>
      <c r="B765">
        <f>Skills!B22</f>
        <v/>
      </c>
      <c r="C765">
        <f>Inputs!$B$3&gt;=43</f>
        <v/>
      </c>
      <c r="D765">
        <f>IF(Skills!C22=1,60+(Inputs!$B$25+1)+Inputs!$B$29,IF(Skills!C22=2,90+Inputs!$B$26+Inputs!$B$29,IF(Skills!C22=3,120+Inputs!$B$27+Inputs!$B$29,MAX(0,(Inputs!$B$3-100)*3)+Inputs!$B$28+Inputs!$B$29)))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Inputs!$B$3&gt;=120</f>
        <v/>
      </c>
      <c r="D766">
        <f>IF(Skills!C23=1,60+(Inputs!$B$25+1)+Inputs!$B$29,IF(Skills!C23=2,90+Inputs!$B$26+Inputs!$B$29,IF(Skills!C23=3,120+Inputs!$B$27+Inputs!$B$29,MAX(0,(Inputs!$B$3-100)*3)+Inputs!$B$28+Inputs!$B$29)))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Inputs!$B$3&gt;=120</f>
        <v/>
      </c>
      <c r="D767">
        <f>IF(Skills!C24=1,60+(Inputs!$B$25+1)+Inputs!$B$29,IF(Skills!C24=2,90+Inputs!$B$26+Inputs!$B$29,IF(Skills!C24=3,120+Inputs!$B$27+Inputs!$B$29,MAX(0,(Inputs!$B$3-100)*3)+Inputs!$B$28+Inputs!$B$29)))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Inputs!$B$3&gt;=125</f>
        <v/>
      </c>
      <c r="D768">
        <f>IF(Skills!C25=1,60+(Inputs!$B$25+1)+Inputs!$B$29,IF(Skills!C25=2,90+Inputs!$B$26+Inputs!$B$29,IF(Skills!C25=3,120+Inputs!$B$27+Inputs!$B$29,MAX(0,(Inputs!$B$3-100)*3)+Inputs!$B$28+Inputs!$B$29)))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Inputs!$B$3&gt;=72</f>
        <v/>
      </c>
      <c r="D769">
        <f>IF(Skills!C26=1,60+(Inputs!$B$25+1)+Inputs!$B$29,IF(Skills!C26=2,90+Inputs!$B$26+Inputs!$B$29,IF(Skills!C26=3,120+Inputs!$B$27+Inputs!$B$29,MAX(0,(Inputs!$B$3-100)*3)+Inputs!$B$28+Inputs!$B$29)))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762=TRUE)*F762*IF(AND(Inputs!$B$38&lt;&gt;"pvp",Inputs!$B$43&gt;0),(((R762-1)*(Skills!T19*(1+(Inputs!$B$34+(ArtifactsInput!$M$7-ArtifactsInput!$M$7)*CHOOSE(ArtifactsInput!$N$7+1,6,7.2,8.4,9.6,10.8,12))/100))+MIN((Skills!T19*(1+(Inputs!$B$34+(ArtifactsInput!$M$7-ArtifactsInput!$M$7)*CHOOSE(ArtifactsInput!$N$7+1,6,7.2,8.4,9.6,10.8,12))/100)),MAX(0,Inputs!$B$43-((R762-1)*Skills!D19))))/Inputs!$B$43),IF(Inputs!$B$38="pvp",MIN((Skills!T19*(1+(Inputs!$B$34+(ArtifactsInput!$M$7-ArtifactsInput!$M$7)*CHOOSE(ArtifactsInput!$N$7+1,6,7.2,8.4,9.6,10.8,12))/100)),15)/15,(Skills!T19*(1+(Inputs!$B$34+(ArtifactsInput!$M$7-ArtifactsInput!$M$7)*CHOOSE(ArtifactsInput!$N$7+1,6,7.2,8.4,9.6,10.8,12))/100))/Skills!D19)))</f>
        <v/>
      </c>
    </row>
    <row r="774">
      <c r="A774" t="inlineStr">
        <is>
          <t>Actions Per Second</t>
        </is>
      </c>
      <c r="B774">
        <f>1+MIN(150,150*(1-(1-(Inputs!$B$11+((C763=TRUE)*(F763-Calc!F20)))/150)*(1-B773/150)))/100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Raging Blow Casts Per Second</t>
        </is>
      </c>
      <c r="B776">
        <f>MAX(0,B774-B775)</f>
        <v/>
      </c>
    </row>
    <row r="777">
      <c r="A777" t="inlineStr">
        <is>
          <t>Global Critical Damage Bonus % (Enrage)</t>
        </is>
      </c>
      <c r="B777">
        <f>((C761=TRUE)*F761*IF(AND(Inputs!$B$38&lt;&gt;"pvp",Inputs!$B$43&gt;0),(((R761-1)*(Skills!T18*(1+(Inputs!$B$34+(ArtifactsInput!$M$7-ArtifactsInput!$M$7)*CHOOSE(ArtifactsInput!$N$7+1,6,7.2,8.4,9.6,10.8,12))/100))+MIN((Skills!T18*(1+(Inputs!$B$34+(ArtifactsInput!$M$7-ArtifactsInput!$M$7)*CHOOSE(ArtifactsInput!$N$7+1,6,7.2,8.4,9.6,10.8,12))/100)),MAX(0,Inputs!$B$43-((R761-1)*Skills!D18))))/Inputs!$B$43),IF(Inputs!$B$38="pvp",MIN((Skills!T18*(1+(Inputs!$B$34+(ArtifactsInput!$M$7-ArtifactsInput!$M$7)*CHOOSE(ArtifactsInput!$N$7+1,6,7.2,8.4,9.6,10.8,12))/100)),15)/15,(Skills!T18*(1+(Inputs!$B$34+(ArtifactsInput!$M$7-ArtifactsInput!$M$7)*CHOOSE(ArtifactsInput!$N$7+1,6,7.2,8.4,9.6,10.8,12))/100))/Skills!D18)))</f>
        <v/>
      </c>
    </row>
    <row r="778">
      <c r="A778" t="inlineStr">
        <is>
          <t>Global Final Damage Bonus % (Enrage + Combo Synergy)</t>
        </is>
      </c>
      <c r="B778">
        <f>((C760=TRUE)*F760*IF(AND(Inputs!$B$38&lt;&gt;"pvp",Inputs!$B$43&gt;0),(((R760-1)*(Skills!T17*(1+(Inputs!$B$34+(ArtifactsInput!$M$7-ArtifactsInput!$M$7)*CHOOSE(ArtifactsInput!$N$7+1,6,7.2,8.4,9.6,10.8,12))/100))+MIN((Skills!T17*(1+(Inputs!$B$34+(ArtifactsInput!$M$7-ArtifactsInput!$M$7)*CHOOSE(ArtifactsInput!$N$7+1,6,7.2,8.4,9.6,10.8,12))/100)),MAX(0,Inputs!$B$43-((R760-1)*Skills!D17))))/Inputs!$B$43),IF(Inputs!$B$38="pvp",MIN((Skills!T17*(1+(Inputs!$B$34+(ArtifactsInput!$M$7-ArtifactsInput!$M$7)*CHOOSE(ArtifactsInput!$N$7+1,6,7.2,8.4,9.6,10.8,12))/100)),15)/15,(Skills!T17*(1+(Inputs!$B$34+(ArtifactsInput!$M$7-ArtifactsInput!$M$7)*CHOOSE(ArtifactsInput!$N$7+1,6,7.2,8.4,9.6,10.8,12))/100))/Skills!D17)))+((C757=TRUE)*F757*IF(Inputs!$B$3&gt;=110,7,5))</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787)</f>
        <v/>
      </c>
      <c r="L787">
        <f>K787*(MIN(Inputs!$B$22+((C807=TRUE)*(F807-Calc!F22)),(Inputs!$B$23+((C809=TRUE)*(F809-Calc!F24))+(IF(ArtifactsInput!$M$15,CHOOSE(ArtifactsInput!$N$15+1,25,30,35,40,45,50)/100*(Inputs!$B$11-Inputs!$B$11),0))))/100+(Inputs!$B$23+((C809=TRUE)*(F809-Calc!F24))+(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INDEX(FactorTable!$B$2:$Y$301, MATCH(ROUND(MIN(300,MAX(1,D788)),0),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INDEX(FactorTable!$B$2:$Y$301, MATCH(ROUND(MIN(300,MAX(1,U787)),0), FactorTable!$A$2:$A$301,0), 22)</f>
        <v/>
      </c>
    </row>
    <row r="789">
      <c r="A789">
        <f>Skills!A4</f>
        <v/>
      </c>
      <c r="B789">
        <f>Skills!B4</f>
        <v/>
      </c>
      <c r="C789">
        <f>Inputs!$B$3&gt;=105</f>
        <v/>
      </c>
      <c r="D789">
        <f>IF(Skills!C4=1,60+Inputs!$B$25+Inputs!$B$29,IF(Skills!C4=2,90+(Inputs!$B$26+1)+Inputs!$B$29,IF(Skills!C4=3,120+Inputs!$B$27+Inputs!$B$29,MAX(0,(Inputs!$B$3-100)*3)+Inputs!$B$28+Inputs!$B$29)))</f>
        <v/>
      </c>
      <c r="E789">
        <f>INDEX(FactorTable!$B$2:$Y$301, MATCH(ROUND(MIN(300,MAX(1,D789)),0), FactorTable!$A$2:$A$301,0), Skills!M4+1)</f>
        <v/>
      </c>
      <c r="F789">
        <f>IF(Skills!N4=TRUE,(Skills!L4/10)*(E789/1000),Skills!L4/10)+Skills!O4</f>
        <v/>
      </c>
      <c r="G789" t="inlineStr"/>
      <c r="H789" t="inlineStr"/>
      <c r="I789" t="inlineStr">
        <is>
          <t>1</t>
        </is>
      </c>
      <c r="J789" t="inlineStr"/>
      <c r="K789" t="inlineStr"/>
      <c r="L789" t="inlineStr"/>
      <c r="M789" t="inlineStr"/>
      <c r="N789" t="inlineStr"/>
      <c r="O789" t="inlineStr"/>
      <c r="P789" t="inlineStr"/>
      <c r="Q789" t="inlineStr"/>
      <c r="R789" t="inlineStr"/>
      <c r="S789" t="inlineStr"/>
      <c r="U789">
        <f>290*U788/1000</f>
        <v/>
      </c>
    </row>
    <row r="790">
      <c r="A790">
        <f>Skills!A5</f>
        <v/>
      </c>
      <c r="B790">
        <f>Skills!B5</f>
        <v/>
      </c>
      <c r="C790">
        <f>Inputs!$B$3&gt;=103</f>
        <v/>
      </c>
      <c r="D790">
        <f>IF(Skills!C5=1,60+Inputs!$B$25+Inputs!$B$29,IF(Skills!C5=2,90+(Inputs!$B$26+1)+Inputs!$B$29,IF(Skills!C5=3,120+Inputs!$B$27+Inputs!$B$29,MAX(0,(Inputs!$B$3-100)*3)+Inputs!$B$28+Inputs!$B$29)))</f>
        <v/>
      </c>
      <c r="E790">
        <f>INDEX(FactorTable!$B$2:$Y$301, MATCH(ROUND(MIN(300,MAX(1,D790)),0), FactorTable!$A$2:$A$301,0), Skills!M5+1)</f>
        <v/>
      </c>
      <c r="F790">
        <f>IF(Skills!N5=TRUE,(Skills!L5/10)*(E790/1000),Skills!L5/10)+Skills!O5</f>
        <v/>
      </c>
      <c r="G790">
        <f>Skills!G5*IF(Skills!H5&gt;0,Skills!I5/Skills!H5,1)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790)</f>
        <v/>
      </c>
      <c r="L790">
        <f>K790*(MIN(Inputs!$B$22+((C807=TRUE)*(F807-Calc!F22)),(Inputs!$B$23+((C809=TRUE)*(F809-Calc!F24))+(IF(ArtifactsInput!$M$15,CHOOSE(ArtifactsInput!$N$15+1,25,30,35,40,45,50)/100*(Inputs!$B$11-Inputs!$B$11),0))))/100+(Inputs!$B$23+((C809=TRUE)*(F809-Calc!F24))+(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IFERROR(1/(IF(Inputs!$B$38="pvp",15,MAX(0.1,Skills!D5-IF(Skills!E5=TRUE,Inputs!$B$32,0)))*(1-IF(AND(ArtifactsInput!$M$27,Inputs!$B$4="Chapter Hunt"),CHOOSE(ArtifactsInput!$N$27+1,20,24,28,32,36,40),0)/100)),0)</f>
        <v/>
      </c>
      <c r="R790">
        <f>IF(AND(Inputs!$B$38&lt;&gt;"pvp",Inputs!$B$43&gt;0),IF(MAX(0,Inputs!$B$43-B821)&lt;=0,0,(INT(MAX(0,Inputs!$B$43-B821)/(IF(Inputs!$B$38="pvp",15,MAX(0.1,Skills!D5-IF(Skills!E5=TRUE,Inputs!$B$32,0)))*(1-IF(AND(ArtifactsInput!$M$27,Inputs!$B$4="Chapter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INDEX(FactorTable!$B$2:$Y$301, MATCH(ROUND(MIN(300,MAX(1,D791)),0), FactorTable!$A$2:$A$301,0), Skills!M6+1)</f>
        <v/>
      </c>
      <c r="F791">
        <f>IF(Skills!N6=TRUE,(Skills!L6/10)*(E791/1000),Skills!L6/10)+Skills!O6</f>
        <v/>
      </c>
      <c r="G791">
        <f>Skills!G6*IF(Skills!H6&gt;0,Skills!I6/Skills!H6,1)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791)</f>
        <v/>
      </c>
      <c r="L791">
        <f>K791*(MIN(Inputs!$B$22+((C807=TRUE)*(F807-Calc!F22)),(Inputs!$B$23+((C809=TRUE)*(F809-Calc!F24))+(IF(ArtifactsInput!$M$15,CHOOSE(ArtifactsInput!$N$15+1,25,30,35,40,45,50)/100*(Inputs!$B$11-Inputs!$B$11),0))))/100+(Inputs!$B$23+((C809=TRUE)*(F809-Calc!F24))+(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IFERROR(1/(IF(Inputs!$B$38="pvp",15,MAX(0.1,Skills!D6-IF(Skills!E6=TRUE,Inputs!$B$32,0)))*(1-IF(AND(ArtifactsInput!$M$27,Inputs!$B$4="Chapter Hunt"),CHOOSE(ArtifactsInput!$N$27+1,20,24,28,32,36,40),0)/100)),0)</f>
        <v/>
      </c>
      <c r="R791">
        <f>IF(AND(Inputs!$B$38&lt;&gt;"pvp",Inputs!$B$43&gt;0),IF(MAX(0,Inputs!$B$43-B821)&lt;=0,0,(INT(MAX(0,Inputs!$B$43-B821)/(IF(Inputs!$B$38="pvp",15,MAX(0.1,Skills!D6-IF(Skills!E6=TRUE,Inputs!$B$32,0)))*(1-IF(AND(ArtifactsInput!$M$27,Inputs!$B$4="Chapter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INDEX(FactorTable!$B$2:$Y$301, MATCH(ROUND(MIN(300,MAX(1,D792)),0), FactorTable!$A$2:$A$301,0), Skills!M7+1)</f>
        <v/>
      </c>
      <c r="F792">
        <f>IF(Skills!N7=TRUE,(Skills!L7/10)*(E792/1000),Skills!L7/10)+Skills!O7</f>
        <v/>
      </c>
      <c r="G792">
        <f>Skills!G7*IF(Skills!H7&gt;0,Skills!I7/Skills!H7,1)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792)</f>
        <v/>
      </c>
      <c r="L792">
        <f>K792*(MIN(Inputs!$B$22+((C807=TRUE)*(F807-Calc!F22)),(Inputs!$B$23+((C809=TRUE)*(F809-Calc!F24))+(IF(ArtifactsInput!$M$15,CHOOSE(ArtifactsInput!$N$15+1,25,30,35,40,45,50)/100*(Inputs!$B$11-Inputs!$B$11),0))))/100+(Inputs!$B$23+((C809=TRUE)*(F809-Calc!F24))+(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IFERROR(1/(IF(Inputs!$B$38="pvp",15,MAX(0.1,Skills!D7-IF(Skills!E7=TRUE,Inputs!$B$32,0)))*(1-IF(AND(ArtifactsInput!$M$27,Inputs!$B$4="Chapter Hunt"),CHOOSE(ArtifactsInput!$N$27+1,20,24,28,32,36,40),0)/100)),0)</f>
        <v/>
      </c>
      <c r="R792">
        <f>IF(AND(Inputs!$B$38&lt;&gt;"pvp",Inputs!$B$43&gt;0),IF(MAX(0,Inputs!$B$43-B821)&lt;=0,0,(INT(MAX(0,Inputs!$B$43-B821)/(IF(Inputs!$B$38="pvp",15,MAX(0.1,Skills!D7-IF(Skills!E7=TRUE,Inputs!$B$32,0)))*(1-IF(AND(ArtifactsInput!$M$27,Inputs!$B$4="Chapter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Inputs!$B$3&gt;=117</f>
        <v/>
      </c>
      <c r="D793">
        <f>IF(Skills!C8=1,60+Inputs!$B$25+Inputs!$B$29,IF(Skills!C8=2,90+(Inputs!$B$26+1)+Inputs!$B$29,IF(Skills!C8=3,120+Inputs!$B$27+Inputs!$B$29,MAX(0,(Inputs!$B$3-100)*3)+Inputs!$B$28+Inputs!$B$29)))</f>
        <v/>
      </c>
      <c r="E793">
        <f>INDEX(FactorTable!$B$2:$Y$301, MATCH(ROUND(MIN(300,MAX(1,D793)),0), FactorTable!$A$2:$A$301,0), Skills!M8+1)</f>
        <v/>
      </c>
      <c r="F793">
        <f>IF(Skills!N8=TRUE,(Skills!L8/10)*(E793/1000),Skills!L8/10)+Skills!O8</f>
        <v/>
      </c>
      <c r="G793">
        <f>Skills!G8*IF(Skills!H8&gt;0,Skills!I8/Skills!H8,1)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793)</f>
        <v/>
      </c>
      <c r="L793">
        <f>K793*(MIN(Inputs!$B$22+((C807=TRUE)*(F807-Calc!F22)),(Inputs!$B$23+((C809=TRUE)*(F809-Calc!F24))+(IF(ArtifactsInput!$M$15,CHOOSE(ArtifactsInput!$N$15+1,25,30,35,40,45,50)/100*(Inputs!$B$11-Inputs!$B$11),0))))/100+(Inputs!$B$23+((C809=TRUE)*(F809-Calc!F24))+(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IFERROR(1/(IF(Inputs!$B$38="pvp",15,MAX(0.1,Skills!D8-IF(Skills!E8=TRUE,Inputs!$B$32,0)))*(1-IF(AND(ArtifactsInput!$M$27,Inputs!$B$4="Chapter Hunt"),CHOOSE(ArtifactsInput!$N$27+1,20,24,28,32,36,40),0)/100)),0)</f>
        <v/>
      </c>
      <c r="R793">
        <f>IF(AND(Inputs!$B$38&lt;&gt;"pvp",Inputs!$B$43&gt;0),IF(MAX(0,Inputs!$B$43-B821)&lt;=0,0,(INT(MAX(0,Inputs!$B$43-B821)/(IF(Inputs!$B$38="pvp",15,MAX(0.1,Skills!D8-IF(Skills!E8=TRUE,Inputs!$B$32,0)))*(1-IF(AND(ArtifactsInput!$M$27,Inputs!$B$4="Chapter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Inputs!$B$3&gt;=69</f>
        <v/>
      </c>
      <c r="D794">
        <f>IF(Skills!C9=1,60+Inputs!$B$25+Inputs!$B$29,IF(Skills!C9=2,90+(Inputs!$B$26+1)+Inputs!$B$29,IF(Skills!C9=3,120+Inputs!$B$27+Inputs!$B$29,MAX(0,(Inputs!$B$3-100)*3)+Inputs!$B$28+Inputs!$B$29)))</f>
        <v/>
      </c>
      <c r="E794">
        <f>INDEX(FactorTable!$B$2:$Y$301, MATCH(ROUND(MIN(300,MAX(1,D794)),0), FactorTable!$A$2:$A$301,0), Skills!M9+1)</f>
        <v/>
      </c>
      <c r="F794">
        <f>IF(Skills!N9=TRUE,(Skills!L9/10)*(E794/1000),Skills!L9/10)+Skills!O9</f>
        <v/>
      </c>
      <c r="G794">
        <f>Skills!G9*IF(Skills!H9&gt;0,Skills!I9/Skills!H9,1)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9="ENHANCED_RAGING_BLOW",IF(Inputs!$B$3&gt;=134,MAX(0,IF(Inputs!$B$3&gt;=110,7,5)-5)*50,0),0)/100)*(1+(IF(Skills!A9="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794)</f>
        <v/>
      </c>
      <c r="L794">
        <f>K794*(MIN(Inputs!$B$22+((C807=TRUE)*(F807-Calc!F22)),(Inputs!$B$23+((C809=TRUE)*(F809-Calc!F24))+(IF(ArtifactsInput!$M$15,CHOOSE(ArtifactsInput!$N$15+1,25,30,35,40,45,50)/100*(Inputs!$B$11-Inputs!$B$11),0))))/100+(Inputs!$B$23+((C809=TRUE)*(F809-Calc!F24))+(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IFERROR(1/(IF(Inputs!$B$38="pvp",15,MAX(0.1,Skills!D9-IF(Skills!E9=TRUE,Inputs!$B$32,0)))*(1-IF(AND(ArtifactsInput!$M$27,Inputs!$B$4="Chapter Hunt"),CHOOSE(ArtifactsInput!$N$27+1,20,24,28,32,36,40),0)/100)),0)</f>
        <v/>
      </c>
      <c r="R794">
        <f>IF(AND(Inputs!$B$38&lt;&gt;"pvp",Inputs!$B$43&gt;0),IF(MAX(0,Inputs!$B$43-B821)&lt;=0,0,(INT(MAX(0,Inputs!$B$43-B821)/(IF(Inputs!$B$38="pvp",15,MAX(0.1,Skills!D9-IF(Skills!E9=TRUE,Inputs!$B$32,0)))*(1-IF(AND(ArtifactsInput!$M$27,Inputs!$B$4="Chapter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Inputs!$B$3&gt;=63</f>
        <v/>
      </c>
      <c r="D795">
        <f>IF(Skills!C10=1,60+Inputs!$B$25+Inputs!$B$29,IF(Skills!C10=2,90+(Inputs!$B$26+1)+Inputs!$B$29,IF(Skills!C10=3,120+Inputs!$B$27+Inputs!$B$29,MAX(0,(Inputs!$B$3-100)*3)+Inputs!$B$28+Inputs!$B$29)))</f>
        <v/>
      </c>
      <c r="E795">
        <f>INDEX(FactorTable!$B$2:$Y$301, MATCH(ROUND(MIN(300,MAX(1,D795)),0), FactorTable!$A$2:$A$301,0), Skills!M10+1)</f>
        <v/>
      </c>
      <c r="F795">
        <f>IF(Skills!N10=TRUE,(Skills!L10/10)*(E795/1000),Skills!L10/10)+Skills!O10</f>
        <v/>
      </c>
      <c r="G795">
        <f>Skills!G10*IF(Skills!H10&gt;0,Skills!I10/Skills!H10,1)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10="ENHANCED_RAGING_BLOW",IF(Inputs!$B$3&gt;=134,MAX(0,IF(Inputs!$B$3&gt;=110,7,5)-5)*50,0),0)/100)*(1+(IF(Skills!A10="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795)</f>
        <v/>
      </c>
      <c r="L795">
        <f>K795*(MIN(Inputs!$B$22+((C807=TRUE)*(F807-Calc!F22)),(Inputs!$B$23+((C809=TRUE)*(F809-Calc!F24))+(IF(ArtifactsInput!$M$15,CHOOSE(ArtifactsInput!$N$15+1,25,30,35,40,45,50)/100*(Inputs!$B$11-Inputs!$B$11),0))))/100+(Inputs!$B$23+((C809=TRUE)*(F809-Calc!F24))+(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IFERROR(1/(IF(Inputs!$B$38="pvp",15,MAX(0.1,Skills!D10-IF(Skills!E10=TRUE,Inputs!$B$32,0)))*(1-IF(AND(ArtifactsInput!$M$27,Inputs!$B$4="Chapter Hunt"),CHOOSE(ArtifactsInput!$N$27+1,20,24,28,32,36,40),0)/100)),0)</f>
        <v/>
      </c>
      <c r="R795">
        <f>IF(AND(Inputs!$B$38&lt;&gt;"pvp",Inputs!$B$43&gt;0),IF(MAX(0,Inputs!$B$43-B821)&lt;=0,0,(INT(MAX(0,Inputs!$B$43-B821)/(IF(Inputs!$B$38="pvp",15,MAX(0.1,Skills!D10-IF(Skills!E10=TRUE,Inputs!$B$32,0)))*(1-IF(AND(ArtifactsInput!$M$27,Inputs!$B$4="Chapter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Inputs!$B$3&gt;=35</f>
        <v/>
      </c>
      <c r="D796">
        <f>IF(Skills!C11=1,60+Inputs!$B$25+Inputs!$B$29,IF(Skills!C11=2,90+(Inputs!$B$26+1)+Inputs!$B$29,IF(Skills!C11=3,120+Inputs!$B$27+Inputs!$B$29,MAX(0,(Inputs!$B$3-100)*3)+Inputs!$B$28+Inputs!$B$29)))</f>
        <v/>
      </c>
      <c r="E796">
        <f>INDEX(FactorTable!$B$2:$Y$301, MATCH(ROUND(MIN(300,MAX(1,D796)),0), FactorTable!$A$2:$A$301,0), Skills!M11+1)</f>
        <v/>
      </c>
      <c r="F796">
        <f>IF(Skills!N11=TRUE,(Skills!L11/10)*(E796/1000),Skills!L11/10)+Skills!O11</f>
        <v/>
      </c>
      <c r="G796">
        <f>Skills!G11*IF(Skills!H11&gt;0,Skills!I11/Skills!H11,1)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11="ENHANCED_RAGING_BLOW",IF(Inputs!$B$3&gt;=134,MAX(0,IF(Inputs!$B$3&gt;=110,7,5)-5)*50,0),0)/100)*(1+(IF(Skills!A11="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796)</f>
        <v/>
      </c>
      <c r="L796">
        <f>K796*(MIN(Inputs!$B$22+((C807=TRUE)*(F807-Calc!F22)),(Inputs!$B$23+((C809=TRUE)*(F809-Calc!F24))+(IF(ArtifactsInput!$M$15,CHOOSE(ArtifactsInput!$N$15+1,25,30,35,40,45,50)/100*(Inputs!$B$11-Inputs!$B$11),0))))/100+(Inputs!$B$23+((C809=TRUE)*(F809-Calc!F24))+(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IFERROR(1/(IF(Inputs!$B$38="pvp",15,MAX(0.1,Skills!D11-IF(Skills!E11=TRUE,Inputs!$B$32,0)))*(1-IF(AND(ArtifactsInput!$M$27,Inputs!$B$4="Chapter Hunt"),CHOOSE(ArtifactsInput!$N$27+1,20,24,28,32,36,40),0)/100)),0)</f>
        <v/>
      </c>
      <c r="R796">
        <f>IF(AND(Inputs!$B$38&lt;&gt;"pvp",Inputs!$B$43&gt;0),IF(MAX(0,Inputs!$B$43-B821)&lt;=0,0,(INT(MAX(0,Inputs!$B$43-B821)/(IF(Inputs!$B$38="pvp",15,MAX(0.1,Skills!D11-IF(Skills!E11=TRUE,Inputs!$B$32,0)))*(1-IF(AND(ArtifactsInput!$M$27,Inputs!$B$4="Chapter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INDEX(FactorTable!$B$2:$Y$301, MATCH(ROUND(MIN(300,MAX(1,D797)),0),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INDEX(FactorTable!$B$2:$Y$301, MATCH(ROUND(MIN(300,MAX(1,D798)),0), FactorTable!$A$2:$A$301,0), Skills!M13+1)</f>
        <v/>
      </c>
      <c r="F798">
        <f>IF(Skills!N13=TRUE,(Skills!L13/10)*(E798/1000),Skills!L13/10)+Skills!O13</f>
        <v/>
      </c>
      <c r="G798">
        <f>Skills!G13*IF(Skills!H13&gt;0,Skills!I13/Skills!H13,1)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Inputs!$B$3&gt;=75</f>
        <v/>
      </c>
      <c r="D799">
        <f>IF(Skills!C14=1,60+Inputs!$B$25+Inputs!$B$29,IF(Skills!C14=2,90+(Inputs!$B$26+1)+Inputs!$B$29,IF(Skills!C14=3,120+Inputs!$B$27+Inputs!$B$29,MAX(0,(Inputs!$B$3-100)*3)+Inputs!$B$28+Inputs!$B$29)))</f>
        <v/>
      </c>
      <c r="E799">
        <f>INDEX(FactorTable!$B$2:$Y$301, MATCH(ROUND(MIN(300,MAX(1,D799)),0), FactorTable!$A$2:$A$301,0), Skills!M14+1)</f>
        <v/>
      </c>
      <c r="F799">
        <f>IF(Skills!N14=TRUE,(Skills!L14/10)*(E799/1000),Skills!L14/10)+Skills!O14</f>
        <v/>
      </c>
      <c r="G799">
        <f>Skills!G14*IF(Skills!H14&gt;0,Skills!I14/Skills!H14,1)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Inputs!$B$3&gt;=40</f>
        <v/>
      </c>
      <c r="D800">
        <f>IF(Skills!C15=1,60+Inputs!$B$25+Inputs!$B$29,IF(Skills!C15=2,90+(Inputs!$B$26+1)+Inputs!$B$29,IF(Skills!C15=3,120+Inputs!$B$27+Inputs!$B$29,MAX(0,(Inputs!$B$3-100)*3)+Inputs!$B$28+Inputs!$B$29)))</f>
        <v/>
      </c>
      <c r="E800">
        <f>INDEX(FactorTable!$B$2:$Y$301, MATCH(ROUND(MIN(300,MAX(1,D800)),0), FactorTable!$A$2:$A$301,0), Skills!M15+1)</f>
        <v/>
      </c>
      <c r="F800">
        <f>IF(Skills!N15=TRUE,(Skills!L15/10)*(E800/1000),Skills!L15/10)+Skills!O15</f>
        <v/>
      </c>
      <c r="G800">
        <f>Skills!G15*IF(Skills!H15&gt;0,Skills!I15/Skills!H15,1)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IFERROR(1/(IF(Inputs!$B$38="pvp",15,MAX(0.1,Skills!D15-IF(Skills!E15=TRUE,Inputs!$B$32,0)))*(1-IF(AND(ArtifactsInput!$M$27,Inputs!$B$4="Chapter Hunt"),CHOOSE(ArtifactsInput!$N$27+1,20,24,28,32,36,40),0)/100)),0)</f>
        <v/>
      </c>
      <c r="R800">
        <f>IF(AND(Inputs!$B$38&lt;&gt;"pvp",Inputs!$B$43&gt;0),IF(Inputs!$B$43&lt;=0,0,(INT(Inputs!$B$43/(IF(Inputs!$B$38="pvp",15,MAX(0.1,Skills!D15-IF(Skills!E15=TRUE,Inputs!$B$32,0)))*(1-IF(AND(ArtifactsInput!$M$27,Inputs!$B$4="Chapter Hunt"),CHOOSE(ArtifactsInput!$N$27+1,20,24,28,32,36,40),0)/100)))+1)),0)</f>
        <v/>
      </c>
      <c r="S800">
        <f>IFERROR(O800/N800,0)</f>
        <v/>
      </c>
      <c r="T800" t="n">
        <v>0</v>
      </c>
      <c r="V800" t="n">
        <v>0</v>
      </c>
    </row>
    <row r="801">
      <c r="A801">
        <f>Skills!A16</f>
        <v/>
      </c>
      <c r="B801">
        <f>Skills!B16</f>
        <v/>
      </c>
      <c r="C801">
        <f>Inputs!$B$3&gt;=66</f>
        <v/>
      </c>
      <c r="D801">
        <f>IF(Skills!C16=1,60+Inputs!$B$25+Inputs!$B$29,IF(Skills!C16=2,90+(Inputs!$B$26+1)+Inputs!$B$29,IF(Skills!C16=3,120+Inputs!$B$27+Inputs!$B$29,MAX(0,(Inputs!$B$3-100)*3)+Inputs!$B$28+Inputs!$B$29)))</f>
        <v/>
      </c>
      <c r="E801">
        <f>INDEX(FactorTable!$B$2:$Y$301, MATCH(ROUND(MIN(300,MAX(1,D801)),0), FactorTable!$A$2:$A$301,0), Skills!M16+1)</f>
        <v/>
      </c>
      <c r="F801">
        <f>IF(Skills!N16=TRUE,(Skills!L16/10)*(E801/1000),Skills!L16/10)+Skills!O16</f>
        <v/>
      </c>
      <c r="G801">
        <f>Skills!G16*IF(Skills!H16&gt;0,Skills!I16/Skills!H16,1)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IFERROR(1/(IF(Inputs!$B$38="pvp",15,MAX(0.1,Skills!D16-IF(Skills!E16=TRUE,Inputs!$B$32,0)))*(1-IF(AND(ArtifactsInput!$M$27,Inputs!$B$4="Chapter Hunt"),CHOOSE(ArtifactsInput!$N$27+1,20,24,28,32,36,40),0)/100)),0)</f>
        <v/>
      </c>
      <c r="R801">
        <f>IF(AND(Inputs!$B$38&lt;&gt;"pvp",Inputs!$B$43&gt;0),IF(Inputs!$B$43&lt;=0,0,(INT(Inputs!$B$43/(IF(Inputs!$B$38="pvp",15,MAX(0.1,Skills!D16-IF(Skills!E16=TRUE,Inputs!$B$32,0)))*(1-IF(AND(ArtifactsInput!$M$27,Inputs!$B$4="Chapter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INDEX(FactorTable!$B$2:$Y$301, MATCH(ROUND(MIN(300,MAX(1,D802)),0), FactorTable!$A$2:$A$301,0), Skills!M17+1)</f>
        <v/>
      </c>
      <c r="F802">
        <f>IF(Skills!N17=TRUE,(Skills!L17/10)*(E802/1000),Skills!L17/10)+Skills!O17</f>
        <v/>
      </c>
      <c r="G802">
        <f>Skills!G17*IF(Skills!H17&gt;0,Skills!I17/Skills!H17,1)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IFERROR(1/(IF(Inputs!$B$38="pvp",15,MAX(0.1,Skills!D17-IF(Skills!E17=TRUE,Inputs!$B$32,0)))*(1-IF(AND(ArtifactsInput!$M$27,Inputs!$B$4="Chapter Hunt"),CHOOSE(ArtifactsInput!$N$27+1,20,24,28,32,36,40),0)/100)),0)</f>
        <v/>
      </c>
      <c r="R802">
        <f>IF(AND(Inputs!$B$38&lt;&gt;"pvp",Inputs!$B$43&gt;0),IF(Inputs!$B$43&lt;=0,0,(INT(Inputs!$B$43/(IF(Inputs!$B$38="pvp",15,MAX(0.1,Skills!D17-IF(Skills!E17=TRUE,Inputs!$B$32,0)))*(1-IF(AND(ArtifactsInput!$M$27,Inputs!$B$4="Chapter Hunt"),CHOOSE(ArtifactsInput!$N$27+1,20,24,28,32,36,40),0)/100)))+1)),0)</f>
        <v/>
      </c>
      <c r="S802">
        <f>IFERROR(O802/N802,0)</f>
        <v/>
      </c>
      <c r="T802" t="n">
        <v>0</v>
      </c>
      <c r="V802" t="n">
        <v>0</v>
      </c>
    </row>
    <row r="803">
      <c r="A803">
        <f>Skills!A18</f>
        <v/>
      </c>
      <c r="B803">
        <f>Skills!B18</f>
        <v/>
      </c>
      <c r="C803">
        <f>Inputs!$B$3&gt;=115</f>
        <v/>
      </c>
      <c r="D803">
        <f>IF(Skills!C18=1,60+Inputs!$B$25+Inputs!$B$29,IF(Skills!C18=2,90+(Inputs!$B$26+1)+Inputs!$B$29,IF(Skills!C18=3,120+Inputs!$B$27+Inputs!$B$29,MAX(0,(Inputs!$B$3-100)*3)+Inputs!$B$28+Inputs!$B$29)))</f>
        <v/>
      </c>
      <c r="E803">
        <f>INDEX(FactorTable!$B$2:$Y$301, MATCH(ROUND(MIN(300,MAX(1,D803)),0), FactorTable!$A$2:$A$301,0), Skills!M18+1)</f>
        <v/>
      </c>
      <c r="F803">
        <f>IF(Skills!N18=TRUE,(Skills!L18/10)*(E803/1000),Skills!L18/10)+Skills!O18</f>
        <v/>
      </c>
      <c r="G803">
        <f>Skills!G18*IF(Skills!H18&gt;0,Skills!I18/Skills!H18,1)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IFERROR(1/(IF(Inputs!$B$38="pvp",15,MAX(0.1,Skills!D18-IF(Skills!E18=TRUE,Inputs!$B$32,0)))*(1-IF(AND(ArtifactsInput!$M$27,Inputs!$B$4="Chapter Hunt"),CHOOSE(ArtifactsInput!$N$27+1,20,24,28,32,36,40),0)/100)),0)</f>
        <v/>
      </c>
      <c r="R803">
        <f>IF(AND(Inputs!$B$38&lt;&gt;"pvp",Inputs!$B$43&gt;0),IF(Inputs!$B$43&lt;=0,0,(INT(Inputs!$B$43/(IF(Inputs!$B$38="pvp",15,MAX(0.1,Skills!D18-IF(Skills!E18=TRUE,Inputs!$B$32,0)))*(1-IF(AND(ArtifactsInput!$M$27,Inputs!$B$4="Chapter Hunt"),CHOOSE(ArtifactsInput!$N$27+1,20,24,28,32,36,40),0)/100)))+1)),0)</f>
        <v/>
      </c>
      <c r="S803">
        <f>IFERROR(O803/N803,0)</f>
        <v/>
      </c>
      <c r="T803" t="n">
        <v>0</v>
      </c>
      <c r="V803" t="n">
        <v>0</v>
      </c>
    </row>
    <row r="804">
      <c r="A804">
        <f>Skills!A19</f>
        <v/>
      </c>
      <c r="B804">
        <f>Skills!B19</f>
        <v/>
      </c>
      <c r="C804">
        <f>TRUE</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IFERROR(1/(IF(Inputs!$B$38="pvp",15,MAX(0.1,Skills!D19-IF(Skills!E19=TRUE,Inputs!$B$32,0)))*(1-IF(AND(ArtifactsInput!$M$27,Inputs!$B$4="Chapter Hunt"),CHOOSE(ArtifactsInput!$N$27+1,20,24,28,32,36,40),0)/100)),0)</f>
        <v/>
      </c>
      <c r="R804">
        <f>IF(AND(Inputs!$B$38&lt;&gt;"pvp",Inputs!$B$43&gt;0),IF(Inputs!$B$43&lt;=0,0,(INT(Inputs!$B$43/(IF(Inputs!$B$38="pvp",15,MAX(0.1,Skills!D19-IF(Skills!E19=TRUE,Inputs!$B$32,0)))*(1-IF(AND(ArtifactsInput!$M$27,Inputs!$B$4="Chapter Hunt"),CHOOSE(ArtifactsInput!$N$27+1,20,24,28,32,36,40),0)/100)))+1)),0)</f>
        <v/>
      </c>
      <c r="S804">
        <f>IFERROR(O804/N804,0)</f>
        <v/>
      </c>
      <c r="T804" t="n">
        <v>0</v>
      </c>
      <c r="V804" t="n">
        <v>0</v>
      </c>
    </row>
    <row r="805">
      <c r="A805">
        <f>Skills!A20</f>
        <v/>
      </c>
      <c r="B805">
        <f>Skills!B20</f>
        <v/>
      </c>
      <c r="C805">
        <f>Inputs!$B$3&gt;=33</f>
        <v/>
      </c>
      <c r="D805">
        <f>IF(Skills!C20=1,60+Inputs!$B$25+Inputs!$B$29,IF(Skills!C20=2,90+(Inputs!$B$26+1)+Inputs!$B$29,IF(Skills!C20=3,120+Inputs!$B$27+Inputs!$B$29,MAX(0,(Inputs!$B$3-100)*3)+Inputs!$B$28+Inputs!$B$29)))</f>
        <v/>
      </c>
      <c r="E805">
        <f>INDEX(FactorTable!$B$2:$Y$301, MATCH(ROUND(MIN(300,MAX(1,D805)),0), FactorTable!$A$2:$A$301,0), Skills!M20+1)</f>
        <v/>
      </c>
      <c r="F805">
        <f>IF(Skills!N20=TRUE,(Skills!L20/10)*(E805/1000),Skills!L20/10)+Skills!O20</f>
        <v/>
      </c>
      <c r="G805">
        <f>Skills!G20*IF(Skills!H20&gt;0,Skills!I20/Skills!H20,1)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Inputs!$B$3&gt;=38</f>
        <v/>
      </c>
      <c r="D806">
        <f>IF(Skills!C21=1,60+Inputs!$B$25+Inputs!$B$29,IF(Skills!C21=2,90+(Inputs!$B$26+1)+Inputs!$B$29,IF(Skills!C21=3,120+Inputs!$B$27+Inputs!$B$29,MAX(0,(Inputs!$B$3-100)*3)+Inputs!$B$28+Inputs!$B$29)))</f>
        <v/>
      </c>
      <c r="E806">
        <f>INDEX(FactorTable!$B$2:$Y$301, MATCH(ROUND(MIN(300,MAX(1,D806)),0), FactorTable!$A$2:$A$301,0), Skills!M21+1)</f>
        <v/>
      </c>
      <c r="F806">
        <f>IF(Skills!N21=TRUE,(Skills!L21/10)*(E806/1000),Skills!L21/10)+Skills!O21</f>
        <v/>
      </c>
      <c r="G806">
        <f>Skills!G21*IF(Skills!H21&gt;0,Skills!I21/Skills!H21,1)</f>
        <v/>
      </c>
      <c r="H806">
        <f>1-(1-Skills!J21/100)^Skills!K21</f>
        <v/>
      </c>
      <c r="I806" t="inlineStr">
        <is>
          <t>1</t>
        </is>
      </c>
      <c r="J806" t="inlineStr"/>
      <c r="K806" t="inlineStr"/>
      <c r="L806" t="inlineStr"/>
      <c r="M806" t="inlineStr"/>
      <c r="N806" t="inlineStr"/>
      <c r="O806">
        <f>(1-Summary!$B$11)*T806+Summary!$B$11*V806</f>
        <v/>
      </c>
      <c r="P806">
        <f>IF(B824=0,0,O806/B824)</f>
        <v/>
      </c>
      <c r="Q806" t="n">
        <v>0</v>
      </c>
      <c r="R806" t="n">
        <v>0</v>
      </c>
      <c r="S806">
        <f>IFERROR(O806/N806,0)</f>
        <v/>
      </c>
      <c r="T806" t="n">
        <v>0</v>
      </c>
      <c r="V806" t="n">
        <v>0</v>
      </c>
    </row>
    <row r="807">
      <c r="A807">
        <f>Skills!A22</f>
        <v/>
      </c>
      <c r="B807">
        <f>Skills!B22</f>
        <v/>
      </c>
      <c r="C807">
        <f>Inputs!$B$3&gt;=43</f>
        <v/>
      </c>
      <c r="D807">
        <f>IF(Skills!C22=1,60+Inputs!$B$25+Inputs!$B$29,IF(Skills!C22=2,90+(Inputs!$B$26+1)+Inputs!$B$29,IF(Skills!C22=3,120+Inputs!$B$27+Inputs!$B$29,MAX(0,(Inputs!$B$3-100)*3)+Inputs!$B$28+Inputs!$B$29)))</f>
        <v/>
      </c>
      <c r="E807">
        <f>INDEX(FactorTable!$B$2:$Y$301, MATCH(ROUND(MIN(300,MAX(1,D807)),0), FactorTable!$A$2:$A$301,0), Skills!M22+1)</f>
        <v/>
      </c>
      <c r="F807">
        <f>IF(Skills!N22=TRUE,(Skills!L22/10)*(E807/1000),Skills!L22/10)+Skills!O22</f>
        <v/>
      </c>
      <c r="G807">
        <f>Skills!G22*IF(Skills!H22&gt;0,Skills!I22/Skills!H22,1)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Inputs!$B$3&gt;=120</f>
        <v/>
      </c>
      <c r="D808">
        <f>IF(Skills!C23=1,60+Inputs!$B$25+Inputs!$B$29,IF(Skills!C23=2,90+(Inputs!$B$26+1)+Inputs!$B$29,IF(Skills!C23=3,120+Inputs!$B$27+Inputs!$B$29,MAX(0,(Inputs!$B$3-100)*3)+Inputs!$B$28+Inputs!$B$29)))</f>
        <v/>
      </c>
      <c r="E808">
        <f>INDEX(FactorTable!$B$2:$Y$301, MATCH(ROUND(MIN(300,MAX(1,D808)),0), FactorTable!$A$2:$A$301,0), Skills!M23+1)</f>
        <v/>
      </c>
      <c r="F808">
        <f>IF(Skills!N23=TRUE,(Skills!L23/10)*(E808/1000),Skills!L23/10)+Skills!O23</f>
        <v/>
      </c>
      <c r="G808">
        <f>Skills!G23*IF(Skills!H23&gt;0,Skills!I23/Skills!H23,1)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Inputs!$B$3&gt;=120</f>
        <v/>
      </c>
      <c r="D809">
        <f>IF(Skills!C24=1,60+Inputs!$B$25+Inputs!$B$29,IF(Skills!C24=2,90+(Inputs!$B$26+1)+Inputs!$B$29,IF(Skills!C24=3,120+Inputs!$B$27+Inputs!$B$29,MAX(0,(Inputs!$B$3-100)*3)+Inputs!$B$28+Inputs!$B$29)))</f>
        <v/>
      </c>
      <c r="E809">
        <f>INDEX(FactorTable!$B$2:$Y$301, MATCH(ROUND(MIN(300,MAX(1,D809)),0), FactorTable!$A$2:$A$301,0), Skills!M24+1)</f>
        <v/>
      </c>
      <c r="F809">
        <f>IF(Skills!N24=TRUE,(Skills!L24/10)*(E809/1000),Skills!L24/10)+Skills!O24</f>
        <v/>
      </c>
      <c r="G809">
        <f>Skills!G24*IF(Skills!H24&gt;0,Skills!I24/Skills!H24,1)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Inputs!$B$3&gt;=125</f>
        <v/>
      </c>
      <c r="D810">
        <f>IF(Skills!C25=1,60+Inputs!$B$25+Inputs!$B$29,IF(Skills!C25=2,90+(Inputs!$B$26+1)+Inputs!$B$29,IF(Skills!C25=3,120+Inputs!$B$27+Inputs!$B$29,MAX(0,(Inputs!$B$3-100)*3)+Inputs!$B$28+Inputs!$B$29)))</f>
        <v/>
      </c>
      <c r="E810">
        <f>INDEX(FactorTable!$B$2:$Y$301, MATCH(ROUND(MIN(300,MAX(1,D810)),0), FactorTable!$A$2:$A$301,0), Skills!M25+1)</f>
        <v/>
      </c>
      <c r="F810">
        <f>IF(Skills!N25=TRUE,(Skills!L25/10)*(E810/1000),Skills!L25/10)+Skills!O25</f>
        <v/>
      </c>
      <c r="G810">
        <f>Skills!G25*IF(Skills!H25&gt;0,Skills!I25/Skills!H25,1)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Inputs!$B$3&gt;=72</f>
        <v/>
      </c>
      <c r="D811">
        <f>IF(Skills!C26=1,60+Inputs!$B$25+Inputs!$B$29,IF(Skills!C26=2,90+(Inputs!$B$26+1)+Inputs!$B$29,IF(Skills!C26=3,120+Inputs!$B$27+Inputs!$B$29,MAX(0,(Inputs!$B$3-100)*3)+Inputs!$B$28+Inputs!$B$29)))</f>
        <v/>
      </c>
      <c r="E811">
        <f>INDEX(FactorTable!$B$2:$Y$301, MATCH(ROUND(MIN(300,MAX(1,D811)),0), FactorTable!$A$2:$A$301,0), Skills!M26+1)</f>
        <v/>
      </c>
      <c r="F811">
        <f>IF(Skills!N26=TRUE,(Skills!L26/10)*(E811/1000),Skills!L26/10)+Skills!O26</f>
        <v/>
      </c>
      <c r="G811">
        <f>Skills!G26*IF(Skills!H26&gt;0,Skills!I26/Skills!H26,1)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804=TRUE)*F804*IF(AND(Inputs!$B$38&lt;&gt;"pvp",Inputs!$B$43&gt;0),(((R804-1)*(Skills!T19*(1+(Inputs!$B$34+(ArtifactsInput!$M$7-ArtifactsInput!$M$7)*CHOOSE(ArtifactsInput!$N$7+1,6,7.2,8.4,9.6,10.8,12))/100))+MIN((Skills!T19*(1+(Inputs!$B$34+(ArtifactsInput!$M$7-ArtifactsInput!$M$7)*CHOOSE(ArtifactsInput!$N$7+1,6,7.2,8.4,9.6,10.8,12))/100)),MAX(0,Inputs!$B$43-((R804-1)*Skills!D19))))/Inputs!$B$43),IF(Inputs!$B$38="pvp",MIN((Skills!T19*(1+(Inputs!$B$34+(ArtifactsInput!$M$7-ArtifactsInput!$M$7)*CHOOSE(ArtifactsInput!$N$7+1,6,7.2,8.4,9.6,10.8,12))/100)),15)/15,(Skills!T19*(1+(Inputs!$B$34+(ArtifactsInput!$M$7-ArtifactsInput!$M$7)*CHOOSE(ArtifactsInput!$N$7+1,6,7.2,8.4,9.6,10.8,12))/100))/Skills!D19)))</f>
        <v/>
      </c>
    </row>
    <row r="816">
      <c r="A816" t="inlineStr">
        <is>
          <t>Actions Per Second</t>
        </is>
      </c>
      <c r="B816">
        <f>1+MIN(150,150*(1-(1-(Inputs!$B$11+((C805=TRUE)*(F805-Calc!F20)))/150)*(1-B815/150)))/100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Raging Blow Casts Per Second</t>
        </is>
      </c>
      <c r="B818">
        <f>MAX(0,B816-B817)</f>
        <v/>
      </c>
    </row>
    <row r="819">
      <c r="A819" t="inlineStr">
        <is>
          <t>Global Critical Damage Bonus % (Enrage)</t>
        </is>
      </c>
      <c r="B819">
        <f>((C803=TRUE)*F803*IF(AND(Inputs!$B$38&lt;&gt;"pvp",Inputs!$B$43&gt;0),(((R803-1)*(Skills!T18*(1+(Inputs!$B$34+(ArtifactsInput!$M$7-ArtifactsInput!$M$7)*CHOOSE(ArtifactsInput!$N$7+1,6,7.2,8.4,9.6,10.8,12))/100))+MIN((Skills!T18*(1+(Inputs!$B$34+(ArtifactsInput!$M$7-ArtifactsInput!$M$7)*CHOOSE(ArtifactsInput!$N$7+1,6,7.2,8.4,9.6,10.8,12))/100)),MAX(0,Inputs!$B$43-((R803-1)*Skills!D18))))/Inputs!$B$43),IF(Inputs!$B$38="pvp",MIN((Skills!T18*(1+(Inputs!$B$34+(ArtifactsInput!$M$7-ArtifactsInput!$M$7)*CHOOSE(ArtifactsInput!$N$7+1,6,7.2,8.4,9.6,10.8,12))/100)),15)/15,(Skills!T18*(1+(Inputs!$B$34+(ArtifactsInput!$M$7-ArtifactsInput!$M$7)*CHOOSE(ArtifactsInput!$N$7+1,6,7.2,8.4,9.6,10.8,12))/100))/Skills!D18)))</f>
        <v/>
      </c>
    </row>
    <row r="820">
      <c r="A820" t="inlineStr">
        <is>
          <t>Global Final Damage Bonus % (Enrage + Combo Synergy)</t>
        </is>
      </c>
      <c r="B820">
        <f>((C802=TRUE)*F802*IF(AND(Inputs!$B$38&lt;&gt;"pvp",Inputs!$B$43&gt;0),(((R802-1)*(Skills!T17*(1+(Inputs!$B$34+(ArtifactsInput!$M$7-ArtifactsInput!$M$7)*CHOOSE(ArtifactsInput!$N$7+1,6,7.2,8.4,9.6,10.8,12))/100))+MIN((Skills!T17*(1+(Inputs!$B$34+(ArtifactsInput!$M$7-ArtifactsInput!$M$7)*CHOOSE(ArtifactsInput!$N$7+1,6,7.2,8.4,9.6,10.8,12))/100)),MAX(0,Inputs!$B$43-((R802-1)*Skills!D17))))/Inputs!$B$43),IF(Inputs!$B$38="pvp",MIN((Skills!T17*(1+(Inputs!$B$34+(ArtifactsInput!$M$7-ArtifactsInput!$M$7)*CHOOSE(ArtifactsInput!$N$7+1,6,7.2,8.4,9.6,10.8,12))/100)),15)/15,(Skills!T17*(1+(Inputs!$B$34+(ArtifactsInput!$M$7-ArtifactsInput!$M$7)*CHOOSE(ArtifactsInput!$N$7+1,6,7.2,8.4,9.6,10.8,12))/100))/Skills!D17)))+((C799=TRUE)*F799*IF(Inputs!$B$3&gt;=110,7,5))</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829)</f>
        <v/>
      </c>
      <c r="L829">
        <f>K829*(MIN(Inputs!$B$22+((C849=TRUE)*(F849-Calc!F22)),(Inputs!$B$23+((C851=TRUE)*(F851-Calc!F24))+(IF(ArtifactsInput!$M$15,CHOOSE(ArtifactsInput!$N$15+1,25,30,35,40,45,50)/100*(Inputs!$B$11-Inputs!$B$11),0))))/100+(Inputs!$B$23+((C851=TRUE)*(F851-Calc!F24))+(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INDEX(FactorTable!$B$2:$Y$301, MATCH(ROUND(MIN(300,MAX(1,D830)),0),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INDEX(FactorTable!$B$2:$Y$301, MATCH(ROUND(MIN(300,MAX(1,U829)),0), FactorTable!$A$2:$A$301,0), 22)</f>
        <v/>
      </c>
    </row>
    <row r="831">
      <c r="A831">
        <f>Skills!A4</f>
        <v/>
      </c>
      <c r="B831">
        <f>Skills!B4</f>
        <v/>
      </c>
      <c r="C831">
        <f>Inputs!$B$3&gt;=105</f>
        <v/>
      </c>
      <c r="D831">
        <f>IF(Skills!C4=1,60+Inputs!$B$25+Inputs!$B$29,IF(Skills!C4=2,90+Inputs!$B$26+Inputs!$B$29,IF(Skills!C4=3,120+(Inputs!$B$27+1)+Inputs!$B$29,MAX(0,(Inputs!$B$3-100)*3)+Inputs!$B$28+Inputs!$B$29)))</f>
        <v/>
      </c>
      <c r="E831">
        <f>INDEX(FactorTable!$B$2:$Y$301, MATCH(ROUND(MIN(300,MAX(1,D831)),0), FactorTable!$A$2:$A$301,0), Skills!M4+1)</f>
        <v/>
      </c>
      <c r="F831">
        <f>IF(Skills!N4=TRUE,(Skills!L4/10)*(E831/1000),Skills!L4/10)+Skills!O4</f>
        <v/>
      </c>
      <c r="G831" t="inlineStr"/>
      <c r="H831" t="inlineStr"/>
      <c r="I831" t="inlineStr">
        <is>
          <t>1</t>
        </is>
      </c>
      <c r="J831" t="inlineStr"/>
      <c r="K831" t="inlineStr"/>
      <c r="L831" t="inlineStr"/>
      <c r="M831" t="inlineStr"/>
      <c r="N831" t="inlineStr"/>
      <c r="O831" t="inlineStr"/>
      <c r="P831" t="inlineStr"/>
      <c r="Q831" t="inlineStr"/>
      <c r="R831" t="inlineStr"/>
      <c r="S831" t="inlineStr"/>
      <c r="U831">
        <f>290*U830/1000</f>
        <v/>
      </c>
    </row>
    <row r="832">
      <c r="A832">
        <f>Skills!A5</f>
        <v/>
      </c>
      <c r="B832">
        <f>Skills!B5</f>
        <v/>
      </c>
      <c r="C832">
        <f>Inputs!$B$3&gt;=103</f>
        <v/>
      </c>
      <c r="D832">
        <f>IF(Skills!C5=1,60+Inputs!$B$25+Inputs!$B$29,IF(Skills!C5=2,90+Inputs!$B$26+Inputs!$B$29,IF(Skills!C5=3,120+(Inputs!$B$27+1)+Inputs!$B$29,MAX(0,(Inputs!$B$3-100)*3)+Inputs!$B$28+Inputs!$B$29)))</f>
        <v/>
      </c>
      <c r="E832">
        <f>INDEX(FactorTable!$B$2:$Y$301, MATCH(ROUND(MIN(300,MAX(1,D832)),0), FactorTable!$A$2:$A$301,0), Skills!M5+1)</f>
        <v/>
      </c>
      <c r="F832">
        <f>IF(Skills!N5=TRUE,(Skills!L5/10)*(E832/1000),Skills!L5/10)+Skills!O5</f>
        <v/>
      </c>
      <c r="G832">
        <f>Skills!G5*IF(Skills!H5&gt;0,Skills!I5/Skills!H5,1)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832)</f>
        <v/>
      </c>
      <c r="L832">
        <f>K832*(MIN(Inputs!$B$22+((C849=TRUE)*(F849-Calc!F22)),(Inputs!$B$23+((C851=TRUE)*(F851-Calc!F24))+(IF(ArtifactsInput!$M$15,CHOOSE(ArtifactsInput!$N$15+1,25,30,35,40,45,50)/100*(Inputs!$B$11-Inputs!$B$11),0))))/100+(Inputs!$B$23+((C851=TRUE)*(F851-Calc!F24))+(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IFERROR(1/(IF(Inputs!$B$38="pvp",15,MAX(0.1,Skills!D5-IF(Skills!E5=TRUE,Inputs!$B$32,0)))*(1-IF(AND(ArtifactsInput!$M$27,Inputs!$B$4="Chapter Hunt"),CHOOSE(ArtifactsInput!$N$27+1,20,24,28,32,36,40),0)/100)),0)</f>
        <v/>
      </c>
      <c r="R832">
        <f>IF(AND(Inputs!$B$38&lt;&gt;"pvp",Inputs!$B$43&gt;0),IF(MAX(0,Inputs!$B$43-B863)&lt;=0,0,(INT(MAX(0,Inputs!$B$43-B863)/(IF(Inputs!$B$38="pvp",15,MAX(0.1,Skills!D5-IF(Skills!E5=TRUE,Inputs!$B$32,0)))*(1-IF(AND(ArtifactsInput!$M$27,Inputs!$B$4="Chapter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INDEX(FactorTable!$B$2:$Y$301, MATCH(ROUND(MIN(300,MAX(1,D833)),0), FactorTable!$A$2:$A$301,0), Skills!M6+1)</f>
        <v/>
      </c>
      <c r="F833">
        <f>IF(Skills!N6=TRUE,(Skills!L6/10)*(E833/1000),Skills!L6/10)+Skills!O6</f>
        <v/>
      </c>
      <c r="G833">
        <f>Skills!G6*IF(Skills!H6&gt;0,Skills!I6/Skills!H6,1)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833)</f>
        <v/>
      </c>
      <c r="L833">
        <f>K833*(MIN(Inputs!$B$22+((C849=TRUE)*(F849-Calc!F22)),(Inputs!$B$23+((C851=TRUE)*(F851-Calc!F24))+(IF(ArtifactsInput!$M$15,CHOOSE(ArtifactsInput!$N$15+1,25,30,35,40,45,50)/100*(Inputs!$B$11-Inputs!$B$11),0))))/100+(Inputs!$B$23+((C851=TRUE)*(F851-Calc!F24))+(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IFERROR(1/(IF(Inputs!$B$38="pvp",15,MAX(0.1,Skills!D6-IF(Skills!E6=TRUE,Inputs!$B$32,0)))*(1-IF(AND(ArtifactsInput!$M$27,Inputs!$B$4="Chapter Hunt"),CHOOSE(ArtifactsInput!$N$27+1,20,24,28,32,36,40),0)/100)),0)</f>
        <v/>
      </c>
      <c r="R833">
        <f>IF(AND(Inputs!$B$38&lt;&gt;"pvp",Inputs!$B$43&gt;0),IF(MAX(0,Inputs!$B$43-B863)&lt;=0,0,(INT(MAX(0,Inputs!$B$43-B863)/(IF(Inputs!$B$38="pvp",15,MAX(0.1,Skills!D6-IF(Skills!E6=TRUE,Inputs!$B$32,0)))*(1-IF(AND(ArtifactsInput!$M$27,Inputs!$B$4="Chapter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INDEX(FactorTable!$B$2:$Y$301, MATCH(ROUND(MIN(300,MAX(1,D834)),0), FactorTable!$A$2:$A$301,0), Skills!M7+1)</f>
        <v/>
      </c>
      <c r="F834">
        <f>IF(Skills!N7=TRUE,(Skills!L7/10)*(E834/1000),Skills!L7/10)+Skills!O7</f>
        <v/>
      </c>
      <c r="G834">
        <f>Skills!G7*IF(Skills!H7&gt;0,Skills!I7/Skills!H7,1)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834)</f>
        <v/>
      </c>
      <c r="L834">
        <f>K834*(MIN(Inputs!$B$22+((C849=TRUE)*(F849-Calc!F22)),(Inputs!$B$23+((C851=TRUE)*(F851-Calc!F24))+(IF(ArtifactsInput!$M$15,CHOOSE(ArtifactsInput!$N$15+1,25,30,35,40,45,50)/100*(Inputs!$B$11-Inputs!$B$11),0))))/100+(Inputs!$B$23+((C851=TRUE)*(F851-Calc!F24))+(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IFERROR(1/(IF(Inputs!$B$38="pvp",15,MAX(0.1,Skills!D7-IF(Skills!E7=TRUE,Inputs!$B$32,0)))*(1-IF(AND(ArtifactsInput!$M$27,Inputs!$B$4="Chapter Hunt"),CHOOSE(ArtifactsInput!$N$27+1,20,24,28,32,36,40),0)/100)),0)</f>
        <v/>
      </c>
      <c r="R834">
        <f>IF(AND(Inputs!$B$38&lt;&gt;"pvp",Inputs!$B$43&gt;0),IF(MAX(0,Inputs!$B$43-B863)&lt;=0,0,(INT(MAX(0,Inputs!$B$43-B863)/(IF(Inputs!$B$38="pvp",15,MAX(0.1,Skills!D7-IF(Skills!E7=TRUE,Inputs!$B$32,0)))*(1-IF(AND(ArtifactsInput!$M$27,Inputs!$B$4="Chapter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Inputs!$B$3&gt;=117</f>
        <v/>
      </c>
      <c r="D835">
        <f>IF(Skills!C8=1,60+Inputs!$B$25+Inputs!$B$29,IF(Skills!C8=2,90+Inputs!$B$26+Inputs!$B$29,IF(Skills!C8=3,120+(Inputs!$B$27+1)+Inputs!$B$29,MAX(0,(Inputs!$B$3-100)*3)+Inputs!$B$28+Inputs!$B$29)))</f>
        <v/>
      </c>
      <c r="E835">
        <f>INDEX(FactorTable!$B$2:$Y$301, MATCH(ROUND(MIN(300,MAX(1,D835)),0), FactorTable!$A$2:$A$301,0), Skills!M8+1)</f>
        <v/>
      </c>
      <c r="F835">
        <f>IF(Skills!N8=TRUE,(Skills!L8/10)*(E835/1000),Skills!L8/10)+Skills!O8</f>
        <v/>
      </c>
      <c r="G835">
        <f>Skills!G8*IF(Skills!H8&gt;0,Skills!I8/Skills!H8,1)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835)</f>
        <v/>
      </c>
      <c r="L835">
        <f>K835*(MIN(Inputs!$B$22+((C849=TRUE)*(F849-Calc!F22)),(Inputs!$B$23+((C851=TRUE)*(F851-Calc!F24))+(IF(ArtifactsInput!$M$15,CHOOSE(ArtifactsInput!$N$15+1,25,30,35,40,45,50)/100*(Inputs!$B$11-Inputs!$B$11),0))))/100+(Inputs!$B$23+((C851=TRUE)*(F851-Calc!F24))+(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IFERROR(1/(IF(Inputs!$B$38="pvp",15,MAX(0.1,Skills!D8-IF(Skills!E8=TRUE,Inputs!$B$32,0)))*(1-IF(AND(ArtifactsInput!$M$27,Inputs!$B$4="Chapter Hunt"),CHOOSE(ArtifactsInput!$N$27+1,20,24,28,32,36,40),0)/100)),0)</f>
        <v/>
      </c>
      <c r="R835">
        <f>IF(AND(Inputs!$B$38&lt;&gt;"pvp",Inputs!$B$43&gt;0),IF(MAX(0,Inputs!$B$43-B863)&lt;=0,0,(INT(MAX(0,Inputs!$B$43-B863)/(IF(Inputs!$B$38="pvp",15,MAX(0.1,Skills!D8-IF(Skills!E8=TRUE,Inputs!$B$32,0)))*(1-IF(AND(ArtifactsInput!$M$27,Inputs!$B$4="Chapter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Inputs!$B$3&gt;=69</f>
        <v/>
      </c>
      <c r="D836">
        <f>IF(Skills!C9=1,60+Inputs!$B$25+Inputs!$B$29,IF(Skills!C9=2,90+Inputs!$B$26+Inputs!$B$29,IF(Skills!C9=3,120+(Inputs!$B$27+1)+Inputs!$B$29,MAX(0,(Inputs!$B$3-100)*3)+Inputs!$B$28+Inputs!$B$29)))</f>
        <v/>
      </c>
      <c r="E836">
        <f>INDEX(FactorTable!$B$2:$Y$301, MATCH(ROUND(MIN(300,MAX(1,D836)),0), FactorTable!$A$2:$A$301,0), Skills!M9+1)</f>
        <v/>
      </c>
      <c r="F836">
        <f>IF(Skills!N9=TRUE,(Skills!L9/10)*(E836/1000),Skills!L9/10)+Skills!O9</f>
        <v/>
      </c>
      <c r="G836">
        <f>Skills!G9*IF(Skills!H9&gt;0,Skills!I9/Skills!H9,1)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9="ENHANCED_RAGING_BLOW",IF(Inputs!$B$3&gt;=134,MAX(0,IF(Inputs!$B$3&gt;=110,7,5)-5)*50,0),0)/100)*(1+(IF(Skills!A9="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836)</f>
        <v/>
      </c>
      <c r="L836">
        <f>K836*(MIN(Inputs!$B$22+((C849=TRUE)*(F849-Calc!F22)),(Inputs!$B$23+((C851=TRUE)*(F851-Calc!F24))+(IF(ArtifactsInput!$M$15,CHOOSE(ArtifactsInput!$N$15+1,25,30,35,40,45,50)/100*(Inputs!$B$11-Inputs!$B$11),0))))/100+(Inputs!$B$23+((C851=TRUE)*(F851-Calc!F24))+(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IFERROR(1/(IF(Inputs!$B$38="pvp",15,MAX(0.1,Skills!D9-IF(Skills!E9=TRUE,Inputs!$B$32,0)))*(1-IF(AND(ArtifactsInput!$M$27,Inputs!$B$4="Chapter Hunt"),CHOOSE(ArtifactsInput!$N$27+1,20,24,28,32,36,40),0)/100)),0)</f>
        <v/>
      </c>
      <c r="R836">
        <f>IF(AND(Inputs!$B$38&lt;&gt;"pvp",Inputs!$B$43&gt;0),IF(MAX(0,Inputs!$B$43-B863)&lt;=0,0,(INT(MAX(0,Inputs!$B$43-B863)/(IF(Inputs!$B$38="pvp",15,MAX(0.1,Skills!D9-IF(Skills!E9=TRUE,Inputs!$B$32,0)))*(1-IF(AND(ArtifactsInput!$M$27,Inputs!$B$4="Chapter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Inputs!$B$3&gt;=63</f>
        <v/>
      </c>
      <c r="D837">
        <f>IF(Skills!C10=1,60+Inputs!$B$25+Inputs!$B$29,IF(Skills!C10=2,90+Inputs!$B$26+Inputs!$B$29,IF(Skills!C10=3,120+(Inputs!$B$27+1)+Inputs!$B$29,MAX(0,(Inputs!$B$3-100)*3)+Inputs!$B$28+Inputs!$B$29)))</f>
        <v/>
      </c>
      <c r="E837">
        <f>INDEX(FactorTable!$B$2:$Y$301, MATCH(ROUND(MIN(300,MAX(1,D837)),0), FactorTable!$A$2:$A$301,0), Skills!M10+1)</f>
        <v/>
      </c>
      <c r="F837">
        <f>IF(Skills!N10=TRUE,(Skills!L10/10)*(E837/1000),Skills!L10/10)+Skills!O10</f>
        <v/>
      </c>
      <c r="G837">
        <f>Skills!G10*IF(Skills!H10&gt;0,Skills!I10/Skills!H10,1)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10="ENHANCED_RAGING_BLOW",IF(Inputs!$B$3&gt;=134,MAX(0,IF(Inputs!$B$3&gt;=110,7,5)-5)*50,0),0)/100)*(1+(IF(Skills!A10="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837)</f>
        <v/>
      </c>
      <c r="L837">
        <f>K837*(MIN(Inputs!$B$22+((C849=TRUE)*(F849-Calc!F22)),(Inputs!$B$23+((C851=TRUE)*(F851-Calc!F24))+(IF(ArtifactsInput!$M$15,CHOOSE(ArtifactsInput!$N$15+1,25,30,35,40,45,50)/100*(Inputs!$B$11-Inputs!$B$11),0))))/100+(Inputs!$B$23+((C851=TRUE)*(F851-Calc!F24))+(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IFERROR(1/(IF(Inputs!$B$38="pvp",15,MAX(0.1,Skills!D10-IF(Skills!E10=TRUE,Inputs!$B$32,0)))*(1-IF(AND(ArtifactsInput!$M$27,Inputs!$B$4="Chapter Hunt"),CHOOSE(ArtifactsInput!$N$27+1,20,24,28,32,36,40),0)/100)),0)</f>
        <v/>
      </c>
      <c r="R837">
        <f>IF(AND(Inputs!$B$38&lt;&gt;"pvp",Inputs!$B$43&gt;0),IF(MAX(0,Inputs!$B$43-B863)&lt;=0,0,(INT(MAX(0,Inputs!$B$43-B863)/(IF(Inputs!$B$38="pvp",15,MAX(0.1,Skills!D10-IF(Skills!E10=TRUE,Inputs!$B$32,0)))*(1-IF(AND(ArtifactsInput!$M$27,Inputs!$B$4="Chapter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Inputs!$B$3&gt;=35</f>
        <v/>
      </c>
      <c r="D838">
        <f>IF(Skills!C11=1,60+Inputs!$B$25+Inputs!$B$29,IF(Skills!C11=2,90+Inputs!$B$26+Inputs!$B$29,IF(Skills!C11=3,120+(Inputs!$B$27+1)+Inputs!$B$29,MAX(0,(Inputs!$B$3-100)*3)+Inputs!$B$28+Inputs!$B$29)))</f>
        <v/>
      </c>
      <c r="E838">
        <f>INDEX(FactorTable!$B$2:$Y$301, MATCH(ROUND(MIN(300,MAX(1,D838)),0), FactorTable!$A$2:$A$301,0), Skills!M11+1)</f>
        <v/>
      </c>
      <c r="F838">
        <f>IF(Skills!N11=TRUE,(Skills!L11/10)*(E838/1000),Skills!L11/10)+Skills!O11</f>
        <v/>
      </c>
      <c r="G838">
        <f>Skills!G11*IF(Skills!H11&gt;0,Skills!I11/Skills!H11,1)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11="ENHANCED_RAGING_BLOW",IF(Inputs!$B$3&gt;=134,MAX(0,IF(Inputs!$B$3&gt;=110,7,5)-5)*50,0),0)/100)*(1+(IF(Skills!A11="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838)</f>
        <v/>
      </c>
      <c r="L838">
        <f>K838*(MIN(Inputs!$B$22+((C849=TRUE)*(F849-Calc!F22)),(Inputs!$B$23+((C851=TRUE)*(F851-Calc!F24))+(IF(ArtifactsInput!$M$15,CHOOSE(ArtifactsInput!$N$15+1,25,30,35,40,45,50)/100*(Inputs!$B$11-Inputs!$B$11),0))))/100+(Inputs!$B$23+((C851=TRUE)*(F851-Calc!F24))+(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IFERROR(1/(IF(Inputs!$B$38="pvp",15,MAX(0.1,Skills!D11-IF(Skills!E11=TRUE,Inputs!$B$32,0)))*(1-IF(AND(ArtifactsInput!$M$27,Inputs!$B$4="Chapter Hunt"),CHOOSE(ArtifactsInput!$N$27+1,20,24,28,32,36,40),0)/100)),0)</f>
        <v/>
      </c>
      <c r="R838">
        <f>IF(AND(Inputs!$B$38&lt;&gt;"pvp",Inputs!$B$43&gt;0),IF(MAX(0,Inputs!$B$43-B863)&lt;=0,0,(INT(MAX(0,Inputs!$B$43-B863)/(IF(Inputs!$B$38="pvp",15,MAX(0.1,Skills!D11-IF(Skills!E11=TRUE,Inputs!$B$32,0)))*(1-IF(AND(ArtifactsInput!$M$27,Inputs!$B$4="Chapter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INDEX(FactorTable!$B$2:$Y$301, MATCH(ROUND(MIN(300,MAX(1,D839)),0),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INDEX(FactorTable!$B$2:$Y$301, MATCH(ROUND(MIN(300,MAX(1,D840)),0), FactorTable!$A$2:$A$301,0), Skills!M13+1)</f>
        <v/>
      </c>
      <c r="F840">
        <f>IF(Skills!N13=TRUE,(Skills!L13/10)*(E840/1000),Skills!L13/10)+Skills!O13</f>
        <v/>
      </c>
      <c r="G840">
        <f>Skills!G13*IF(Skills!H13&gt;0,Skills!I13/Skills!H13,1)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Inputs!$B$3&gt;=75</f>
        <v/>
      </c>
      <c r="D841">
        <f>IF(Skills!C14=1,60+Inputs!$B$25+Inputs!$B$29,IF(Skills!C14=2,90+Inputs!$B$26+Inputs!$B$29,IF(Skills!C14=3,120+(Inputs!$B$27+1)+Inputs!$B$29,MAX(0,(Inputs!$B$3-100)*3)+Inputs!$B$28+Inputs!$B$29)))</f>
        <v/>
      </c>
      <c r="E841">
        <f>INDEX(FactorTable!$B$2:$Y$301, MATCH(ROUND(MIN(300,MAX(1,D841)),0), FactorTable!$A$2:$A$301,0), Skills!M14+1)</f>
        <v/>
      </c>
      <c r="F841">
        <f>IF(Skills!N14=TRUE,(Skills!L14/10)*(E841/1000),Skills!L14/10)+Skills!O14</f>
        <v/>
      </c>
      <c r="G841">
        <f>Skills!G14*IF(Skills!H14&gt;0,Skills!I14/Skills!H14,1)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Inputs!$B$3&gt;=40</f>
        <v/>
      </c>
      <c r="D842">
        <f>IF(Skills!C15=1,60+Inputs!$B$25+Inputs!$B$29,IF(Skills!C15=2,90+Inputs!$B$26+Inputs!$B$29,IF(Skills!C15=3,120+(Inputs!$B$27+1)+Inputs!$B$29,MAX(0,(Inputs!$B$3-100)*3)+Inputs!$B$28+Inputs!$B$29)))</f>
        <v/>
      </c>
      <c r="E842">
        <f>INDEX(FactorTable!$B$2:$Y$301, MATCH(ROUND(MIN(300,MAX(1,D842)),0), FactorTable!$A$2:$A$301,0), Skills!M15+1)</f>
        <v/>
      </c>
      <c r="F842">
        <f>IF(Skills!N15=TRUE,(Skills!L15/10)*(E842/1000),Skills!L15/10)+Skills!O15</f>
        <v/>
      </c>
      <c r="G842">
        <f>Skills!G15*IF(Skills!H15&gt;0,Skills!I15/Skills!H15,1)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IFERROR(1/(IF(Inputs!$B$38="pvp",15,MAX(0.1,Skills!D15-IF(Skills!E15=TRUE,Inputs!$B$32,0)))*(1-IF(AND(ArtifactsInput!$M$27,Inputs!$B$4="Chapter Hunt"),CHOOSE(ArtifactsInput!$N$27+1,20,24,28,32,36,40),0)/100)),0)</f>
        <v/>
      </c>
      <c r="R842">
        <f>IF(AND(Inputs!$B$38&lt;&gt;"pvp",Inputs!$B$43&gt;0),IF(Inputs!$B$43&lt;=0,0,(INT(Inputs!$B$43/(IF(Inputs!$B$38="pvp",15,MAX(0.1,Skills!D15-IF(Skills!E15=TRUE,Inputs!$B$32,0)))*(1-IF(AND(ArtifactsInput!$M$27,Inputs!$B$4="Chapter Hunt"),CHOOSE(ArtifactsInput!$N$27+1,20,24,28,32,36,40),0)/100)))+1)),0)</f>
        <v/>
      </c>
      <c r="S842">
        <f>IFERROR(O842/N842,0)</f>
        <v/>
      </c>
      <c r="T842" t="n">
        <v>0</v>
      </c>
      <c r="V842" t="n">
        <v>0</v>
      </c>
    </row>
    <row r="843">
      <c r="A843">
        <f>Skills!A16</f>
        <v/>
      </c>
      <c r="B843">
        <f>Skills!B16</f>
        <v/>
      </c>
      <c r="C843">
        <f>Inputs!$B$3&gt;=66</f>
        <v/>
      </c>
      <c r="D843">
        <f>IF(Skills!C16=1,60+Inputs!$B$25+Inputs!$B$29,IF(Skills!C16=2,90+Inputs!$B$26+Inputs!$B$29,IF(Skills!C16=3,120+(Inputs!$B$27+1)+Inputs!$B$29,MAX(0,(Inputs!$B$3-100)*3)+Inputs!$B$28+Inputs!$B$29)))</f>
        <v/>
      </c>
      <c r="E843">
        <f>INDEX(FactorTable!$B$2:$Y$301, MATCH(ROUND(MIN(300,MAX(1,D843)),0), FactorTable!$A$2:$A$301,0), Skills!M16+1)</f>
        <v/>
      </c>
      <c r="F843">
        <f>IF(Skills!N16=TRUE,(Skills!L16/10)*(E843/1000),Skills!L16/10)+Skills!O16</f>
        <v/>
      </c>
      <c r="G843">
        <f>Skills!G16*IF(Skills!H16&gt;0,Skills!I16/Skills!H16,1)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IFERROR(1/(IF(Inputs!$B$38="pvp",15,MAX(0.1,Skills!D16-IF(Skills!E16=TRUE,Inputs!$B$32,0)))*(1-IF(AND(ArtifactsInput!$M$27,Inputs!$B$4="Chapter Hunt"),CHOOSE(ArtifactsInput!$N$27+1,20,24,28,32,36,40),0)/100)),0)</f>
        <v/>
      </c>
      <c r="R843">
        <f>IF(AND(Inputs!$B$38&lt;&gt;"pvp",Inputs!$B$43&gt;0),IF(Inputs!$B$43&lt;=0,0,(INT(Inputs!$B$43/(IF(Inputs!$B$38="pvp",15,MAX(0.1,Skills!D16-IF(Skills!E16=TRUE,Inputs!$B$32,0)))*(1-IF(AND(ArtifactsInput!$M$27,Inputs!$B$4="Chapter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INDEX(FactorTable!$B$2:$Y$301, MATCH(ROUND(MIN(300,MAX(1,D844)),0), FactorTable!$A$2:$A$301,0), Skills!M17+1)</f>
        <v/>
      </c>
      <c r="F844">
        <f>IF(Skills!N17=TRUE,(Skills!L17/10)*(E844/1000),Skills!L17/10)+Skills!O17</f>
        <v/>
      </c>
      <c r="G844">
        <f>Skills!G17*IF(Skills!H17&gt;0,Skills!I17/Skills!H17,1)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IFERROR(1/(IF(Inputs!$B$38="pvp",15,MAX(0.1,Skills!D17-IF(Skills!E17=TRUE,Inputs!$B$32,0)))*(1-IF(AND(ArtifactsInput!$M$27,Inputs!$B$4="Chapter Hunt"),CHOOSE(ArtifactsInput!$N$27+1,20,24,28,32,36,40),0)/100)),0)</f>
        <v/>
      </c>
      <c r="R844">
        <f>IF(AND(Inputs!$B$38&lt;&gt;"pvp",Inputs!$B$43&gt;0),IF(Inputs!$B$43&lt;=0,0,(INT(Inputs!$B$43/(IF(Inputs!$B$38="pvp",15,MAX(0.1,Skills!D17-IF(Skills!E17=TRUE,Inputs!$B$32,0)))*(1-IF(AND(ArtifactsInput!$M$27,Inputs!$B$4="Chapter Hunt"),CHOOSE(ArtifactsInput!$N$27+1,20,24,28,32,36,40),0)/100)))+1)),0)</f>
        <v/>
      </c>
      <c r="S844">
        <f>IFERROR(O844/N844,0)</f>
        <v/>
      </c>
      <c r="T844" t="n">
        <v>0</v>
      </c>
      <c r="V844" t="n">
        <v>0</v>
      </c>
    </row>
    <row r="845">
      <c r="A845">
        <f>Skills!A18</f>
        <v/>
      </c>
      <c r="B845">
        <f>Skills!B18</f>
        <v/>
      </c>
      <c r="C845">
        <f>Inputs!$B$3&gt;=115</f>
        <v/>
      </c>
      <c r="D845">
        <f>IF(Skills!C18=1,60+Inputs!$B$25+Inputs!$B$29,IF(Skills!C18=2,90+Inputs!$B$26+Inputs!$B$29,IF(Skills!C18=3,120+(Inputs!$B$27+1)+Inputs!$B$29,MAX(0,(Inputs!$B$3-100)*3)+Inputs!$B$28+Inputs!$B$29)))</f>
        <v/>
      </c>
      <c r="E845">
        <f>INDEX(FactorTable!$B$2:$Y$301, MATCH(ROUND(MIN(300,MAX(1,D845)),0), FactorTable!$A$2:$A$301,0), Skills!M18+1)</f>
        <v/>
      </c>
      <c r="F845">
        <f>IF(Skills!N18=TRUE,(Skills!L18/10)*(E845/1000),Skills!L18/10)+Skills!O18</f>
        <v/>
      </c>
      <c r="G845">
        <f>Skills!G18*IF(Skills!H18&gt;0,Skills!I18/Skills!H18,1)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IFERROR(1/(IF(Inputs!$B$38="pvp",15,MAX(0.1,Skills!D18-IF(Skills!E18=TRUE,Inputs!$B$32,0)))*(1-IF(AND(ArtifactsInput!$M$27,Inputs!$B$4="Chapter Hunt"),CHOOSE(ArtifactsInput!$N$27+1,20,24,28,32,36,40),0)/100)),0)</f>
        <v/>
      </c>
      <c r="R845">
        <f>IF(AND(Inputs!$B$38&lt;&gt;"pvp",Inputs!$B$43&gt;0),IF(Inputs!$B$43&lt;=0,0,(INT(Inputs!$B$43/(IF(Inputs!$B$38="pvp",15,MAX(0.1,Skills!D18-IF(Skills!E18=TRUE,Inputs!$B$32,0)))*(1-IF(AND(ArtifactsInput!$M$27,Inputs!$B$4="Chapter Hunt"),CHOOSE(ArtifactsInput!$N$27+1,20,24,28,32,36,40),0)/100)))+1)),0)</f>
        <v/>
      </c>
      <c r="S845">
        <f>IFERROR(O845/N845,0)</f>
        <v/>
      </c>
      <c r="T845" t="n">
        <v>0</v>
      </c>
      <c r="V845" t="n">
        <v>0</v>
      </c>
    </row>
    <row r="846">
      <c r="A846">
        <f>Skills!A19</f>
        <v/>
      </c>
      <c r="B846">
        <f>Skills!B19</f>
        <v/>
      </c>
      <c r="C846">
        <f>TRUE</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IFERROR(1/(IF(Inputs!$B$38="pvp",15,MAX(0.1,Skills!D19-IF(Skills!E19=TRUE,Inputs!$B$32,0)))*(1-IF(AND(ArtifactsInput!$M$27,Inputs!$B$4="Chapter Hunt"),CHOOSE(ArtifactsInput!$N$27+1,20,24,28,32,36,40),0)/100)),0)</f>
        <v/>
      </c>
      <c r="R846">
        <f>IF(AND(Inputs!$B$38&lt;&gt;"pvp",Inputs!$B$43&gt;0),IF(Inputs!$B$43&lt;=0,0,(INT(Inputs!$B$43/(IF(Inputs!$B$38="pvp",15,MAX(0.1,Skills!D19-IF(Skills!E19=TRUE,Inputs!$B$32,0)))*(1-IF(AND(ArtifactsInput!$M$27,Inputs!$B$4="Chapter Hunt"),CHOOSE(ArtifactsInput!$N$27+1,20,24,28,32,36,40),0)/100)))+1)),0)</f>
        <v/>
      </c>
      <c r="S846">
        <f>IFERROR(O846/N846,0)</f>
        <v/>
      </c>
      <c r="T846" t="n">
        <v>0</v>
      </c>
      <c r="V846" t="n">
        <v>0</v>
      </c>
    </row>
    <row r="847">
      <c r="A847">
        <f>Skills!A20</f>
        <v/>
      </c>
      <c r="B847">
        <f>Skills!B20</f>
        <v/>
      </c>
      <c r="C847">
        <f>Inputs!$B$3&gt;=33</f>
        <v/>
      </c>
      <c r="D847">
        <f>IF(Skills!C20=1,60+Inputs!$B$25+Inputs!$B$29,IF(Skills!C20=2,90+Inputs!$B$26+Inputs!$B$29,IF(Skills!C20=3,120+(Inputs!$B$27+1)+Inputs!$B$29,MAX(0,(Inputs!$B$3-100)*3)+Inputs!$B$28+Inputs!$B$29)))</f>
        <v/>
      </c>
      <c r="E847">
        <f>INDEX(FactorTable!$B$2:$Y$301, MATCH(ROUND(MIN(300,MAX(1,D847)),0), FactorTable!$A$2:$A$301,0), Skills!M20+1)</f>
        <v/>
      </c>
      <c r="F847">
        <f>IF(Skills!N20=TRUE,(Skills!L20/10)*(E847/1000),Skills!L20/10)+Skills!O20</f>
        <v/>
      </c>
      <c r="G847">
        <f>Skills!G20*IF(Skills!H20&gt;0,Skills!I20/Skills!H20,1)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Inputs!$B$3&gt;=38</f>
        <v/>
      </c>
      <c r="D848">
        <f>IF(Skills!C21=1,60+Inputs!$B$25+Inputs!$B$29,IF(Skills!C21=2,90+Inputs!$B$26+Inputs!$B$29,IF(Skills!C21=3,120+(Inputs!$B$27+1)+Inputs!$B$29,MAX(0,(Inputs!$B$3-100)*3)+Inputs!$B$28+Inputs!$B$29)))</f>
        <v/>
      </c>
      <c r="E848">
        <f>INDEX(FactorTable!$B$2:$Y$301, MATCH(ROUND(MIN(300,MAX(1,D848)),0), FactorTable!$A$2:$A$301,0), Skills!M21+1)</f>
        <v/>
      </c>
      <c r="F848">
        <f>IF(Skills!N21=TRUE,(Skills!L21/10)*(E848/1000),Skills!L21/10)+Skills!O21</f>
        <v/>
      </c>
      <c r="G848">
        <f>Skills!G21*IF(Skills!H21&gt;0,Skills!I21/Skills!H21,1)</f>
        <v/>
      </c>
      <c r="H848">
        <f>1-(1-Skills!J21/100)^Skills!K21</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Skills!A22</f>
        <v/>
      </c>
      <c r="B849">
        <f>Skills!B22</f>
        <v/>
      </c>
      <c r="C849">
        <f>Inputs!$B$3&gt;=43</f>
        <v/>
      </c>
      <c r="D849">
        <f>IF(Skills!C22=1,60+Inputs!$B$25+Inputs!$B$29,IF(Skills!C22=2,90+Inputs!$B$26+Inputs!$B$29,IF(Skills!C22=3,120+(Inputs!$B$27+1)+Inputs!$B$29,MAX(0,(Inputs!$B$3-100)*3)+Inputs!$B$28+Inputs!$B$29)))</f>
        <v/>
      </c>
      <c r="E849">
        <f>INDEX(FactorTable!$B$2:$Y$301, MATCH(ROUND(MIN(300,MAX(1,D849)),0), FactorTable!$A$2:$A$301,0), Skills!M22+1)</f>
        <v/>
      </c>
      <c r="F849">
        <f>IF(Skills!N22=TRUE,(Skills!L22/10)*(E849/1000),Skills!L22/10)+Skills!O22</f>
        <v/>
      </c>
      <c r="G849">
        <f>Skills!G22*IF(Skills!H22&gt;0,Skills!I22/Skills!H22,1)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Inputs!$B$3&gt;=120</f>
        <v/>
      </c>
      <c r="D850">
        <f>IF(Skills!C23=1,60+Inputs!$B$25+Inputs!$B$29,IF(Skills!C23=2,90+Inputs!$B$26+Inputs!$B$29,IF(Skills!C23=3,120+(Inputs!$B$27+1)+Inputs!$B$29,MAX(0,(Inputs!$B$3-100)*3)+Inputs!$B$28+Inputs!$B$29)))</f>
        <v/>
      </c>
      <c r="E850">
        <f>INDEX(FactorTable!$B$2:$Y$301, MATCH(ROUND(MIN(300,MAX(1,D850)),0), FactorTable!$A$2:$A$301,0), Skills!M23+1)</f>
        <v/>
      </c>
      <c r="F850">
        <f>IF(Skills!N23=TRUE,(Skills!L23/10)*(E850/1000),Skills!L23/10)+Skills!O23</f>
        <v/>
      </c>
      <c r="G850">
        <f>Skills!G23*IF(Skills!H23&gt;0,Skills!I23/Skills!H23,1)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Inputs!$B$3&gt;=120</f>
        <v/>
      </c>
      <c r="D851">
        <f>IF(Skills!C24=1,60+Inputs!$B$25+Inputs!$B$29,IF(Skills!C24=2,90+Inputs!$B$26+Inputs!$B$29,IF(Skills!C24=3,120+(Inputs!$B$27+1)+Inputs!$B$29,MAX(0,(Inputs!$B$3-100)*3)+Inputs!$B$28+Inputs!$B$29)))</f>
        <v/>
      </c>
      <c r="E851">
        <f>INDEX(FactorTable!$B$2:$Y$301, MATCH(ROUND(MIN(300,MAX(1,D851)),0), FactorTable!$A$2:$A$301,0), Skills!M24+1)</f>
        <v/>
      </c>
      <c r="F851">
        <f>IF(Skills!N24=TRUE,(Skills!L24/10)*(E851/1000),Skills!L24/10)+Skills!O24</f>
        <v/>
      </c>
      <c r="G851">
        <f>Skills!G24*IF(Skills!H24&gt;0,Skills!I24/Skills!H24,1)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Inputs!$B$3&gt;=125</f>
        <v/>
      </c>
      <c r="D852">
        <f>IF(Skills!C25=1,60+Inputs!$B$25+Inputs!$B$29,IF(Skills!C25=2,90+Inputs!$B$26+Inputs!$B$29,IF(Skills!C25=3,120+(Inputs!$B$27+1)+Inputs!$B$29,MAX(0,(Inputs!$B$3-100)*3)+Inputs!$B$28+Inputs!$B$29)))</f>
        <v/>
      </c>
      <c r="E852">
        <f>INDEX(FactorTable!$B$2:$Y$301, MATCH(ROUND(MIN(300,MAX(1,D852)),0), FactorTable!$A$2:$A$301,0), Skills!M25+1)</f>
        <v/>
      </c>
      <c r="F852">
        <f>IF(Skills!N25=TRUE,(Skills!L25/10)*(E852/1000),Skills!L25/10)+Skills!O25</f>
        <v/>
      </c>
      <c r="G852">
        <f>Skills!G25*IF(Skills!H25&gt;0,Skills!I25/Skills!H25,1)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Inputs!$B$3&gt;=72</f>
        <v/>
      </c>
      <c r="D853">
        <f>IF(Skills!C26=1,60+Inputs!$B$25+Inputs!$B$29,IF(Skills!C26=2,90+Inputs!$B$26+Inputs!$B$29,IF(Skills!C26=3,120+(Inputs!$B$27+1)+Inputs!$B$29,MAX(0,(Inputs!$B$3-100)*3)+Inputs!$B$28+Inputs!$B$29)))</f>
        <v/>
      </c>
      <c r="E853">
        <f>INDEX(FactorTable!$B$2:$Y$301, MATCH(ROUND(MIN(300,MAX(1,D853)),0), FactorTable!$A$2:$A$301,0), Skills!M26+1)</f>
        <v/>
      </c>
      <c r="F853">
        <f>IF(Skills!N26=TRUE,(Skills!L26/10)*(E853/1000),Skills!L26/10)+Skills!O26</f>
        <v/>
      </c>
      <c r="G853">
        <f>Skills!G26*IF(Skills!H26&gt;0,Skills!I26/Skills!H26,1)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846=TRUE)*F846*IF(AND(Inputs!$B$38&lt;&gt;"pvp",Inputs!$B$43&gt;0),(((R846-1)*(Skills!T19*(1+(Inputs!$B$34+(ArtifactsInput!$M$7-ArtifactsInput!$M$7)*CHOOSE(ArtifactsInput!$N$7+1,6,7.2,8.4,9.6,10.8,12))/100))+MIN((Skills!T19*(1+(Inputs!$B$34+(ArtifactsInput!$M$7-ArtifactsInput!$M$7)*CHOOSE(ArtifactsInput!$N$7+1,6,7.2,8.4,9.6,10.8,12))/100)),MAX(0,Inputs!$B$43-((R846-1)*Skills!D19))))/Inputs!$B$43),IF(Inputs!$B$38="pvp",MIN((Skills!T19*(1+(Inputs!$B$34+(ArtifactsInput!$M$7-ArtifactsInput!$M$7)*CHOOSE(ArtifactsInput!$N$7+1,6,7.2,8.4,9.6,10.8,12))/100)),15)/15,(Skills!T19*(1+(Inputs!$B$34+(ArtifactsInput!$M$7-ArtifactsInput!$M$7)*CHOOSE(ArtifactsInput!$N$7+1,6,7.2,8.4,9.6,10.8,12))/100))/Skills!D19)))</f>
        <v/>
      </c>
    </row>
    <row r="858">
      <c r="A858" t="inlineStr">
        <is>
          <t>Actions Per Second</t>
        </is>
      </c>
      <c r="B858">
        <f>1+MIN(150,150*(1-(1-(Inputs!$B$11+((C847=TRUE)*(F847-Calc!F20)))/150)*(1-B857/150)))/100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Raging Blow Casts Per Second</t>
        </is>
      </c>
      <c r="B860">
        <f>MAX(0,B858-B859)</f>
        <v/>
      </c>
    </row>
    <row r="861">
      <c r="A861" t="inlineStr">
        <is>
          <t>Global Critical Damage Bonus % (Enrage)</t>
        </is>
      </c>
      <c r="B861">
        <f>((C845=TRUE)*F845*IF(AND(Inputs!$B$38&lt;&gt;"pvp",Inputs!$B$43&gt;0),(((R845-1)*(Skills!T18*(1+(Inputs!$B$34+(ArtifactsInput!$M$7-ArtifactsInput!$M$7)*CHOOSE(ArtifactsInput!$N$7+1,6,7.2,8.4,9.6,10.8,12))/100))+MIN((Skills!T18*(1+(Inputs!$B$34+(ArtifactsInput!$M$7-ArtifactsInput!$M$7)*CHOOSE(ArtifactsInput!$N$7+1,6,7.2,8.4,9.6,10.8,12))/100)),MAX(0,Inputs!$B$43-((R845-1)*Skills!D18))))/Inputs!$B$43),IF(Inputs!$B$38="pvp",MIN((Skills!T18*(1+(Inputs!$B$34+(ArtifactsInput!$M$7-ArtifactsInput!$M$7)*CHOOSE(ArtifactsInput!$N$7+1,6,7.2,8.4,9.6,10.8,12))/100)),15)/15,(Skills!T18*(1+(Inputs!$B$34+(ArtifactsInput!$M$7-ArtifactsInput!$M$7)*CHOOSE(ArtifactsInput!$N$7+1,6,7.2,8.4,9.6,10.8,12))/100))/Skills!D18)))</f>
        <v/>
      </c>
    </row>
    <row r="862">
      <c r="A862" t="inlineStr">
        <is>
          <t>Global Final Damage Bonus % (Enrage + Combo Synergy)</t>
        </is>
      </c>
      <c r="B862">
        <f>((C844=TRUE)*F844*IF(AND(Inputs!$B$38&lt;&gt;"pvp",Inputs!$B$43&gt;0),(((R844-1)*(Skills!T17*(1+(Inputs!$B$34+(ArtifactsInput!$M$7-ArtifactsInput!$M$7)*CHOOSE(ArtifactsInput!$N$7+1,6,7.2,8.4,9.6,10.8,12))/100))+MIN((Skills!T17*(1+(Inputs!$B$34+(ArtifactsInput!$M$7-ArtifactsInput!$M$7)*CHOOSE(ArtifactsInput!$N$7+1,6,7.2,8.4,9.6,10.8,12))/100)),MAX(0,Inputs!$B$43-((R844-1)*Skills!D17))))/Inputs!$B$43),IF(Inputs!$B$38="pvp",MIN((Skills!T17*(1+(Inputs!$B$34+(ArtifactsInput!$M$7-ArtifactsInput!$M$7)*CHOOSE(ArtifactsInput!$N$7+1,6,7.2,8.4,9.6,10.8,12))/100)),15)/15,(Skills!T17*(1+(Inputs!$B$34+(ArtifactsInput!$M$7-ArtifactsInput!$M$7)*CHOOSE(ArtifactsInput!$N$7+1,6,7.2,8.4,9.6,10.8,12))/100))/Skills!D17)))+((C841=TRUE)*F841*IF(Inputs!$B$3&gt;=110,7,5))</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871)</f>
        <v/>
      </c>
      <c r="L871">
        <f>K871*(MIN(Inputs!$B$22+((C891=TRUE)*(F891-Calc!F22)),(Inputs!$B$23+((C893=TRUE)*(F893-Calc!F24))+(IF(ArtifactsInput!$M$15,CHOOSE(ArtifactsInput!$N$15+1,25,30,35,40,45,50)/100*(Inputs!$B$11-Inputs!$B$11),0))))/100+(Inputs!$B$23+((C893=TRUE)*(F893-Calc!F24))+(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Inputs!$B$3&gt;=103</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874)</f>
        <v/>
      </c>
      <c r="L874">
        <f>K874*(MIN(Inputs!$B$22+((C891=TRUE)*(F891-Calc!F22)),(Inputs!$B$23+((C893=TRUE)*(F893-Calc!F24))+(IF(ArtifactsInput!$M$15,CHOOSE(ArtifactsInput!$N$15+1,25,30,35,40,45,50)/100*(Inputs!$B$11-Inputs!$B$11),0))))/100+(Inputs!$B$23+((C893=TRUE)*(F893-Calc!F24))+(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IFERROR(1/(IF(Inputs!$B$38="pvp",15,MAX(0.1,Skills!D5-IF(Skills!E5=TRUE,Inputs!$B$32,0)))*(1-IF(AND(ArtifactsInput!$M$27,Inputs!$B$4="Chapter Hunt"),CHOOSE(ArtifactsInput!$N$27+1,20,24,28,32,36,40),0)/100)),0)</f>
        <v/>
      </c>
      <c r="R874">
        <f>IF(AND(Inputs!$B$38&lt;&gt;"pvp",Inputs!$B$43&gt;0),IF(MAX(0,Inputs!$B$43-B905)&lt;=0,0,(INT(MAX(0,Inputs!$B$43-B905)/(IF(Inputs!$B$38="pvp",15,MAX(0.1,Skills!D5-IF(Skills!E5=TRUE,Inputs!$B$32,0)))*(1-IF(AND(ArtifactsInput!$M$27,Inputs!$B$4="Chapter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875)</f>
        <v/>
      </c>
      <c r="L875">
        <f>K875*(MIN(Inputs!$B$22+((C891=TRUE)*(F891-Calc!F22)),(Inputs!$B$23+((C893=TRUE)*(F893-Calc!F24))+(IF(ArtifactsInput!$M$15,CHOOSE(ArtifactsInput!$N$15+1,25,30,35,40,45,50)/100*(Inputs!$B$11-Inputs!$B$11),0))))/100+(Inputs!$B$23+((C893=TRUE)*(F893-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IFERROR(1/(IF(Inputs!$B$38="pvp",15,MAX(0.1,Skills!D6-IF(Skills!E6=TRUE,Inputs!$B$32,0)))*(1-IF(AND(ArtifactsInput!$M$27,Inputs!$B$4="Chapter Hunt"),CHOOSE(ArtifactsInput!$N$27+1,20,24,28,32,36,40),0)/100)),0)</f>
        <v/>
      </c>
      <c r="R875">
        <f>IF(AND(Inputs!$B$38&lt;&gt;"pvp",Inputs!$B$43&gt;0),IF(MAX(0,Inputs!$B$43-B905)&lt;=0,0,(INT(MAX(0,Inputs!$B$43-B905)/(IF(Inputs!$B$38="pvp",15,MAX(0.1,Skills!D6-IF(Skills!E6=TRUE,Inputs!$B$32,0)))*(1-IF(AND(ArtifactsInput!$M$27,Inputs!$B$4="Chapter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876)</f>
        <v/>
      </c>
      <c r="L876">
        <f>K876*(MIN(Inputs!$B$22+((C891=TRUE)*(F891-Calc!F22)),(Inputs!$B$23+((C893=TRUE)*(F893-Calc!F24))+(IF(ArtifactsInput!$M$15,CHOOSE(ArtifactsInput!$N$15+1,25,30,35,40,45,50)/100*(Inputs!$B$11-Inputs!$B$11),0))))/100+(Inputs!$B$23+((C893=TRUE)*(F893-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IFERROR(1/(IF(Inputs!$B$38="pvp",15,MAX(0.1,Skills!D7-IF(Skills!E7=TRUE,Inputs!$B$32,0)))*(1-IF(AND(ArtifactsInput!$M$27,Inputs!$B$4="Chapter Hunt"),CHOOSE(ArtifactsInput!$N$27+1,20,24,28,32,36,40),0)/100)),0)</f>
        <v/>
      </c>
      <c r="R876">
        <f>IF(AND(Inputs!$B$38&lt;&gt;"pvp",Inputs!$B$43&gt;0),IF(MAX(0,Inputs!$B$43-B905)&lt;=0,0,(INT(MAX(0,Inputs!$B$43-B905)/(IF(Inputs!$B$38="pvp",15,MAX(0.1,Skills!D7-IF(Skills!E7=TRUE,Inputs!$B$32,0)))*(1-IF(AND(ArtifactsInput!$M$27,Inputs!$B$4="Chapter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Inputs!$B$3&gt;=117</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877)</f>
        <v/>
      </c>
      <c r="L877">
        <f>K877*(MIN(Inputs!$B$22+((C891=TRUE)*(F891-Calc!F22)),(Inputs!$B$23+((C893=TRUE)*(F893-Calc!F24))+(IF(ArtifactsInput!$M$15,CHOOSE(ArtifactsInput!$N$15+1,25,30,35,40,45,50)/100*(Inputs!$B$11-Inputs!$B$11),0))))/100+(Inputs!$B$23+((C893=TRUE)*(F893-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IFERROR(1/(IF(Inputs!$B$38="pvp",15,MAX(0.1,Skills!D8-IF(Skills!E8=TRUE,Inputs!$B$32,0)))*(1-IF(AND(ArtifactsInput!$M$27,Inputs!$B$4="Chapter Hunt"),CHOOSE(ArtifactsInput!$N$27+1,20,24,28,32,36,40),0)/100)),0)</f>
        <v/>
      </c>
      <c r="R877">
        <f>IF(AND(Inputs!$B$38&lt;&gt;"pvp",Inputs!$B$43&gt;0),IF(MAX(0,Inputs!$B$43-B905)&lt;=0,0,(INT(MAX(0,Inputs!$B$43-B905)/(IF(Inputs!$B$38="pvp",15,MAX(0.1,Skills!D8-IF(Skills!E8=TRUE,Inputs!$B$32,0)))*(1-IF(AND(ArtifactsInput!$M$27,Inputs!$B$4="Chapter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Inputs!$B$3&gt;=69</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ENHANCED_RAGING_BLOW",IF(Inputs!$B$3&gt;=134,MAX(0,IF(Inputs!$B$3&gt;=110,7,5)-5)*50,0),0)/100)*(1+(IF(Skills!A9="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878)</f>
        <v/>
      </c>
      <c r="L878">
        <f>K878*(MIN(Inputs!$B$22+((C891=TRUE)*(F891-Calc!F22)),(Inputs!$B$23+((C893=TRUE)*(F893-Calc!F24))+(IF(ArtifactsInput!$M$15,CHOOSE(ArtifactsInput!$N$15+1,25,30,35,40,45,50)/100*(Inputs!$B$11-Inputs!$B$11),0))))/100+(Inputs!$B$23+((C893=TRUE)*(F893-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IFERROR(1/(IF(Inputs!$B$38="pvp",15,MAX(0.1,Skills!D9-IF(Skills!E9=TRUE,Inputs!$B$32,0)))*(1-IF(AND(ArtifactsInput!$M$27,Inputs!$B$4="Chapter Hunt"),CHOOSE(ArtifactsInput!$N$27+1,20,24,28,32,36,40),0)/100)),0)</f>
        <v/>
      </c>
      <c r="R878">
        <f>IF(AND(Inputs!$B$38&lt;&gt;"pvp",Inputs!$B$43&gt;0),IF(MAX(0,Inputs!$B$43-B905)&lt;=0,0,(INT(MAX(0,Inputs!$B$43-B905)/(IF(Inputs!$B$38="pvp",15,MAX(0.1,Skills!D9-IF(Skills!E9=TRUE,Inputs!$B$32,0)))*(1-IF(AND(ArtifactsInput!$M$27,Inputs!$B$4="Chapter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Inputs!$B$3&gt;=63</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10="ENHANCED_RAGING_BLOW",IF(Inputs!$B$3&gt;=134,MAX(0,IF(Inputs!$B$3&gt;=110,7,5)-5)*50,0),0)/100)*(1+(IF(Skills!A10="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879)</f>
        <v/>
      </c>
      <c r="L879">
        <f>K879*(MIN(Inputs!$B$22+((C891=TRUE)*(F891-Calc!F22)),(Inputs!$B$23+((C893=TRUE)*(F893-Calc!F24))+(IF(ArtifactsInput!$M$15,CHOOSE(ArtifactsInput!$N$15+1,25,30,35,40,45,50)/100*(Inputs!$B$11-Inputs!$B$11),0))))/100+(Inputs!$B$23+((C893=TRUE)*(F893-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IFERROR(1/(IF(Inputs!$B$38="pvp",15,MAX(0.1,Skills!D10-IF(Skills!E10=TRUE,Inputs!$B$32,0)))*(1-IF(AND(ArtifactsInput!$M$27,Inputs!$B$4="Chapter Hunt"),CHOOSE(ArtifactsInput!$N$27+1,20,24,28,32,36,40),0)/100)),0)</f>
        <v/>
      </c>
      <c r="R879">
        <f>IF(AND(Inputs!$B$38&lt;&gt;"pvp",Inputs!$B$43&gt;0),IF(MAX(0,Inputs!$B$43-B905)&lt;=0,0,(INT(MAX(0,Inputs!$B$43-B905)/(IF(Inputs!$B$38="pvp",15,MAX(0.1,Skills!D10-IF(Skills!E10=TRUE,Inputs!$B$32,0)))*(1-IF(AND(ArtifactsInput!$M$27,Inputs!$B$4="Chapter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Inputs!$B$3&gt;=35</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11="ENHANCED_RAGING_BLOW",IF(Inputs!$B$3&gt;=134,MAX(0,IF(Inputs!$B$3&gt;=110,7,5)-5)*50,0),0)/100)*(1+(IF(Skills!A11="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880)</f>
        <v/>
      </c>
      <c r="L880">
        <f>K880*(MIN(Inputs!$B$22+((C891=TRUE)*(F891-Calc!F22)),(Inputs!$B$23+((C893=TRUE)*(F893-Calc!F24))+(IF(ArtifactsInput!$M$15,CHOOSE(ArtifactsInput!$N$15+1,25,30,35,40,45,50)/100*(Inputs!$B$11-Inputs!$B$11),0))))/100+(Inputs!$B$23+((C893=TRUE)*(F893-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IFERROR(1/(IF(Inputs!$B$38="pvp",15,MAX(0.1,Skills!D11-IF(Skills!E11=TRUE,Inputs!$B$32,0)))*(1-IF(AND(ArtifactsInput!$M$27,Inputs!$B$4="Chapter Hunt"),CHOOSE(ArtifactsInput!$N$27+1,20,24,28,32,36,40),0)/100)),0)</f>
        <v/>
      </c>
      <c r="R880">
        <f>IF(AND(Inputs!$B$38&lt;&gt;"pvp",Inputs!$B$43&gt;0),IF(MAX(0,Inputs!$B$43-B905)&lt;=0,0,(INT(MAX(0,Inputs!$B$43-B905)/(IF(Inputs!$B$38="pvp",15,MAX(0.1,Skills!D11-IF(Skills!E11=TRUE,Inputs!$B$32,0)))*(1-IF(AND(ArtifactsInput!$M$27,Inputs!$B$4="Chapter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Inputs!$B$3&gt;=75</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Inputs!$B$3&gt;=40</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IFERROR(1/(IF(Inputs!$B$38="pvp",15,MAX(0.1,Skills!D15-IF(Skills!E15=TRUE,Inputs!$B$32,0)))*(1-IF(AND(ArtifactsInput!$M$27,Inputs!$B$4="Chapter Hunt"),CHOOSE(ArtifactsInput!$N$27+1,20,24,28,32,36,40),0)/100)),0)</f>
        <v/>
      </c>
      <c r="R884">
        <f>IF(AND(Inputs!$B$38&lt;&gt;"pvp",Inputs!$B$43&gt;0),IF(Inputs!$B$43&lt;=0,0,(INT(Inputs!$B$43/(IF(Inputs!$B$38="pvp",15,MAX(0.1,Skills!D15-IF(Skills!E15=TRUE,Inputs!$B$32,0)))*(1-IF(AND(ArtifactsInput!$M$27,Inputs!$B$4="Chapter Hunt"),CHOOSE(ArtifactsInput!$N$27+1,20,24,28,32,36,40),0)/100)))+1)),0)</f>
        <v/>
      </c>
      <c r="S884">
        <f>IFERROR(O884/N884,0)</f>
        <v/>
      </c>
      <c r="T884" t="n">
        <v>0</v>
      </c>
      <c r="V884" t="n">
        <v>0</v>
      </c>
    </row>
    <row r="885">
      <c r="A885">
        <f>Skills!A16</f>
        <v/>
      </c>
      <c r="B885">
        <f>Skills!B16</f>
        <v/>
      </c>
      <c r="C885">
        <f>Inputs!$B$3&gt;=66</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IFERROR(1/(IF(Inputs!$B$38="pvp",15,MAX(0.1,Skills!D16-IF(Skills!E16=TRUE,Inputs!$B$32,0)))*(1-IF(AND(ArtifactsInput!$M$27,Inputs!$B$4="Chapter Hunt"),CHOOSE(ArtifactsInput!$N$27+1,20,24,28,32,36,40),0)/100)),0)</f>
        <v/>
      </c>
      <c r="R885">
        <f>IF(AND(Inputs!$B$38&lt;&gt;"pvp",Inputs!$B$43&gt;0),IF(Inputs!$B$43&lt;=0,0,(INT(Inputs!$B$43/(IF(Inputs!$B$38="pvp",15,MAX(0.1,Skills!D16-IF(Skills!E16=TRUE,Inputs!$B$32,0)))*(1-IF(AND(ArtifactsInput!$M$27,Inputs!$B$4="Chapter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IFERROR(1/(IF(Inputs!$B$38="pvp",15,MAX(0.1,Skills!D17-IF(Skills!E17=TRUE,Inputs!$B$32,0)))*(1-IF(AND(ArtifactsInput!$M$27,Inputs!$B$4="Chapter Hunt"),CHOOSE(ArtifactsInput!$N$27+1,20,24,28,32,36,40),0)/100)),0)</f>
        <v/>
      </c>
      <c r="R886">
        <f>IF(AND(Inputs!$B$38&lt;&gt;"pvp",Inputs!$B$43&gt;0),IF(Inputs!$B$43&lt;=0,0,(INT(Inputs!$B$43/(IF(Inputs!$B$38="pvp",15,MAX(0.1,Skills!D17-IF(Skills!E17=TRUE,Inputs!$B$32,0)))*(1-IF(AND(ArtifactsInput!$M$27,Inputs!$B$4="Chapter Hunt"),CHOOSE(ArtifactsInput!$N$27+1,20,24,28,32,36,40),0)/100)))+1)),0)</f>
        <v/>
      </c>
      <c r="S886">
        <f>IFERROR(O886/N886,0)</f>
        <v/>
      </c>
      <c r="T886" t="n">
        <v>0</v>
      </c>
      <c r="V886" t="n">
        <v>0</v>
      </c>
    </row>
    <row r="887">
      <c r="A887">
        <f>Skills!A18</f>
        <v/>
      </c>
      <c r="B887">
        <f>Skills!B18</f>
        <v/>
      </c>
      <c r="C887">
        <f>Inputs!$B$3&gt;=115</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IFERROR(1/(IF(Inputs!$B$38="pvp",15,MAX(0.1,Skills!D18-IF(Skills!E18=TRUE,Inputs!$B$32,0)))*(1-IF(AND(ArtifactsInput!$M$27,Inputs!$B$4="Chapter Hunt"),CHOOSE(ArtifactsInput!$N$27+1,20,24,28,32,36,40),0)/100)),0)</f>
        <v/>
      </c>
      <c r="R887">
        <f>IF(AND(Inputs!$B$38&lt;&gt;"pvp",Inputs!$B$43&gt;0),IF(Inputs!$B$43&lt;=0,0,(INT(Inputs!$B$43/(IF(Inputs!$B$38="pvp",15,MAX(0.1,Skills!D18-IF(Skills!E18=TRUE,Inputs!$B$32,0)))*(1-IF(AND(ArtifactsInput!$M$27,Inputs!$B$4="Chapter Hunt"),CHOOSE(ArtifactsInput!$N$27+1,20,24,28,32,36,40),0)/100)))+1)),0)</f>
        <v/>
      </c>
      <c r="S887">
        <f>IFERROR(O887/N887,0)</f>
        <v/>
      </c>
      <c r="T887" t="n">
        <v>0</v>
      </c>
      <c r="V887" t="n">
        <v>0</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IFERROR(1/(IF(Inputs!$B$38="pvp",15,MAX(0.1,Skills!D19-IF(Skills!E19=TRUE,Inputs!$B$32,0)))*(1-IF(AND(ArtifactsInput!$M$27,Inputs!$B$4="Chapter Hunt"),CHOOSE(ArtifactsInput!$N$27+1,20,24,28,32,36,40),0)/100)),0)</f>
        <v/>
      </c>
      <c r="R888">
        <f>IF(AND(Inputs!$B$38&lt;&gt;"pvp",Inputs!$B$43&gt;0),IF(Inputs!$B$43&lt;=0,0,(INT(Inputs!$B$43/(IF(Inputs!$B$38="pvp",15,MAX(0.1,Skills!D19-IF(Skills!E19=TRUE,Inputs!$B$32,0)))*(1-IF(AND(ArtifactsInput!$M$27,Inputs!$B$4="Chapter Hunt"),CHOOSE(ArtifactsInput!$N$27+1,20,24,28,32,36,40),0)/100)))+1)),0)</f>
        <v/>
      </c>
      <c r="S888">
        <f>IFERROR(O888/N888,0)</f>
        <v/>
      </c>
      <c r="T888" t="n">
        <v>0</v>
      </c>
      <c r="V888" t="n">
        <v>0</v>
      </c>
    </row>
    <row r="889">
      <c r="A889">
        <f>Skills!A20</f>
        <v/>
      </c>
      <c r="B889">
        <f>Skills!B20</f>
        <v/>
      </c>
      <c r="C889">
        <f>Inputs!$B$3&gt;=33</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IF(B908=0,0,O890/B908)</f>
        <v/>
      </c>
      <c r="Q890" t="n">
        <v>0</v>
      </c>
      <c r="R890" t="n">
        <v>0</v>
      </c>
      <c r="S890">
        <f>IFERROR(O890/N890,0)</f>
        <v/>
      </c>
      <c r="T890" t="n">
        <v>0</v>
      </c>
      <c r="V890" t="n">
        <v>0</v>
      </c>
    </row>
    <row r="891">
      <c r="A891">
        <f>Skills!A22</f>
        <v/>
      </c>
      <c r="B891">
        <f>Skills!B22</f>
        <v/>
      </c>
      <c r="C891">
        <f>Inputs!$B$3&gt;=43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Inputs!$B$3&gt;=120</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Inputs!$B$3&gt;=120</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Inputs!$B$3&gt;=72</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888=TRUE)*F888*IF(AND(Inputs!$B$38&lt;&gt;"pvp",Inputs!$B$43&gt;0),(((R888-1)*(Skills!T19*(1+(Inputs!$B$34+(ArtifactsInput!$M$7-ArtifactsInput!$M$7)*CHOOSE(ArtifactsInput!$N$7+1,6,7.2,8.4,9.6,10.8,12))/100))+MIN((Skills!T19*(1+(Inputs!$B$34+(ArtifactsInput!$M$7-ArtifactsInput!$M$7)*CHOOSE(ArtifactsInput!$N$7+1,6,7.2,8.4,9.6,10.8,12))/100)),MAX(0,Inputs!$B$43-((R888-1)*Skills!D19))))/Inputs!$B$43),IF(Inputs!$B$38="pvp",MIN((Skills!T19*(1+(Inputs!$B$34+(ArtifactsInput!$M$7-ArtifactsInput!$M$7)*CHOOSE(ArtifactsInput!$N$7+1,6,7.2,8.4,9.6,10.8,12))/100)),15)/15,(Skills!T19*(1+(Inputs!$B$34+(ArtifactsInput!$M$7-ArtifactsInput!$M$7)*CHOOSE(ArtifactsInput!$N$7+1,6,7.2,8.4,9.6,10.8,12))/100))/Skills!D19)))</f>
        <v/>
      </c>
    </row>
    <row r="900">
      <c r="A900" t="inlineStr">
        <is>
          <t>Actions Per Second</t>
        </is>
      </c>
      <c r="B900">
        <f>1+MIN(150,150*(1-(1-(Inputs!$B$11+((C889=TRUE)*(F889-Calc!F20)))/150)*(1-B899/150)))/100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Raging Blow Casts Per Second</t>
        </is>
      </c>
      <c r="B902">
        <f>MAX(0,B900-B901)</f>
        <v/>
      </c>
    </row>
    <row r="903">
      <c r="A903" t="inlineStr">
        <is>
          <t>Global Critical Damage Bonus % (Enrage)</t>
        </is>
      </c>
      <c r="B903">
        <f>((C887=TRUE)*F887*IF(AND(Inputs!$B$38&lt;&gt;"pvp",Inputs!$B$43&gt;0),(((R887-1)*(Skills!T18*(1+(Inputs!$B$34+(ArtifactsInput!$M$7-ArtifactsInput!$M$7)*CHOOSE(ArtifactsInput!$N$7+1,6,7.2,8.4,9.6,10.8,12))/100))+MIN((Skills!T18*(1+(Inputs!$B$34+(ArtifactsInput!$M$7-ArtifactsInput!$M$7)*CHOOSE(ArtifactsInput!$N$7+1,6,7.2,8.4,9.6,10.8,12))/100)),MAX(0,Inputs!$B$43-((R887-1)*Skills!D18))))/Inputs!$B$43),IF(Inputs!$B$38="pvp",MIN((Skills!T18*(1+(Inputs!$B$34+(ArtifactsInput!$M$7-ArtifactsInput!$M$7)*CHOOSE(ArtifactsInput!$N$7+1,6,7.2,8.4,9.6,10.8,12))/100)),15)/15,(Skills!T18*(1+(Inputs!$B$34+(ArtifactsInput!$M$7-ArtifactsInput!$M$7)*CHOOSE(ArtifactsInput!$N$7+1,6,7.2,8.4,9.6,10.8,12))/100))/Skills!D18)))</f>
        <v/>
      </c>
    </row>
    <row r="904">
      <c r="A904" t="inlineStr">
        <is>
          <t>Global Final Damage Bonus % (Enrage + Combo Synergy)</t>
        </is>
      </c>
      <c r="B904">
        <f>((C886=TRUE)*F886*IF(AND(Inputs!$B$38&lt;&gt;"pvp",Inputs!$B$43&gt;0),(((R886-1)*(Skills!T17*(1+(Inputs!$B$34+(ArtifactsInput!$M$7-ArtifactsInput!$M$7)*CHOOSE(ArtifactsInput!$N$7+1,6,7.2,8.4,9.6,10.8,12))/100))+MIN((Skills!T17*(1+(Inputs!$B$34+(ArtifactsInput!$M$7-ArtifactsInput!$M$7)*CHOOSE(ArtifactsInput!$N$7+1,6,7.2,8.4,9.6,10.8,12))/100)),MAX(0,Inputs!$B$43-((R886-1)*Skills!D17))))/Inputs!$B$43),IF(Inputs!$B$38="pvp",MIN((Skills!T17*(1+(Inputs!$B$34+(ArtifactsInput!$M$7-ArtifactsInput!$M$7)*CHOOSE(ArtifactsInput!$N$7+1,6,7.2,8.4,9.6,10.8,12))/100)),15)/15,(Skills!T17*(1+(Inputs!$B$34+(ArtifactsInput!$M$7-ArtifactsInput!$M$7)*CHOOSE(ArtifactsInput!$N$7+1,6,7.2,8.4,9.6,10.8,12))/100))/Skills!D17)))+((C883=TRUE)*F883*IF(Inputs!$B$3&gt;=110,7,5))</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Inputs!$B$3&gt;=105</f>
        <v/>
      </c>
      <c r="D915">
        <f>IF(Skills!C4=1,60+Inputs!$B$25+(Inputs!$B$29+1),IF(Skills!C4=2,90+Inputs!$B$26+(Inputs!$B$29+1),IF(Skills!C4=3,120+Inputs!$B$27+(Inputs!$B$29+1),MAX(0,(Inputs!$B$3-100)*3)+Inputs!$B$28+(Inputs!$B$29+1))))</f>
        <v/>
      </c>
      <c r="E915">
        <f>INDEX(FactorTable!$B$2:$Y$301, MATCH(ROUND(MIN(300,MAX(1,D915)),0), FactorTable!$A$2:$A$301,0), Skills!M4+1)</f>
        <v/>
      </c>
      <c r="F915">
        <f>IF(Skills!N4=TRUE,(Skills!L4/10)*(E915/1000),Skills!L4/10)+Skills!O4</f>
        <v/>
      </c>
      <c r="G915" t="inlineStr"/>
      <c r="H915" t="inlineStr"/>
      <c r="I915" t="inlineStr">
        <is>
          <t>1</t>
        </is>
      </c>
      <c r="J915" t="inlineStr"/>
      <c r="K915" t="inlineStr"/>
      <c r="L915" t="inlineStr"/>
      <c r="M915" t="inlineStr"/>
      <c r="N915" t="inlineStr"/>
      <c r="O915" t="inlineStr"/>
      <c r="P915" t="inlineStr"/>
      <c r="Q915" t="inlineStr"/>
      <c r="R915" t="inlineStr"/>
      <c r="S915" t="inlineStr"/>
      <c r="U915">
        <f>290*U914/1000</f>
        <v/>
      </c>
    </row>
    <row r="916">
      <c r="A916">
        <f>Skills!A5</f>
        <v/>
      </c>
      <c r="B916">
        <f>Skills!B5</f>
        <v/>
      </c>
      <c r="C916">
        <f>Inputs!$B$3&gt;=103</f>
        <v/>
      </c>
      <c r="D916">
        <f>IF(Skills!C5=1,60+Inputs!$B$25+(Inputs!$B$29+1),IF(Skills!C5=2,90+Inputs!$B$26+(Inputs!$B$29+1),IF(Skills!C5=3,120+Inputs!$B$27+(Inputs!$B$29+1),MAX(0,(Inputs!$B$3-100)*3)+Inputs!$B$28+(Inputs!$B$29+1))))</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IFERROR(1/(IF(Inputs!$B$38="pvp",15,MAX(0.1,Skills!D5-IF(Skills!E5=TRUE,Inputs!$B$32,0)))*(1-IF(AND(ArtifactsInput!$M$27,Inputs!$B$4="Chapter Hunt"),CHOOSE(ArtifactsInput!$N$27+1,20,24,28,32,36,40),0)/100)),0)</f>
        <v/>
      </c>
      <c r="R916">
        <f>IF(AND(Inputs!$B$38&lt;&gt;"pvp",Inputs!$B$43&gt;0),IF(MAX(0,Inputs!$B$43-B947)&lt;=0,0,(INT(MAX(0,Inputs!$B$43-B947)/(IF(Inputs!$B$38="pvp",15,MAX(0.1,Skills!D5-IF(Skills!E5=TRUE,Inputs!$B$32,0)))*(1-IF(AND(ArtifactsInput!$M$27,Inputs!$B$4="Chapter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IFERROR(1/(IF(Inputs!$B$38="pvp",15,MAX(0.1,Skills!D6-IF(Skills!E6=TRUE,Inputs!$B$32,0)))*(1-IF(AND(ArtifactsInput!$M$27,Inputs!$B$4="Chapter Hunt"),CHOOSE(ArtifactsInput!$N$27+1,20,24,28,32,36,40),0)/100)),0)</f>
        <v/>
      </c>
      <c r="R917">
        <f>IF(AND(Inputs!$B$38&lt;&gt;"pvp",Inputs!$B$43&gt;0),IF(MAX(0,Inputs!$B$43-B947)&lt;=0,0,(INT(MAX(0,Inputs!$B$43-B947)/(IF(Inputs!$B$38="pvp",15,MAX(0.1,Skills!D6-IF(Skills!E6=TRUE,Inputs!$B$32,0)))*(1-IF(AND(ArtifactsInput!$M$27,Inputs!$B$4="Chapter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IFERROR(1/(IF(Inputs!$B$38="pvp",15,MAX(0.1,Skills!D7-IF(Skills!E7=TRUE,Inputs!$B$32,0)))*(1-IF(AND(ArtifactsInput!$M$27,Inputs!$B$4="Chapter Hunt"),CHOOSE(ArtifactsInput!$N$27+1,20,24,28,32,36,40),0)/100)),0)</f>
        <v/>
      </c>
      <c r="R918">
        <f>IF(AND(Inputs!$B$38&lt;&gt;"pvp",Inputs!$B$43&gt;0),IF(MAX(0,Inputs!$B$43-B947)&lt;=0,0,(INT(MAX(0,Inputs!$B$43-B947)/(IF(Inputs!$B$38="pvp",15,MAX(0.1,Skills!D7-IF(Skills!E7=TRUE,Inputs!$B$32,0)))*(1-IF(AND(ArtifactsInput!$M$27,Inputs!$B$4="Chapter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Inputs!$B$3&gt;=117</f>
        <v/>
      </c>
      <c r="D919">
        <f>IF(Skills!C8=1,60+Inputs!$B$25+(Inputs!$B$29+1),IF(Skills!C8=2,90+Inputs!$B$26+(Inputs!$B$29+1),IF(Skills!C8=3,120+Inputs!$B$27+(Inputs!$B$29+1),MAX(0,(Inputs!$B$3-100)*3)+Inputs!$B$28+(Inputs!$B$29+1))))</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IFERROR(1/(IF(Inputs!$B$38="pvp",15,MAX(0.1,Skills!D8-IF(Skills!E8=TRUE,Inputs!$B$32,0)))*(1-IF(AND(ArtifactsInput!$M$27,Inputs!$B$4="Chapter Hunt"),CHOOSE(ArtifactsInput!$N$27+1,20,24,28,32,36,40),0)/100)),0)</f>
        <v/>
      </c>
      <c r="R919">
        <f>IF(AND(Inputs!$B$38&lt;&gt;"pvp",Inputs!$B$43&gt;0),IF(MAX(0,Inputs!$B$43-B947)&lt;=0,0,(INT(MAX(0,Inputs!$B$43-B947)/(IF(Inputs!$B$38="pvp",15,MAX(0.1,Skills!D8-IF(Skills!E8=TRUE,Inputs!$B$32,0)))*(1-IF(AND(ArtifactsInput!$M$27,Inputs!$B$4="Chapter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Inputs!$B$3&gt;=69</f>
        <v/>
      </c>
      <c r="D920">
        <f>IF(Skills!C9=1,60+Inputs!$B$25+(Inputs!$B$29+1),IF(Skills!C9=2,90+Inputs!$B$26+(Inputs!$B$29+1),IF(Skills!C9=3,120+Inputs!$B$27+(Inputs!$B$29+1),MAX(0,(Inputs!$B$3-100)*3)+Inputs!$B$28+(Inputs!$B$29+1))))</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9="ENHANCED_RAGING_BLOW",IF(Inputs!$B$3&gt;=134,MAX(0,IF(Inputs!$B$3&gt;=110,7,5)-5)*50,0),0)/100)*(1+(IF(Skills!A9="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IFERROR(1/(IF(Inputs!$B$38="pvp",15,MAX(0.1,Skills!D9-IF(Skills!E9=TRUE,Inputs!$B$32,0)))*(1-IF(AND(ArtifactsInput!$M$27,Inputs!$B$4="Chapter Hunt"),CHOOSE(ArtifactsInput!$N$27+1,20,24,28,32,36,40),0)/100)),0)</f>
        <v/>
      </c>
      <c r="R920">
        <f>IF(AND(Inputs!$B$38&lt;&gt;"pvp",Inputs!$B$43&gt;0),IF(MAX(0,Inputs!$B$43-B947)&lt;=0,0,(INT(MAX(0,Inputs!$B$43-B947)/(IF(Inputs!$B$38="pvp",15,MAX(0.1,Skills!D9-IF(Skills!E9=TRUE,Inputs!$B$32,0)))*(1-IF(AND(ArtifactsInput!$M$27,Inputs!$B$4="Chapter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Inputs!$B$3&gt;=63</f>
        <v/>
      </c>
      <c r="D921">
        <f>IF(Skills!C10=1,60+Inputs!$B$25+(Inputs!$B$29+1),IF(Skills!C10=2,90+Inputs!$B$26+(Inputs!$B$29+1),IF(Skills!C10=3,120+Inputs!$B$27+(Inputs!$B$29+1),MAX(0,(Inputs!$B$3-100)*3)+Inputs!$B$28+(Inputs!$B$29+1))))</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10="ENHANCED_RAGING_BLOW",IF(Inputs!$B$3&gt;=134,MAX(0,IF(Inputs!$B$3&gt;=110,7,5)-5)*50,0),0)/100)*(1+(IF(Skills!A10="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IFERROR(1/(IF(Inputs!$B$38="pvp",15,MAX(0.1,Skills!D10-IF(Skills!E10=TRUE,Inputs!$B$32,0)))*(1-IF(AND(ArtifactsInput!$M$27,Inputs!$B$4="Chapter Hunt"),CHOOSE(ArtifactsInput!$N$27+1,20,24,28,32,36,40),0)/100)),0)</f>
        <v/>
      </c>
      <c r="R921">
        <f>IF(AND(Inputs!$B$38&lt;&gt;"pvp",Inputs!$B$43&gt;0),IF(MAX(0,Inputs!$B$43-B947)&lt;=0,0,(INT(MAX(0,Inputs!$B$43-B947)/(IF(Inputs!$B$38="pvp",15,MAX(0.1,Skills!D10-IF(Skills!E10=TRUE,Inputs!$B$32,0)))*(1-IF(AND(ArtifactsInput!$M$27,Inputs!$B$4="Chapter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Inputs!$B$3&gt;=35</f>
        <v/>
      </c>
      <c r="D922">
        <f>IF(Skills!C11=1,60+Inputs!$B$25+(Inputs!$B$29+1),IF(Skills!C11=2,90+Inputs!$B$26+(Inputs!$B$29+1),IF(Skills!C11=3,120+Inputs!$B$27+(Inputs!$B$29+1),MAX(0,(Inputs!$B$3-100)*3)+Inputs!$B$28+(Inputs!$B$29+1))))</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11="ENHANCED_RAGING_BLOW",IF(Inputs!$B$3&gt;=134,MAX(0,IF(Inputs!$B$3&gt;=110,7,5)-5)*50,0),0)/100)*(1+(IF(Skills!A11="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IFERROR(1/(IF(Inputs!$B$38="pvp",15,MAX(0.1,Skills!D11-IF(Skills!E11=TRUE,Inputs!$B$32,0)))*(1-IF(AND(ArtifactsInput!$M$27,Inputs!$B$4="Chapter Hunt"),CHOOSE(ArtifactsInput!$N$27+1,20,24,28,32,36,40),0)/100)),0)</f>
        <v/>
      </c>
      <c r="R922">
        <f>IF(AND(Inputs!$B$38&lt;&gt;"pvp",Inputs!$B$43&gt;0),IF(MAX(0,Inputs!$B$43-B947)&lt;=0,0,(INT(MAX(0,Inputs!$B$43-B947)/(IF(Inputs!$B$38="pvp",15,MAX(0.1,Skills!D11-IF(Skills!E11=TRUE,Inputs!$B$32,0)))*(1-IF(AND(ArtifactsInput!$M$27,Inputs!$B$4="Chapter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Inputs!$B$3&gt;=75</f>
        <v/>
      </c>
      <c r="D925">
        <f>IF(Skills!C14=1,60+Inputs!$B$25+(Inputs!$B$29+1),IF(Skills!C14=2,90+Inputs!$B$26+(Inputs!$B$29+1),IF(Skills!C14=3,120+Inputs!$B$27+(Inputs!$B$29+1),MAX(0,(Inputs!$B$3-100)*3)+Inputs!$B$28+(Inputs!$B$29+1))))</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Inputs!$B$3&gt;=40</f>
        <v/>
      </c>
      <c r="D926">
        <f>IF(Skills!C15=1,60+Inputs!$B$25+(Inputs!$B$29+1),IF(Skills!C15=2,90+Inputs!$B$26+(Inputs!$B$29+1),IF(Skills!C15=3,120+Inputs!$B$27+(Inputs!$B$29+1),MAX(0,(Inputs!$B$3-100)*3)+Inputs!$B$28+(Inputs!$B$29+1))))</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Inputs!$B$3&gt;=66</f>
        <v/>
      </c>
      <c r="D927">
        <f>IF(Skills!C16=1,60+Inputs!$B$25+(Inputs!$B$29+1),IF(Skills!C16=2,90+Inputs!$B$26+(Inputs!$B$29+1),IF(Skills!C16=3,120+Inputs!$B$27+(Inputs!$B$29+1),MAX(0,(Inputs!$B$3-100)*3)+Inputs!$B$28+(Inputs!$B$29+1))))</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Inputs!$B$3&gt;=115</f>
        <v/>
      </c>
      <c r="D929">
        <f>IF(Skills!C18=1,60+Inputs!$B$25+(Inputs!$B$29+1),IF(Skills!C18=2,90+Inputs!$B$26+(Inputs!$B$29+1),IF(Skills!C18=3,120+Inputs!$B$27+(Inputs!$B$29+1),MAX(0,(Inputs!$B$3-100)*3)+Inputs!$B$28+(Inputs!$B$29+1))))</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IF(Skills!C20=1,60+Inputs!$B$25+(Inputs!$B$29+1),IF(Skills!C20=2,90+Inputs!$B$26+(Inputs!$B$29+1),IF(Skills!C20=3,120+Inputs!$B$27+(Inputs!$B$29+1),MAX(0,(Inputs!$B$3-100)*3)+Inputs!$B$28+(Inputs!$B$29+1))))</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Inputs!$B$3&gt;=38</f>
        <v/>
      </c>
      <c r="D932">
        <f>IF(Skills!C21=1,60+Inputs!$B$25+(Inputs!$B$29+1),IF(Skills!C21=2,90+Inputs!$B$26+(Inputs!$B$29+1),IF(Skills!C21=3,120+Inputs!$B$27+(Inputs!$B$29+1),MAX(0,(Inputs!$B$3-100)*3)+Inputs!$B$28+(Inputs!$B$29+1))))</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IF(B950=0,0,O932/B950)</f>
        <v/>
      </c>
      <c r="Q932" t="n">
        <v>0</v>
      </c>
      <c r="R932" t="n">
        <v>0</v>
      </c>
      <c r="S932">
        <f>IFERROR(O932/N932,0)</f>
        <v/>
      </c>
      <c r="T932" t="n">
        <v>0</v>
      </c>
      <c r="V932" t="n">
        <v>0</v>
      </c>
    </row>
    <row r="933">
      <c r="A933">
        <f>Skills!A22</f>
        <v/>
      </c>
      <c r="B933">
        <f>Skills!B22</f>
        <v/>
      </c>
      <c r="C933">
        <f>Inputs!$B$3&gt;=43</f>
        <v/>
      </c>
      <c r="D933">
        <f>IF(Skills!C22=1,60+Inputs!$B$25+(Inputs!$B$29+1),IF(Skills!C22=2,90+Inputs!$B$26+(Inputs!$B$29+1),IF(Skills!C22=3,120+Inputs!$B$27+(Inputs!$B$29+1),MAX(0,(Inputs!$B$3-100)*3)+Inputs!$B$28+(Inputs!$B$29+1))))</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Inputs!$B$3&gt;=120</f>
        <v/>
      </c>
      <c r="D934">
        <f>IF(Skills!C23=1,60+Inputs!$B$25+(Inputs!$B$29+1),IF(Skills!C23=2,90+Inputs!$B$26+(Inputs!$B$29+1),IF(Skills!C23=3,120+Inputs!$B$27+(Inputs!$B$29+1),MAX(0,(Inputs!$B$3-100)*3)+Inputs!$B$28+(Inputs!$B$29+1))))</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Inputs!$B$3&gt;=120</f>
        <v/>
      </c>
      <c r="D935">
        <f>IF(Skills!C24=1,60+Inputs!$B$25+(Inputs!$B$29+1),IF(Skills!C24=2,90+Inputs!$B$26+(Inputs!$B$29+1),IF(Skills!C24=3,120+Inputs!$B$27+(Inputs!$B$29+1),MAX(0,(Inputs!$B$3-100)*3)+Inputs!$B$28+(Inputs!$B$29+1))))</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Inputs!$B$3&gt;=125</f>
        <v/>
      </c>
      <c r="D936">
        <f>IF(Skills!C25=1,60+Inputs!$B$25+(Inputs!$B$29+1),IF(Skills!C25=2,90+Inputs!$B$26+(Inputs!$B$29+1),IF(Skills!C25=3,120+Inputs!$B$27+(Inputs!$B$29+1),MAX(0,(Inputs!$B$3-100)*3)+Inputs!$B$28+(Inputs!$B$29+1))))</f>
        <v/>
      </c>
      <c r="E936">
        <f>INDEX(FactorTable!$B$2:$Y$301, MATCH(ROUND(MIN(300,MAX(1,D936)),0), FactorTable!$A$2:$A$301,0), Skills!M25+1)</f>
        <v/>
      </c>
      <c r="F936">
        <f>IF(Skills!N25=TRUE,(Skills!L25/10)*(E936/1000),Skills!L25/10)+Skills!O25</f>
        <v/>
      </c>
      <c r="G936">
        <f>Skills!G25*IF(Skills!H25&gt;0,Skills!I25/Skills!H25,1)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Inputs!$B$3&gt;=72</f>
        <v/>
      </c>
      <c r="D937">
        <f>IF(Skills!C26=1,60+Inputs!$B$25+(Inputs!$B$29+1),IF(Skills!C26=2,90+Inputs!$B$26+(Inputs!$B$29+1),IF(Skills!C26=3,120+Inputs!$B$27+(Inputs!$B$29+1),MAX(0,(Inputs!$B$3-100)*3)+Inputs!$B$28+(Inputs!$B$29+1))))</f>
        <v/>
      </c>
      <c r="E937">
        <f>INDEX(FactorTable!$B$2:$Y$301, MATCH(ROUND(MIN(300,MAX(1,D937)),0), FactorTable!$A$2:$A$301,0), Skills!M26+1)</f>
        <v/>
      </c>
      <c r="F937">
        <f>IF(Skills!N26=TRUE,(Skills!L26/10)*(E937/1000),Skills!L26/10)+Skills!O26</f>
        <v/>
      </c>
      <c r="G937">
        <f>Skills!G26*IF(Skills!H26&gt;0,Skills!I26/Skills!H26,1)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930=TRUE)*F930*IF(AND(Inputs!$B$38&lt;&gt;"pvp",Inputs!$B$43&gt;0),(((R930-1)*(Skills!T19*(1+(Inputs!$B$34+(ArtifactsInput!$M$7-ArtifactsInput!$M$7)*CHOOSE(ArtifactsInput!$N$7+1,6,7.2,8.4,9.6,10.8,12))/100))+MIN((Skills!T19*(1+(Inputs!$B$34+(ArtifactsInput!$M$7-ArtifactsInput!$M$7)*CHOOSE(ArtifactsInput!$N$7+1,6,7.2,8.4,9.6,10.8,12))/100)),MAX(0,Inputs!$B$43-((R930-1)*Skills!D19))))/Inputs!$B$43),IF(Inputs!$B$38="pvp",MIN((Skills!T19*(1+(Inputs!$B$34+(ArtifactsInput!$M$7-ArtifactsInput!$M$7)*CHOOSE(ArtifactsInput!$N$7+1,6,7.2,8.4,9.6,10.8,12))/100)),15)/15,(Skills!T19*(1+(Inputs!$B$34+(ArtifactsInput!$M$7-ArtifactsInput!$M$7)*CHOOSE(ArtifactsInput!$N$7+1,6,7.2,8.4,9.6,10.8,12))/100))/Skills!D19)))</f>
        <v/>
      </c>
    </row>
    <row r="942">
      <c r="A942" t="inlineStr">
        <is>
          <t>Actions Per Second</t>
        </is>
      </c>
      <c r="B942">
        <f>1+MIN(150,150*(1-(1-(Inputs!$B$11+((C931=TRUE)*(F931-Calc!F20)))/150)*(1-B941/150)))/100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Raging Blow Casts Per Second</t>
        </is>
      </c>
      <c r="B944">
        <f>MAX(0,B942-B943)</f>
        <v/>
      </c>
    </row>
    <row r="945">
      <c r="A945" t="inlineStr">
        <is>
          <t>Global Critical Damage Bonus % (Enrage)</t>
        </is>
      </c>
      <c r="B945">
        <f>((C929=TRUE)*F929*IF(AND(Inputs!$B$38&lt;&gt;"pvp",Inputs!$B$43&gt;0),(((R929-1)*(Skills!T18*(1+(Inputs!$B$34+(ArtifactsInput!$M$7-ArtifactsInput!$M$7)*CHOOSE(ArtifactsInput!$N$7+1,6,7.2,8.4,9.6,10.8,12))/100))+MIN((Skills!T18*(1+(Inputs!$B$34+(ArtifactsInput!$M$7-ArtifactsInput!$M$7)*CHOOSE(ArtifactsInput!$N$7+1,6,7.2,8.4,9.6,10.8,12))/100)),MAX(0,Inputs!$B$43-((R929-1)*Skills!D18))))/Inputs!$B$43),IF(Inputs!$B$38="pvp",MIN((Skills!T18*(1+(Inputs!$B$34+(ArtifactsInput!$M$7-ArtifactsInput!$M$7)*CHOOSE(ArtifactsInput!$N$7+1,6,7.2,8.4,9.6,10.8,12))/100)),15)/15,(Skills!T18*(1+(Inputs!$B$34+(ArtifactsInput!$M$7-ArtifactsInput!$M$7)*CHOOSE(ArtifactsInput!$N$7+1,6,7.2,8.4,9.6,10.8,12))/100))/Skills!D18)))</f>
        <v/>
      </c>
    </row>
    <row r="946">
      <c r="A946" t="inlineStr">
        <is>
          <t>Global Final Damage Bonus % (Enrage + Combo Synergy)</t>
        </is>
      </c>
      <c r="B946">
        <f>((C928=TRUE)*F928*IF(AND(Inputs!$B$38&lt;&gt;"pvp",Inputs!$B$43&gt;0),(((R928-1)*(Skills!T17*(1+(Inputs!$B$34+(ArtifactsInput!$M$7-ArtifactsInput!$M$7)*CHOOSE(ArtifactsInput!$N$7+1,6,7.2,8.4,9.6,10.8,12))/100))+MIN((Skills!T17*(1+(Inputs!$B$34+(ArtifactsInput!$M$7-ArtifactsInput!$M$7)*CHOOSE(ArtifactsInput!$N$7+1,6,7.2,8.4,9.6,10.8,12))/100)),MAX(0,Inputs!$B$43-((R928-1)*Skills!D17))))/Inputs!$B$43),IF(Inputs!$B$38="pvp",MIN((Skills!T17*(1+(Inputs!$B$34+(ArtifactsInput!$M$7-ArtifactsInput!$M$7)*CHOOSE(ArtifactsInput!$N$7+1,6,7.2,8.4,9.6,10.8,12))/100)),15)/15,(Skills!T17*(1+(Inputs!$B$34+(ArtifactsInput!$M$7-ArtifactsInput!$M$7)*CHOOSE(ArtifactsInput!$N$7+1,6,7.2,8.4,9.6,10.8,12))/100))/Skills!D17)))+((C925=TRUE)*F925*IF(Inputs!$B$3&gt;=110,7,5))</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955)</f>
        <v/>
      </c>
      <c r="L955">
        <f>K955*(MIN(Inputs!$B$22+((C975=TRUE)*(F975-Calc!F22)),(Inputs!$B$23+((C977=TRUE)*(F977-Calc!F24))+(IF(ArtifactsInput!$M$15,CHOOSE(ArtifactsInput!$N$15+1,25,30,35,40,45,50)/100*(Inputs!$B$11-Inputs!$B$11),0))))/100+(Inputs!$B$23+((C977=TRUE)*(F977-Calc!F24))+(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958)</f>
        <v/>
      </c>
      <c r="L958">
        <f>K958*(MIN(Inputs!$B$22+((C975=TRUE)*(F975-Calc!F22)),(Inputs!$B$23+((C977=TRUE)*(F977-Calc!F24))+(IF(ArtifactsInput!$M$15,CHOOSE(ArtifactsInput!$N$15+1,25,30,35,40,45,50)/100*(Inputs!$B$11-Inputs!$B$11),0))))/100+(Inputs!$B$23+((C977=TRUE)*(F977-Calc!F24))+(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IFERROR(1/(IF(Inputs!$B$38="pvp",15,MAX(0.1,Skills!D5-IF(Skills!E5=TRUE,Inputs!$B$32,0)))*(1-IF(AND(ArtifactsInput!$M$27,Inputs!$B$4="Chapter Hunt"),CHOOSE(ArtifactsInput!$N$27+1,20,24,28,32,36,40),0)/100)),0)</f>
        <v/>
      </c>
      <c r="R958">
        <f>IF(AND(Inputs!$B$38&lt;&gt;"pvp",Inputs!$B$43&gt;0),IF(MAX(0,Inputs!$B$43-B989)&lt;=0,0,(INT(MAX(0,Inputs!$B$43-B989)/(IF(Inputs!$B$38="pvp",15,MAX(0.1,Skills!D5-IF(Skills!E5=TRUE,Inputs!$B$32,0)))*(1-IF(AND(ArtifactsInput!$M$27,Inputs!$B$4="Chapter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959)</f>
        <v/>
      </c>
      <c r="L959">
        <f>K959*(MIN(Inputs!$B$22+((C975=TRUE)*(F975-Calc!F22)),(Inputs!$B$23+((C977=TRUE)*(F977-Calc!F24))+(IF(ArtifactsInput!$M$15,CHOOSE(ArtifactsInput!$N$15+1,25,30,35,40,45,50)/100*(Inputs!$B$11-Inputs!$B$11),0))))/100+(Inputs!$B$23+((C977=TRUE)*(F977-Calc!F24))+(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IFERROR(1/(IF(Inputs!$B$38="pvp",15,MAX(0.1,Skills!D6-IF(Skills!E6=TRUE,Inputs!$B$32,0)))*(1-IF(AND(ArtifactsInput!$M$27,Inputs!$B$4="Chapter Hunt"),CHOOSE(ArtifactsInput!$N$27+1,20,24,28,32,36,40),0)/100)),0)</f>
        <v/>
      </c>
      <c r="R959">
        <f>IF(AND(Inputs!$B$38&lt;&gt;"pvp",Inputs!$B$43&gt;0),IF(MAX(0,Inputs!$B$43-B989)&lt;=0,0,(INT(MAX(0,Inputs!$B$43-B989)/(IF(Inputs!$B$38="pvp",15,MAX(0.1,Skills!D6-IF(Skills!E6=TRUE,Inputs!$B$32,0)))*(1-IF(AND(ArtifactsInput!$M$27,Inputs!$B$4="Chapter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960)</f>
        <v/>
      </c>
      <c r="L960">
        <f>K960*(MIN(Inputs!$B$22+((C975=TRUE)*(F975-Calc!F22)),(Inputs!$B$23+((C977=TRUE)*(F977-Calc!F24))+(IF(ArtifactsInput!$M$15,CHOOSE(ArtifactsInput!$N$15+1,25,30,35,40,45,50)/100*(Inputs!$B$11-Inputs!$B$11),0))))/100+(Inputs!$B$23+((C977=TRUE)*(F977-Calc!F24))+(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IFERROR(1/(IF(Inputs!$B$38="pvp",15,MAX(0.1,Skills!D7-IF(Skills!E7=TRUE,Inputs!$B$32,0)))*(1-IF(AND(ArtifactsInput!$M$27,Inputs!$B$4="Chapter Hunt"),CHOOSE(ArtifactsInput!$N$27+1,20,24,28,32,36,40),0)/100)),0)</f>
        <v/>
      </c>
      <c r="R960">
        <f>IF(AND(Inputs!$B$38&lt;&gt;"pvp",Inputs!$B$43&gt;0),IF(MAX(0,Inputs!$B$43-B989)&lt;=0,0,(INT(MAX(0,Inputs!$B$43-B989)/(IF(Inputs!$B$38="pvp",15,MAX(0.1,Skills!D7-IF(Skills!E7=TRUE,Inputs!$B$32,0)))*(1-IF(AND(ArtifactsInput!$M$27,Inputs!$B$4="Chapter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961)</f>
        <v/>
      </c>
      <c r="L961">
        <f>K961*(MIN(Inputs!$B$22+((C975=TRUE)*(F975-Calc!F22)),(Inputs!$B$23+((C977=TRUE)*(F977-Calc!F24))+(IF(ArtifactsInput!$M$15,CHOOSE(ArtifactsInput!$N$15+1,25,30,35,40,45,50)/100*(Inputs!$B$11-Inputs!$B$11),0))))/100+(Inputs!$B$23+((C977=TRUE)*(F977-Calc!F24))+(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IFERROR(1/(IF(Inputs!$B$38="pvp",15,MAX(0.1,Skills!D8-IF(Skills!E8=TRUE,Inputs!$B$32,0)))*(1-IF(AND(ArtifactsInput!$M$27,Inputs!$B$4="Chapter Hunt"),CHOOSE(ArtifactsInput!$N$27+1,20,24,28,32,36,40),0)/100)),0)</f>
        <v/>
      </c>
      <c r="R961">
        <f>IF(AND(Inputs!$B$38&lt;&gt;"pvp",Inputs!$B$43&gt;0),IF(MAX(0,Inputs!$B$43-B989)&lt;=0,0,(INT(MAX(0,Inputs!$B$43-B989)/(IF(Inputs!$B$38="pvp",15,MAX(0.1,Skills!D8-IF(Skills!E8=TRUE,Inputs!$B$32,0)))*(1-IF(AND(ArtifactsInput!$M$27,Inputs!$B$4="Chapter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9="ENHANCED_RAGING_BLOW",IF(Inputs!$B$3&gt;=134,MAX(0,IF(Inputs!$B$3&gt;=110,7,5)-5)*50,0),0)/100)*(1+(IF(Skills!A9="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962)</f>
        <v/>
      </c>
      <c r="L962">
        <f>K962*(MIN(Inputs!$B$22+((C975=TRUE)*(F975-Calc!F22)),(Inputs!$B$23+((C977=TRUE)*(F977-Calc!F24))+(IF(ArtifactsInput!$M$15,CHOOSE(ArtifactsInput!$N$15+1,25,30,35,40,45,50)/100*(Inputs!$B$11-Inputs!$B$11),0))))/100+(Inputs!$B$23+((C977=TRUE)*(F977-Calc!F24))+(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IFERROR(1/(IF(Inputs!$B$38="pvp",15,MAX(0.1,Skills!D9-IF(Skills!E9=TRUE,Inputs!$B$32,0)))*(1-IF(AND(ArtifactsInput!$M$27,Inputs!$B$4="Chapter Hunt"),CHOOSE(ArtifactsInput!$N$27+1,20,24,28,32,36,40),0)/100)),0)</f>
        <v/>
      </c>
      <c r="R962">
        <f>IF(AND(Inputs!$B$38&lt;&gt;"pvp",Inputs!$B$43&gt;0),IF(MAX(0,Inputs!$B$43-B989)&lt;=0,0,(INT(MAX(0,Inputs!$B$43-B989)/(IF(Inputs!$B$38="pvp",15,MAX(0.1,Skills!D9-IF(Skills!E9=TRUE,Inputs!$B$32,0)))*(1-IF(AND(ArtifactsInput!$M$27,Inputs!$B$4="Chapter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10="ENHANCED_RAGING_BLOW",IF(Inputs!$B$3&gt;=134,MAX(0,IF(Inputs!$B$3&gt;=110,7,5)-5)*50,0),0)/100)*(1+(IF(Skills!A10="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963)</f>
        <v/>
      </c>
      <c r="L963">
        <f>K963*(MIN(Inputs!$B$22+((C975=TRUE)*(F975-Calc!F22)),(Inputs!$B$23+((C977=TRUE)*(F977-Calc!F24))+(IF(ArtifactsInput!$M$15,CHOOSE(ArtifactsInput!$N$15+1,25,30,35,40,45,50)/100*(Inputs!$B$11-Inputs!$B$11),0))))/100+(Inputs!$B$23+((C977=TRUE)*(F977-Calc!F24))+(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IFERROR(1/(IF(Inputs!$B$38="pvp",15,MAX(0.1,Skills!D10-IF(Skills!E10=TRUE,Inputs!$B$32,0)))*(1-IF(AND(ArtifactsInput!$M$27,Inputs!$B$4="Chapter Hunt"),CHOOSE(ArtifactsInput!$N$27+1,20,24,28,32,36,40),0)/100)),0)</f>
        <v/>
      </c>
      <c r="R963">
        <f>IF(AND(Inputs!$B$38&lt;&gt;"pvp",Inputs!$B$43&gt;0),IF(MAX(0,Inputs!$B$43-B989)&lt;=0,0,(INT(MAX(0,Inputs!$B$43-B989)/(IF(Inputs!$B$38="pvp",15,MAX(0.1,Skills!D10-IF(Skills!E10=TRUE,Inputs!$B$32,0)))*(1-IF(AND(ArtifactsInput!$M$27,Inputs!$B$4="Chapter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11="ENHANCED_RAGING_BLOW",IF(Inputs!$B$3&gt;=134,MAX(0,IF(Inputs!$B$3&gt;=110,7,5)-5)*50,0),0)/100)*(1+(IF(Skills!A11="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964)</f>
        <v/>
      </c>
      <c r="L964">
        <f>K964*(MIN(Inputs!$B$22+((C975=TRUE)*(F975-Calc!F22)),(Inputs!$B$23+((C977=TRUE)*(F977-Calc!F24))+(IF(ArtifactsInput!$M$15,CHOOSE(ArtifactsInput!$N$15+1,25,30,35,40,45,50)/100*(Inputs!$B$11-Inputs!$B$11),0))))/100+(Inputs!$B$23+((C977=TRUE)*(F977-Calc!F24))+(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IFERROR(1/(IF(Inputs!$B$38="pvp",15,MAX(0.1,Skills!D11-IF(Skills!E11=TRUE,Inputs!$B$32,0)))*(1-IF(AND(ArtifactsInput!$M$27,Inputs!$B$4="Chapter Hunt"),CHOOSE(ArtifactsInput!$N$27+1,20,24,28,32,36,40),0)/100)),0)</f>
        <v/>
      </c>
      <c r="R964">
        <f>IF(AND(Inputs!$B$38&lt;&gt;"pvp",Inputs!$B$43&gt;0),IF(MAX(0,Inputs!$B$43-B989)&lt;=0,0,(INT(MAX(0,Inputs!$B$43-B989)/(IF(Inputs!$B$38="pvp",15,MAX(0.1,Skills!D11-IF(Skills!E11=TRUE,Inputs!$B$32,0)))*(1-IF(AND(ArtifactsInput!$M$27,Inputs!$B$4="Chapter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IFERROR(1/(IF(Inputs!$B$38="pvp",15,MAX(0.1,Skills!D15-IF(Skills!E15=TRUE,Inputs!$B$32,0)))*(1-IF(AND(ArtifactsInput!$M$27,Inputs!$B$4="Chapter Hunt"),CHOOSE(ArtifactsInput!$N$27+1,20,24,28,32,36,40),0)/100)),0)</f>
        <v/>
      </c>
      <c r="R968">
        <f>IF(AND(Inputs!$B$38&lt;&gt;"pvp",Inputs!$B$43&gt;0),IF(Inputs!$B$43&lt;=0,0,(INT(Inputs!$B$43/(IF(Inputs!$B$38="pvp",15,MAX(0.1,Skills!D15-IF(Skills!E15=TRUE,Inputs!$B$32,0)))*(1-IF(AND(ArtifactsInput!$M$27,Inputs!$B$4="Chapter Hunt"),CHOOSE(ArtifactsInput!$N$27+1,20,24,28,32,36,40),0)/100)))+1)),0)</f>
        <v/>
      </c>
      <c r="S968">
        <f>IFERROR(O968/N968,0)</f>
        <v/>
      </c>
      <c r="T968" t="n">
        <v>0</v>
      </c>
      <c r="V968" t="n">
        <v>0</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IFERROR(1/(IF(Inputs!$B$38="pvp",15,MAX(0.1,Skills!D16-IF(Skills!E16=TRUE,Inputs!$B$32,0)))*(1-IF(AND(ArtifactsInput!$M$27,Inputs!$B$4="Chapter Hunt"),CHOOSE(ArtifactsInput!$N$27+1,20,24,28,32,36,40),0)/100)),0)</f>
        <v/>
      </c>
      <c r="R969">
        <f>IF(AND(Inputs!$B$38&lt;&gt;"pvp",Inputs!$B$43&gt;0),IF(Inputs!$B$43&lt;=0,0,(INT(Inputs!$B$43/(IF(Inputs!$B$38="pvp",15,MAX(0.1,Skills!D16-IF(Skills!E16=TRUE,Inputs!$B$32,0)))*(1-IF(AND(ArtifactsInput!$M$27,Inputs!$B$4="Chapter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IFERROR(1/(IF(Inputs!$B$38="pvp",15,MAX(0.1,Skills!D17-IF(Skills!E17=TRUE,Inputs!$B$32,0)))*(1-IF(AND(ArtifactsInput!$M$27,Inputs!$B$4="Chapter Hunt"),CHOOSE(ArtifactsInput!$N$27+1,20,24,28,32,36,40),0)/100)),0)</f>
        <v/>
      </c>
      <c r="R970">
        <f>IF(AND(Inputs!$B$38&lt;&gt;"pvp",Inputs!$B$43&gt;0),IF(Inputs!$B$43&lt;=0,0,(INT(Inputs!$B$43/(IF(Inputs!$B$38="pvp",15,MAX(0.1,Skills!D17-IF(Skills!E17=TRUE,Inputs!$B$32,0)))*(1-IF(AND(ArtifactsInput!$M$27,Inputs!$B$4="Chapter Hunt"),CHOOSE(ArtifactsInput!$N$27+1,20,24,28,32,36,40),0)/100)))+1)),0)</f>
        <v/>
      </c>
      <c r="S970">
        <f>IFERROR(O970/N970,0)</f>
        <v/>
      </c>
      <c r="T970" t="n">
        <v>0</v>
      </c>
      <c r="V970" t="n">
        <v>0</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IFERROR(1/(IF(Inputs!$B$38="pvp",15,MAX(0.1,Skills!D18-IF(Skills!E18=TRUE,Inputs!$B$32,0)))*(1-IF(AND(ArtifactsInput!$M$27,Inputs!$B$4="Chapter Hunt"),CHOOSE(ArtifactsInput!$N$27+1,20,24,28,32,36,40),0)/100)),0)</f>
        <v/>
      </c>
      <c r="R971">
        <f>IF(AND(Inputs!$B$38&lt;&gt;"pvp",Inputs!$B$43&gt;0),IF(Inputs!$B$43&lt;=0,0,(INT(Inputs!$B$43/(IF(Inputs!$B$38="pvp",15,MAX(0.1,Skills!D18-IF(Skills!E18=TRUE,Inputs!$B$32,0)))*(1-IF(AND(ArtifactsInput!$M$27,Inputs!$B$4="Chapter Hunt"),CHOOSE(ArtifactsInput!$N$27+1,20,24,28,32,36,40),0)/100)))+1)),0)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IFERROR(1/(IF(Inputs!$B$38="pvp",15,MAX(0.1,Skills!D19-IF(Skills!E19=TRUE,Inputs!$B$32,0)))*(1-IF(AND(ArtifactsInput!$M$27,Inputs!$B$4="Chapter Hunt"),CHOOSE(ArtifactsInput!$N$27+1,20,24,28,32,36,40),0)/100)),0)</f>
        <v/>
      </c>
      <c r="R972">
        <f>IF(AND(Inputs!$B$38&lt;&gt;"pvp",Inputs!$B$43&gt;0),IF(Inputs!$B$43&lt;=0,0,(INT(Inputs!$B$43/(IF(Inputs!$B$38="pvp",15,MAX(0.1,Skills!D19-IF(Skills!E19=TRUE,Inputs!$B$32,0)))*(1-IF(AND(ArtifactsInput!$M$27,Inputs!$B$4="Chapter Hunt"),CHOOSE(ArtifactsInput!$N$27+1,20,24,28,32,36,40),0)/100)))+1)),0)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972=TRUE)*F972*IF(AND(Inputs!$B$38&lt;&gt;"pvp",Inputs!$B$43&gt;0),(((R972-1)*(Skills!T19*(1+(Inputs!$B$34+(ArtifactsInput!$M$7-ArtifactsInput!$M$7)*CHOOSE(ArtifactsInput!$N$7+1,6,7.2,8.4,9.6,10.8,12))/100))+MIN((Skills!T19*(1+(Inputs!$B$34+(ArtifactsInput!$M$7-ArtifactsInput!$M$7)*CHOOSE(ArtifactsInput!$N$7+1,6,7.2,8.4,9.6,10.8,12))/100)),MAX(0,Inputs!$B$43-((R972-1)*Skills!D19))))/Inputs!$B$43),IF(Inputs!$B$38="pvp",MIN((Skills!T19*(1+(Inputs!$B$34+(ArtifactsInput!$M$7-ArtifactsInput!$M$7)*CHOOSE(ArtifactsInput!$N$7+1,6,7.2,8.4,9.6,10.8,12))/100)),15)/15,(Skills!T19*(1+(Inputs!$B$34+(ArtifactsInput!$M$7-ArtifactsInput!$M$7)*CHOOSE(ArtifactsInput!$N$7+1,6,7.2,8.4,9.6,10.8,12))/100))/Skills!D19)))</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Skills!T18*(1+(Inputs!$B$34+(ArtifactsInput!$M$7-ArtifactsInput!$M$7)*CHOOSE(ArtifactsInput!$N$7+1,6,7.2,8.4,9.6,10.8,12))/100))+MIN((Skills!T18*(1+(Inputs!$B$34+(ArtifactsInput!$M$7-ArtifactsInput!$M$7)*CHOOSE(ArtifactsInput!$N$7+1,6,7.2,8.4,9.6,10.8,12))/100)),MAX(0,Inputs!$B$43-((R971-1)*Skills!D18))))/Inputs!$B$43),IF(Inputs!$B$38="pvp",MIN((Skills!T18*(1+(Inputs!$B$34+(ArtifactsInput!$M$7-ArtifactsInput!$M$7)*CHOOSE(ArtifactsInput!$N$7+1,6,7.2,8.4,9.6,10.8,12))/100)),15)/15,(Skills!T18*(1+(Inputs!$B$34+(ArtifactsInput!$M$7-ArtifactsInput!$M$7)*CHOOSE(ArtifactsInput!$N$7+1,6,7.2,8.4,9.6,10.8,12))/100))/Skills!D18)))</f>
        <v/>
      </c>
    </row>
    <row r="988">
      <c r="A988" t="inlineStr">
        <is>
          <t>Global Final Damage Bonus % (Enrage + Combo Synergy)</t>
        </is>
      </c>
      <c r="B988">
        <f>((C970=TRUE)*F970*IF(AND(Inputs!$B$38&lt;&gt;"pvp",Inputs!$B$43&gt;0),(((R970-1)*(Skills!T17*(1+(Inputs!$B$34+(ArtifactsInput!$M$7-ArtifactsInput!$M$7)*CHOOSE(ArtifactsInput!$N$7+1,6,7.2,8.4,9.6,10.8,12))/100))+MIN((Skills!T17*(1+(Inputs!$B$34+(ArtifactsInput!$M$7-ArtifactsInput!$M$7)*CHOOSE(ArtifactsInput!$N$7+1,6,7.2,8.4,9.6,10.8,12))/100)),MAX(0,Inputs!$B$43-((R970-1)*Skills!D17))))/Inputs!$B$43),IF(Inputs!$B$38="pvp",MIN((Skills!T17*(1+(Inputs!$B$34+(ArtifactsInput!$M$7-ArtifactsInput!$M$7)*CHOOSE(ArtifactsInput!$N$7+1,6,7.2,8.4,9.6,10.8,12))/100)),15)/15,(Skills!T17*(1+(Inputs!$B$34+(ArtifactsInput!$M$7-ArtifactsInput!$M$7)*CHOOSE(ArtifactsInput!$N$7+1,6,7.2,8.4,9.6,10.8,12))/100))/Skills!D17)))+((C967=TRUE)*F967*IF(Inputs!$B$3&gt;=110,7,5))</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997)</f>
        <v/>
      </c>
      <c r="L997">
        <f>K997*(MIN(Inputs!$B$22+((C1017=TRUE)*(F1017-Calc!F22)),(Inputs!$B$23+((C1019=TRUE)*(F1019-Calc!F24))+(IF(ArtifactsInput!$M$15,CHOOSE(ArtifactsInput!$N$15+1,25,30,35,40,45,50)/100*(Inputs!$B$11-Inputs!$B$11),0))))/100+(Inputs!$B$23+((C1019=TRUE)*(F1019-Calc!F24))+(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Inputs!$B$3&gt;=103</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1000)</f>
        <v/>
      </c>
      <c r="L1000">
        <f>K1000*(MIN(Inputs!$B$22+((C1017=TRUE)*(F1017-Calc!F22)),(Inputs!$B$23+((C1019=TRUE)*(F1019-Calc!F24))+(IF(ArtifactsInput!$M$15,CHOOSE(ArtifactsInput!$N$15+1,25,30,35,40,45,50)/100*(Inputs!$B$11-Inputs!$B$11),0))))/100+(Inputs!$B$23+((C1019=TRUE)*(F1019-Calc!F24))+(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IFERROR(1/(IF(Inputs!$B$38="pvp",15,MAX(0.1,Skills!D5-IF(Skills!E5=TRUE,Inputs!$B$32,0)))*(1-IF(AND(ArtifactsInput!$M$27,Inputs!$B$4="Chapter Hunt"),CHOOSE(ArtifactsInput!$N$27+1,20,24,28,32,36,40),0)/100)),0)</f>
        <v/>
      </c>
      <c r="R1000">
        <f>IF(AND(Inputs!$B$38&lt;&gt;"pvp",Inputs!$B$43&gt;0),IF(MAX(0,Inputs!$B$43-B1031)&lt;=0,0,(INT(MAX(0,Inputs!$B$43-B1031)/(IF(Inputs!$B$38="pvp",15,MAX(0.1,Skills!D5-IF(Skills!E5=TRUE,Inputs!$B$32,0)))*(1-IF(AND(ArtifactsInput!$M$27,Inputs!$B$4="Chapter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1001)</f>
        <v/>
      </c>
      <c r="L1001">
        <f>K1001*(MIN(Inputs!$B$22+((C1017=TRUE)*(F1017-Calc!F22)),(Inputs!$B$23+((C1019=TRUE)*(F1019-Calc!F24))+(IF(ArtifactsInput!$M$15,CHOOSE(ArtifactsInput!$N$15+1,25,30,35,40,45,50)/100*(Inputs!$B$11-Inputs!$B$11),0))))/100+(Inputs!$B$23+((C1019=TRUE)*(F1019-Calc!F24))+(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IFERROR(1/(IF(Inputs!$B$38="pvp",15,MAX(0.1,Skills!D6-IF(Skills!E6=TRUE,Inputs!$B$32,0)))*(1-IF(AND(ArtifactsInput!$M$27,Inputs!$B$4="Chapter Hunt"),CHOOSE(ArtifactsInput!$N$27+1,20,24,28,32,36,40),0)/100)),0)</f>
        <v/>
      </c>
      <c r="R1001">
        <f>IF(AND(Inputs!$B$38&lt;&gt;"pvp",Inputs!$B$43&gt;0),IF(MAX(0,Inputs!$B$43-B1031)&lt;=0,0,(INT(MAX(0,Inputs!$B$43-B1031)/(IF(Inputs!$B$38="pvp",15,MAX(0.1,Skills!D6-IF(Skills!E6=TRUE,Inputs!$B$32,0)))*(1-IF(AND(ArtifactsInput!$M$27,Inputs!$B$4="Chapter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1002)</f>
        <v/>
      </c>
      <c r="L1002">
        <f>K1002*(MIN(Inputs!$B$22+((C1017=TRUE)*(F1017-Calc!F22)),(Inputs!$B$23+((C1019=TRUE)*(F1019-Calc!F24))+(IF(ArtifactsInput!$M$15,CHOOSE(ArtifactsInput!$N$15+1,25,30,35,40,45,50)/100*(Inputs!$B$11-Inputs!$B$11),0))))/100+(Inputs!$B$23+((C1019=TRUE)*(F1019-Calc!F24))+(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IFERROR(1/(IF(Inputs!$B$38="pvp",15,MAX(0.1,Skills!D7-IF(Skills!E7=TRUE,Inputs!$B$32,0)))*(1-IF(AND(ArtifactsInput!$M$27,Inputs!$B$4="Chapter Hunt"),CHOOSE(ArtifactsInput!$N$27+1,20,24,28,32,36,40),0)/100)),0)</f>
        <v/>
      </c>
      <c r="R1002">
        <f>IF(AND(Inputs!$B$38&lt;&gt;"pvp",Inputs!$B$43&gt;0),IF(MAX(0,Inputs!$B$43-B1031)&lt;=0,0,(INT(MAX(0,Inputs!$B$43-B1031)/(IF(Inputs!$B$38="pvp",15,MAX(0.1,Skills!D7-IF(Skills!E7=TRUE,Inputs!$B$32,0)))*(1-IF(AND(ArtifactsInput!$M$27,Inputs!$B$4="Chapter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Inputs!$B$3&gt;=117</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1003)</f>
        <v/>
      </c>
      <c r="L1003">
        <f>K1003*(MIN(Inputs!$B$22+((C1017=TRUE)*(F1017-Calc!F22)),(Inputs!$B$23+((C1019=TRUE)*(F1019-Calc!F24))+(IF(ArtifactsInput!$M$15,CHOOSE(ArtifactsInput!$N$15+1,25,30,35,40,45,50)/100*(Inputs!$B$11-Inputs!$B$11),0))))/100+(Inputs!$B$23+((C1019=TRUE)*(F1019-Calc!F24))+(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IFERROR(1/(IF(Inputs!$B$38="pvp",15,MAX(0.1,Skills!D8-IF(Skills!E8=TRUE,Inputs!$B$32,0)))*(1-IF(AND(ArtifactsInput!$M$27,Inputs!$B$4="Chapter Hunt"),CHOOSE(ArtifactsInput!$N$27+1,20,24,28,32,36,40),0)/100)),0)</f>
        <v/>
      </c>
      <c r="R1003">
        <f>IF(AND(Inputs!$B$38&lt;&gt;"pvp",Inputs!$B$43&gt;0),IF(MAX(0,Inputs!$B$43-B1031)&lt;=0,0,(INT(MAX(0,Inputs!$B$43-B1031)/(IF(Inputs!$B$38="pvp",15,MAX(0.1,Skills!D8-IF(Skills!E8=TRUE,Inputs!$B$32,0)))*(1-IF(AND(ArtifactsInput!$M$27,Inputs!$B$4="Chapter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Inputs!$B$3&gt;=69</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9="ENHANCED_RAGING_BLOW",IF(Inputs!$B$3&gt;=134,MAX(0,IF(Inputs!$B$3&gt;=110,7,5)-5)*50,0),0)/100)*(1+(IF(Skills!A9="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1004)</f>
        <v/>
      </c>
      <c r="L1004">
        <f>K1004*(MIN(Inputs!$B$22+((C1017=TRUE)*(F1017-Calc!F22)),(Inputs!$B$23+((C1019=TRUE)*(F1019-Calc!F24))+(IF(ArtifactsInput!$M$15,CHOOSE(ArtifactsInput!$N$15+1,25,30,35,40,45,50)/100*(Inputs!$B$11-Inputs!$B$11),0))))/100+(Inputs!$B$23+((C1019=TRUE)*(F1019-Calc!F24))+(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IFERROR(1/(IF(Inputs!$B$38="pvp",15,MAX(0.1,Skills!D9-IF(Skills!E9=TRUE,Inputs!$B$32,0)))*(1-IF(AND(ArtifactsInput!$M$27,Inputs!$B$4="Chapter Hunt"),CHOOSE(ArtifactsInput!$N$27+1,20,24,28,32,36,40),0)/100)),0)</f>
        <v/>
      </c>
      <c r="R1004">
        <f>IF(AND(Inputs!$B$38&lt;&gt;"pvp",Inputs!$B$43&gt;0),IF(MAX(0,Inputs!$B$43-B1031)&lt;=0,0,(INT(MAX(0,Inputs!$B$43-B1031)/(IF(Inputs!$B$38="pvp",15,MAX(0.1,Skills!D9-IF(Skills!E9=TRUE,Inputs!$B$32,0)))*(1-IF(AND(ArtifactsInput!$M$27,Inputs!$B$4="Chapter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Inputs!$B$3&gt;=63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10="ENHANCED_RAGING_BLOW",IF(Inputs!$B$3&gt;=134,MAX(0,IF(Inputs!$B$3&gt;=110,7,5)-5)*50,0),0)/100)*(1+(IF(Skills!A10="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1005)</f>
        <v/>
      </c>
      <c r="L1005">
        <f>K1005*(MIN(Inputs!$B$22+((C1017=TRUE)*(F1017-Calc!F22)),(Inputs!$B$23+((C1019=TRUE)*(F1019-Calc!F24))+(IF(ArtifactsInput!$M$15,CHOOSE(ArtifactsInput!$N$15+1,25,30,35,40,45,50)/100*(Inputs!$B$11-Inputs!$B$11),0))))/100+(Inputs!$B$23+((C1019=TRUE)*(F1019-Calc!F24))+(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IFERROR(1/(IF(Inputs!$B$38="pvp",15,MAX(0.1,Skills!D10-IF(Skills!E10=TRUE,Inputs!$B$32,0)))*(1-IF(AND(ArtifactsInput!$M$27,Inputs!$B$4="Chapter Hunt"),CHOOSE(ArtifactsInput!$N$27+1,20,24,28,32,36,40),0)/100)),0)</f>
        <v/>
      </c>
      <c r="R1005">
        <f>IF(AND(Inputs!$B$38&lt;&gt;"pvp",Inputs!$B$43&gt;0),IF(MAX(0,Inputs!$B$43-B1031)&lt;=0,0,(INT(MAX(0,Inputs!$B$43-B1031)/(IF(Inputs!$B$38="pvp",15,MAX(0.1,Skills!D10-IF(Skills!E10=TRUE,Inputs!$B$32,0)))*(1-IF(AND(ArtifactsInput!$M$27,Inputs!$B$4="Chapter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Inputs!$B$3&gt;=35</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11="ENHANCED_RAGING_BLOW",IF(Inputs!$B$3&gt;=134,MAX(0,IF(Inputs!$B$3&gt;=110,7,5)-5)*50,0),0)/100)*(1+(IF(Skills!A11="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1006)</f>
        <v/>
      </c>
      <c r="L1006">
        <f>K1006*(MIN(Inputs!$B$22+((C1017=TRUE)*(F1017-Calc!F22)),(Inputs!$B$23+((C1019=TRUE)*(F1019-Calc!F24))+(IF(ArtifactsInput!$M$15,CHOOSE(ArtifactsInput!$N$15+1,25,30,35,40,45,50)/100*(Inputs!$B$11-Inputs!$B$11),0))))/100+(Inputs!$B$23+((C1019=TRUE)*(F1019-Calc!F24))+(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IFERROR(1/(IF(Inputs!$B$38="pvp",15,MAX(0.1,Skills!D11-IF(Skills!E11=TRUE,Inputs!$B$32,0)))*(1-IF(AND(ArtifactsInput!$M$27,Inputs!$B$4="Chapter Hunt"),CHOOSE(ArtifactsInput!$N$27+1,20,24,28,32,36,40),0)/100)),0)</f>
        <v/>
      </c>
      <c r="R1006">
        <f>IF(AND(Inputs!$B$38&lt;&gt;"pvp",Inputs!$B$43&gt;0),IF(MAX(0,Inputs!$B$43-B1031)&lt;=0,0,(INT(MAX(0,Inputs!$B$43-B1031)/(IF(Inputs!$B$38="pvp",15,MAX(0.1,Skills!D11-IF(Skills!E11=TRUE,Inputs!$B$32,0)))*(1-IF(AND(ArtifactsInput!$M$27,Inputs!$B$4="Chapter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Inputs!$B$3&gt;=75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Inputs!$B$3&gt;=40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IFERROR(1/(IF(Inputs!$B$38="pvp",15,MAX(0.1,Skills!D15-IF(Skills!E15=TRUE,Inputs!$B$32,0)))*(1-IF(AND(ArtifactsInput!$M$27,Inputs!$B$4="Chapter Hunt"),CHOOSE(ArtifactsInput!$N$27+1,20,24,28,32,36,40),0)/100)),0)</f>
        <v/>
      </c>
      <c r="R1010">
        <f>IF(AND(Inputs!$B$38&lt;&gt;"pvp",Inputs!$B$43&gt;0),IF(Inputs!$B$43&lt;=0,0,(INT(Inputs!$B$43/(IF(Inputs!$B$38="pvp",15,MAX(0.1,Skills!D15-IF(Skills!E15=TRUE,Inputs!$B$32,0)))*(1-IF(AND(ArtifactsInput!$M$27,Inputs!$B$4="Chapter Hunt"),CHOOSE(ArtifactsInput!$N$27+1,20,24,28,32,36,40),0)/100)))+1)),0)</f>
        <v/>
      </c>
      <c r="S1010">
        <f>IFERROR(O1010/N1010,0)</f>
        <v/>
      </c>
      <c r="T1010" t="n">
        <v>0</v>
      </c>
      <c r="V1010" t="n">
        <v>0</v>
      </c>
    </row>
    <row r="1011">
      <c r="A1011">
        <f>Skills!A16</f>
        <v/>
      </c>
      <c r="B1011">
        <f>Skills!B16</f>
        <v/>
      </c>
      <c r="C1011">
        <f>Inputs!$B$3&gt;=66</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IFERROR(1/(IF(Inputs!$B$38="pvp",15,MAX(0.1,Skills!D16-IF(Skills!E16=TRUE,Inputs!$B$32,0)))*(1-IF(AND(ArtifactsInput!$M$27,Inputs!$B$4="Chapter Hunt"),CHOOSE(ArtifactsInput!$N$27+1,20,24,28,32,36,40),0)/100)),0)</f>
        <v/>
      </c>
      <c r="R1011">
        <f>IF(AND(Inputs!$B$38&lt;&gt;"pvp",Inputs!$B$43&gt;0),IF(Inputs!$B$43&lt;=0,0,(INT(Inputs!$B$43/(IF(Inputs!$B$38="pvp",15,MAX(0.1,Skills!D16-IF(Skills!E16=TRUE,Inputs!$B$32,0)))*(1-IF(AND(ArtifactsInput!$M$27,Inputs!$B$4="Chapter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IFERROR(1/(IF(Inputs!$B$38="pvp",15,MAX(0.1,Skills!D17-IF(Skills!E17=TRUE,Inputs!$B$32,0)))*(1-IF(AND(ArtifactsInput!$M$27,Inputs!$B$4="Chapter Hunt"),CHOOSE(ArtifactsInput!$N$27+1,20,24,28,32,36,40),0)/100)),0)</f>
        <v/>
      </c>
      <c r="R1012">
        <f>IF(AND(Inputs!$B$38&lt;&gt;"pvp",Inputs!$B$43&gt;0),IF(Inputs!$B$43&lt;=0,0,(INT(Inputs!$B$43/(IF(Inputs!$B$38="pvp",15,MAX(0.1,Skills!D17-IF(Skills!E17=TRUE,Inputs!$B$32,0)))*(1-IF(AND(ArtifactsInput!$M$27,Inputs!$B$4="Chapter Hunt"),CHOOSE(ArtifactsInput!$N$27+1,20,24,28,32,36,40),0)/100)))+1)),0)</f>
        <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TRUE</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IFERROR(1/(IF(Inputs!$B$38="pvp",15,MAX(0.1,Skills!D19-IF(Skills!E19=TRUE,Inputs!$B$32,0)))*(1-IF(AND(ArtifactsInput!$M$27,Inputs!$B$4="Chapter Hunt"),CHOOSE(ArtifactsInput!$N$27+1,20,24,28,32,36,40),0)/100)),0)</f>
        <v/>
      </c>
      <c r="R1014">
        <f>IF(AND(Inputs!$B$38&lt;&gt;"pvp",Inputs!$B$43&gt;0),IF(Inputs!$B$43&lt;=0,0,(INT(Inputs!$B$43/(IF(Inputs!$B$38="pvp",15,MAX(0.1,Skills!D19-IF(Skills!E19=TRUE,Inputs!$B$32,0)))*(1-IF(AND(ArtifactsInput!$M$27,Inputs!$B$4="Chapter Hunt"),CHOOSE(ArtifactsInput!$N$27+1,20,24,28,32,36,40),0)/100)))+1)),0)</f>
        <v/>
      </c>
      <c r="S1014">
        <f>IFERROR(O1014/N1014,0)</f>
        <v/>
      </c>
      <c r="T1014" t="n">
        <v>0</v>
      </c>
      <c r="V1014" t="n">
        <v>0</v>
      </c>
    </row>
    <row r="1015">
      <c r="A1015">
        <f>Skills!A20</f>
        <v/>
      </c>
      <c r="B1015">
        <f>Skills!B20</f>
        <v/>
      </c>
      <c r="C1015">
        <f>Inputs!$B$3&gt;=33</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Inputs!$B$3&gt;=38</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Inputs!$B$3&gt;=120</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Inputs!$B$3&gt;=120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Inputs!$B$3&gt;=125</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Inputs!$B$3&gt;=72</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1014=TRUE)*F1014*IF(AND(Inputs!$B$38&lt;&gt;"pvp",Inputs!$B$43&gt;0),(((R1014-1)*(Skills!T19*(1+(Inputs!$B$34+(ArtifactsInput!$M$7-ArtifactsInput!$M$7)*CHOOSE(ArtifactsInput!$N$7+1,6,7.2,8.4,9.6,10.8,12))/100))+MIN((Skills!T19*(1+(Inputs!$B$34+(ArtifactsInput!$M$7-ArtifactsInput!$M$7)*CHOOSE(ArtifactsInput!$N$7+1,6,7.2,8.4,9.6,10.8,12))/100)),MAX(0,Inputs!$B$43-((R1014-1)*Skills!D19))))/Inputs!$B$43),IF(Inputs!$B$38="pvp",MIN((Skills!T19*(1+(Inputs!$B$34+(ArtifactsInput!$M$7-ArtifactsInput!$M$7)*CHOOSE(ArtifactsInput!$N$7+1,6,7.2,8.4,9.6,10.8,12))/100)),15)/15,(Skills!T19*(1+(Inputs!$B$34+(ArtifactsInput!$M$7-ArtifactsInput!$M$7)*CHOOSE(ArtifactsInput!$N$7+1,6,7.2,8.4,9.6,10.8,12))/100))/Skills!D19)))</f>
        <v/>
      </c>
    </row>
    <row r="1026">
      <c r="A1026" t="inlineStr">
        <is>
          <t>Actions Per Second</t>
        </is>
      </c>
      <c r="B1026">
        <f>1+MIN(150,150*(1-(1-(Inputs!$B$11+((C1015=TRUE)*(F1015-Calc!F20)))/150)*(1-B1025/150)))/100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Raging Blow Casts Per Second</t>
        </is>
      </c>
      <c r="B1028">
        <f>MAX(0,B1026-B1027)</f>
        <v/>
      </c>
    </row>
    <row r="1029">
      <c r="A1029" t="inlineStr">
        <is>
          <t>Global Critical Damage Bonus % (Enrage)</t>
        </is>
      </c>
      <c r="B1029">
        <f>((C1013=TRUE)*F1013*IF(AND(Inputs!$B$38&lt;&gt;"pvp",Inputs!$B$43&gt;0),(((R1013-1)*(Skills!T18*(1+(Inputs!$B$34+(ArtifactsInput!$M$7-ArtifactsInput!$M$7)*CHOOSE(ArtifactsInput!$N$7+1,6,7.2,8.4,9.6,10.8,12))/100))+MIN((Skills!T18*(1+(Inputs!$B$34+(ArtifactsInput!$M$7-ArtifactsInput!$M$7)*CHOOSE(ArtifactsInput!$N$7+1,6,7.2,8.4,9.6,10.8,12))/100)),MAX(0,Inputs!$B$43-((R1013-1)*Skills!D18))))/Inputs!$B$43),IF(Inputs!$B$38="pvp",MIN((Skills!T18*(1+(Inputs!$B$34+(ArtifactsInput!$M$7-ArtifactsInput!$M$7)*CHOOSE(ArtifactsInput!$N$7+1,6,7.2,8.4,9.6,10.8,12))/100)),15)/15,(Skills!T18*(1+(Inputs!$B$34+(ArtifactsInput!$M$7-ArtifactsInput!$M$7)*CHOOSE(ArtifactsInput!$N$7+1,6,7.2,8.4,9.6,10.8,12))/100))/Skills!D18)))</f>
        <v/>
      </c>
    </row>
    <row r="1030">
      <c r="A1030" t="inlineStr">
        <is>
          <t>Global Final Damage Bonus % (Enrage + Combo Synergy)</t>
        </is>
      </c>
      <c r="B1030">
        <f>((C1012=TRUE)*F1012*IF(AND(Inputs!$B$38&lt;&gt;"pvp",Inputs!$B$43&gt;0),(((R1012-1)*(Skills!T17*(1+(Inputs!$B$34+(ArtifactsInput!$M$7-ArtifactsInput!$M$7)*CHOOSE(ArtifactsInput!$N$7+1,6,7.2,8.4,9.6,10.8,12))/100))+MIN((Skills!T17*(1+(Inputs!$B$34+(ArtifactsInput!$M$7-ArtifactsInput!$M$7)*CHOOSE(ArtifactsInput!$N$7+1,6,7.2,8.4,9.6,10.8,12))/100)),MAX(0,Inputs!$B$43-((R1012-1)*Skills!D17))))/Inputs!$B$43),IF(Inputs!$B$38="pvp",MIN((Skills!T17*(1+(Inputs!$B$34+(ArtifactsInput!$M$7-ArtifactsInput!$M$7)*CHOOSE(ArtifactsInput!$N$7+1,6,7.2,8.4,9.6,10.8,12))/100)),15)/15,(Skills!T17*(1+(Inputs!$B$34+(ArtifactsInput!$M$7-ArtifactsInput!$M$7)*CHOOSE(ArtifactsInput!$N$7+1,6,7.2,8.4,9.6,10.8,12))/100))/Skills!D17)))+((C1009=TRUE)*F1009*IF(Inputs!$B$3&gt;=110,7,5))</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1039)</f>
        <v/>
      </c>
      <c r="L1039">
        <f>K1039*(MIN(Inputs!$B$22+((C1059=TRUE)*(F1059-Calc!F22)),(Inputs!$B$23+((C1061=TRUE)*(F1061-Calc!F24))+(IF(ArtifactsInput!$M$15,CHOOSE(ArtifactsInput!$N$15+1,25,30,35,40,45,50)/100*(Inputs!$B$11-Inputs!$B$11),0))))/100+(Inputs!$B$23+((C1061=TRUE)*(F1061-Calc!F24))+(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INDEX(FactorTable!$B$2:$Y$301, MATCH(ROUND(MIN(300,MAX(1,U1039)),0), FactorTable!$A$2:$A$301,0), 22)</f>
        <v/>
      </c>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U1041">
        <f>290*U1040/1000</f>
        <v/>
      </c>
    </row>
    <row r="1042">
      <c r="A1042">
        <f>Skills!A5</f>
        <v/>
      </c>
      <c r="B1042">
        <f>Skills!B5</f>
        <v/>
      </c>
      <c r="C1042">
        <f>Inputs!$B$3&gt;=103</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1042)</f>
        <v/>
      </c>
      <c r="L1042">
        <f>K1042*(MIN(Inputs!$B$22+((C1059=TRUE)*(F1059-Calc!F22)),(Inputs!$B$23+((C1061=TRUE)*(F1061-Calc!F24))+(IF(ArtifactsInput!$M$15,CHOOSE(ArtifactsInput!$N$15+1,25,30,35,40,45,50)/100*(Inputs!$B$11-Inputs!$B$11),0))))/100+(Inputs!$B$23+((C1061=TRUE)*(F1061-Calc!F24))+(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IFERROR(1/(IF(Inputs!$B$38="pvp",15,MAX(0.1,Skills!D5-IF(Skills!E5=TRUE,(Inputs!$B$32+1),0)))*(1-IF(AND(ArtifactsInput!$M$27,Inputs!$B$4="Chapter Hunt"),CHOOSE(ArtifactsInput!$N$27+1,20,24,28,32,36,40),0)/100)),0)</f>
        <v/>
      </c>
      <c r="R1042">
        <f>IF(AND(Inputs!$B$38&lt;&gt;"pvp",Inputs!$B$43&gt;0),IF(MAX(0,Inputs!$B$43-B1073)&lt;=0,0,(INT(MAX(0,Inputs!$B$43-B1073)/(IF(Inputs!$B$38="pvp",15,MAX(0.1,Skills!D5-IF(Skills!E5=TRUE,(Inputs!$B$32+1),0)))*(1-IF(AND(ArtifactsInput!$M$27,Inputs!$B$4="Chapter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1043)</f>
        <v/>
      </c>
      <c r="L1043">
        <f>K1043*(MIN(Inputs!$B$22+((C1059=TRUE)*(F1059-Calc!F22)),(Inputs!$B$23+((C1061=TRUE)*(F1061-Calc!F24))+(IF(ArtifactsInput!$M$15,CHOOSE(ArtifactsInput!$N$15+1,25,30,35,40,45,50)/100*(Inputs!$B$11-Inputs!$B$11),0))))/100+(Inputs!$B$23+((C1061=TRUE)*(F1061-Calc!F24))+(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IFERROR(1/(IF(Inputs!$B$38="pvp",15,MAX(0.1,Skills!D6-IF(Skills!E6=TRUE,(Inputs!$B$32+1),0)))*(1-IF(AND(ArtifactsInput!$M$27,Inputs!$B$4="Chapter Hunt"),CHOOSE(ArtifactsInput!$N$27+1,20,24,28,32,36,40),0)/100)),0)</f>
        <v/>
      </c>
      <c r="R1043">
        <f>IF(AND(Inputs!$B$38&lt;&gt;"pvp",Inputs!$B$43&gt;0),IF(MAX(0,Inputs!$B$43-B1073)&lt;=0,0,(INT(MAX(0,Inputs!$B$43-B1073)/(IF(Inputs!$B$38="pvp",15,MAX(0.1,Skills!D6-IF(Skills!E6=TRUE,(Inputs!$B$32+1),0)))*(1-IF(AND(ArtifactsInput!$M$27,Inputs!$B$4="Chapter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1044)</f>
        <v/>
      </c>
      <c r="L1044">
        <f>K1044*(MIN(Inputs!$B$22+((C1059=TRUE)*(F1059-Calc!F22)),(Inputs!$B$23+((C1061=TRUE)*(F1061-Calc!F24))+(IF(ArtifactsInput!$M$15,CHOOSE(ArtifactsInput!$N$15+1,25,30,35,40,45,50)/100*(Inputs!$B$11-Inputs!$B$11),0))))/100+(Inputs!$B$23+((C1061=TRUE)*(F1061-Calc!F24))+(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IFERROR(1/(IF(Inputs!$B$38="pvp",15,MAX(0.1,Skills!D7-IF(Skills!E7=TRUE,(Inputs!$B$32+1),0)))*(1-IF(AND(ArtifactsInput!$M$27,Inputs!$B$4="Chapter Hunt"),CHOOSE(ArtifactsInput!$N$27+1,20,24,28,32,36,40),0)/100)),0)</f>
        <v/>
      </c>
      <c r="R1044">
        <f>IF(AND(Inputs!$B$38&lt;&gt;"pvp",Inputs!$B$43&gt;0),IF(MAX(0,Inputs!$B$43-B1073)&lt;=0,0,(INT(MAX(0,Inputs!$B$43-B1073)/(IF(Inputs!$B$38="pvp",15,MAX(0.1,Skills!D7-IF(Skills!E7=TRUE,(Inputs!$B$32+1),0)))*(1-IF(AND(ArtifactsInput!$M$27,Inputs!$B$4="Chapter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Inputs!$B$3&gt;=117</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1045)</f>
        <v/>
      </c>
      <c r="L1045">
        <f>K1045*(MIN(Inputs!$B$22+((C1059=TRUE)*(F1059-Calc!F22)),(Inputs!$B$23+((C1061=TRUE)*(F1061-Calc!F24))+(IF(ArtifactsInput!$M$15,CHOOSE(ArtifactsInput!$N$15+1,25,30,35,40,45,50)/100*(Inputs!$B$11-Inputs!$B$11),0))))/100+(Inputs!$B$23+((C1061=TRUE)*(F1061-Calc!F24))+(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IFERROR(1/(IF(Inputs!$B$38="pvp",15,MAX(0.1,Skills!D8-IF(Skills!E8=TRUE,(Inputs!$B$32+1),0)))*(1-IF(AND(ArtifactsInput!$M$27,Inputs!$B$4="Chapter Hunt"),CHOOSE(ArtifactsInput!$N$27+1,20,24,28,32,36,40),0)/100)),0)</f>
        <v/>
      </c>
      <c r="R1045">
        <f>IF(AND(Inputs!$B$38&lt;&gt;"pvp",Inputs!$B$43&gt;0),IF(MAX(0,Inputs!$B$43-B1073)&lt;=0,0,(INT(MAX(0,Inputs!$B$43-B1073)/(IF(Inputs!$B$38="pvp",15,MAX(0.1,Skills!D8-IF(Skills!E8=TRUE,(Inputs!$B$32+1),0)))*(1-IF(AND(ArtifactsInput!$M$27,Inputs!$B$4="Chapter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Inputs!$B$3&gt;=69</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9="ENHANCED_RAGING_BLOW",IF(Inputs!$B$3&gt;=134,MAX(0,IF(Inputs!$B$3&gt;=110,7,5)-5)*50,0),0)/100)*(1+(IF(Skills!A9="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1046)</f>
        <v/>
      </c>
      <c r="L1046">
        <f>K1046*(MIN(Inputs!$B$22+((C1059=TRUE)*(F1059-Calc!F22)),(Inputs!$B$23+((C1061=TRUE)*(F1061-Calc!F24))+(IF(ArtifactsInput!$M$15,CHOOSE(ArtifactsInput!$N$15+1,25,30,35,40,45,50)/100*(Inputs!$B$11-Inputs!$B$11),0))))/100+(Inputs!$B$23+((C1061=TRUE)*(F1061-Calc!F24))+(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IFERROR(1/(IF(Inputs!$B$38="pvp",15,MAX(0.1,Skills!D9-IF(Skills!E9=TRUE,(Inputs!$B$32+1),0)))*(1-IF(AND(ArtifactsInput!$M$27,Inputs!$B$4="Chapter Hunt"),CHOOSE(ArtifactsInput!$N$27+1,20,24,28,32,36,40),0)/100)),0)</f>
        <v/>
      </c>
      <c r="R1046">
        <f>IF(AND(Inputs!$B$38&lt;&gt;"pvp",Inputs!$B$43&gt;0),IF(MAX(0,Inputs!$B$43-B1073)&lt;=0,0,(INT(MAX(0,Inputs!$B$43-B1073)/(IF(Inputs!$B$38="pvp",15,MAX(0.1,Skills!D9-IF(Skills!E9=TRUE,(Inputs!$B$32+1),0)))*(1-IF(AND(ArtifactsInput!$M$27,Inputs!$B$4="Chapter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Inputs!$B$3&gt;=63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10="ENHANCED_RAGING_BLOW",IF(Inputs!$B$3&gt;=134,MAX(0,IF(Inputs!$B$3&gt;=110,7,5)-5)*50,0),0)/100)*(1+(IF(Skills!A10="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1047)</f>
        <v/>
      </c>
      <c r="L1047">
        <f>K1047*(MIN(Inputs!$B$22+((C1059=TRUE)*(F1059-Calc!F22)),(Inputs!$B$23+((C1061=TRUE)*(F1061-Calc!F24))+(IF(ArtifactsInput!$M$15,CHOOSE(ArtifactsInput!$N$15+1,25,30,35,40,45,50)/100*(Inputs!$B$11-Inputs!$B$11),0))))/100+(Inputs!$B$23+((C1061=TRUE)*(F1061-Calc!F24))+(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IFERROR(1/(IF(Inputs!$B$38="pvp",15,MAX(0.1,Skills!D10-IF(Skills!E10=TRUE,(Inputs!$B$32+1),0)))*(1-IF(AND(ArtifactsInput!$M$27,Inputs!$B$4="Chapter Hunt"),CHOOSE(ArtifactsInput!$N$27+1,20,24,28,32,36,40),0)/100)),0)</f>
        <v/>
      </c>
      <c r="R1047">
        <f>IF(AND(Inputs!$B$38&lt;&gt;"pvp",Inputs!$B$43&gt;0),IF(MAX(0,Inputs!$B$43-B1073)&lt;=0,0,(INT(MAX(0,Inputs!$B$43-B1073)/(IF(Inputs!$B$38="pvp",15,MAX(0.1,Skills!D10-IF(Skills!E10=TRUE,(Inputs!$B$32+1),0)))*(1-IF(AND(ArtifactsInput!$M$27,Inputs!$B$4="Chapter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Inputs!$B$3&gt;=35</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11="ENHANCED_RAGING_BLOW",IF(Inputs!$B$3&gt;=134,MAX(0,IF(Inputs!$B$3&gt;=110,7,5)-5)*50,0),0)/100)*(1+(IF(Skills!A11="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1048)</f>
        <v/>
      </c>
      <c r="L1048">
        <f>K1048*(MIN(Inputs!$B$22+((C1059=TRUE)*(F1059-Calc!F22)),(Inputs!$B$23+((C1061=TRUE)*(F1061-Calc!F24))+(IF(ArtifactsInput!$M$15,CHOOSE(ArtifactsInput!$N$15+1,25,30,35,40,45,50)/100*(Inputs!$B$11-Inputs!$B$11),0))))/100+(Inputs!$B$23+((C1061=TRUE)*(F1061-Calc!F24))+(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IFERROR(1/(IF(Inputs!$B$38="pvp",15,MAX(0.1,Skills!D11-IF(Skills!E11=TRUE,(Inputs!$B$32+1),0)))*(1-IF(AND(ArtifactsInput!$M$27,Inputs!$B$4="Chapter Hunt"),CHOOSE(ArtifactsInput!$N$27+1,20,24,28,32,36,40),0)/100)),0)</f>
        <v/>
      </c>
      <c r="R1048">
        <f>IF(AND(Inputs!$B$38&lt;&gt;"pvp",Inputs!$B$43&gt;0),IF(MAX(0,Inputs!$B$43-B1073)&lt;=0,0,(INT(MAX(0,Inputs!$B$43-B1073)/(IF(Inputs!$B$38="pvp",15,MAX(0.1,Skills!D11-IF(Skills!E11=TRUE,(Inputs!$B$32+1),0)))*(1-IF(AND(ArtifactsInput!$M$27,Inputs!$B$4="Chapter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Inputs!$B$3&gt;=75</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Inputs!$B$3&gt;=40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IFERROR(1/(IF(Inputs!$B$38="pvp",15,MAX(0.1,Skills!D15-IF(Skills!E15=TRUE,(Inputs!$B$32+1),0)))*(1-IF(AND(ArtifactsInput!$M$27,Inputs!$B$4="Chapter Hunt"),CHOOSE(ArtifactsInput!$N$27+1,20,24,28,32,36,40),0)/100)),0)</f>
        <v/>
      </c>
      <c r="R1052">
        <f>IF(AND(Inputs!$B$38&lt;&gt;"pvp",Inputs!$B$43&gt;0),IF(Inputs!$B$43&lt;=0,0,(INT(Inputs!$B$43/(IF(Inputs!$B$38="pvp",15,MAX(0.1,Skills!D15-IF(Skills!E15=TRUE,(Inputs!$B$32+1),0)))*(1-IF(AND(ArtifactsInput!$M$27,Inputs!$B$4="Chapter Hunt"),CHOOSE(ArtifactsInput!$N$27+1,20,24,28,32,36,40),0)/100)))+1)),0)</f>
        <v/>
      </c>
      <c r="S1052">
        <f>IFERROR(O1052/N1052,0)</f>
        <v/>
      </c>
      <c r="T1052" t="n">
        <v>0</v>
      </c>
      <c r="V1052" t="n">
        <v>0</v>
      </c>
    </row>
    <row r="1053">
      <c r="A1053">
        <f>Skills!A16</f>
        <v/>
      </c>
      <c r="B1053">
        <f>Skills!B16</f>
        <v/>
      </c>
      <c r="C1053">
        <f>Inputs!$B$3&gt;=66</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IFERROR(1/(IF(Inputs!$B$38="pvp",15,MAX(0.1,Skills!D16-IF(Skills!E16=TRUE,(Inputs!$B$32+1),0)))*(1-IF(AND(ArtifactsInput!$M$27,Inputs!$B$4="Chapter Hunt"),CHOOSE(ArtifactsInput!$N$27+1,20,24,28,32,36,40),0)/100)),0)</f>
        <v/>
      </c>
      <c r="R1053">
        <f>IF(AND(Inputs!$B$38&lt;&gt;"pvp",Inputs!$B$43&gt;0),IF(Inputs!$B$43&lt;=0,0,(INT(Inputs!$B$43/(IF(Inputs!$B$38="pvp",15,MAX(0.1,Skills!D16-IF(Skills!E16=TRUE,(Inputs!$B$32+1),0)))*(1-IF(AND(ArtifactsInput!$M$27,Inputs!$B$4="Chapter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IFERROR(1/(IF(Inputs!$B$38="pvp",15,MAX(0.1,Skills!D17-IF(Skills!E17=TRUE,(Inputs!$B$32+1),0)))*(1-IF(AND(ArtifactsInput!$M$27,Inputs!$B$4="Chapter Hunt"),CHOOSE(ArtifactsInput!$N$27+1,20,24,28,32,36,40),0)/100)),0)</f>
        <v/>
      </c>
      <c r="R1054">
        <f>IF(AND(Inputs!$B$38&lt;&gt;"pvp",Inputs!$B$43&gt;0),IF(Inputs!$B$43&lt;=0,0,(INT(Inputs!$B$43/(IF(Inputs!$B$38="pvp",15,MAX(0.1,Skills!D17-IF(Skills!E17=TRUE,(Inputs!$B$32+1),0)))*(1-IF(AND(ArtifactsInput!$M$27,Inputs!$B$4="Chapter Hunt"),CHOOSE(ArtifactsInput!$N$27+1,20,24,28,32,36,40),0)/100)))+1)),0)</f>
        <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IFERROR(1/(IF(Inputs!$B$38="pvp",15,MAX(0.1,Skills!D18-IF(Skills!E18=TRUE,(Inputs!$B$32+1),0)))*(1-IF(AND(ArtifactsInput!$M$27,Inputs!$B$4="Chapter Hunt"),CHOOSE(ArtifactsInput!$N$27+1,20,24,28,32,36,40),0)/100)),0)</f>
        <v/>
      </c>
      <c r="R1055">
        <f>IF(AND(Inputs!$B$38&lt;&gt;"pvp",Inputs!$B$43&gt;0),IF(Inputs!$B$43&lt;=0,0,(INT(Inputs!$B$43/(IF(Inputs!$B$38="pvp",15,MAX(0.1,Skills!D18-IF(Skills!E18=TRUE,(Inputs!$B$32+1),0)))*(1-IF(AND(ArtifactsInput!$M$27,Inputs!$B$4="Chapter Hunt"),CHOOSE(ArtifactsInput!$N$27+1,20,24,28,32,36,40),0)/100)))+1)),0)</f>
        <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IFERROR(1/(IF(Inputs!$B$38="pvp",15,MAX(0.1,Skills!D19-IF(Skills!E19=TRUE,(Inputs!$B$32+1),0)))*(1-IF(AND(ArtifactsInput!$M$27,Inputs!$B$4="Chapter Hunt"),CHOOSE(ArtifactsInput!$N$27+1,20,24,28,32,36,40),0)/100)),0)</f>
        <v/>
      </c>
      <c r="R1056">
        <f>IF(AND(Inputs!$B$38&lt;&gt;"pvp",Inputs!$B$43&gt;0),IF(Inputs!$B$43&lt;=0,0,(INT(Inputs!$B$43/(IF(Inputs!$B$38="pvp",15,MAX(0.1,Skills!D19-IF(Skills!E19=TRUE,(Inputs!$B$32+1),0)))*(1-IF(AND(ArtifactsInput!$M$27,Inputs!$B$4="Chapter Hunt"),CHOOSE(ArtifactsInput!$N$27+1,20,24,28,32,36,40),0)/100)))+1)),0)</f>
        <v/>
      </c>
      <c r="S1056">
        <f>IFERROR(O1056/N1056,0)</f>
        <v/>
      </c>
      <c r="T1056" t="n">
        <v>0</v>
      </c>
      <c r="V1056" t="n">
        <v>0</v>
      </c>
    </row>
    <row r="1057">
      <c r="A1057">
        <f>Skills!A20</f>
        <v/>
      </c>
      <c r="B1057">
        <f>Skills!B20</f>
        <v/>
      </c>
      <c r="C1057">
        <f>Inputs!$B$3&gt;=33</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Inputs!$B$3&gt;=38</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Inputs!$B$3&gt;=120</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Inputs!$B$3&gt;=120</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Inputs!$B$3&gt;=72</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1056=TRUE)*F1056*IF(AND(Inputs!$B$38&lt;&gt;"pvp",Inputs!$B$43&gt;0),(((R1056-1)*(Skills!T19*(1+(Inputs!$B$34+(ArtifactsInput!$M$7-ArtifactsInput!$M$7)*CHOOSE(ArtifactsInput!$N$7+1,6,7.2,8.4,9.6,10.8,12))/100))+MIN((Skills!T19*(1+(Inputs!$B$34+(ArtifactsInput!$M$7-ArtifactsInput!$M$7)*CHOOSE(ArtifactsInput!$N$7+1,6,7.2,8.4,9.6,10.8,12))/100)),MAX(0,Inputs!$B$43-((R1056-1)*Skills!D19))))/Inputs!$B$43),IF(Inputs!$B$38="pvp",MIN((Skills!T19*(1+(Inputs!$B$34+(ArtifactsInput!$M$7-ArtifactsInput!$M$7)*CHOOSE(ArtifactsInput!$N$7+1,6,7.2,8.4,9.6,10.8,12))/100)),15)/15,(Skills!T19*(1+(Inputs!$B$34+(ArtifactsInput!$M$7-ArtifactsInput!$M$7)*CHOOSE(ArtifactsInput!$N$7+1,6,7.2,8.4,9.6,10.8,12))/100))/Skills!D19)))</f>
        <v/>
      </c>
    </row>
    <row r="1068">
      <c r="A1068" t="inlineStr">
        <is>
          <t>Actions Per Second</t>
        </is>
      </c>
      <c r="B1068">
        <f>1+MIN(150,150*(1-(1-(Inputs!$B$11+((C1057=TRUE)*(F1057-Calc!F20)))/150)*(1-B1067/150)))/100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Raging Blow Casts Per Second</t>
        </is>
      </c>
      <c r="B1070">
        <f>MAX(0,B1068-B1069)</f>
        <v/>
      </c>
    </row>
    <row r="1071">
      <c r="A1071" t="inlineStr">
        <is>
          <t>Global Critical Damage Bonus % (Enrage)</t>
        </is>
      </c>
      <c r="B1071">
        <f>((C1055=TRUE)*F1055*IF(AND(Inputs!$B$38&lt;&gt;"pvp",Inputs!$B$43&gt;0),(((R1055-1)*(Skills!T18*(1+(Inputs!$B$34+(ArtifactsInput!$M$7-ArtifactsInput!$M$7)*CHOOSE(ArtifactsInput!$N$7+1,6,7.2,8.4,9.6,10.8,12))/100))+MIN((Skills!T18*(1+(Inputs!$B$34+(ArtifactsInput!$M$7-ArtifactsInput!$M$7)*CHOOSE(ArtifactsInput!$N$7+1,6,7.2,8.4,9.6,10.8,12))/100)),MAX(0,Inputs!$B$43-((R1055-1)*Skills!D18))))/Inputs!$B$43),IF(Inputs!$B$38="pvp",MIN((Skills!T18*(1+(Inputs!$B$34+(ArtifactsInput!$M$7-ArtifactsInput!$M$7)*CHOOSE(ArtifactsInput!$N$7+1,6,7.2,8.4,9.6,10.8,12))/100)),15)/15,(Skills!T18*(1+(Inputs!$B$34+(ArtifactsInput!$M$7-ArtifactsInput!$M$7)*CHOOSE(ArtifactsInput!$N$7+1,6,7.2,8.4,9.6,10.8,12))/100))/Skills!D18)))</f>
        <v/>
      </c>
    </row>
    <row r="1072">
      <c r="A1072" t="inlineStr">
        <is>
          <t>Global Final Damage Bonus % (Enrage + Combo Synergy)</t>
        </is>
      </c>
      <c r="B1072">
        <f>((C1054=TRUE)*F1054*IF(AND(Inputs!$B$38&lt;&gt;"pvp",Inputs!$B$43&gt;0),(((R1054-1)*(Skills!T17*(1+(Inputs!$B$34+(ArtifactsInput!$M$7-ArtifactsInput!$M$7)*CHOOSE(ArtifactsInput!$N$7+1,6,7.2,8.4,9.6,10.8,12))/100))+MIN((Skills!T17*(1+(Inputs!$B$34+(ArtifactsInput!$M$7-ArtifactsInput!$M$7)*CHOOSE(ArtifactsInput!$N$7+1,6,7.2,8.4,9.6,10.8,12))/100)),MAX(0,Inputs!$B$43-((R1054-1)*Skills!D17))))/Inputs!$B$43),IF(Inputs!$B$38="pvp",MIN((Skills!T17*(1+(Inputs!$B$34+(ArtifactsInput!$M$7-ArtifactsInput!$M$7)*CHOOSE(ArtifactsInput!$N$7+1,6,7.2,8.4,9.6,10.8,12))/100)),15)/15,(Skills!T17*(1+(Inputs!$B$34+(ArtifactsInput!$M$7-ArtifactsInput!$M$7)*CHOOSE(ArtifactsInput!$N$7+1,6,7.2,8.4,9.6,10.8,12))/100))/Skills!D17)))+((C1051=TRUE)*F1051*IF(Inputs!$B$3&gt;=110,7,5))</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1081)</f>
        <v/>
      </c>
      <c r="L1081">
        <f>K1081*(MIN(Inputs!$B$22+((C1101=TRUE)*(F1101-Calc!F22)),(Inputs!$B$23+((C1103=TRUE)*(F1103-Calc!F24))+(IF(ArtifactsInput!$M$15,CHOOSE(ArtifactsInput!$N$15+1,25,30,35,40,45,50)/100*(Inputs!$B$11-Inputs!$B$11),0))))/100+(Inputs!$B$23+((C1103=TRUE)*(F1103-Calc!F24))+(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Summary!$B$15+(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INDEX(FactorTable!$B$2:$Y$301, MATCH(ROUND(MIN(300,MAX(1,U1081)),0), FactorTable!$A$2:$A$301,0), 22)</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U1083">
        <f>290*U1082/1000</f>
        <v/>
      </c>
    </row>
    <row r="1084">
      <c r="A1084">
        <f>Skills!A5</f>
        <v/>
      </c>
      <c r="B1084">
        <f>Skills!B5</f>
        <v/>
      </c>
      <c r="C1084">
        <f>Inputs!$B$3&gt;=103</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1084)</f>
        <v/>
      </c>
      <c r="L1084">
        <f>K1084*(MIN(Inputs!$B$22+((C1101=TRUE)*(F1101-Calc!F22)),(Inputs!$B$23+((C1103=TRUE)*(F1103-Calc!F24))+(IF(ArtifactsInput!$M$15,CHOOSE(ArtifactsInput!$N$15+1,25,30,35,40,45,50)/100*(Inputs!$B$11-Inputs!$B$11),0))))/100+(Inputs!$B$23+((C1103=TRUE)*(F1103-Calc!F24))+(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IFERROR(1/(IF(Inputs!$B$38="pvp",15,MAX(0.1,Skills!D5-IF(Skills!E5=TRUE,Inputs!$B$32,0)))*(1-IF(AND(ArtifactsInput!$M$27,Inputs!$B$4="Chapter Hunt"),CHOOSE(ArtifactsInput!$N$27+1,20,24,28,32,36,40),0)/100)),0)</f>
        <v/>
      </c>
      <c r="R1084">
        <f>IF(AND(Inputs!$B$38&lt;&gt;"pvp",Inputs!$B$43&gt;0),IF(MAX(0,Inputs!$B$43-B1115)&lt;=0,0,(INT(MAX(0,Inputs!$B$43-B1115)/(IF(Inputs!$B$38="pvp",15,MAX(0.1,Skills!D5-IF(Skills!E5=TRUE,Inputs!$B$32,0)))*(1-IF(AND(ArtifactsInput!$M$27,Inputs!$B$4="Chapter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1085)</f>
        <v/>
      </c>
      <c r="L1085">
        <f>K1085*(MIN(Inputs!$B$22+((C1101=TRUE)*(F1101-Calc!F22)),(Inputs!$B$23+((C1103=TRUE)*(F1103-Calc!F24))+(IF(ArtifactsInput!$M$15,CHOOSE(ArtifactsInput!$N$15+1,25,30,35,40,45,50)/100*(Inputs!$B$11-Inputs!$B$11),0))))/100+(Inputs!$B$23+((C1103=TRUE)*(F1103-Calc!F24))+(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IFERROR(1/(IF(Inputs!$B$38="pvp",15,MAX(0.1,Skills!D6-IF(Skills!E6=TRUE,Inputs!$B$32,0)))*(1-IF(AND(ArtifactsInput!$M$27,Inputs!$B$4="Chapter Hunt"),CHOOSE(ArtifactsInput!$N$27+1,20,24,28,32,36,40),0)/100)),0)</f>
        <v/>
      </c>
      <c r="R1085">
        <f>IF(AND(Inputs!$B$38&lt;&gt;"pvp",Inputs!$B$43&gt;0),IF(MAX(0,Inputs!$B$43-B1115)&lt;=0,0,(INT(MAX(0,Inputs!$B$43-B1115)/(IF(Inputs!$B$38="pvp",15,MAX(0.1,Skills!D6-IF(Skills!E6=TRUE,Inputs!$B$32,0)))*(1-IF(AND(ArtifactsInput!$M$27,Inputs!$B$4="Chapter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f>Skills!G7*IF(Skills!H7&gt;0,Skills!I7/Skills!H7,1)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1086)</f>
        <v/>
      </c>
      <c r="L1086">
        <f>K1086*(MIN(Inputs!$B$22+((C1101=TRUE)*(F1101-Calc!F22)),(Inputs!$B$23+((C1103=TRUE)*(F1103-Calc!F24))+(IF(ArtifactsInput!$M$15,CHOOSE(ArtifactsInput!$N$15+1,25,30,35,40,45,50)/100*(Inputs!$B$11-Inputs!$B$11),0))))/100+(Inputs!$B$23+((C1103=TRUE)*(F1103-Calc!F24))+(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IFERROR(1/(IF(Inputs!$B$38="pvp",15,MAX(0.1,Skills!D7-IF(Skills!E7=TRUE,Inputs!$B$32,0)))*(1-IF(AND(ArtifactsInput!$M$27,Inputs!$B$4="Chapter Hunt"),CHOOSE(ArtifactsInput!$N$27+1,20,24,28,32,36,40),0)/100)),0)</f>
        <v/>
      </c>
      <c r="R1086">
        <f>IF(AND(Inputs!$B$38&lt;&gt;"pvp",Inputs!$B$43&gt;0),IF(MAX(0,Inputs!$B$43-B1115)&lt;=0,0,(INT(MAX(0,Inputs!$B$43-B1115)/(IF(Inputs!$B$38="pvp",15,MAX(0.1,Skills!D7-IF(Skills!E7=TRUE,Inputs!$B$32,0)))*(1-IF(AND(ArtifactsInput!$M$27,Inputs!$B$4="Chapter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Inputs!$B$3&gt;=117</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1087)</f>
        <v/>
      </c>
      <c r="L1087">
        <f>K1087*(MIN(Inputs!$B$22+((C1101=TRUE)*(F1101-Calc!F22)),(Inputs!$B$23+((C1103=TRUE)*(F1103-Calc!F24))+(IF(ArtifactsInput!$M$15,CHOOSE(ArtifactsInput!$N$15+1,25,30,35,40,45,50)/100*(Inputs!$B$11-Inputs!$B$11),0))))/100+(Inputs!$B$23+((C1103=TRUE)*(F1103-Calc!F24))+(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IFERROR(1/(IF(Inputs!$B$38="pvp",15,MAX(0.1,Skills!D8-IF(Skills!E8=TRUE,Inputs!$B$32,0)))*(1-IF(AND(ArtifactsInput!$M$27,Inputs!$B$4="Chapter Hunt"),CHOOSE(ArtifactsInput!$N$27+1,20,24,28,32,36,40),0)/100)),0)</f>
        <v/>
      </c>
      <c r="R1087">
        <f>IF(AND(Inputs!$B$38&lt;&gt;"pvp",Inputs!$B$43&gt;0),IF(MAX(0,Inputs!$B$43-B1115)&lt;=0,0,(INT(MAX(0,Inputs!$B$43-B1115)/(IF(Inputs!$B$38="pvp",15,MAX(0.1,Skills!D8-IF(Skills!E8=TRUE,Inputs!$B$32,0)))*(1-IF(AND(ArtifactsInput!$M$27,Inputs!$B$4="Chapter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9="ENHANCED_RAGING_BLOW",IF(Inputs!$B$3&gt;=134,MAX(0,IF(Inputs!$B$3&gt;=110,7,5)-5)*50,0),0)/100)*(1+(IF(Skills!A9="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1088)</f>
        <v/>
      </c>
      <c r="L1088">
        <f>K1088*(MIN(Inputs!$B$22+((C1101=TRUE)*(F1101-Calc!F22)),(Inputs!$B$23+((C1103=TRUE)*(F1103-Calc!F24))+(IF(ArtifactsInput!$M$15,CHOOSE(ArtifactsInput!$N$15+1,25,30,35,40,45,50)/100*(Inputs!$B$11-Inputs!$B$11),0))))/100+(Inputs!$B$23+((C1103=TRUE)*(F1103-Calc!F24))+(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IFERROR(1/(IF(Inputs!$B$38="pvp",15,MAX(0.1,Skills!D9-IF(Skills!E9=TRUE,Inputs!$B$32,0)))*(1-IF(AND(ArtifactsInput!$M$27,Inputs!$B$4="Chapter Hunt"),CHOOSE(ArtifactsInput!$N$27+1,20,24,28,32,36,40),0)/100)),0)</f>
        <v/>
      </c>
      <c r="R1088">
        <f>IF(AND(Inputs!$B$38&lt;&gt;"pvp",Inputs!$B$43&gt;0),IF(MAX(0,Inputs!$B$43-B1115)&lt;=0,0,(INT(MAX(0,Inputs!$B$43-B1115)/(IF(Inputs!$B$38="pvp",15,MAX(0.1,Skills!D9-IF(Skills!E9=TRUE,Inputs!$B$32,0)))*(1-IF(AND(ArtifactsInput!$M$27,Inputs!$B$4="Chapter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10="ENHANCED_RAGING_BLOW",IF(Inputs!$B$3&gt;=134,MAX(0,IF(Inputs!$B$3&gt;=110,7,5)-5)*50,0),0)/100)*(1+(IF(Skills!A10="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1089)</f>
        <v/>
      </c>
      <c r="L1089">
        <f>K1089*(MIN(Inputs!$B$22+((C1101=TRUE)*(F1101-Calc!F22)),(Inputs!$B$23+((C1103=TRUE)*(F1103-Calc!F24))+(IF(ArtifactsInput!$M$15,CHOOSE(ArtifactsInput!$N$15+1,25,30,35,40,45,50)/100*(Inputs!$B$11-Inputs!$B$11),0))))/100+(Inputs!$B$23+((C1103=TRUE)*(F1103-Calc!F24))+(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IFERROR(1/(IF(Inputs!$B$38="pvp",15,MAX(0.1,Skills!D10-IF(Skills!E10=TRUE,Inputs!$B$32,0)))*(1-IF(AND(ArtifactsInput!$M$27,Inputs!$B$4="Chapter Hunt"),CHOOSE(ArtifactsInput!$N$27+1,20,24,28,32,36,40),0)/100)),0)</f>
        <v/>
      </c>
      <c r="R1089">
        <f>IF(AND(Inputs!$B$38&lt;&gt;"pvp",Inputs!$B$43&gt;0),IF(MAX(0,Inputs!$B$43-B1115)&lt;=0,0,(INT(MAX(0,Inputs!$B$43-B1115)/(IF(Inputs!$B$38="pvp",15,MAX(0.1,Skills!D10-IF(Skills!E10=TRUE,Inputs!$B$32,0)))*(1-IF(AND(ArtifactsInput!$M$27,Inputs!$B$4="Chapter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Inputs!$B$3&gt;=35</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11="ENHANCED_RAGING_BLOW",IF(Inputs!$B$3&gt;=134,MAX(0,IF(Inputs!$B$3&gt;=110,7,5)-5)*50,0),0)/100)*(1+(IF(Skills!A11="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1090)</f>
        <v/>
      </c>
      <c r="L1090">
        <f>K1090*(MIN(Inputs!$B$22+((C1101=TRUE)*(F1101-Calc!F22)),(Inputs!$B$23+((C1103=TRUE)*(F1103-Calc!F24))+(IF(ArtifactsInput!$M$15,CHOOSE(ArtifactsInput!$N$15+1,25,30,35,40,45,50)/100*(Inputs!$B$11-Inputs!$B$11),0))))/100+(Inputs!$B$23+((C1103=TRUE)*(F1103-Calc!F24))+(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IFERROR(1/(IF(Inputs!$B$38="pvp",15,MAX(0.1,Skills!D11-IF(Skills!E11=TRUE,Inputs!$B$32,0)))*(1-IF(AND(ArtifactsInput!$M$27,Inputs!$B$4="Chapter Hunt"),CHOOSE(ArtifactsInput!$N$27+1,20,24,28,32,36,40),0)/100)),0)</f>
        <v/>
      </c>
      <c r="R1090">
        <f>IF(AND(Inputs!$B$38&lt;&gt;"pvp",Inputs!$B$43&gt;0),IF(MAX(0,Inputs!$B$43-B1115)&lt;=0,0,(INT(MAX(0,Inputs!$B$43-B1115)/(IF(Inputs!$B$38="pvp",15,MAX(0.1,Skills!D11-IF(Skills!E11=TRUE,Inputs!$B$32,0)))*(1-IF(AND(ArtifactsInput!$M$27,Inputs!$B$4="Chapter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Inputs!$B$3&gt;=75</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f>Skills!G14*IF(Skills!H14&gt;0,Skills!I14/Skills!H14,1)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Inputs!$B$3&gt;=40</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IFERROR(1/(IF(Inputs!$B$38="pvp",15,MAX(0.1,Skills!D15-IF(Skills!E15=TRUE,Inputs!$B$32,0)))*(1-IF(AND(ArtifactsInput!$M$27,Inputs!$B$4="Chapter Hunt"),CHOOSE(ArtifactsInput!$N$27+1,20,24,28,32,36,40),0)/100)),0)</f>
        <v/>
      </c>
      <c r="R1094">
        <f>IF(AND(Inputs!$B$38&lt;&gt;"pvp",Inputs!$B$43&gt;0),IF(Inputs!$B$43&lt;=0,0,(INT(Inputs!$B$43/(IF(Inputs!$B$38="pvp",15,MAX(0.1,Skills!D15-IF(Skills!E15=TRUE,Inputs!$B$32,0)))*(1-IF(AND(ArtifactsInput!$M$27,Inputs!$B$4="Chapter Hunt"),CHOOSE(ArtifactsInput!$N$27+1,20,24,28,32,36,40),0)/100)))+1)),0)</f>
        <v/>
      </c>
      <c r="S1094">
        <f>IFERROR(O1094/N1094,0)</f>
        <v/>
      </c>
      <c r="T1094" t="n">
        <v>0</v>
      </c>
      <c r="V1094" t="n">
        <v>0</v>
      </c>
    </row>
    <row r="1095">
      <c r="A1095">
        <f>Skills!A16</f>
        <v/>
      </c>
      <c r="B1095">
        <f>Skills!B16</f>
        <v/>
      </c>
      <c r="C1095">
        <f>Inputs!$B$3&gt;=66</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IFERROR(1/(IF(Inputs!$B$38="pvp",15,MAX(0.1,Skills!D16-IF(Skills!E16=TRUE,Inputs!$B$32,0)))*(1-IF(AND(ArtifactsInput!$M$27,Inputs!$B$4="Chapter Hunt"),CHOOSE(ArtifactsInput!$N$27+1,20,24,28,32,36,40),0)/100)),0)</f>
        <v/>
      </c>
      <c r="R1095">
        <f>IF(AND(Inputs!$B$38&lt;&gt;"pvp",Inputs!$B$43&gt;0),IF(Inputs!$B$43&lt;=0,0,(INT(Inputs!$B$43/(IF(Inputs!$B$38="pvp",15,MAX(0.1,Skills!D16-IF(Skills!E16=TRUE,Inputs!$B$32,0)))*(1-IF(AND(ArtifactsInput!$M$27,Inputs!$B$4="Chapter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IFERROR(1/(IF(Inputs!$B$38="pvp",15,MAX(0.1,Skills!D17-IF(Skills!E17=TRUE,Inputs!$B$32,0)))*(1-IF(AND(ArtifactsInput!$M$27,Inputs!$B$4="Chapter Hunt"),CHOOSE(ArtifactsInput!$N$27+1,20,24,28,32,36,40),0)/100)),0)</f>
        <v/>
      </c>
      <c r="R1096">
        <f>IF(AND(Inputs!$B$38&lt;&gt;"pvp",Inputs!$B$43&gt;0),IF(Inputs!$B$43&lt;=0,0,(INT(Inputs!$B$43/(IF(Inputs!$B$38="pvp",15,MAX(0.1,Skills!D17-IF(Skills!E17=TRUE,Inputs!$B$32,0)))*(1-IF(AND(ArtifactsInput!$M$27,Inputs!$B$4="Chapter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IFERROR(1/(IF(Inputs!$B$38="pvp",15,MAX(0.1,Skills!D18-IF(Skills!E18=TRUE,Inputs!$B$32,0)))*(1-IF(AND(ArtifactsInput!$M$27,Inputs!$B$4="Chapter Hunt"),CHOOSE(ArtifactsInput!$N$27+1,20,24,28,32,36,40),0)/100)),0)</f>
        <v/>
      </c>
      <c r="R1097">
        <f>IF(AND(Inputs!$B$38&lt;&gt;"pvp",Inputs!$B$43&gt;0),IF(Inputs!$B$43&lt;=0,0,(INT(Inputs!$B$43/(IF(Inputs!$B$38="pvp",15,MAX(0.1,Skills!D18-IF(Skills!E18=TRUE,Inputs!$B$32,0)))*(1-IF(AND(ArtifactsInput!$M$27,Inputs!$B$4="Chapter Hunt"),CHOOSE(ArtifactsInput!$N$27+1,20,24,28,32,36,40),0)/100)))+1)),0)</f>
        <v/>
      </c>
      <c r="S1097">
        <f>IFERROR(O1097/N1097,0)</f>
        <v/>
      </c>
      <c r="T1097" t="n">
        <v>0</v>
      </c>
      <c r="V1097" t="n">
        <v>0</v>
      </c>
    </row>
    <row r="1098">
      <c r="A1098">
        <f>Skills!A19</f>
        <v/>
      </c>
      <c r="B1098">
        <f>Skills!B19</f>
        <v/>
      </c>
      <c r="C1098">
        <f>TRUE</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IFERROR(1/(IF(Inputs!$B$38="pvp",15,MAX(0.1,Skills!D19-IF(Skills!E19=TRUE,Inputs!$B$32,0)))*(1-IF(AND(ArtifactsInput!$M$27,Inputs!$B$4="Chapter Hunt"),CHOOSE(ArtifactsInput!$N$27+1,20,24,28,32,36,40),0)/100)),0)</f>
        <v/>
      </c>
      <c r="R1098">
        <f>IF(AND(Inputs!$B$38&lt;&gt;"pvp",Inputs!$B$43&gt;0),IF(Inputs!$B$43&lt;=0,0,(INT(Inputs!$B$43/(IF(Inputs!$B$38="pvp",15,MAX(0.1,Skills!D19-IF(Skills!E19=TRUE,Inputs!$B$32,0)))*(1-IF(AND(ArtifactsInput!$M$27,Inputs!$B$4="Chapter Hunt"),CHOOSE(ArtifactsInput!$N$27+1,20,24,28,32,36,40),0)/100)))+1)),0)</f>
        <v/>
      </c>
      <c r="S1098">
        <f>IFERROR(O1098/N1098,0)</f>
        <v/>
      </c>
      <c r="T1098" t="n">
        <v>0</v>
      </c>
      <c r="V1098" t="n">
        <v>0</v>
      </c>
    </row>
    <row r="1099">
      <c r="A1099">
        <f>Skills!A20</f>
        <v/>
      </c>
      <c r="B1099">
        <f>Skills!B20</f>
        <v/>
      </c>
      <c r="C1099">
        <f>Inputs!$B$3&gt;=33</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Inputs!$B$3&gt;=38</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t="n">
        <v>0</v>
      </c>
      <c r="R1100" t="n">
        <v>0</v>
      </c>
      <c r="S1100">
        <f>IFERROR(O1100/N1100,0)</f>
        <v/>
      </c>
      <c r="T1100" t="n">
        <v>0</v>
      </c>
      <c r="V1100" t="n">
        <v>0</v>
      </c>
    </row>
    <row r="1101">
      <c r="A1101">
        <f>Skills!A22</f>
        <v/>
      </c>
      <c r="B1101">
        <f>Skills!B22</f>
        <v/>
      </c>
      <c r="C1101">
        <f>Inputs!$B$3&gt;=43</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Inputs!$B$3&gt;=120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Inputs!$B$3&gt;=120</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Inputs!$B$3&gt;=125</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Inputs!$B$3&gt;=72</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1098=TRUE)*F1098*IF(AND(Inputs!$B$38&lt;&gt;"pvp",Inputs!$B$43&gt;0),(((R1098-1)*(Skills!T19*(1+(Inputs!$B$34+(ArtifactsInput!$M$7-ArtifactsInput!$M$7)*CHOOSE(ArtifactsInput!$N$7+1,6,7.2,8.4,9.6,10.8,12))/100))+MIN((Skills!T19*(1+(Inputs!$B$34+(ArtifactsInput!$M$7-ArtifactsInput!$M$7)*CHOOSE(ArtifactsInput!$N$7+1,6,7.2,8.4,9.6,10.8,12))/100)),MAX(0,Inputs!$B$43-((R1098-1)*Skills!D19))))/Inputs!$B$43),IF(Inputs!$B$38="pvp",MIN((Skills!T19*(1+(Inputs!$B$34+(ArtifactsInput!$M$7-ArtifactsInput!$M$7)*CHOOSE(ArtifactsInput!$N$7+1,6,7.2,8.4,9.6,10.8,12))/100)),15)/15,(Skills!T19*(1+(Inputs!$B$34+(ArtifactsInput!$M$7-ArtifactsInput!$M$7)*CHOOSE(ArtifactsInput!$N$7+1,6,7.2,8.4,9.6,10.8,12))/100))/Skills!D19)))</f>
        <v/>
      </c>
    </row>
    <row r="1110">
      <c r="A1110" t="inlineStr">
        <is>
          <t>Actions Per Second</t>
        </is>
      </c>
      <c r="B1110">
        <f>1+MIN(150,150*(1-(1-(Inputs!$B$11+((C1099=TRUE)*(F1099-Calc!F20)))/150)*(1-B1109/150)))/100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Raging Blow Casts Per Second</t>
        </is>
      </c>
      <c r="B1112">
        <f>MAX(0,B1110-B1111)</f>
        <v/>
      </c>
    </row>
    <row r="1113">
      <c r="A1113" t="inlineStr">
        <is>
          <t>Global Critical Damage Bonus % (Enrage)</t>
        </is>
      </c>
      <c r="B1113">
        <f>((C1097=TRUE)*F1097*IF(AND(Inputs!$B$38&lt;&gt;"pvp",Inputs!$B$43&gt;0),(((R1097-1)*(Skills!T18*(1+(Inputs!$B$34+(ArtifactsInput!$M$7-ArtifactsInput!$M$7)*CHOOSE(ArtifactsInput!$N$7+1,6,7.2,8.4,9.6,10.8,12))/100))+MIN((Skills!T18*(1+(Inputs!$B$34+(ArtifactsInput!$M$7-ArtifactsInput!$M$7)*CHOOSE(ArtifactsInput!$N$7+1,6,7.2,8.4,9.6,10.8,12))/100)),MAX(0,Inputs!$B$43-((R1097-1)*Skills!D18))))/Inputs!$B$43),IF(Inputs!$B$38="pvp",MIN((Skills!T18*(1+(Inputs!$B$34+(ArtifactsInput!$M$7-ArtifactsInput!$M$7)*CHOOSE(ArtifactsInput!$N$7+1,6,7.2,8.4,9.6,10.8,12))/100)),15)/15,(Skills!T18*(1+(Inputs!$B$34+(ArtifactsInput!$M$7-ArtifactsInput!$M$7)*CHOOSE(ArtifactsInput!$N$7+1,6,7.2,8.4,9.6,10.8,12))/100))/Skills!D18)))</f>
        <v/>
      </c>
    </row>
    <row r="1114">
      <c r="A1114" t="inlineStr">
        <is>
          <t>Global Final Damage Bonus % (Enrage + Combo Synergy)</t>
        </is>
      </c>
      <c r="B1114">
        <f>((C1096=TRUE)*F1096*IF(AND(Inputs!$B$38&lt;&gt;"pvp",Inputs!$B$43&gt;0),(((R1096-1)*(Skills!T17*(1+(Inputs!$B$34+(ArtifactsInput!$M$7-ArtifactsInput!$M$7)*CHOOSE(ArtifactsInput!$N$7+1,6,7.2,8.4,9.6,10.8,12))/100))+MIN((Skills!T17*(1+(Inputs!$B$34+(ArtifactsInput!$M$7-ArtifactsInput!$M$7)*CHOOSE(ArtifactsInput!$N$7+1,6,7.2,8.4,9.6,10.8,12))/100)),MAX(0,Inputs!$B$43-((R1096-1)*Skills!D17))))/Inputs!$B$43),IF(Inputs!$B$38="pvp",MIN((Skills!T17*(1+(Inputs!$B$34+(ArtifactsInput!$M$7-ArtifactsInput!$M$7)*CHOOSE(ArtifactsInput!$N$7+1,6,7.2,8.4,9.6,10.8,12))/100)),15)/15,(Skills!T17*(1+(Inputs!$B$34+(ArtifactsInput!$M$7-ArtifactsInput!$M$7)*CHOOSE(ArtifactsInput!$N$7+1,6,7.2,8.4,9.6,10.8,12))/100))/Skills!D17)))+((C1093=TRUE)*F1093*IF(Inputs!$B$3&gt;=110,7,5))</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1123)</f>
        <v/>
      </c>
      <c r="L1123">
        <f>K1123*(MIN(Inputs!$B$22+((C1143=TRUE)*(F1143-Calc!F22)),(Inputs!$B$23+((C1145=TRUE)*(F1145-Calc!F24))+(IF(ArtifactsInput!$M$15,CHOOSE(ArtifactsInput!$N$15+1,25,30,35,40,45,50)/100*(Inputs!$B$11-Inputs!$B$11),0))))/100+(Inputs!$B$23+((C1145=TRUE)*(F1145-Calc!F24))+(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INDEX(FactorTable!$B$2:$Y$301, MATCH(ROUND(MIN(300,MAX(1,D1124)),0),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INDEX(FactorTable!$B$2:$Y$301, MATCH(ROUND(MIN(300,MAX(1,U1123)),0), FactorTable!$A$2:$A$301,0), 22)</f>
        <v/>
      </c>
    </row>
    <row r="1125">
      <c r="A1125">
        <f>Skills!A4</f>
        <v/>
      </c>
      <c r="B1125">
        <f>Skills!B4</f>
        <v/>
      </c>
      <c r="C1125">
        <f>Inputs!$B$3&gt;=105</f>
        <v/>
      </c>
      <c r="D1125">
        <f>IF(Skills!C4=1,60+Inputs!$B$25+Inputs!$B$29,IF(Skills!C4=2,90+Inputs!$B$26+Inputs!$B$29,IF(Skills!C4=3,120+Inputs!$B$27+Inputs!$B$29,MAX(0,(Inputs!$B$3-100)*3)+Inputs!$B$28+Inputs!$B$29)))</f>
        <v/>
      </c>
      <c r="E1125">
        <f>INDEX(FactorTable!$B$2:$Y$301, MATCH(ROUND(MIN(300,MAX(1,D1125)),0), FactorTable!$A$2:$A$301,0), Skills!M4+1)</f>
        <v/>
      </c>
      <c r="F1125">
        <f>IF(Skills!N4=TRUE,(Skills!L4/10)*(E1125/1000),Skills!L4/10)+Skills!O4</f>
        <v/>
      </c>
      <c r="G1125" t="inlineStr"/>
      <c r="H1125" t="inlineStr"/>
      <c r="I1125" t="inlineStr">
        <is>
          <t>1</t>
        </is>
      </c>
      <c r="J1125" t="inlineStr"/>
      <c r="K1125" t="inlineStr"/>
      <c r="L1125" t="inlineStr"/>
      <c r="M1125" t="inlineStr"/>
      <c r="N1125" t="inlineStr"/>
      <c r="O1125" t="inlineStr"/>
      <c r="P1125" t="inlineStr"/>
      <c r="Q1125" t="inlineStr"/>
      <c r="R1125" t="inlineStr"/>
      <c r="S1125" t="inlineStr"/>
      <c r="U1125">
        <f>290*U1124/1000</f>
        <v/>
      </c>
    </row>
    <row r="1126">
      <c r="A1126">
        <f>Skills!A5</f>
        <v/>
      </c>
      <c r="B1126">
        <f>Skills!B5</f>
        <v/>
      </c>
      <c r="C1126">
        <f>Inputs!$B$3&gt;=103</f>
        <v/>
      </c>
      <c r="D1126">
        <f>IF(Skills!C5=1,60+Inputs!$B$25+Inputs!$B$29,IF(Skills!C5=2,90+Inputs!$B$26+Inputs!$B$29,IF(Skills!C5=3,120+Inputs!$B$27+Inputs!$B$29,MAX(0,(Inputs!$B$3-100)*3)+Inputs!$B$28+Inputs!$B$29)))</f>
        <v/>
      </c>
      <c r="E1126">
        <f>INDEX(FactorTable!$B$2:$Y$301, MATCH(ROUND(MIN(300,MAX(1,D1126)),0), FactorTable!$A$2:$A$301,0), Skills!M5+1)</f>
        <v/>
      </c>
      <c r="F1126">
        <f>IF(Skills!N5=TRUE,(Skills!L5/10)*(E1126/1000),Skills!L5/10)+Skills!O5</f>
        <v/>
      </c>
      <c r="G1126">
        <f>Skills!G5*IF(Skills!H5&gt;0,Skills!I5/Skills!H5,1)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1126)</f>
        <v/>
      </c>
      <c r="L1126">
        <f>K1126*(MIN(Inputs!$B$22+((C1143=TRUE)*(F1143-Calc!F22)),(Inputs!$B$23+((C1145=TRUE)*(F1145-Calc!F24))+(IF(ArtifactsInput!$M$15,CHOOSE(ArtifactsInput!$N$15+1,25,30,35,40,45,50)/100*(Inputs!$B$11-Inputs!$B$11),0))))/100+(Inputs!$B$23+((C1145=TRUE)*(F1145-Calc!F24))+(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IFERROR(1/(IF(Inputs!$B$38="pvp",15,MAX(0.1,Skills!D5-IF(Skills!E5=TRUE,Inputs!$B$32,0)))*(1-IF(AND(ArtifactsInput!$M$27,Inputs!$B$4="Chapter Hunt"),CHOOSE(ArtifactsInput!$N$27+1,20,24,28,32,36,40),0)/100)),0)</f>
        <v/>
      </c>
      <c r="R1126">
        <f>IF(AND(Inputs!$B$38&lt;&gt;"pvp",Inputs!$B$43&gt;0),IF(MAX(0,Inputs!$B$43-B1157)&lt;=0,0,(INT(MAX(0,Inputs!$B$43-B1157)/(IF(Inputs!$B$38="pvp",15,MAX(0.1,Skills!D5-IF(Skills!E5=TRUE,Inputs!$B$32,0)))*(1-IF(AND(ArtifactsInput!$M$27,Inputs!$B$4="Chapter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INDEX(FactorTable!$B$2:$Y$301, MATCH(ROUND(MIN(300,MAX(1,D1127)),0), FactorTable!$A$2:$A$301,0), Skills!M6+1)</f>
        <v/>
      </c>
      <c r="F1127">
        <f>IF(Skills!N6=TRUE,(Skills!L6/10)*(E1127/1000),Skills!L6/10)+Skills!O6</f>
        <v/>
      </c>
      <c r="G1127">
        <f>Skills!G6*IF(Skills!H6&gt;0,Skills!I6/Skills!H6,1)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1127)</f>
        <v/>
      </c>
      <c r="L1127">
        <f>K1127*(MIN(Inputs!$B$22+((C1143=TRUE)*(F1143-Calc!F22)),(Inputs!$B$23+((C1145=TRUE)*(F1145-Calc!F24))+(IF(ArtifactsInput!$M$15,CHOOSE(ArtifactsInput!$N$15+1,25,30,35,40,45,50)/100*(Inputs!$B$11-Inputs!$B$11),0))))/100+(Inputs!$B$23+((C1145=TRUE)*(F1145-Calc!F24))+(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IFERROR(1/(IF(Inputs!$B$38="pvp",15,MAX(0.1,Skills!D6-IF(Skills!E6=TRUE,Inputs!$B$32,0)))*(1-IF(AND(ArtifactsInput!$M$27,Inputs!$B$4="Chapter Hunt"),CHOOSE(ArtifactsInput!$N$27+1,20,24,28,32,36,40),0)/100)),0)</f>
        <v/>
      </c>
      <c r="R1127">
        <f>IF(AND(Inputs!$B$38&lt;&gt;"pvp",Inputs!$B$43&gt;0),IF(MAX(0,Inputs!$B$43-B1157)&lt;=0,0,(INT(MAX(0,Inputs!$B$43-B1157)/(IF(Inputs!$B$38="pvp",15,MAX(0.1,Skills!D6-IF(Skills!E6=TRUE,Inputs!$B$32,0)))*(1-IF(AND(ArtifactsInput!$M$27,Inputs!$B$4="Chapter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INDEX(FactorTable!$B$2:$Y$301, MATCH(ROUND(MIN(300,MAX(1,D1128)),0), FactorTable!$A$2:$A$301,0), Skills!M7+1)</f>
        <v/>
      </c>
      <c r="F1128">
        <f>IF(Skills!N7=TRUE,(Skills!L7/10)*(E1128/1000),Skills!L7/10)+Skills!O7</f>
        <v/>
      </c>
      <c r="G1128">
        <f>Skills!G7*IF(Skills!H7&gt;0,Skills!I7/Skills!H7,1)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1128)</f>
        <v/>
      </c>
      <c r="L1128">
        <f>K1128*(MIN(Inputs!$B$22+((C1143=TRUE)*(F1143-Calc!F22)),(Inputs!$B$23+((C1145=TRUE)*(F1145-Calc!F24))+(IF(ArtifactsInput!$M$15,CHOOSE(ArtifactsInput!$N$15+1,25,30,35,40,45,50)/100*(Inputs!$B$11-Inputs!$B$11),0))))/100+(Inputs!$B$23+((C1145=TRUE)*(F1145-Calc!F24))+(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IFERROR(1/(IF(Inputs!$B$38="pvp",15,MAX(0.1,Skills!D7-IF(Skills!E7=TRUE,Inputs!$B$32,0)))*(1-IF(AND(ArtifactsInput!$M$27,Inputs!$B$4="Chapter Hunt"),CHOOSE(ArtifactsInput!$N$27+1,20,24,28,32,36,40),0)/100)),0)</f>
        <v/>
      </c>
      <c r="R1128">
        <f>IF(AND(Inputs!$B$38&lt;&gt;"pvp",Inputs!$B$43&gt;0),IF(MAX(0,Inputs!$B$43-B1157)&lt;=0,0,(INT(MAX(0,Inputs!$B$43-B1157)/(IF(Inputs!$B$38="pvp",15,MAX(0.1,Skills!D7-IF(Skills!E7=TRUE,Inputs!$B$32,0)))*(1-IF(AND(ArtifactsInput!$M$27,Inputs!$B$4="Chapter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Inputs!$B$3&gt;=117</f>
        <v/>
      </c>
      <c r="D1129">
        <f>IF(Skills!C8=1,60+Inputs!$B$25+Inputs!$B$29,IF(Skills!C8=2,90+Inputs!$B$26+Inputs!$B$29,IF(Skills!C8=3,120+Inputs!$B$27+Inputs!$B$29,MAX(0,(Inputs!$B$3-100)*3)+Inputs!$B$28+Inputs!$B$29)))</f>
        <v/>
      </c>
      <c r="E1129">
        <f>INDEX(FactorTable!$B$2:$Y$301, MATCH(ROUND(MIN(300,MAX(1,D1129)),0), FactorTable!$A$2:$A$301,0), Skills!M8+1)</f>
        <v/>
      </c>
      <c r="F1129">
        <f>IF(Skills!N8=TRUE,(Skills!L8/10)*(E1129/1000),Skills!L8/10)+Skills!O8</f>
        <v/>
      </c>
      <c r="G1129">
        <f>Skills!G8*IF(Skills!H8&gt;0,Skills!I8/Skills!H8,1)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1129)</f>
        <v/>
      </c>
      <c r="L1129">
        <f>K1129*(MIN(Inputs!$B$22+((C1143=TRUE)*(F1143-Calc!F22)),(Inputs!$B$23+((C1145=TRUE)*(F1145-Calc!F24))+(IF(ArtifactsInput!$M$15,CHOOSE(ArtifactsInput!$N$15+1,25,30,35,40,45,50)/100*(Inputs!$B$11-Inputs!$B$11),0))))/100+(Inputs!$B$23+((C1145=TRUE)*(F1145-Calc!F24))+(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IFERROR(1/(IF(Inputs!$B$38="pvp",15,MAX(0.1,Skills!D8-IF(Skills!E8=TRUE,Inputs!$B$32,0)))*(1-IF(AND(ArtifactsInput!$M$27,Inputs!$B$4="Chapter Hunt"),CHOOSE(ArtifactsInput!$N$27+1,20,24,28,32,36,40),0)/100)),0)</f>
        <v/>
      </c>
      <c r="R1129">
        <f>IF(AND(Inputs!$B$38&lt;&gt;"pvp",Inputs!$B$43&gt;0),IF(MAX(0,Inputs!$B$43-B1157)&lt;=0,0,(INT(MAX(0,Inputs!$B$43-B1157)/(IF(Inputs!$B$38="pvp",15,MAX(0.1,Skills!D8-IF(Skills!E8=TRUE,Inputs!$B$32,0)))*(1-IF(AND(ArtifactsInput!$M$27,Inputs!$B$4="Chapter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Inputs!$B$3&gt;=69</f>
        <v/>
      </c>
      <c r="D1130">
        <f>IF(Skills!C9=1,60+Inputs!$B$25+Inputs!$B$29,IF(Skills!C9=2,90+Inputs!$B$26+Inputs!$B$29,IF(Skills!C9=3,120+Inputs!$B$27+Inputs!$B$29,MAX(0,(Inputs!$B$3-100)*3)+Inputs!$B$28+Inputs!$B$29)))</f>
        <v/>
      </c>
      <c r="E1130">
        <f>INDEX(FactorTable!$B$2:$Y$301, MATCH(ROUND(MIN(300,MAX(1,D1130)),0), FactorTable!$A$2:$A$301,0), Skills!M9+1)</f>
        <v/>
      </c>
      <c r="F1130">
        <f>IF(Skills!N9=TRUE,(Skills!L9/10)*(E1130/1000),Skills!L9/10)+Skills!O9</f>
        <v/>
      </c>
      <c r="G1130">
        <f>Skills!G9*IF(Skills!H9&gt;0,Skills!I9/Skills!H9,1)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9="ENHANCED_RAGING_BLOW",IF(Inputs!$B$3&gt;=134,MAX(0,IF(Inputs!$B$3&gt;=110,7,5)-5)*50,0),0)/100)*(1+(IF(Skills!A9="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1130)</f>
        <v/>
      </c>
      <c r="L1130">
        <f>K1130*(MIN(Inputs!$B$22+((C1143=TRUE)*(F1143-Calc!F22)),(Inputs!$B$23+((C1145=TRUE)*(F1145-Calc!F24))+(IF(ArtifactsInput!$M$15,CHOOSE(ArtifactsInput!$N$15+1,25,30,35,40,45,50)/100*(Inputs!$B$11-Inputs!$B$11),0))))/100+(Inputs!$B$23+((C1145=TRUE)*(F1145-Calc!F24))+(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IFERROR(1/(IF(Inputs!$B$38="pvp",15,MAX(0.1,Skills!D9-IF(Skills!E9=TRUE,Inputs!$B$32,0)))*(1-IF(AND(ArtifactsInput!$M$27,Inputs!$B$4="Chapter Hunt"),CHOOSE(ArtifactsInput!$N$27+1,20,24,28,32,36,40),0)/100)),0)</f>
        <v/>
      </c>
      <c r="R1130">
        <f>IF(AND(Inputs!$B$38&lt;&gt;"pvp",Inputs!$B$43&gt;0),IF(MAX(0,Inputs!$B$43-B1157)&lt;=0,0,(INT(MAX(0,Inputs!$B$43-B1157)/(IF(Inputs!$B$38="pvp",15,MAX(0.1,Skills!D9-IF(Skills!E9=TRUE,Inputs!$B$32,0)))*(1-IF(AND(ArtifactsInput!$M$27,Inputs!$B$4="Chapter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Inputs!$B$3&gt;=63</f>
        <v/>
      </c>
      <c r="D1131">
        <f>IF(Skills!C10=1,60+Inputs!$B$25+Inputs!$B$29,IF(Skills!C10=2,90+Inputs!$B$26+Inputs!$B$29,IF(Skills!C10=3,120+Inputs!$B$27+Inputs!$B$29,MAX(0,(Inputs!$B$3-100)*3)+Inputs!$B$28+Inputs!$B$29)))</f>
        <v/>
      </c>
      <c r="E1131">
        <f>INDEX(FactorTable!$B$2:$Y$301, MATCH(ROUND(MIN(300,MAX(1,D1131)),0), FactorTable!$A$2:$A$301,0), Skills!M10+1)</f>
        <v/>
      </c>
      <c r="F1131">
        <f>IF(Skills!N10=TRUE,(Skills!L10/10)*(E1131/1000),Skills!L10/10)+Skills!O10</f>
        <v/>
      </c>
      <c r="G1131">
        <f>Skills!G10*IF(Skills!H10&gt;0,Skills!I10/Skills!H10,1)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10="ENHANCED_RAGING_BLOW",IF(Inputs!$B$3&gt;=134,MAX(0,IF(Inputs!$B$3&gt;=110,7,5)-5)*50,0),0)/100)*(1+(IF(Skills!A10="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1131)</f>
        <v/>
      </c>
      <c r="L1131">
        <f>K1131*(MIN(Inputs!$B$22+((C1143=TRUE)*(F1143-Calc!F22)),(Inputs!$B$23+((C1145=TRUE)*(F1145-Calc!F24))+(IF(ArtifactsInput!$M$15,CHOOSE(ArtifactsInput!$N$15+1,25,30,35,40,45,50)/100*(Inputs!$B$11-Inputs!$B$11),0))))/100+(Inputs!$B$23+((C1145=TRUE)*(F1145-Calc!F24))+(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IFERROR(1/(IF(Inputs!$B$38="pvp",15,MAX(0.1,Skills!D10-IF(Skills!E10=TRUE,Inputs!$B$32,0)))*(1-IF(AND(ArtifactsInput!$M$27,Inputs!$B$4="Chapter Hunt"),CHOOSE(ArtifactsInput!$N$27+1,20,24,28,32,36,40),0)/100)),0)</f>
        <v/>
      </c>
      <c r="R1131">
        <f>IF(AND(Inputs!$B$38&lt;&gt;"pvp",Inputs!$B$43&gt;0),IF(MAX(0,Inputs!$B$43-B1157)&lt;=0,0,(INT(MAX(0,Inputs!$B$43-B1157)/(IF(Inputs!$B$38="pvp",15,MAX(0.1,Skills!D10-IF(Skills!E10=TRUE,Inputs!$B$32,0)))*(1-IF(AND(ArtifactsInput!$M$27,Inputs!$B$4="Chapter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Inputs!$B$3&gt;=35</f>
        <v/>
      </c>
      <c r="D1132">
        <f>IF(Skills!C11=1,60+Inputs!$B$25+Inputs!$B$29,IF(Skills!C11=2,90+Inputs!$B$26+Inputs!$B$29,IF(Skills!C11=3,120+Inputs!$B$27+Inputs!$B$29,MAX(0,(Inputs!$B$3-100)*3)+Inputs!$B$28+Inputs!$B$29)))</f>
        <v/>
      </c>
      <c r="E1132">
        <f>INDEX(FactorTable!$B$2:$Y$301, MATCH(ROUND(MIN(300,MAX(1,D1132)),0), FactorTable!$A$2:$A$301,0), Skills!M11+1)</f>
        <v/>
      </c>
      <c r="F1132">
        <f>IF(Skills!N11=TRUE,(Skills!L11/10)*(E1132/1000),Skills!L11/10)+Skills!O11</f>
        <v/>
      </c>
      <c r="G1132">
        <f>Skills!G11*IF(Skills!H11&gt;0,Skills!I11/Skills!H11,1)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11="ENHANCED_RAGING_BLOW",IF(Inputs!$B$3&gt;=134,MAX(0,IF(Inputs!$B$3&gt;=110,7,5)-5)*50,0),0)/100)*(1+(IF(Skills!A11="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1132)</f>
        <v/>
      </c>
      <c r="L1132">
        <f>K1132*(MIN(Inputs!$B$22+((C1143=TRUE)*(F1143-Calc!F22)),(Inputs!$B$23+((C1145=TRUE)*(F1145-Calc!F24))+(IF(ArtifactsInput!$M$15,CHOOSE(ArtifactsInput!$N$15+1,25,30,35,40,45,50)/100*(Inputs!$B$11-Inputs!$B$11),0))))/100+(Inputs!$B$23+((C1145=TRUE)*(F1145-Calc!F24))+(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IFERROR(1/(IF(Inputs!$B$38="pvp",15,MAX(0.1,Skills!D11-IF(Skills!E11=TRUE,Inputs!$B$32,0)))*(1-IF(AND(ArtifactsInput!$M$27,Inputs!$B$4="Chapter Hunt"),CHOOSE(ArtifactsInput!$N$27+1,20,24,28,32,36,40),0)/100)),0)</f>
        <v/>
      </c>
      <c r="R1132">
        <f>IF(AND(Inputs!$B$38&lt;&gt;"pvp",Inputs!$B$43&gt;0),IF(MAX(0,Inputs!$B$43-B1157)&lt;=0,0,(INT(MAX(0,Inputs!$B$43-B1157)/(IF(Inputs!$B$38="pvp",15,MAX(0.1,Skills!D11-IF(Skills!E11=TRUE,Inputs!$B$32,0)))*(1-IF(AND(ArtifactsInput!$M$27,Inputs!$B$4="Chapter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INDEX(FactorTable!$B$2:$Y$301, MATCH(ROUND(MIN(300,MAX(1,D1133)),0),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INDEX(FactorTable!$B$2:$Y$301, MATCH(ROUND(MIN(300,MAX(1,D1134)),0), FactorTable!$A$2:$A$301,0), Skills!M13+1)</f>
        <v/>
      </c>
      <c r="F1134">
        <f>IF(Skills!N13=TRUE,(Skills!L13/10)*(E1134/1000),Skills!L13/10)+Skills!O13</f>
        <v/>
      </c>
      <c r="G1134">
        <f>Skills!G13*IF(Skills!H13&gt;0,Skills!I13/Skills!H13,1)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Inputs!$B$3&gt;=75</f>
        <v/>
      </c>
      <c r="D1135">
        <f>IF(Skills!C14=1,60+Inputs!$B$25+Inputs!$B$29,IF(Skills!C14=2,90+Inputs!$B$26+Inputs!$B$29,IF(Skills!C14=3,120+Inputs!$B$27+Inputs!$B$29,MAX(0,(Inputs!$B$3-100)*3)+Inputs!$B$28+Inputs!$B$29)))</f>
        <v/>
      </c>
      <c r="E1135">
        <f>INDEX(FactorTable!$B$2:$Y$301, MATCH(ROUND(MIN(300,MAX(1,D1135)),0), FactorTable!$A$2:$A$301,0), Skills!M14+1)</f>
        <v/>
      </c>
      <c r="F1135">
        <f>IF(Skills!N14=TRUE,(Skills!L14/10)*(E1135/1000),Skills!L14/10)+Skills!O14</f>
        <v/>
      </c>
      <c r="G1135">
        <f>Skills!G14*IF(Skills!H14&gt;0,Skills!I14/Skills!H14,1)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Inputs!$B$3&gt;=40</f>
        <v/>
      </c>
      <c r="D1136">
        <f>IF(Skills!C15=1,60+Inputs!$B$25+Inputs!$B$29,IF(Skills!C15=2,90+Inputs!$B$26+Inputs!$B$29,IF(Skills!C15=3,120+Inputs!$B$27+Inputs!$B$29,MAX(0,(Inputs!$B$3-100)*3)+Inputs!$B$28+Inputs!$B$29)))</f>
        <v/>
      </c>
      <c r="E1136">
        <f>INDEX(FactorTable!$B$2:$Y$301, MATCH(ROUND(MIN(300,MAX(1,D1136)),0), FactorTable!$A$2:$A$301,0), Skills!M15+1)</f>
        <v/>
      </c>
      <c r="F1136">
        <f>IF(Skills!N15=TRUE,(Skills!L15/10)*(E1136/1000),Skills!L15/10)+Skills!O15</f>
        <v/>
      </c>
      <c r="G1136">
        <f>Skills!G15*IF(Skills!H15&gt;0,Skills!I15/Skills!H15,1)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IFERROR(1/(IF(Inputs!$B$38="pvp",15,MAX(0.1,Skills!D15-IF(Skills!E15=TRUE,Inputs!$B$32,0)))*(1-IF(AND(ArtifactsInput!$M$27,Inputs!$B$4="Chapter Hunt"),CHOOSE(ArtifactsInput!$N$27+1,20,24,28,32,36,40),0)/100)),0)</f>
        <v/>
      </c>
      <c r="R1136">
        <f>IF(AND(Inputs!$B$38&lt;&gt;"pvp",Inputs!$B$43&gt;0),IF(Inputs!$B$43&lt;=0,0,(INT(Inputs!$B$43/(IF(Inputs!$B$38="pvp",15,MAX(0.1,Skills!D15-IF(Skills!E15=TRUE,Inputs!$B$32,0)))*(1-IF(AND(ArtifactsInput!$M$27,Inputs!$B$4="Chapter Hunt"),CHOOSE(ArtifactsInput!$N$27+1,20,24,28,32,36,40),0)/100)))+1)),0)</f>
        <v/>
      </c>
      <c r="S1136">
        <f>IFERROR(O1136/N1136,0)</f>
        <v/>
      </c>
      <c r="T1136" t="n">
        <v>0</v>
      </c>
      <c r="V1136" t="n">
        <v>0</v>
      </c>
    </row>
    <row r="1137">
      <c r="A1137">
        <f>Skills!A16</f>
        <v/>
      </c>
      <c r="B1137">
        <f>Skills!B16</f>
        <v/>
      </c>
      <c r="C1137">
        <f>Inputs!$B$3&gt;=66</f>
        <v/>
      </c>
      <c r="D1137">
        <f>IF(Skills!C16=1,60+Inputs!$B$25+Inputs!$B$29,IF(Skills!C16=2,90+Inputs!$B$26+Inputs!$B$29,IF(Skills!C16=3,120+Inputs!$B$27+Inputs!$B$29,MAX(0,(Inputs!$B$3-100)*3)+Inputs!$B$28+Inputs!$B$29)))</f>
        <v/>
      </c>
      <c r="E1137">
        <f>INDEX(FactorTable!$B$2:$Y$301, MATCH(ROUND(MIN(300,MAX(1,D1137)),0), FactorTable!$A$2:$A$301,0), Skills!M16+1)</f>
        <v/>
      </c>
      <c r="F1137">
        <f>IF(Skills!N16=TRUE,(Skills!L16/10)*(E1137/1000),Skills!L16/10)+Skills!O16</f>
        <v/>
      </c>
      <c r="G1137">
        <f>Skills!G16*IF(Skills!H16&gt;0,Skills!I16/Skills!H16,1)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IFERROR(1/(IF(Inputs!$B$38="pvp",15,MAX(0.1,Skills!D16-IF(Skills!E16=TRUE,Inputs!$B$32,0)))*(1-IF(AND(ArtifactsInput!$M$27,Inputs!$B$4="Chapter Hunt"),CHOOSE(ArtifactsInput!$N$27+1,20,24,28,32,36,40),0)/100)),0)</f>
        <v/>
      </c>
      <c r="R1137">
        <f>IF(AND(Inputs!$B$38&lt;&gt;"pvp",Inputs!$B$43&gt;0),IF(Inputs!$B$43&lt;=0,0,(INT(Inputs!$B$43/(IF(Inputs!$B$38="pvp",15,MAX(0.1,Skills!D16-IF(Skills!E16=TRUE,Inputs!$B$32,0)))*(1-IF(AND(ArtifactsInput!$M$27,Inputs!$B$4="Chapter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INDEX(FactorTable!$B$2:$Y$301, MATCH(ROUND(MIN(300,MAX(1,D1138)),0), FactorTable!$A$2:$A$301,0), Skills!M17+1)</f>
        <v/>
      </c>
      <c r="F1138">
        <f>IF(Skills!N17=TRUE,(Skills!L17/10)*(E1138/1000),Skills!L17/10)+Skills!O17</f>
        <v/>
      </c>
      <c r="G1138">
        <f>Skills!G17*IF(Skills!H17&gt;0,Skills!I17/Skills!H17,1)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IFERROR(1/(IF(Inputs!$B$38="pvp",15,MAX(0.1,Skills!D17-IF(Skills!E17=TRUE,Inputs!$B$32,0)))*(1-IF(AND(ArtifactsInput!$M$27,Inputs!$B$4="Chapter Hunt"),CHOOSE(ArtifactsInput!$N$27+1,20,24,28,32,36,40),0)/100)),0)</f>
        <v/>
      </c>
      <c r="R1138">
        <f>IF(AND(Inputs!$B$38&lt;&gt;"pvp",Inputs!$B$43&gt;0),IF(Inputs!$B$43&lt;=0,0,(INT(Inputs!$B$43/(IF(Inputs!$B$38="pvp",15,MAX(0.1,Skills!D17-IF(Skills!E17=TRUE,Inputs!$B$32,0)))*(1-IF(AND(ArtifactsInput!$M$27,Inputs!$B$4="Chapter Hunt"),CHOOSE(ArtifactsInput!$N$27+1,20,24,28,32,36,40),0)/100)))+1)),0)</f>
        <v/>
      </c>
      <c r="S1138">
        <f>IFERROR(O1138/N1138,0)</f>
        <v/>
      </c>
      <c r="T1138" t="n">
        <v>0</v>
      </c>
      <c r="V1138" t="n">
        <v>0</v>
      </c>
    </row>
    <row r="1139">
      <c r="A1139">
        <f>Skills!A18</f>
        <v/>
      </c>
      <c r="B1139">
        <f>Skills!B18</f>
        <v/>
      </c>
      <c r="C1139">
        <f>Inputs!$B$3&gt;=115</f>
        <v/>
      </c>
      <c r="D1139">
        <f>IF(Skills!C18=1,60+Inputs!$B$25+Inputs!$B$29,IF(Skills!C18=2,90+Inputs!$B$26+Inputs!$B$29,IF(Skills!C18=3,120+Inputs!$B$27+Inputs!$B$29,MAX(0,(Inputs!$B$3-100)*3)+Inputs!$B$28+Inputs!$B$29)))</f>
        <v/>
      </c>
      <c r="E1139">
        <f>INDEX(FactorTable!$B$2:$Y$301, MATCH(ROUND(MIN(300,MAX(1,D1139)),0), FactorTable!$A$2:$A$301,0), Skills!M18+1)</f>
        <v/>
      </c>
      <c r="F1139">
        <f>IF(Skills!N18=TRUE,(Skills!L18/10)*(E1139/1000),Skills!L18/10)+Skills!O18</f>
        <v/>
      </c>
      <c r="G1139">
        <f>Skills!G18*IF(Skills!H18&gt;0,Skills!I18/Skills!H18,1)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IFERROR(1/(IF(Inputs!$B$38="pvp",15,MAX(0.1,Skills!D18-IF(Skills!E18=TRUE,Inputs!$B$32,0)))*(1-IF(AND(ArtifactsInput!$M$27,Inputs!$B$4="Chapter Hunt"),CHOOSE(ArtifactsInput!$N$27+1,20,24,28,32,36,40),0)/100)),0)</f>
        <v/>
      </c>
      <c r="R1139">
        <f>IF(AND(Inputs!$B$38&lt;&gt;"pvp",Inputs!$B$43&gt;0),IF(Inputs!$B$43&lt;=0,0,(INT(Inputs!$B$43/(IF(Inputs!$B$38="pvp",15,MAX(0.1,Skills!D18-IF(Skills!E18=TRUE,Inputs!$B$32,0)))*(1-IF(AND(ArtifactsInput!$M$27,Inputs!$B$4="Chapter Hunt"),CHOOSE(ArtifactsInput!$N$27+1,20,24,28,32,36,40),0)/100)))+1)),0)</f>
        <v/>
      </c>
      <c r="S1139">
        <f>IFERROR(O1139/N1139,0)</f>
        <v/>
      </c>
      <c r="T1139" t="n">
        <v>0</v>
      </c>
      <c r="V1139" t="n">
        <v>0</v>
      </c>
    </row>
    <row r="1140">
      <c r="A1140">
        <f>Skills!A19</f>
        <v/>
      </c>
      <c r="B1140">
        <f>Skills!B19</f>
        <v/>
      </c>
      <c r="C1140">
        <f>TRUE</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IFERROR(1/(IF(Inputs!$B$38="pvp",15,MAX(0.1,Skills!D19-IF(Skills!E19=TRUE,Inputs!$B$32,0)))*(1-IF(AND(ArtifactsInput!$M$27,Inputs!$B$4="Chapter Hunt"),CHOOSE(ArtifactsInput!$N$27+1,20,24,28,32,36,40),0)/100)),0)</f>
        <v/>
      </c>
      <c r="R1140">
        <f>IF(AND(Inputs!$B$38&lt;&gt;"pvp",Inputs!$B$43&gt;0),IF(Inputs!$B$43&lt;=0,0,(INT(Inputs!$B$43/(IF(Inputs!$B$38="pvp",15,MAX(0.1,Skills!D19-IF(Skills!E19=TRUE,Inputs!$B$32,0)))*(1-IF(AND(ArtifactsInput!$M$27,Inputs!$B$4="Chapter Hunt"),CHOOSE(ArtifactsInput!$N$27+1,20,24,28,32,36,40),0)/100)))+1)),0)</f>
        <v/>
      </c>
      <c r="S1140">
        <f>IFERROR(O1140/N1140,0)</f>
        <v/>
      </c>
      <c r="T1140" t="n">
        <v>0</v>
      </c>
      <c r="V1140" t="n">
        <v>0</v>
      </c>
    </row>
    <row r="1141">
      <c r="A1141">
        <f>Skills!A20</f>
        <v/>
      </c>
      <c r="B1141">
        <f>Skills!B20</f>
        <v/>
      </c>
      <c r="C1141">
        <f>Inputs!$B$3&gt;=33</f>
        <v/>
      </c>
      <c r="D1141">
        <f>IF(Skills!C20=1,60+Inputs!$B$25+Inputs!$B$29,IF(Skills!C20=2,90+Inputs!$B$26+Inputs!$B$29,IF(Skills!C20=3,120+Inputs!$B$27+Inputs!$B$29,MAX(0,(Inputs!$B$3-100)*3)+Inputs!$B$28+Inputs!$B$29)))</f>
        <v/>
      </c>
      <c r="E1141">
        <f>INDEX(FactorTable!$B$2:$Y$301, MATCH(ROUND(MIN(300,MAX(1,D1141)),0), FactorTable!$A$2:$A$301,0), Skills!M20+1)</f>
        <v/>
      </c>
      <c r="F1141">
        <f>IF(Skills!N20=TRUE,(Skills!L20/10)*(E1141/1000),Skills!L20/10)+Skills!O20</f>
        <v/>
      </c>
      <c r="G1141">
        <f>Skills!G20*IF(Skills!H20&gt;0,Skills!I20/Skills!H20,1)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Inputs!$B$3&gt;=38</f>
        <v/>
      </c>
      <c r="D1142">
        <f>IF(Skills!C21=1,60+Inputs!$B$25+Inputs!$B$29,IF(Skills!C21=2,90+Inputs!$B$26+Inputs!$B$29,IF(Skills!C21=3,120+Inputs!$B$27+Inputs!$B$29,MAX(0,(Inputs!$B$3-100)*3)+Inputs!$B$28+Inputs!$B$29)))</f>
        <v/>
      </c>
      <c r="E1142">
        <f>INDEX(FactorTable!$B$2:$Y$301, MATCH(ROUND(MIN(300,MAX(1,D1142)),0), FactorTable!$A$2:$A$301,0), Skills!M21+1)</f>
        <v/>
      </c>
      <c r="F1142">
        <f>IF(Skills!N21=TRUE,(Skills!L21/10)*(E1142/1000),Skills!L21/10)+Skills!O21</f>
        <v/>
      </c>
      <c r="G1142">
        <f>Skills!G21*IF(Skills!H21&gt;0,Skills!I21/Skills!H21,1)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Skills!A22</f>
        <v/>
      </c>
      <c r="B1143">
        <f>Skills!B22</f>
        <v/>
      </c>
      <c r="C1143">
        <f>Inputs!$B$3&gt;=43</f>
        <v/>
      </c>
      <c r="D1143">
        <f>IF(Skills!C22=1,60+Inputs!$B$25+Inputs!$B$29,IF(Skills!C22=2,90+Inputs!$B$26+Inputs!$B$29,IF(Skills!C22=3,120+Inputs!$B$27+Inputs!$B$29,MAX(0,(Inputs!$B$3-100)*3)+Inputs!$B$28+Inputs!$B$29)))</f>
        <v/>
      </c>
      <c r="E1143">
        <f>INDEX(FactorTable!$B$2:$Y$301, MATCH(ROUND(MIN(300,MAX(1,D1143)),0), FactorTable!$A$2:$A$301,0), Skills!M22+1)</f>
        <v/>
      </c>
      <c r="F1143">
        <f>IF(Skills!N22=TRUE,(Skills!L22/10)*(E1143/1000),Skills!L22/10)+Skills!O22</f>
        <v/>
      </c>
      <c r="G1143">
        <f>Skills!G22*IF(Skills!H22&gt;0,Skills!I22/Skills!H22,1)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Inputs!$B$3&gt;=120</f>
        <v/>
      </c>
      <c r="D1144">
        <f>IF(Skills!C23=1,60+Inputs!$B$25+Inputs!$B$29,IF(Skills!C23=2,90+Inputs!$B$26+Inputs!$B$29,IF(Skills!C23=3,120+Inputs!$B$27+Inputs!$B$29,MAX(0,(Inputs!$B$3-100)*3)+Inputs!$B$28+Inputs!$B$29)))</f>
        <v/>
      </c>
      <c r="E1144">
        <f>INDEX(FactorTable!$B$2:$Y$301, MATCH(ROUND(MIN(300,MAX(1,D1144)),0), FactorTable!$A$2:$A$301,0), Skills!M23+1)</f>
        <v/>
      </c>
      <c r="F1144">
        <f>IF(Skills!N23=TRUE,(Skills!L23/10)*(E1144/1000),Skills!L23/10)+Skills!O23</f>
        <v/>
      </c>
      <c r="G1144">
        <f>Skills!G23*IF(Skills!H23&gt;0,Skills!I23/Skills!H23,1)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Inputs!$B$3&gt;=120</f>
        <v/>
      </c>
      <c r="D1145">
        <f>IF(Skills!C24=1,60+Inputs!$B$25+Inputs!$B$29,IF(Skills!C24=2,90+Inputs!$B$26+Inputs!$B$29,IF(Skills!C24=3,120+Inputs!$B$27+Inputs!$B$29,MAX(0,(Inputs!$B$3-100)*3)+Inputs!$B$28+Inputs!$B$29)))</f>
        <v/>
      </c>
      <c r="E1145">
        <f>INDEX(FactorTable!$B$2:$Y$301, MATCH(ROUND(MIN(300,MAX(1,D1145)),0), FactorTable!$A$2:$A$301,0), Skills!M24+1)</f>
        <v/>
      </c>
      <c r="F1145">
        <f>IF(Skills!N24=TRUE,(Skills!L24/10)*(E1145/1000),Skills!L24/10)+Skills!O24</f>
        <v/>
      </c>
      <c r="G1145">
        <f>Skills!G24*IF(Skills!H24&gt;0,Skills!I24/Skills!H24,1)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Inputs!$B$3&gt;=125</f>
        <v/>
      </c>
      <c r="D1146">
        <f>IF(Skills!C25=1,60+Inputs!$B$25+Inputs!$B$29,IF(Skills!C25=2,90+Inputs!$B$26+Inputs!$B$29,IF(Skills!C25=3,120+Inputs!$B$27+Inputs!$B$29,MAX(0,(Inputs!$B$3-100)*3)+Inputs!$B$28+Inputs!$B$29)))</f>
        <v/>
      </c>
      <c r="E1146">
        <f>INDEX(FactorTable!$B$2:$Y$301, MATCH(ROUND(MIN(300,MAX(1,D1146)),0), FactorTable!$A$2:$A$301,0), Skills!M25+1)</f>
        <v/>
      </c>
      <c r="F1146">
        <f>IF(Skills!N25=TRUE,(Skills!L25/10)*(E1146/1000),Skills!L25/10)+Skills!O25</f>
        <v/>
      </c>
      <c r="G1146">
        <f>Skills!G25*IF(Skills!H25&gt;0,Skills!I25/Skills!H25,1)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Inputs!$B$3&gt;=72</f>
        <v/>
      </c>
      <c r="D1147">
        <f>IF(Skills!C26=1,60+Inputs!$B$25+Inputs!$B$29,IF(Skills!C26=2,90+Inputs!$B$26+Inputs!$B$29,IF(Skills!C26=3,120+Inputs!$B$27+Inputs!$B$29,MAX(0,(Inputs!$B$3-100)*3)+Inputs!$B$28+Inputs!$B$29)))</f>
        <v/>
      </c>
      <c r="E1147">
        <f>INDEX(FactorTable!$B$2:$Y$301, MATCH(ROUND(MIN(300,MAX(1,D1147)),0), FactorTable!$A$2:$A$301,0), Skills!M26+1)</f>
        <v/>
      </c>
      <c r="F1147">
        <f>IF(Skills!N26=TRUE,(Skills!L26/10)*(E1147/1000),Skills!L26/10)+Skills!O26</f>
        <v/>
      </c>
      <c r="G1147">
        <f>Skills!G26*IF(Skills!H26&gt;0,Skills!I26/Skills!H26,1)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1140=TRUE)*F1140*IF(AND(Inputs!$B$38&lt;&gt;"pvp",Inputs!$B$43&gt;0),(((R1140-1)*(Skills!T19*(1+((Inputs!$B$34+1)+(ArtifactsInput!$M$7-ArtifactsInput!$M$7)*CHOOSE(ArtifactsInput!$N$7+1,6,7.2,8.4,9.6,10.8,12))/100))+MIN((Skills!T19*(1+((Inputs!$B$34+1)+(ArtifactsInput!$M$7-ArtifactsInput!$M$7)*CHOOSE(ArtifactsInput!$N$7+1,6,7.2,8.4,9.6,10.8,12))/100)),MAX(0,Inputs!$B$43-((R1140-1)*Skills!D19))))/Inputs!$B$43),IF(Inputs!$B$38="pvp",MIN((Skills!T19*(1+((Inputs!$B$34+1)+(ArtifactsInput!$M$7-ArtifactsInput!$M$7)*CHOOSE(ArtifactsInput!$N$7+1,6,7.2,8.4,9.6,10.8,12))/100)),15)/15,(Skills!T19*(1+((Inputs!$B$34+1)+(ArtifactsInput!$M$7-ArtifactsInput!$M$7)*CHOOSE(ArtifactsInput!$N$7+1,6,7.2,8.4,9.6,10.8,12))/100))/Skills!D19)))</f>
        <v/>
      </c>
    </row>
    <row r="1152">
      <c r="A1152" t="inlineStr">
        <is>
          <t>Actions Per Second</t>
        </is>
      </c>
      <c r="B1152">
        <f>1+MIN(150,150*(1-(1-(Inputs!$B$11+((C1141=TRUE)*(F1141-Calc!F20)))/150)*(1-B1151/150)))/100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Raging Blow Casts Per Second</t>
        </is>
      </c>
      <c r="B1154">
        <f>MAX(0,B1152-B1153)</f>
        <v/>
      </c>
    </row>
    <row r="1155">
      <c r="A1155" t="inlineStr">
        <is>
          <t>Global Critical Damage Bonus % (Enrage)</t>
        </is>
      </c>
      <c r="B1155">
        <f>((C1139=TRUE)*F1139*IF(AND(Inputs!$B$38&lt;&gt;"pvp",Inputs!$B$43&gt;0),(((R1139-1)*(Skills!T18*(1+((Inputs!$B$34+1)+(ArtifactsInput!$M$7-ArtifactsInput!$M$7)*CHOOSE(ArtifactsInput!$N$7+1,6,7.2,8.4,9.6,10.8,12))/100))+MIN((Skills!T18*(1+((Inputs!$B$34+1)+(ArtifactsInput!$M$7-ArtifactsInput!$M$7)*CHOOSE(ArtifactsInput!$N$7+1,6,7.2,8.4,9.6,10.8,12))/100)),MAX(0,Inputs!$B$43-((R1139-1)*Skills!D18))))/Inputs!$B$43),IF(Inputs!$B$38="pvp",MIN((Skills!T18*(1+((Inputs!$B$34+1)+(ArtifactsInput!$M$7-ArtifactsInput!$M$7)*CHOOSE(ArtifactsInput!$N$7+1,6,7.2,8.4,9.6,10.8,12))/100)),15)/15,(Skills!T18*(1+((Inputs!$B$34+1)+(ArtifactsInput!$M$7-ArtifactsInput!$M$7)*CHOOSE(ArtifactsInput!$N$7+1,6,7.2,8.4,9.6,10.8,12))/100))/Skills!D18)))</f>
        <v/>
      </c>
    </row>
    <row r="1156">
      <c r="A1156" t="inlineStr">
        <is>
          <t>Global Final Damage Bonus % (Enrage + Combo Synergy)</t>
        </is>
      </c>
      <c r="B1156">
        <f>((C1138=TRUE)*F1138*IF(AND(Inputs!$B$38&lt;&gt;"pvp",Inputs!$B$43&gt;0),(((R1138-1)*(Skills!T17*(1+((Inputs!$B$34+1)+(ArtifactsInput!$M$7-ArtifactsInput!$M$7)*CHOOSE(ArtifactsInput!$N$7+1,6,7.2,8.4,9.6,10.8,12))/100))+MIN((Skills!T17*(1+((Inputs!$B$34+1)+(ArtifactsInput!$M$7-ArtifactsInput!$M$7)*CHOOSE(ArtifactsInput!$N$7+1,6,7.2,8.4,9.6,10.8,12))/100)),MAX(0,Inputs!$B$43-((R1138-1)*Skills!D17))))/Inputs!$B$43),IF(Inputs!$B$38="pvp",MIN((Skills!T17*(1+((Inputs!$B$34+1)+(ArtifactsInput!$M$7-ArtifactsInput!$M$7)*CHOOSE(ArtifactsInput!$N$7+1,6,7.2,8.4,9.6,10.8,12))/100)),15)/15,(Skills!T17*(1+((Inputs!$B$34+1)+(ArtifactsInput!$M$7-ArtifactsInput!$M$7)*CHOOSE(ArtifactsInput!$N$7+1,6,7.2,8.4,9.6,10.8,12))/100))/Skills!D17)))+((C1135=TRUE)*F1135*IF(Inputs!$B$3&gt;=110,7,5))</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1165)</f>
        <v/>
      </c>
      <c r="L1165">
        <f>K1165*(MIN(Inputs!$B$22+((C1185=TRUE)*(F1185-Calc!F22)),(Inputs!$B$23+((C1187=TRUE)*(F1187-Calc!F24))+(IF(ArtifactsInput!$M$15,CHOOSE(ArtifactsInput!$N$15+1,25,30,35,40,45,50)/100*(Inputs!$B$11-Inputs!$B$11),0))))/100+(Inputs!$B$23+((C1187=TRUE)*(F1187-Calc!F24))+(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INDEX(FactorTable!$B$2:$Y$301, MATCH(ROUND(MIN(300,MAX(1,U1165)),0), FactorTable!$A$2:$A$301,0), 22)</f>
        <v/>
      </c>
    </row>
    <row r="1167">
      <c r="A1167">
        <f>Skills!A4</f>
        <v/>
      </c>
      <c r="B1167">
        <f>Skills!B4</f>
        <v/>
      </c>
      <c r="C1167">
        <f>Inputs!$B$3&gt;=105</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t="inlineStr"/>
      <c r="H1167" t="inlineStr"/>
      <c r="I1167" t="inlineStr">
        <is>
          <t>1</t>
        </is>
      </c>
      <c r="J1167" t="inlineStr"/>
      <c r="K1167" t="inlineStr"/>
      <c r="L1167" t="inlineStr"/>
      <c r="M1167" t="inlineStr"/>
      <c r="N1167" t="inlineStr"/>
      <c r="O1167" t="inlineStr"/>
      <c r="P1167" t="inlineStr"/>
      <c r="Q1167" t="inlineStr"/>
      <c r="R1167" t="inlineStr"/>
      <c r="S1167" t="inlineStr"/>
      <c r="U1167">
        <f>290*U1166/1000</f>
        <v/>
      </c>
    </row>
    <row r="1168">
      <c r="A1168">
        <f>Skills!A5</f>
        <v/>
      </c>
      <c r="B1168">
        <f>Skills!B5</f>
        <v/>
      </c>
      <c r="C1168">
        <f>Inputs!$B$3&gt;=103</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1168)</f>
        <v/>
      </c>
      <c r="L1168">
        <f>K1168*(MIN(Inputs!$B$22+((C1185=TRUE)*(F1185-Calc!F22)),(Inputs!$B$23+((C1187=TRUE)*(F1187-Calc!F24))+(IF(ArtifactsInput!$M$15,CHOOSE(ArtifactsInput!$N$15+1,25,30,35,40,45,50)/100*(Inputs!$B$11-Inputs!$B$11),0))))/100+(Inputs!$B$23+((C1187=TRUE)*(F1187-Calc!F24))+(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IFERROR(1/(IF(Inputs!$B$38="pvp",15,MAX(0.1,Skills!D5-IF(Skills!E5=TRUE,Inputs!$B$32,0)))*(1-IF(AND(ArtifactsInput!$M$27,Inputs!$B$4="Chapter Hunt"),CHOOSE(ArtifactsInput!$N$27+1,20,24,28,32,36,40),0)/100)),0)</f>
        <v/>
      </c>
      <c r="R1168">
        <f>IF(AND(Inputs!$B$38&lt;&gt;"pvp",Inputs!$B$43&gt;0),IF(MAX(0,Inputs!$B$43-B1199)&lt;=0,0,(INT(MAX(0,Inputs!$B$43-B1199)/(IF(Inputs!$B$38="pvp",15,MAX(0.1,Skills!D5-IF(Skills!E5=TRUE,Inputs!$B$32,0)))*(1-IF(AND(ArtifactsInput!$M$27,Inputs!$B$4="Chapter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1169)</f>
        <v/>
      </c>
      <c r="L1169">
        <f>K1169*(MIN(Inputs!$B$22+((C1185=TRUE)*(F1185-Calc!F22)),(Inputs!$B$23+((C1187=TRUE)*(F1187-Calc!F24))+(IF(ArtifactsInput!$M$15,CHOOSE(ArtifactsInput!$N$15+1,25,30,35,40,45,50)/100*(Inputs!$B$11-Inputs!$B$11),0))))/100+(Inputs!$B$23+((C1187=TRUE)*(F1187-Calc!F24))+(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IFERROR(1/(IF(Inputs!$B$38="pvp",15,MAX(0.1,Skills!D6-IF(Skills!E6=TRUE,Inputs!$B$32,0)))*(1-IF(AND(ArtifactsInput!$M$27,Inputs!$B$4="Chapter Hunt"),CHOOSE(ArtifactsInput!$N$27+1,20,24,28,32,36,40),0)/100)),0)</f>
        <v/>
      </c>
      <c r="R1169">
        <f>IF(AND(Inputs!$B$38&lt;&gt;"pvp",Inputs!$B$43&gt;0),IF(MAX(0,Inputs!$B$43-B1199)&lt;=0,0,(INT(MAX(0,Inputs!$B$43-B1199)/(IF(Inputs!$B$38="pvp",15,MAX(0.1,Skills!D6-IF(Skills!E6=TRUE,Inputs!$B$32,0)))*(1-IF(AND(ArtifactsInput!$M$27,Inputs!$B$4="Chapter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1170)</f>
        <v/>
      </c>
      <c r="L1170">
        <f>K1170*(MIN(Inputs!$B$22+((C1185=TRUE)*(F1185-Calc!F22)),(Inputs!$B$23+((C1187=TRUE)*(F1187-Calc!F24))+(IF(ArtifactsInput!$M$15,CHOOSE(ArtifactsInput!$N$15+1,25,30,35,40,45,50)/100*(Inputs!$B$11-Inputs!$B$11),0))))/100+(Inputs!$B$23+((C1187=TRUE)*(F1187-Calc!F24))+(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IFERROR(1/(IF(Inputs!$B$38="pvp",15,MAX(0.1,Skills!D7-IF(Skills!E7=TRUE,Inputs!$B$32,0)))*(1-IF(AND(ArtifactsInput!$M$27,Inputs!$B$4="Chapter Hunt"),CHOOSE(ArtifactsInput!$N$27+1,20,24,28,32,36,40),0)/100)),0)</f>
        <v/>
      </c>
      <c r="R1170">
        <f>IF(AND(Inputs!$B$38&lt;&gt;"pvp",Inputs!$B$43&gt;0),IF(MAX(0,Inputs!$B$43-B1199)&lt;=0,0,(INT(MAX(0,Inputs!$B$43-B1199)/(IF(Inputs!$B$38="pvp",15,MAX(0.1,Skills!D7-IF(Skills!E7=TRUE,Inputs!$B$32,0)))*(1-IF(AND(ArtifactsInput!$M$27,Inputs!$B$4="Chapter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Inputs!$B$3&gt;=117</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1171)</f>
        <v/>
      </c>
      <c r="L1171">
        <f>K1171*(MIN(Inputs!$B$22+((C1185=TRUE)*(F1185-Calc!F22)),(Inputs!$B$23+((C1187=TRUE)*(F1187-Calc!F24))+(IF(ArtifactsInput!$M$15,CHOOSE(ArtifactsInput!$N$15+1,25,30,35,40,45,50)/100*(Inputs!$B$11-Inputs!$B$11),0))))/100+(Inputs!$B$23+((C1187=TRUE)*(F1187-Calc!F24))+(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IFERROR(1/(IF(Inputs!$B$38="pvp",15,MAX(0.1,Skills!D8-IF(Skills!E8=TRUE,Inputs!$B$32,0)))*(1-IF(AND(ArtifactsInput!$M$27,Inputs!$B$4="Chapter Hunt"),CHOOSE(ArtifactsInput!$N$27+1,20,24,28,32,36,40),0)/100)),0)</f>
        <v/>
      </c>
      <c r="R1171">
        <f>IF(AND(Inputs!$B$38&lt;&gt;"pvp",Inputs!$B$43&gt;0),IF(MAX(0,Inputs!$B$43-B1199)&lt;=0,0,(INT(MAX(0,Inputs!$B$43-B1199)/(IF(Inputs!$B$38="pvp",15,MAX(0.1,Skills!D8-IF(Skills!E8=TRUE,Inputs!$B$32,0)))*(1-IF(AND(ArtifactsInput!$M$27,Inputs!$B$4="Chapter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Inputs!$B$3&gt;=69</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9="ENHANCED_RAGING_BLOW",IF(Inputs!$B$3&gt;=134,MAX(0,IF(Inputs!$B$3&gt;=110,7,5)-5)*50,0),0)/100)*(1+(IF(Skills!A9="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1172)</f>
        <v/>
      </c>
      <c r="L1172">
        <f>K1172*(MIN(Inputs!$B$22+((C1185=TRUE)*(F1185-Calc!F22)),(Inputs!$B$23+((C1187=TRUE)*(F1187-Calc!F24))+(IF(ArtifactsInput!$M$15,CHOOSE(ArtifactsInput!$N$15+1,25,30,35,40,45,50)/100*(Inputs!$B$11-Inputs!$B$11),0))))/100+(Inputs!$B$23+((C1187=TRUE)*(F1187-Calc!F24))+(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IFERROR(1/(IF(Inputs!$B$38="pvp",15,MAX(0.1,Skills!D9-IF(Skills!E9=TRUE,Inputs!$B$32,0)))*(1-IF(AND(ArtifactsInput!$M$27,Inputs!$B$4="Chapter Hunt"),CHOOSE(ArtifactsInput!$N$27+1,20,24,28,32,36,40),0)/100)),0)</f>
        <v/>
      </c>
      <c r="R1172">
        <f>IF(AND(Inputs!$B$38&lt;&gt;"pvp",Inputs!$B$43&gt;0),IF(MAX(0,Inputs!$B$43-B1199)&lt;=0,0,(INT(MAX(0,Inputs!$B$43-B1199)/(IF(Inputs!$B$38="pvp",15,MAX(0.1,Skills!D9-IF(Skills!E9=TRUE,Inputs!$B$32,0)))*(1-IF(AND(ArtifactsInput!$M$27,Inputs!$B$4="Chapter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Inputs!$B$3&gt;=63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10="ENHANCED_RAGING_BLOW",IF(Inputs!$B$3&gt;=134,MAX(0,IF(Inputs!$B$3&gt;=110,7,5)-5)*50,0),0)/100)*(1+(IF(Skills!A10="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1173)</f>
        <v/>
      </c>
      <c r="L1173">
        <f>K1173*(MIN(Inputs!$B$22+((C1185=TRUE)*(F1185-Calc!F22)),(Inputs!$B$23+((C1187=TRUE)*(F1187-Calc!F24))+(IF(ArtifactsInput!$M$15,CHOOSE(ArtifactsInput!$N$15+1,25,30,35,40,45,50)/100*(Inputs!$B$11-Inputs!$B$11),0))))/100+(Inputs!$B$23+((C1187=TRUE)*(F1187-Calc!F24))+(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IFERROR(1/(IF(Inputs!$B$38="pvp",15,MAX(0.1,Skills!D10-IF(Skills!E10=TRUE,Inputs!$B$32,0)))*(1-IF(AND(ArtifactsInput!$M$27,Inputs!$B$4="Chapter Hunt"),CHOOSE(ArtifactsInput!$N$27+1,20,24,28,32,36,40),0)/100)),0)</f>
        <v/>
      </c>
      <c r="R1173">
        <f>IF(AND(Inputs!$B$38&lt;&gt;"pvp",Inputs!$B$43&gt;0),IF(MAX(0,Inputs!$B$43-B1199)&lt;=0,0,(INT(MAX(0,Inputs!$B$43-B1199)/(IF(Inputs!$B$38="pvp",15,MAX(0.1,Skills!D10-IF(Skills!E10=TRUE,Inputs!$B$32,0)))*(1-IF(AND(ArtifactsInput!$M$27,Inputs!$B$4="Chapter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Inputs!$B$3&gt;=35</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11="ENHANCED_RAGING_BLOW",IF(Inputs!$B$3&gt;=134,MAX(0,IF(Inputs!$B$3&gt;=110,7,5)-5)*50,0),0)/100)*(1+(IF(Skills!A11="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1174)</f>
        <v/>
      </c>
      <c r="L1174">
        <f>K1174*(MIN(Inputs!$B$22+((C1185=TRUE)*(F1185-Calc!F22)),(Inputs!$B$23+((C1187=TRUE)*(F1187-Calc!F24))+(IF(ArtifactsInput!$M$15,CHOOSE(ArtifactsInput!$N$15+1,25,30,35,40,45,50)/100*(Inputs!$B$11-Inputs!$B$11),0))))/100+(Inputs!$B$23+((C1187=TRUE)*(F1187-Calc!F24))+(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IFERROR(1/(IF(Inputs!$B$38="pvp",15,MAX(0.1,Skills!D11-IF(Skills!E11=TRUE,Inputs!$B$32,0)))*(1-IF(AND(ArtifactsInput!$M$27,Inputs!$B$4="Chapter Hunt"),CHOOSE(ArtifactsInput!$N$27+1,20,24,28,32,36,40),0)/100)),0)</f>
        <v/>
      </c>
      <c r="R1174">
        <f>IF(AND(Inputs!$B$38&lt;&gt;"pvp",Inputs!$B$43&gt;0),IF(MAX(0,Inputs!$B$43-B1199)&lt;=0,0,(INT(MAX(0,Inputs!$B$43-B1199)/(IF(Inputs!$B$38="pvp",15,MAX(0.1,Skills!D11-IF(Skills!E11=TRUE,Inputs!$B$32,0)))*(1-IF(AND(ArtifactsInput!$M$27,Inputs!$B$4="Chapter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Inputs!$B$3&gt;=75</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Inputs!$B$3&gt;=40</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Inputs!$B$3&gt;=66</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IFERROR(1/(IF(Inputs!$B$38="pvp",15,MAX(0.1,Skills!D16-IF(Skills!E16=TRUE,Inputs!$B$32,0)))*(1-IF(AND(ArtifactsInput!$M$27,Inputs!$B$4="Chapter Hunt"),CHOOSE(ArtifactsInput!$N$27+1,20,24,28,32,36,40),0)/100)),0)</f>
        <v/>
      </c>
      <c r="R1179">
        <f>IF(AND(Inputs!$B$38&lt;&gt;"pvp",Inputs!$B$43&gt;0),IF(Inputs!$B$43&lt;=0,0,(INT(Inputs!$B$43/(IF(Inputs!$B$38="pvp",15,MAX(0.1,Skills!D16-IF(Skills!E16=TRUE,Inputs!$B$32,0)))*(1-IF(AND(ArtifactsInput!$M$27,Inputs!$B$4="Chapter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IFERROR(1/(IF(Inputs!$B$38="pvp",15,MAX(0.1,Skills!D17-IF(Skills!E17=TRUE,Inputs!$B$32,0)))*(1-IF(AND(ArtifactsInput!$M$27,Inputs!$B$4="Chapter Hunt"),CHOOSE(ArtifactsInput!$N$27+1,20,24,28,32,36,40),0)/100)),0)</f>
        <v/>
      </c>
      <c r="R1180">
        <f>IF(AND(Inputs!$B$38&lt;&gt;"pvp",Inputs!$B$43&gt;0),IF(Inputs!$B$43&lt;=0,0,(INT(Inputs!$B$43/(IF(Inputs!$B$38="pvp",15,MAX(0.1,Skills!D17-IF(Skills!E17=TRUE,Inputs!$B$32,0)))*(1-IF(AND(ArtifactsInput!$M$27,Inputs!$B$4="Chapter Hunt"),CHOOSE(ArtifactsInput!$N$27+1,20,24,28,32,36,40),0)/100)))+1)),0)</f>
        <v/>
      </c>
      <c r="S1180">
        <f>IFERROR(O1180/N1180,0)</f>
        <v/>
      </c>
      <c r="T1180" t="n">
        <v>0</v>
      </c>
      <c r="V1180" t="n">
        <v>0</v>
      </c>
    </row>
    <row r="1181">
      <c r="A1181">
        <f>Skills!A18</f>
        <v/>
      </c>
      <c r="B1181">
        <f>Skills!B18</f>
        <v/>
      </c>
      <c r="C1181">
        <f>Inputs!$B$3&gt;=115</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IFERROR(1/(IF(Inputs!$B$38="pvp",15,MAX(0.1,Skills!D18-IF(Skills!E18=TRUE,Inputs!$B$32,0)))*(1-IF(AND(ArtifactsInput!$M$27,Inputs!$B$4="Chapter Hunt"),CHOOSE(ArtifactsInput!$N$27+1,20,24,28,32,36,40),0)/100)),0)</f>
        <v/>
      </c>
      <c r="R1181">
        <f>IF(AND(Inputs!$B$38&lt;&gt;"pvp",Inputs!$B$43&gt;0),IF(Inputs!$B$43&lt;=0,0,(INT(Inputs!$B$43/(IF(Inputs!$B$38="pvp",15,MAX(0.1,Skills!D18-IF(Skills!E18=TRUE,Inputs!$B$32,0)))*(1-IF(AND(ArtifactsInput!$M$27,Inputs!$B$4="Chapter Hunt"),CHOOSE(ArtifactsInput!$N$27+1,20,24,28,32,36,40),0)/100)))+1)),0)</f>
        <v/>
      </c>
      <c r="S1181">
        <f>IFERROR(O1181/N1181,0)</f>
        <v/>
      </c>
      <c r="T1181" t="n">
        <v>0</v>
      </c>
      <c r="V1181" t="n">
        <v>0</v>
      </c>
    </row>
    <row r="1182">
      <c r="A1182">
        <f>Skills!A19</f>
        <v/>
      </c>
      <c r="B1182">
        <f>Skills!B19</f>
        <v/>
      </c>
      <c r="C1182">
        <f>TRUE</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IFERROR(1/(IF(Inputs!$B$38="pvp",15,MAX(0.1,Skills!D19-IF(Skills!E19=TRUE,Inputs!$B$32,0)))*(1-IF(AND(ArtifactsInput!$M$27,Inputs!$B$4="Chapter Hunt"),CHOOSE(ArtifactsInput!$N$27+1,20,24,28,32,36,40),0)/100)),0)</f>
        <v/>
      </c>
      <c r="R1182">
        <f>IF(AND(Inputs!$B$38&lt;&gt;"pvp",Inputs!$B$43&gt;0),IF(Inputs!$B$43&lt;=0,0,(INT(Inputs!$B$43/(IF(Inputs!$B$38="pvp",15,MAX(0.1,Skills!D19-IF(Skills!E19=TRUE,Inputs!$B$32,0)))*(1-IF(AND(ArtifactsInput!$M$27,Inputs!$B$4="Chapter Hunt"),CHOOSE(ArtifactsInput!$N$27+1,20,24,28,32,36,40),0)/100)))+1)),0)</f>
        <v/>
      </c>
      <c r="S1182">
        <f>IFERROR(O1182/N1182,0)</f>
        <v/>
      </c>
      <c r="T1182" t="n">
        <v>0</v>
      </c>
      <c r="V1182" t="n">
        <v>0</v>
      </c>
    </row>
    <row r="1183">
      <c r="A1183">
        <f>Skills!A20</f>
        <v/>
      </c>
      <c r="B1183">
        <f>Skills!B20</f>
        <v/>
      </c>
      <c r="C1183">
        <f>Inputs!$B$3&gt;=33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t="n">
        <v>0</v>
      </c>
      <c r="R1184" t="n">
        <v>0</v>
      </c>
      <c r="S1184">
        <f>IFERROR(O1184/N1184,0)</f>
        <v/>
      </c>
      <c r="T1184" t="n">
        <v>0</v>
      </c>
      <c r="V1184" t="n">
        <v>0</v>
      </c>
    </row>
    <row r="1185">
      <c r="A1185">
        <f>Skills!A22</f>
        <v/>
      </c>
      <c r="B1185">
        <f>Skills!B22</f>
        <v/>
      </c>
      <c r="C1185">
        <f>Inputs!$B$3&gt;=43</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Inputs!$B$3&gt;=120</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Inputs!$B$3&gt;=120</f>
        <v/>
      </c>
      <c r="D1187">
        <f>IF(Skills!C24=1,60+Inputs!$B$25+Inputs!$B$29,IF(Skills!C24=2,90+Inputs!$B$26+Inputs!$B$29,IF(Skills!C24=3,120+Inputs!$B$27+Inputs!$B$29,MAX(0,(Inputs!$B$3-100)*3)+Inputs!$B$28+Inputs!$B$29)))</f>
        <v/>
      </c>
      <c r="E1187">
        <f>INDEX(FactorTable!$B$2:$Y$301, MATCH(ROUND(MIN(300,MAX(1,D1187)),0), FactorTable!$A$2:$A$301,0), Skills!M24+1)</f>
        <v/>
      </c>
      <c r="F1187">
        <f>IF(Skills!N24=TRUE,(Skills!L24/10)*(E1187/1000),Skills!L24/10)+Skills!O24</f>
        <v/>
      </c>
      <c r="G1187">
        <f>Skills!G24*IF(Skills!H24&gt;0,Skills!I24/Skills!H24,1)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Inputs!$B$3&gt;=125</f>
        <v/>
      </c>
      <c r="D1188">
        <f>IF(Skills!C25=1,60+Inputs!$B$25+Inputs!$B$29,IF(Skills!C25=2,90+Inputs!$B$26+Inputs!$B$29,IF(Skills!C25=3,120+Inputs!$B$27+Inputs!$B$29,MAX(0,(Inputs!$B$3-100)*3)+Inputs!$B$28+Inputs!$B$29)))</f>
        <v/>
      </c>
      <c r="E1188">
        <f>INDEX(FactorTable!$B$2:$Y$301, MATCH(ROUND(MIN(300,MAX(1,D1188)),0), FactorTable!$A$2:$A$301,0), Skills!M25+1)</f>
        <v/>
      </c>
      <c r="F1188">
        <f>IF(Skills!N25=TRUE,(Skills!L25/10)*(E1188/1000),Skills!L25/10)+Skills!O25</f>
        <v/>
      </c>
      <c r="G1188">
        <f>Skills!G25*IF(Skills!H25&gt;0,Skills!I25/Skills!H25,1)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Inputs!$B$3&gt;=72</f>
        <v/>
      </c>
      <c r="D1189">
        <f>IF(Skills!C26=1,60+Inputs!$B$25+Inputs!$B$29,IF(Skills!C26=2,90+Inputs!$B$26+Inputs!$B$29,IF(Skills!C26=3,120+Inputs!$B$27+Inputs!$B$29,MAX(0,(Inputs!$B$3-100)*3)+Inputs!$B$28+Inputs!$B$29)))</f>
        <v/>
      </c>
      <c r="E1189">
        <f>INDEX(FactorTable!$B$2:$Y$301, MATCH(ROUND(MIN(300,MAX(1,D1189)),0), FactorTable!$A$2:$A$301,0), Skills!M26+1)</f>
        <v/>
      </c>
      <c r="F1189">
        <f>IF(Skills!N26=TRUE,(Skills!L26/10)*(E1189/1000),Skills!L26/10)+Skills!O26</f>
        <v/>
      </c>
      <c r="G1189">
        <f>Skills!G26*IF(Skills!H26&gt;0,Skills!I26/Skills!H26,1)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1182=TRUE)*F1182*IF(AND(Inputs!$B$38&lt;&gt;"pvp",Inputs!$B$43&gt;0),(((R1182-1)*(Skills!T19*(1+(Inputs!$B$34+(ArtifactsInput!$M$7-ArtifactsInput!$M$7)*CHOOSE(ArtifactsInput!$N$7+1,6,7.2,8.4,9.6,10.8,12))/100))+MIN((Skills!T19*(1+(Inputs!$B$34+(ArtifactsInput!$M$7-ArtifactsInput!$M$7)*CHOOSE(ArtifactsInput!$N$7+1,6,7.2,8.4,9.6,10.8,12))/100)),MAX(0,Inputs!$B$43-((R1182-1)*Skills!D19))))/Inputs!$B$43),IF(Inputs!$B$38="pvp",MIN((Skills!T19*(1+(Inputs!$B$34+(ArtifactsInput!$M$7-ArtifactsInput!$M$7)*CHOOSE(ArtifactsInput!$N$7+1,6,7.2,8.4,9.6,10.8,12))/100)),15)/15,(Skills!T19*(1+(Inputs!$B$34+(ArtifactsInput!$M$7-ArtifactsInput!$M$7)*CHOOSE(ArtifactsInput!$N$7+1,6,7.2,8.4,9.6,10.8,12))/100))/Skills!D19)))</f>
        <v/>
      </c>
    </row>
    <row r="1194">
      <c r="A1194" t="inlineStr">
        <is>
          <t>Actions Per Second</t>
        </is>
      </c>
      <c r="B1194">
        <f>1+MIN(150,150*(1-(1-(Inputs!$B$11+((C1183=TRUE)*(F1183-Calc!F20)))/150)*(1-B1193/150)))/100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Raging Blow Casts Per Second</t>
        </is>
      </c>
      <c r="B1196">
        <f>MAX(0,B1194-B1195)</f>
        <v/>
      </c>
    </row>
    <row r="1197">
      <c r="A1197" t="inlineStr">
        <is>
          <t>Global Critical Damage Bonus % (Enrage)</t>
        </is>
      </c>
      <c r="B1197">
        <f>((C1181=TRUE)*F1181*IF(AND(Inputs!$B$38&lt;&gt;"pvp",Inputs!$B$43&gt;0),(((R1181-1)*(Skills!T18*(1+(Inputs!$B$34+(ArtifactsInput!$M$7-ArtifactsInput!$M$7)*CHOOSE(ArtifactsInput!$N$7+1,6,7.2,8.4,9.6,10.8,12))/100))+MIN((Skills!T18*(1+(Inputs!$B$34+(ArtifactsInput!$M$7-ArtifactsInput!$M$7)*CHOOSE(ArtifactsInput!$N$7+1,6,7.2,8.4,9.6,10.8,12))/100)),MAX(0,Inputs!$B$43-((R1181-1)*Skills!D18))))/Inputs!$B$43),IF(Inputs!$B$38="pvp",MIN((Skills!T18*(1+(Inputs!$B$34+(ArtifactsInput!$M$7-ArtifactsInput!$M$7)*CHOOSE(ArtifactsInput!$N$7+1,6,7.2,8.4,9.6,10.8,12))/100)),15)/15,(Skills!T18*(1+(Inputs!$B$34+(ArtifactsInput!$M$7-ArtifactsInput!$M$7)*CHOOSE(ArtifactsInput!$N$7+1,6,7.2,8.4,9.6,10.8,12))/100))/Skills!D18)))</f>
        <v/>
      </c>
    </row>
    <row r="1198">
      <c r="A1198" t="inlineStr">
        <is>
          <t>Global Final Damage Bonus % (Enrage + Combo Synergy)</t>
        </is>
      </c>
      <c r="B1198">
        <f>((C1180=TRUE)*F1180*IF(AND(Inputs!$B$38&lt;&gt;"pvp",Inputs!$B$43&gt;0),(((R1180-1)*(Skills!T17*(1+(Inputs!$B$34+(ArtifactsInput!$M$7-ArtifactsInput!$M$7)*CHOOSE(ArtifactsInput!$N$7+1,6,7.2,8.4,9.6,10.8,12))/100))+MIN((Skills!T17*(1+(Inputs!$B$34+(ArtifactsInput!$M$7-ArtifactsInput!$M$7)*CHOOSE(ArtifactsInput!$N$7+1,6,7.2,8.4,9.6,10.8,12))/100)),MAX(0,Inputs!$B$43-((R1180-1)*Skills!D17))))/Inputs!$B$43),IF(Inputs!$B$38="pvp",MIN((Skills!T17*(1+(Inputs!$B$34+(ArtifactsInput!$M$7-ArtifactsInput!$M$7)*CHOOSE(ArtifactsInput!$N$7+1,6,7.2,8.4,9.6,10.8,12))/100)),15)/15,(Skills!T17*(1+(Inputs!$B$34+(ArtifactsInput!$M$7-ArtifactsInput!$M$7)*CHOOSE(ArtifactsInput!$N$7+1,6,7.2,8.4,9.6,10.8,12))/100))/Skills!D17)))+((C1177=TRUE)*F1177*IF(Inputs!$B$3&gt;=110,7,5))</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1207)</f>
        <v/>
      </c>
      <c r="L1207">
        <f>K1207*(MIN(Inputs!$B$22+((C1227=TRUE)*(F1227-Calc!F22)),(Inputs!$B$23+((C1229=TRUE)*(F1229-Calc!F24))+(IF(ArtifactsInput!$M$15,CHOOSE(ArtifactsInput!$N$15+1,25,30,35,40,45,50)/100*(Inputs!$B$11-Inputs!$B$11),0))))/100+(Inputs!$B$23+((C1229=TRUE)*(F1229-Calc!F24))+(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INDEX(FactorTable!$B$2:$Y$301, MATCH(ROUND(MIN(300,MAX(1,D1208)),0),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INDEX(FactorTable!$B$2:$Y$301, MATCH(ROUND(MIN(300,MAX(1,U1207)),0), FactorTable!$A$2:$A$301,0), 22)</f>
        <v/>
      </c>
    </row>
    <row r="1209">
      <c r="A1209">
        <f>Skills!A4</f>
        <v/>
      </c>
      <c r="B1209">
        <f>Skills!B4</f>
        <v/>
      </c>
      <c r="C1209">
        <f>Inputs!$B$3&gt;=105</f>
        <v/>
      </c>
      <c r="D1209">
        <f>IF(Skills!C4=1,60+Inputs!$B$25+Inputs!$B$29,IF(Skills!C4=2,90+Inputs!$B$26+Inputs!$B$29,IF(Skills!C4=3,120+Inputs!$B$27+Inputs!$B$29,MAX(0,(Inputs!$B$3-100)*3)+Inputs!$B$28+Inputs!$B$29)))</f>
        <v/>
      </c>
      <c r="E1209">
        <f>INDEX(FactorTable!$B$2:$Y$301, MATCH(ROUND(MIN(300,MAX(1,D1209)),0), FactorTable!$A$2:$A$301,0), Skills!M4+1)</f>
        <v/>
      </c>
      <c r="F1209">
        <f>IF(Skills!N4=TRUE,(Skills!L4/10)*(E1209/1000),Skills!L4/10)+Skills!O4</f>
        <v/>
      </c>
      <c r="G1209" t="inlineStr"/>
      <c r="H1209" t="inlineStr"/>
      <c r="I1209" t="inlineStr">
        <is>
          <t>1</t>
        </is>
      </c>
      <c r="J1209" t="inlineStr"/>
      <c r="K1209" t="inlineStr"/>
      <c r="L1209" t="inlineStr"/>
      <c r="M1209" t="inlineStr"/>
      <c r="N1209" t="inlineStr"/>
      <c r="O1209" t="inlineStr"/>
      <c r="P1209" t="inlineStr"/>
      <c r="Q1209" t="inlineStr"/>
      <c r="R1209" t="inlineStr"/>
      <c r="S1209" t="inlineStr"/>
      <c r="U1209">
        <f>290*U1208/1000</f>
        <v/>
      </c>
    </row>
    <row r="1210">
      <c r="A1210">
        <f>Skills!A5</f>
        <v/>
      </c>
      <c r="B1210">
        <f>Skills!B5</f>
        <v/>
      </c>
      <c r="C1210">
        <f>Inputs!$B$3&gt;=103</f>
        <v/>
      </c>
      <c r="D1210">
        <f>IF(Skills!C5=1,60+Inputs!$B$25+Inputs!$B$29,IF(Skills!C5=2,90+Inputs!$B$26+Inputs!$B$29,IF(Skills!C5=3,120+Inputs!$B$27+Inputs!$B$29,MAX(0,(Inputs!$B$3-100)*3)+Inputs!$B$28+Inputs!$B$29)))</f>
        <v/>
      </c>
      <c r="E1210">
        <f>INDEX(FactorTable!$B$2:$Y$301, MATCH(ROUND(MIN(300,MAX(1,D1210)),0), FactorTable!$A$2:$A$301,0), Skills!M5+1)</f>
        <v/>
      </c>
      <c r="F1210">
        <f>IF(Skills!N5=TRUE,(Skills!L5/10)*(E1210/1000),Skills!L5/10)+Skills!O5</f>
        <v/>
      </c>
      <c r="G1210">
        <f>Skills!G5*IF(Skills!H5&gt;0,Skills!I5/Skills!H5,1)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1210)</f>
        <v/>
      </c>
      <c r="L1210">
        <f>K1210*(MIN(Inputs!$B$22+((C1227=TRUE)*(F1227-Calc!F22)),(Inputs!$B$23+((C1229=TRUE)*(F1229-Calc!F24))+(IF(ArtifactsInput!$M$15,CHOOSE(ArtifactsInput!$N$15+1,25,30,35,40,45,50)/100*(Inputs!$B$11-Inputs!$B$11),0))))/100+(Inputs!$B$23+((C1229=TRUE)*(F1229-Calc!F24))+(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IFERROR(1/(IF(Inputs!$B$38="pvp",15,MAX(0.1,Skills!D5-IF(Skills!E5=TRUE,Inputs!$B$32,0)))*(1-IF(AND(ArtifactsInput!$M$27,Inputs!$B$4="Chapter Hunt"),CHOOSE(ArtifactsInput!$N$27+1,20,24,28,32,36,40),0)/100)),0)</f>
        <v/>
      </c>
      <c r="R1210">
        <f>IF(AND(Inputs!$B$38&lt;&gt;"pvp",Inputs!$B$43&gt;0),IF(MAX(0,Inputs!$B$43-B1241)&lt;=0,0,(INT(MAX(0,Inputs!$B$43-B1241)/(IF(Inputs!$B$38="pvp",15,MAX(0.1,Skills!D5-IF(Skills!E5=TRUE,Inputs!$B$32,0)))*(1-IF(AND(ArtifactsInput!$M$27,Inputs!$B$4="Chapter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INDEX(FactorTable!$B$2:$Y$301, MATCH(ROUND(MIN(300,MAX(1,D1211)),0), FactorTable!$A$2:$A$301,0), Skills!M6+1)</f>
        <v/>
      </c>
      <c r="F1211">
        <f>IF(Skills!N6=TRUE,(Skills!L6/10)*(E1211/1000),Skills!L6/10)+Skills!O6</f>
        <v/>
      </c>
      <c r="G1211">
        <f>Skills!G6*IF(Skills!H6&gt;0,Skills!I6/Skills!H6,1)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1211)</f>
        <v/>
      </c>
      <c r="L1211">
        <f>K1211*(MIN(Inputs!$B$22+((C1227=TRUE)*(F1227-Calc!F22)),(Inputs!$B$23+((C1229=TRUE)*(F1229-Calc!F24))+(IF(ArtifactsInput!$M$15,CHOOSE(ArtifactsInput!$N$15+1,25,30,35,40,45,50)/100*(Inputs!$B$11-Inputs!$B$11),0))))/100+(Inputs!$B$23+((C1229=TRUE)*(F1229-Calc!F24))+(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IFERROR(1/(IF(Inputs!$B$38="pvp",15,MAX(0.1,Skills!D6-IF(Skills!E6=TRUE,Inputs!$B$32,0)))*(1-IF(AND(ArtifactsInput!$M$27,Inputs!$B$4="Chapter Hunt"),CHOOSE(ArtifactsInput!$N$27+1,20,24,28,32,36,40),0)/100)),0)</f>
        <v/>
      </c>
      <c r="R1211">
        <f>IF(AND(Inputs!$B$38&lt;&gt;"pvp",Inputs!$B$43&gt;0),IF(MAX(0,Inputs!$B$43-B1241)&lt;=0,0,(INT(MAX(0,Inputs!$B$43-B1241)/(IF(Inputs!$B$38="pvp",15,MAX(0.1,Skills!D6-IF(Skills!E6=TRUE,Inputs!$B$32,0)))*(1-IF(AND(ArtifactsInput!$M$27,Inputs!$B$4="Chapter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INDEX(FactorTable!$B$2:$Y$301, MATCH(ROUND(MIN(300,MAX(1,D1212)),0), FactorTable!$A$2:$A$301,0), Skills!M7+1)</f>
        <v/>
      </c>
      <c r="F1212">
        <f>IF(Skills!N7=TRUE,(Skills!L7/10)*(E1212/1000),Skills!L7/10)+Skills!O7</f>
        <v/>
      </c>
      <c r="G1212">
        <f>Skills!G7*IF(Skills!H7&gt;0,Skills!I7/Skills!H7,1)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1212)</f>
        <v/>
      </c>
      <c r="L1212">
        <f>K1212*(MIN(Inputs!$B$22+((C1227=TRUE)*(F1227-Calc!F22)),(Inputs!$B$23+((C1229=TRUE)*(F1229-Calc!F24))+(IF(ArtifactsInput!$M$15,CHOOSE(ArtifactsInput!$N$15+1,25,30,35,40,45,50)/100*(Inputs!$B$11-Inputs!$B$11),0))))/100+(Inputs!$B$23+((C1229=TRUE)*(F1229-Calc!F24))+(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IFERROR(1/(IF(Inputs!$B$38="pvp",15,MAX(0.1,Skills!D7-IF(Skills!E7=TRUE,Inputs!$B$32,0)))*(1-IF(AND(ArtifactsInput!$M$27,Inputs!$B$4="Chapter Hunt"),CHOOSE(ArtifactsInput!$N$27+1,20,24,28,32,36,40),0)/100)),0)</f>
        <v/>
      </c>
      <c r="R1212">
        <f>IF(AND(Inputs!$B$38&lt;&gt;"pvp",Inputs!$B$43&gt;0),IF(MAX(0,Inputs!$B$43-B1241)&lt;=0,0,(INT(MAX(0,Inputs!$B$43-B1241)/(IF(Inputs!$B$38="pvp",15,MAX(0.1,Skills!D7-IF(Skills!E7=TRUE,Inputs!$B$32,0)))*(1-IF(AND(ArtifactsInput!$M$27,Inputs!$B$4="Chapter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Inputs!$B$3&gt;=117</f>
        <v/>
      </c>
      <c r="D1213">
        <f>IF(Skills!C8=1,60+Inputs!$B$25+Inputs!$B$29,IF(Skills!C8=2,90+Inputs!$B$26+Inputs!$B$29,IF(Skills!C8=3,120+Inputs!$B$27+Inputs!$B$29,MAX(0,(Inputs!$B$3-100)*3)+Inputs!$B$28+Inputs!$B$29)))</f>
        <v/>
      </c>
      <c r="E1213">
        <f>INDEX(FactorTable!$B$2:$Y$301, MATCH(ROUND(MIN(300,MAX(1,D1213)),0), FactorTable!$A$2:$A$301,0), Skills!M8+1)</f>
        <v/>
      </c>
      <c r="F1213">
        <f>IF(Skills!N8=TRUE,(Skills!L8/10)*(E1213/1000),Skills!L8/10)+Skills!O8</f>
        <v/>
      </c>
      <c r="G1213">
        <f>Skills!G8*IF(Skills!H8&gt;0,Skills!I8/Skills!H8,1)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1213)</f>
        <v/>
      </c>
      <c r="L1213">
        <f>K1213*(MIN(Inputs!$B$22+((C1227=TRUE)*(F1227-Calc!F22)),(Inputs!$B$23+((C1229=TRUE)*(F1229-Calc!F24))+(IF(ArtifactsInput!$M$15,CHOOSE(ArtifactsInput!$N$15+1,25,30,35,40,45,50)/100*(Inputs!$B$11-Inputs!$B$11),0))))/100+(Inputs!$B$23+((C1229=TRUE)*(F1229-Calc!F24))+(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IFERROR(1/(IF(Inputs!$B$38="pvp",15,MAX(0.1,Skills!D8-IF(Skills!E8=TRUE,Inputs!$B$32,0)))*(1-IF(AND(ArtifactsInput!$M$27,Inputs!$B$4="Chapter Hunt"),CHOOSE(ArtifactsInput!$N$27+1,20,24,28,32,36,40),0)/100)),0)</f>
        <v/>
      </c>
      <c r="R1213">
        <f>IF(AND(Inputs!$B$38&lt;&gt;"pvp",Inputs!$B$43&gt;0),IF(MAX(0,Inputs!$B$43-B1241)&lt;=0,0,(INT(MAX(0,Inputs!$B$43-B1241)/(IF(Inputs!$B$38="pvp",15,MAX(0.1,Skills!D8-IF(Skills!E8=TRUE,Inputs!$B$32,0)))*(1-IF(AND(ArtifactsInput!$M$27,Inputs!$B$4="Chapter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Inputs!$B$3&gt;=69</f>
        <v/>
      </c>
      <c r="D1214">
        <f>IF(Skills!C9=1,60+Inputs!$B$25+Inputs!$B$29,IF(Skills!C9=2,90+Inputs!$B$26+Inputs!$B$29,IF(Skills!C9=3,120+Inputs!$B$27+Inputs!$B$29,MAX(0,(Inputs!$B$3-100)*3)+Inputs!$B$28+Inputs!$B$29)))</f>
        <v/>
      </c>
      <c r="E1214">
        <f>INDEX(FactorTable!$B$2:$Y$301, MATCH(ROUND(MIN(300,MAX(1,D1214)),0), FactorTable!$A$2:$A$301,0), Skills!M9+1)</f>
        <v/>
      </c>
      <c r="F1214">
        <f>IF(Skills!N9=TRUE,(Skills!L9/10)*(E1214/1000),Skills!L9/10)+Skills!O9</f>
        <v/>
      </c>
      <c r="G1214">
        <f>Skills!G9*IF(Skills!H9&gt;0,Skills!I9/Skills!H9,1)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9="ENHANCED_RAGING_BLOW",IF(Inputs!$B$3&gt;=134,MAX(0,IF(Inputs!$B$3&gt;=110,7,5)-5)*50,0),0)/100)*(1+(IF(Skills!A9="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1214)</f>
        <v/>
      </c>
      <c r="L1214">
        <f>K1214*(MIN(Inputs!$B$22+((C1227=TRUE)*(F1227-Calc!F22)),(Inputs!$B$23+((C1229=TRUE)*(F1229-Calc!F24))+(IF(ArtifactsInput!$M$15,CHOOSE(ArtifactsInput!$N$15+1,25,30,35,40,45,50)/100*(Inputs!$B$11-Inputs!$B$11),0))))/100+(Inputs!$B$23+((C1229=TRUE)*(F1229-Calc!F24))+(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IFERROR(1/(IF(Inputs!$B$38="pvp",15,MAX(0.1,Skills!D9-IF(Skills!E9=TRUE,Inputs!$B$32,0)))*(1-IF(AND(ArtifactsInput!$M$27,Inputs!$B$4="Chapter Hunt"),CHOOSE(ArtifactsInput!$N$27+1,20,24,28,32,36,40),0)/100)),0)</f>
        <v/>
      </c>
      <c r="R1214">
        <f>IF(AND(Inputs!$B$38&lt;&gt;"pvp",Inputs!$B$43&gt;0),IF(MAX(0,Inputs!$B$43-B1241)&lt;=0,0,(INT(MAX(0,Inputs!$B$43-B1241)/(IF(Inputs!$B$38="pvp",15,MAX(0.1,Skills!D9-IF(Skills!E9=TRUE,Inputs!$B$32,0)))*(1-IF(AND(ArtifactsInput!$M$27,Inputs!$B$4="Chapter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Inputs!$B$3&gt;=63</f>
        <v/>
      </c>
      <c r="D1215">
        <f>IF(Skills!C10=1,60+Inputs!$B$25+Inputs!$B$29,IF(Skills!C10=2,90+Inputs!$B$26+Inputs!$B$29,IF(Skills!C10=3,120+Inputs!$B$27+Inputs!$B$29,MAX(0,(Inputs!$B$3-100)*3)+Inputs!$B$28+Inputs!$B$29)))</f>
        <v/>
      </c>
      <c r="E1215">
        <f>INDEX(FactorTable!$B$2:$Y$301, MATCH(ROUND(MIN(300,MAX(1,D1215)),0), FactorTable!$A$2:$A$301,0), Skills!M10+1)</f>
        <v/>
      </c>
      <c r="F1215">
        <f>IF(Skills!N10=TRUE,(Skills!L10/10)*(E1215/1000),Skills!L10/10)+Skills!O10</f>
        <v/>
      </c>
      <c r="G1215">
        <f>Skills!G10*IF(Skills!H10&gt;0,Skills!I10/Skills!H10,1)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10="ENHANCED_RAGING_BLOW",IF(Inputs!$B$3&gt;=134,MAX(0,IF(Inputs!$B$3&gt;=110,7,5)-5)*50,0),0)/100)*(1+(IF(Skills!A10="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1215)</f>
        <v/>
      </c>
      <c r="L1215">
        <f>K1215*(MIN(Inputs!$B$22+((C1227=TRUE)*(F1227-Calc!F22)),(Inputs!$B$23+((C1229=TRUE)*(F1229-Calc!F24))+(IF(ArtifactsInput!$M$15,CHOOSE(ArtifactsInput!$N$15+1,25,30,35,40,45,50)/100*(Inputs!$B$11-Inputs!$B$11),0))))/100+(Inputs!$B$23+((C1229=TRUE)*(F1229-Calc!F24))+(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IFERROR(1/(IF(Inputs!$B$38="pvp",15,MAX(0.1,Skills!D10-IF(Skills!E10=TRUE,Inputs!$B$32,0)))*(1-IF(AND(ArtifactsInput!$M$27,Inputs!$B$4="Chapter Hunt"),CHOOSE(ArtifactsInput!$N$27+1,20,24,28,32,36,40),0)/100)),0)</f>
        <v/>
      </c>
      <c r="R1215">
        <f>IF(AND(Inputs!$B$38&lt;&gt;"pvp",Inputs!$B$43&gt;0),IF(MAX(0,Inputs!$B$43-B1241)&lt;=0,0,(INT(MAX(0,Inputs!$B$43-B1241)/(IF(Inputs!$B$38="pvp",15,MAX(0.1,Skills!D10-IF(Skills!E10=TRUE,Inputs!$B$32,0)))*(1-IF(AND(ArtifactsInput!$M$27,Inputs!$B$4="Chapter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Inputs!$B$3&gt;=35</f>
        <v/>
      </c>
      <c r="D1216">
        <f>IF(Skills!C11=1,60+Inputs!$B$25+Inputs!$B$29,IF(Skills!C11=2,90+Inputs!$B$26+Inputs!$B$29,IF(Skills!C11=3,120+Inputs!$B$27+Inputs!$B$29,MAX(0,(Inputs!$B$3-100)*3)+Inputs!$B$28+Inputs!$B$29)))</f>
        <v/>
      </c>
      <c r="E1216">
        <f>INDEX(FactorTable!$B$2:$Y$301, MATCH(ROUND(MIN(300,MAX(1,D1216)),0), FactorTable!$A$2:$A$301,0), Skills!M11+1)</f>
        <v/>
      </c>
      <c r="F1216">
        <f>IF(Skills!N11=TRUE,(Skills!L11/10)*(E1216/1000),Skills!L11/10)+Skills!O11</f>
        <v/>
      </c>
      <c r="G1216">
        <f>Skills!G11*IF(Skills!H11&gt;0,Skills!I11/Skills!H11,1)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11="ENHANCED_RAGING_BLOW",IF(Inputs!$B$3&gt;=134,MAX(0,IF(Inputs!$B$3&gt;=110,7,5)-5)*50,0),0)/100)*(1+(IF(Skills!A11="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1216)</f>
        <v/>
      </c>
      <c r="L1216">
        <f>K1216*(MIN(Inputs!$B$22+((C1227=TRUE)*(F1227-Calc!F22)),(Inputs!$B$23+((C1229=TRUE)*(F1229-Calc!F24))+(IF(ArtifactsInput!$M$15,CHOOSE(ArtifactsInput!$N$15+1,25,30,35,40,45,50)/100*(Inputs!$B$11-Inputs!$B$11),0))))/100+(Inputs!$B$23+((C1229=TRUE)*(F1229-Calc!F24))+(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IFERROR(1/(IF(Inputs!$B$38="pvp",15,MAX(0.1,Skills!D11-IF(Skills!E11=TRUE,Inputs!$B$32,0)))*(1-IF(AND(ArtifactsInput!$M$27,Inputs!$B$4="Chapter Hunt"),CHOOSE(ArtifactsInput!$N$27+1,20,24,28,32,36,40),0)/100)),0)</f>
        <v/>
      </c>
      <c r="R1216">
        <f>IF(AND(Inputs!$B$38&lt;&gt;"pvp",Inputs!$B$43&gt;0),IF(MAX(0,Inputs!$B$43-B1241)&lt;=0,0,(INT(MAX(0,Inputs!$B$43-B1241)/(IF(Inputs!$B$38="pvp",15,MAX(0.1,Skills!D11-IF(Skills!E11=TRUE,Inputs!$B$32,0)))*(1-IF(AND(ArtifactsInput!$M$27,Inputs!$B$4="Chapter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INDEX(FactorTable!$B$2:$Y$301, MATCH(ROUND(MIN(300,MAX(1,D1217)),0),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INDEX(FactorTable!$B$2:$Y$301, MATCH(ROUND(MIN(300,MAX(1,D1218)),0), FactorTable!$A$2:$A$301,0), Skills!M13+1)</f>
        <v/>
      </c>
      <c r="F1218">
        <f>IF(Skills!N13=TRUE,(Skills!L13/10)*(E1218/1000),Skills!L13/10)+Skills!O13</f>
        <v/>
      </c>
      <c r="G1218">
        <f>Skills!G13*IF(Skills!H13&gt;0,Skills!I13/Skills!H13,1)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Inputs!$B$3&gt;=75</f>
        <v/>
      </c>
      <c r="D1219">
        <f>IF(Skills!C14=1,60+Inputs!$B$25+Inputs!$B$29,IF(Skills!C14=2,90+Inputs!$B$26+Inputs!$B$29,IF(Skills!C14=3,120+Inputs!$B$27+Inputs!$B$29,MAX(0,(Inputs!$B$3-100)*3)+Inputs!$B$28+Inputs!$B$29)))</f>
        <v/>
      </c>
      <c r="E1219">
        <f>INDEX(FactorTable!$B$2:$Y$301, MATCH(ROUND(MIN(300,MAX(1,D1219)),0), FactorTable!$A$2:$A$301,0), Skills!M14+1)</f>
        <v/>
      </c>
      <c r="F1219">
        <f>IF(Skills!N14=TRUE,(Skills!L14/10)*(E1219/1000),Skills!L14/10)+Skills!O14</f>
        <v/>
      </c>
      <c r="G1219">
        <f>Skills!G14*IF(Skills!H14&gt;0,Skills!I14/Skills!H14,1)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Inputs!$B$3&gt;=40</f>
        <v/>
      </c>
      <c r="D1220">
        <f>IF(Skills!C15=1,60+Inputs!$B$25+Inputs!$B$29,IF(Skills!C15=2,90+Inputs!$B$26+Inputs!$B$29,IF(Skills!C15=3,120+Inputs!$B$27+Inputs!$B$29,MAX(0,(Inputs!$B$3-100)*3)+Inputs!$B$28+Inputs!$B$29)))</f>
        <v/>
      </c>
      <c r="E1220">
        <f>INDEX(FactorTable!$B$2:$Y$301, MATCH(ROUND(MIN(300,MAX(1,D1220)),0), FactorTable!$A$2:$A$301,0), Skills!M15+1)</f>
        <v/>
      </c>
      <c r="F1220">
        <f>IF(Skills!N15=TRUE,(Skills!L15/10)*(E1220/1000),Skills!L15/10)+Skills!O15</f>
        <v/>
      </c>
      <c r="G1220">
        <f>Skills!G15*IF(Skills!H15&gt;0,Skills!I15/Skills!H15,1)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IFERROR(1/(IF(Inputs!$B$38="pvp",15,MAX(0.1,Skills!D15-IF(Skills!E15=TRUE,Inputs!$B$32,0)))*(1-IF(AND(ArtifactsInput!$M$27,Inputs!$B$4="Chapter Hunt"),CHOOSE(ArtifactsInput!$N$27+1,20,24,28,32,36,40),0)/100)),0)</f>
        <v/>
      </c>
      <c r="R1220">
        <f>IF(AND(Inputs!$B$38&lt;&gt;"pvp",Inputs!$B$43&gt;0),IF(Inputs!$B$43&lt;=0,0,(INT(Inputs!$B$43/(IF(Inputs!$B$38="pvp",15,MAX(0.1,Skills!D15-IF(Skills!E15=TRUE,Inputs!$B$32,0)))*(1-IF(AND(ArtifactsInput!$M$27,Inputs!$B$4="Chapter Hunt"),CHOOSE(ArtifactsInput!$N$27+1,20,24,28,32,36,40),0)/100)))+1)),0)</f>
        <v/>
      </c>
      <c r="S1220">
        <f>IFERROR(O1220/N1220,0)</f>
        <v/>
      </c>
      <c r="T1220" t="n">
        <v>0</v>
      </c>
      <c r="V1220" t="n">
        <v>0</v>
      </c>
    </row>
    <row r="1221">
      <c r="A1221">
        <f>Skills!A16</f>
        <v/>
      </c>
      <c r="B1221">
        <f>Skills!B16</f>
        <v/>
      </c>
      <c r="C1221">
        <f>Inputs!$B$3&gt;=66</f>
        <v/>
      </c>
      <c r="D1221">
        <f>IF(Skills!C16=1,60+Inputs!$B$25+Inputs!$B$29,IF(Skills!C16=2,90+Inputs!$B$26+Inputs!$B$29,IF(Skills!C16=3,120+Inputs!$B$27+Inputs!$B$29,MAX(0,(Inputs!$B$3-100)*3)+Inputs!$B$28+Inputs!$B$29)))</f>
        <v/>
      </c>
      <c r="E1221">
        <f>INDEX(FactorTable!$B$2:$Y$301, MATCH(ROUND(MIN(300,MAX(1,D1221)),0), FactorTable!$A$2:$A$301,0), Skills!M16+1)</f>
        <v/>
      </c>
      <c r="F1221">
        <f>IF(Skills!N16=TRUE,(Skills!L16/10)*(E1221/1000),Skills!L16/10)+Skills!O16</f>
        <v/>
      </c>
      <c r="G1221">
        <f>Skills!G16*IF(Skills!H16&gt;0,Skills!I16/Skills!H16,1)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IFERROR(1/(IF(Inputs!$B$38="pvp",15,MAX(0.1,Skills!D16-IF(Skills!E16=TRUE,Inputs!$B$32,0)))*(1-IF(AND(ArtifactsInput!$M$27,Inputs!$B$4="Chapter Hunt"),CHOOSE(ArtifactsInput!$N$27+1,20,24,28,32,36,40),0)/100)),0)</f>
        <v/>
      </c>
      <c r="R1221">
        <f>IF(AND(Inputs!$B$38&lt;&gt;"pvp",Inputs!$B$43&gt;0),IF(Inputs!$B$43&lt;=0,0,(INT(Inputs!$B$43/(IF(Inputs!$B$38="pvp",15,MAX(0.1,Skills!D16-IF(Skills!E16=TRUE,Inputs!$B$32,0)))*(1-IF(AND(ArtifactsInput!$M$27,Inputs!$B$4="Chapter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INDEX(FactorTable!$B$2:$Y$301, MATCH(ROUND(MIN(300,MAX(1,D1222)),0), FactorTable!$A$2:$A$301,0), Skills!M17+1)</f>
        <v/>
      </c>
      <c r="F1222">
        <f>IF(Skills!N17=TRUE,(Skills!L17/10)*(E1222/1000),Skills!L17/10)+Skills!O17</f>
        <v/>
      </c>
      <c r="G1222">
        <f>Skills!G17*IF(Skills!H17&gt;0,Skills!I17/Skills!H17,1)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IFERROR(1/(IF(Inputs!$B$38="pvp",15,MAX(0.1,Skills!D17-IF(Skills!E17=TRUE,Inputs!$B$32,0)))*(1-IF(AND(ArtifactsInput!$M$27,Inputs!$B$4="Chapter Hunt"),CHOOSE(ArtifactsInput!$N$27+1,20,24,28,32,36,40),0)/100)),0)</f>
        <v/>
      </c>
      <c r="R1222">
        <f>IF(AND(Inputs!$B$38&lt;&gt;"pvp",Inputs!$B$43&gt;0),IF(Inputs!$B$43&lt;=0,0,(INT(Inputs!$B$43/(IF(Inputs!$B$38="pvp",15,MAX(0.1,Skills!D17-IF(Skills!E17=TRUE,Inputs!$B$32,0)))*(1-IF(AND(ArtifactsInput!$M$27,Inputs!$B$4="Chapter Hunt"),CHOOSE(ArtifactsInput!$N$27+1,20,24,28,32,36,40),0)/100)))+1)),0)</f>
        <v/>
      </c>
      <c r="S1222">
        <f>IFERROR(O1222/N1222,0)</f>
        <v/>
      </c>
      <c r="T1222" t="n">
        <v>0</v>
      </c>
      <c r="V1222" t="n">
        <v>0</v>
      </c>
    </row>
    <row r="1223">
      <c r="A1223">
        <f>Skills!A18</f>
        <v/>
      </c>
      <c r="B1223">
        <f>Skills!B18</f>
        <v/>
      </c>
      <c r="C1223">
        <f>Inputs!$B$3&gt;=115</f>
        <v/>
      </c>
      <c r="D1223">
        <f>IF(Skills!C18=1,60+Inputs!$B$25+Inputs!$B$29,IF(Skills!C18=2,90+Inputs!$B$26+Inputs!$B$29,IF(Skills!C18=3,120+Inputs!$B$27+Inputs!$B$29,MAX(0,(Inputs!$B$3-100)*3)+Inputs!$B$28+Inputs!$B$29)))</f>
        <v/>
      </c>
      <c r="E1223">
        <f>INDEX(FactorTable!$B$2:$Y$301, MATCH(ROUND(MIN(300,MAX(1,D1223)),0), FactorTable!$A$2:$A$301,0), Skills!M18+1)</f>
        <v/>
      </c>
      <c r="F1223">
        <f>IF(Skills!N18=TRUE,(Skills!L18/10)*(E1223/1000),Skills!L18/10)+Skills!O18</f>
        <v/>
      </c>
      <c r="G1223">
        <f>Skills!G18*IF(Skills!H18&gt;0,Skills!I18/Skills!H18,1)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IFERROR(1/(IF(Inputs!$B$38="pvp",15,MAX(0.1,Skills!D18-IF(Skills!E18=TRUE,Inputs!$B$32,0)))*(1-IF(AND(ArtifactsInput!$M$27,Inputs!$B$4="Chapter Hunt"),CHOOSE(ArtifactsInput!$N$27+1,20,24,28,32,36,40),0)/100)),0)</f>
        <v/>
      </c>
      <c r="R1223">
        <f>IF(AND(Inputs!$B$38&lt;&gt;"pvp",Inputs!$B$43&gt;0),IF(Inputs!$B$43&lt;=0,0,(INT(Inputs!$B$43/(IF(Inputs!$B$38="pvp",15,MAX(0.1,Skills!D18-IF(Skills!E18=TRUE,Inputs!$B$32,0)))*(1-IF(AND(ArtifactsInput!$M$27,Inputs!$B$4="Chapter Hunt"),CHOOSE(ArtifactsInput!$N$27+1,20,24,28,32,36,40),0)/100)))+1)),0)</f>
        <v/>
      </c>
      <c r="S1223">
        <f>IFERROR(O1223/N1223,0)</f>
        <v/>
      </c>
      <c r="T1223" t="n">
        <v>0</v>
      </c>
      <c r="V1223" t="n">
        <v>0</v>
      </c>
    </row>
    <row r="1224">
      <c r="A1224">
        <f>Skills!A19</f>
        <v/>
      </c>
      <c r="B1224">
        <f>Skills!B19</f>
        <v/>
      </c>
      <c r="C1224">
        <f>TRUE</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IFERROR(1/(IF(Inputs!$B$38="pvp",15,MAX(0.1,Skills!D19-IF(Skills!E19=TRUE,Inputs!$B$32,0)))*(1-IF(AND(ArtifactsInput!$M$27,Inputs!$B$4="Chapter Hunt"),CHOOSE(ArtifactsInput!$N$27+1,20,24,28,32,36,40),0)/100)),0)</f>
        <v/>
      </c>
      <c r="R1224">
        <f>IF(AND(Inputs!$B$38&lt;&gt;"pvp",Inputs!$B$43&gt;0),IF(Inputs!$B$43&lt;=0,0,(INT(Inputs!$B$43/(IF(Inputs!$B$38="pvp",15,MAX(0.1,Skills!D19-IF(Skills!E19=TRUE,Inputs!$B$32,0)))*(1-IF(AND(ArtifactsInput!$M$27,Inputs!$B$4="Chapter Hunt"),CHOOSE(ArtifactsInput!$N$27+1,20,24,28,32,36,40),0)/100)))+1)),0)</f>
        <v/>
      </c>
      <c r="S1224">
        <f>IFERROR(O1224/N1224,0)</f>
        <v/>
      </c>
      <c r="T1224" t="n">
        <v>0</v>
      </c>
      <c r="V1224" t="n">
        <v>0</v>
      </c>
    </row>
    <row r="1225">
      <c r="A1225">
        <f>Skills!A20</f>
        <v/>
      </c>
      <c r="B1225">
        <f>Skills!B20</f>
        <v/>
      </c>
      <c r="C1225">
        <f>Inputs!$B$3&gt;=33</f>
        <v/>
      </c>
      <c r="D1225">
        <f>IF(Skills!C20=1,60+Inputs!$B$25+Inputs!$B$29,IF(Skills!C20=2,90+Inputs!$B$26+Inputs!$B$29,IF(Skills!C20=3,120+Inputs!$B$27+Inputs!$B$29,MAX(0,(Inputs!$B$3-100)*3)+Inputs!$B$28+Inputs!$B$29)))</f>
        <v/>
      </c>
      <c r="E1225">
        <f>INDEX(FactorTable!$B$2:$Y$301, MATCH(ROUND(MIN(300,MAX(1,D1225)),0), FactorTable!$A$2:$A$301,0), Skills!M20+1)</f>
        <v/>
      </c>
      <c r="F1225">
        <f>IF(Skills!N20=TRUE,(Skills!L20/10)*(E1225/1000),Skills!L20/10)+Skills!O20</f>
        <v/>
      </c>
      <c r="G1225">
        <f>Skills!G20*IF(Skills!H20&gt;0,Skills!I20/Skills!H20,1)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Inputs!$B$3&gt;=38</f>
        <v/>
      </c>
      <c r="D1226">
        <f>IF(Skills!C21=1,60+Inputs!$B$25+Inputs!$B$29,IF(Skills!C21=2,90+Inputs!$B$26+Inputs!$B$29,IF(Skills!C21=3,120+Inputs!$B$27+Inputs!$B$29,MAX(0,(Inputs!$B$3-100)*3)+Inputs!$B$28+Inputs!$B$29)))</f>
        <v/>
      </c>
      <c r="E1226">
        <f>INDEX(FactorTable!$B$2:$Y$301, MATCH(ROUND(MIN(300,MAX(1,D1226)),0), FactorTable!$A$2:$A$301,0), Skills!M21+1)</f>
        <v/>
      </c>
      <c r="F1226">
        <f>IF(Skills!N21=TRUE,(Skills!L21/10)*(E1226/1000),Skills!L21/10)+Skills!O21</f>
        <v/>
      </c>
      <c r="G1226">
        <f>Skills!G21*IF(Skills!H21&gt;0,Skills!I21/Skills!H21,1)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t="n">
        <v>0</v>
      </c>
      <c r="R1226" t="n">
        <v>0</v>
      </c>
      <c r="S1226">
        <f>IFERROR(O1226/N1226,0)</f>
        <v/>
      </c>
      <c r="T1226" t="n">
        <v>0</v>
      </c>
      <c r="V1226" t="n">
        <v>0</v>
      </c>
    </row>
    <row r="1227">
      <c r="A1227">
        <f>Skills!A22</f>
        <v/>
      </c>
      <c r="B1227">
        <f>Skills!B22</f>
        <v/>
      </c>
      <c r="C1227">
        <f>Inputs!$B$3&gt;=43</f>
        <v/>
      </c>
      <c r="D1227">
        <f>IF(Skills!C22=1,60+Inputs!$B$25+Inputs!$B$29,IF(Skills!C22=2,90+Inputs!$B$26+Inputs!$B$29,IF(Skills!C22=3,120+Inputs!$B$27+Inputs!$B$29,MAX(0,(Inputs!$B$3-100)*3)+Inputs!$B$28+Inputs!$B$29)))</f>
        <v/>
      </c>
      <c r="E1227">
        <f>INDEX(FactorTable!$B$2:$Y$301, MATCH(ROUND(MIN(300,MAX(1,D1227)),0), FactorTable!$A$2:$A$301,0), Skills!M22+1)</f>
        <v/>
      </c>
      <c r="F1227">
        <f>IF(Skills!N22=TRUE,(Skills!L22/10)*(E1227/1000),Skills!L22/10)+Skills!O22</f>
        <v/>
      </c>
      <c r="G1227">
        <f>Skills!G22*IF(Skills!H22&gt;0,Skills!I22/Skills!H22,1)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Inputs!$B$3&gt;=120</f>
        <v/>
      </c>
      <c r="D1228">
        <f>IF(Skills!C23=1,60+Inputs!$B$25+Inputs!$B$29,IF(Skills!C23=2,90+Inputs!$B$26+Inputs!$B$29,IF(Skills!C23=3,120+Inputs!$B$27+Inputs!$B$29,MAX(0,(Inputs!$B$3-100)*3)+Inputs!$B$28+Inputs!$B$29)))</f>
        <v/>
      </c>
      <c r="E1228">
        <f>INDEX(FactorTable!$B$2:$Y$301, MATCH(ROUND(MIN(300,MAX(1,D1228)),0), FactorTable!$A$2:$A$301,0), Skills!M23+1)</f>
        <v/>
      </c>
      <c r="F1228">
        <f>IF(Skills!N23=TRUE,(Skills!L23/10)*(E1228/1000),Skills!L23/10)+Skills!O23</f>
        <v/>
      </c>
      <c r="G1228">
        <f>Skills!G23*IF(Skills!H23&gt;0,Skills!I23/Skills!H23,1)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Inputs!$B$3&gt;=120</f>
        <v/>
      </c>
      <c r="D1229">
        <f>IF(Skills!C24=1,60+Inputs!$B$25+Inputs!$B$29,IF(Skills!C24=2,90+Inputs!$B$26+Inputs!$B$29,IF(Skills!C24=3,120+Inputs!$B$27+Inputs!$B$29,MAX(0,(Inputs!$B$3-100)*3)+Inputs!$B$28+Inputs!$B$29)))</f>
        <v/>
      </c>
      <c r="E1229">
        <f>INDEX(FactorTable!$B$2:$Y$301, MATCH(ROUND(MIN(300,MAX(1,D1229)),0), FactorTable!$A$2:$A$301,0), Skills!M24+1)</f>
        <v/>
      </c>
      <c r="F1229">
        <f>IF(Skills!N24=TRUE,(Skills!L24/10)*(E1229/1000),Skills!L24/10)+Skills!O24</f>
        <v/>
      </c>
      <c r="G1229">
        <f>Skills!G24*IF(Skills!H24&gt;0,Skills!I24/Skills!H24,1)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Inputs!$B$3&gt;=125</f>
        <v/>
      </c>
      <c r="D1230">
        <f>IF(Skills!C25=1,60+Inputs!$B$25+Inputs!$B$29,IF(Skills!C25=2,90+Inputs!$B$26+Inputs!$B$29,IF(Skills!C25=3,120+Inputs!$B$27+Inputs!$B$29,MAX(0,(Inputs!$B$3-100)*3)+Inputs!$B$28+Inputs!$B$29)))</f>
        <v/>
      </c>
      <c r="E1230">
        <f>INDEX(FactorTable!$B$2:$Y$301, MATCH(ROUND(MIN(300,MAX(1,D1230)),0), FactorTable!$A$2:$A$301,0), Skills!M25+1)</f>
        <v/>
      </c>
      <c r="F1230">
        <f>IF(Skills!N25=TRUE,(Skills!L25/10)*(E1230/1000),Skills!L25/10)+Skills!O25</f>
        <v/>
      </c>
      <c r="G1230">
        <f>Skills!G25*IF(Skills!H25&gt;0,Skills!I25/Skills!H25,1)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Inputs!$B$3&gt;=72</f>
        <v/>
      </c>
      <c r="D1231">
        <f>IF(Skills!C26=1,60+Inputs!$B$25+Inputs!$B$29,IF(Skills!C26=2,90+Inputs!$B$26+Inputs!$B$29,IF(Skills!C26=3,120+Inputs!$B$27+Inputs!$B$29,MAX(0,(Inputs!$B$3-100)*3)+Inputs!$B$28+Inputs!$B$29)))</f>
        <v/>
      </c>
      <c r="E1231">
        <f>INDEX(FactorTable!$B$2:$Y$301, MATCH(ROUND(MIN(300,MAX(1,D1231)),0), FactorTable!$A$2:$A$301,0), Skills!M26+1)</f>
        <v/>
      </c>
      <c r="F1231">
        <f>IF(Skills!N26=TRUE,(Skills!L26/10)*(E1231/1000),Skills!L26/10)+Skills!O26</f>
        <v/>
      </c>
      <c r="G1231">
        <f>Skills!G26*IF(Skills!H26&gt;0,Skills!I26/Skills!H26,1)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1224=TRUE)*F1224*IF(AND(Inputs!$B$38&lt;&gt;"pvp",Inputs!$B$43&gt;0),(((R1224-1)*(Skills!T19*(1+(Inputs!$B$34+(ArtifactsInput!$M$7-ArtifactsInput!$M$7)*CHOOSE(ArtifactsInput!$N$7+1,6,7.2,8.4,9.6,10.8,12))/100))+MIN((Skills!T19*(1+(Inputs!$B$34+(ArtifactsInput!$M$7-ArtifactsInput!$M$7)*CHOOSE(ArtifactsInput!$N$7+1,6,7.2,8.4,9.6,10.8,12))/100)),MAX(0,Inputs!$B$43-((R1224-1)*Skills!D19))))/Inputs!$B$43),IF(Inputs!$B$38="pvp",MIN((Skills!T19*(1+(Inputs!$B$34+(ArtifactsInput!$M$7-ArtifactsInput!$M$7)*CHOOSE(ArtifactsInput!$N$7+1,6,7.2,8.4,9.6,10.8,12))/100)),15)/15,(Skills!T19*(1+(Inputs!$B$34+(ArtifactsInput!$M$7-ArtifactsInput!$M$7)*CHOOSE(ArtifactsInput!$N$7+1,6,7.2,8.4,9.6,10.8,12))/100))/Skills!D19)))</f>
        <v/>
      </c>
    </row>
    <row r="1236">
      <c r="A1236" t="inlineStr">
        <is>
          <t>Actions Per Second</t>
        </is>
      </c>
      <c r="B1236">
        <f>1+MIN(150,150*(1-(1-(Inputs!$B$11+((C1225=TRUE)*(F1225-Calc!F20)))/150)*(1-B1235/150)))/100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Raging Blow Casts Per Second</t>
        </is>
      </c>
      <c r="B1238">
        <f>MAX(0,B1236-B1237)</f>
        <v/>
      </c>
    </row>
    <row r="1239">
      <c r="A1239" t="inlineStr">
        <is>
          <t>Global Critical Damage Bonus % (Enrage)</t>
        </is>
      </c>
      <c r="B1239">
        <f>((C1223=TRUE)*F1223*IF(AND(Inputs!$B$38&lt;&gt;"pvp",Inputs!$B$43&gt;0),(((R1223-1)*(Skills!T18*(1+(Inputs!$B$34+(ArtifactsInput!$M$7-ArtifactsInput!$M$7)*CHOOSE(ArtifactsInput!$N$7+1,6,7.2,8.4,9.6,10.8,12))/100))+MIN((Skills!T18*(1+(Inputs!$B$34+(ArtifactsInput!$M$7-ArtifactsInput!$M$7)*CHOOSE(ArtifactsInput!$N$7+1,6,7.2,8.4,9.6,10.8,12))/100)),MAX(0,Inputs!$B$43-((R1223-1)*Skills!D18))))/Inputs!$B$43),IF(Inputs!$B$38="pvp",MIN((Skills!T18*(1+(Inputs!$B$34+(ArtifactsInput!$M$7-ArtifactsInput!$M$7)*CHOOSE(ArtifactsInput!$N$7+1,6,7.2,8.4,9.6,10.8,12))/100)),15)/15,(Skills!T18*(1+(Inputs!$B$34+(ArtifactsInput!$M$7-ArtifactsInput!$M$7)*CHOOSE(ArtifactsInput!$N$7+1,6,7.2,8.4,9.6,10.8,12))/100))/Skills!D18)))</f>
        <v/>
      </c>
    </row>
    <row r="1240">
      <c r="A1240" t="inlineStr">
        <is>
          <t>Global Final Damage Bonus % (Enrage + Combo Synergy)</t>
        </is>
      </c>
      <c r="B1240">
        <f>((C1222=TRUE)*F1222*IF(AND(Inputs!$B$38&lt;&gt;"pvp",Inputs!$B$43&gt;0),(((R1222-1)*(Skills!T17*(1+(Inputs!$B$34+(ArtifactsInput!$M$7-ArtifactsInput!$M$7)*CHOOSE(ArtifactsInput!$N$7+1,6,7.2,8.4,9.6,10.8,12))/100))+MIN((Skills!T17*(1+(Inputs!$B$34+(ArtifactsInput!$M$7-ArtifactsInput!$M$7)*CHOOSE(ArtifactsInput!$N$7+1,6,7.2,8.4,9.6,10.8,12))/100)),MAX(0,Inputs!$B$43-((R1222-1)*Skills!D17))))/Inputs!$B$43),IF(Inputs!$B$38="pvp",MIN((Skills!T17*(1+(Inputs!$B$34+(ArtifactsInput!$M$7-ArtifactsInput!$M$7)*CHOOSE(ArtifactsInput!$N$7+1,6,7.2,8.4,9.6,10.8,12))/100)),15)/15,(Skills!T17*(1+(Inputs!$B$34+(ArtifactsInput!$M$7-ArtifactsInput!$M$7)*CHOOSE(ArtifactsInput!$N$7+1,6,7.2,8.4,9.6,10.8,12))/100))/Skills!D17)))+((C1219=TRUE)*F1219*IF(Inputs!$B$3&gt;=110,7,5))</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1249)</f>
        <v/>
      </c>
      <c r="L1249">
        <f>K1249*(MIN(Inputs!$B$22+((C1269=TRUE)*(F1269-Calc!F22)),(Inputs!$B$23+((C1271=TRUE)*(F1271-Calc!F24))+(IF(ArtifactsInput!$M$15,CHOOSE(ArtifactsInput!$N$15+1,25,30,35,40,45,50)/100*(Inputs!$B$11-Inputs!$B$11),0))))/100+(Inputs!$B$23+((C1271=TRUE)*(F1271-Calc!F24))+(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1252)</f>
        <v/>
      </c>
      <c r="L1252">
        <f>K1252*(MIN(Inputs!$B$22+((C1269=TRUE)*(F1269-Calc!F22)),(Inputs!$B$23+((C1271=TRUE)*(F1271-Calc!F24))+(IF(ArtifactsInput!$M$15,CHOOSE(ArtifactsInput!$N$15+1,25,30,35,40,45,50)/100*(Inputs!$B$11-Inputs!$B$11),0))))/100+(Inputs!$B$23+((C1271=TRUE)*(F1271-Calc!F24))+(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IFERROR(1/(IF(Inputs!$B$38="pvp",15,MAX(0.1,Skills!D5-IF(Skills!E5=TRUE,Inputs!$B$32,0)))*(1-IF(AND(ArtifactsInput!$M$27,Inputs!$B$4="Chapter Hunt"),CHOOSE(ArtifactsInput!$N$27+1,20,24,28,32,36,40),0)/100)),0)</f>
        <v/>
      </c>
      <c r="R1252">
        <f>IF(AND(Inputs!$B$38&lt;&gt;"pvp",Inputs!$B$43&gt;0),IF(MAX(0,Inputs!$B$43-B1283)&lt;=0,0,(INT(MAX(0,Inputs!$B$43-B1283)/(IF(Inputs!$B$38="pvp",15,MAX(0.1,Skills!D5-IF(Skills!E5=TRUE,Inputs!$B$32,0)))*(1-IF(AND(ArtifactsInput!$M$27,Inputs!$B$4="Chapter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1253)</f>
        <v/>
      </c>
      <c r="L1253">
        <f>K1253*(MIN(Inputs!$B$22+((C1269=TRUE)*(F1269-Calc!F22)),(Inputs!$B$23+((C1271=TRUE)*(F1271-Calc!F24))+(IF(ArtifactsInput!$M$15,CHOOSE(ArtifactsInput!$N$15+1,25,30,35,40,45,50)/100*(Inputs!$B$11-Inputs!$B$11),0))))/100+(Inputs!$B$23+((C1271=TRUE)*(F1271-Calc!F24))+(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IFERROR(1/(IF(Inputs!$B$38="pvp",15,MAX(0.1,Skills!D6-IF(Skills!E6=TRUE,Inputs!$B$32,0)))*(1-IF(AND(ArtifactsInput!$M$27,Inputs!$B$4="Chapter Hunt"),CHOOSE(ArtifactsInput!$N$27+1,20,24,28,32,36,40),0)/100)),0)</f>
        <v/>
      </c>
      <c r="R1253">
        <f>IF(AND(Inputs!$B$38&lt;&gt;"pvp",Inputs!$B$43&gt;0),IF(MAX(0,Inputs!$B$43-B1283)&lt;=0,0,(INT(MAX(0,Inputs!$B$43-B1283)/(IF(Inputs!$B$38="pvp",15,MAX(0.1,Skills!D6-IF(Skills!E6=TRUE,Inputs!$B$32,0)))*(1-IF(AND(ArtifactsInput!$M$27,Inputs!$B$4="Chapter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1254)</f>
        <v/>
      </c>
      <c r="L1254">
        <f>K1254*(MIN(Inputs!$B$22+((C1269=TRUE)*(F1269-Calc!F22)),(Inputs!$B$23+((C1271=TRUE)*(F1271-Calc!F24))+(IF(ArtifactsInput!$M$15,CHOOSE(ArtifactsInput!$N$15+1,25,30,35,40,45,50)/100*(Inputs!$B$11-Inputs!$B$11),0))))/100+(Inputs!$B$23+((C1271=TRUE)*(F1271-Calc!F24))+(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IFERROR(1/(IF(Inputs!$B$38="pvp",15,MAX(0.1,Skills!D7-IF(Skills!E7=TRUE,Inputs!$B$32,0)))*(1-IF(AND(ArtifactsInput!$M$27,Inputs!$B$4="Chapter Hunt"),CHOOSE(ArtifactsInput!$N$27+1,20,24,28,32,36,40),0)/100)),0)</f>
        <v/>
      </c>
      <c r="R1254">
        <f>IF(AND(Inputs!$B$38&lt;&gt;"pvp",Inputs!$B$43&gt;0),IF(MAX(0,Inputs!$B$43-B1283)&lt;=0,0,(INT(MAX(0,Inputs!$B$43-B1283)/(IF(Inputs!$B$38="pvp",15,MAX(0.1,Skills!D7-IF(Skills!E7=TRUE,Inputs!$B$32,0)))*(1-IF(AND(ArtifactsInput!$M$27,Inputs!$B$4="Chapter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1255)</f>
        <v/>
      </c>
      <c r="L1255">
        <f>K1255*(MIN(Inputs!$B$22+((C1269=TRUE)*(F1269-Calc!F22)),(Inputs!$B$23+((C1271=TRUE)*(F1271-Calc!F24))+(IF(ArtifactsInput!$M$15,CHOOSE(ArtifactsInput!$N$15+1,25,30,35,40,45,50)/100*(Inputs!$B$11-Inputs!$B$11),0))))/100+(Inputs!$B$23+((C1271=TRUE)*(F1271-Calc!F24))+(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IFERROR(1/(IF(Inputs!$B$38="pvp",15,MAX(0.1,Skills!D8-IF(Skills!E8=TRUE,Inputs!$B$32,0)))*(1-IF(AND(ArtifactsInput!$M$27,Inputs!$B$4="Chapter Hunt"),CHOOSE(ArtifactsInput!$N$27+1,20,24,28,32,36,40),0)/100)),0)</f>
        <v/>
      </c>
      <c r="R1255">
        <f>IF(AND(Inputs!$B$38&lt;&gt;"pvp",Inputs!$B$43&gt;0),IF(MAX(0,Inputs!$B$43-B1283)&lt;=0,0,(INT(MAX(0,Inputs!$B$43-B1283)/(IF(Inputs!$B$38="pvp",15,MAX(0.1,Skills!D8-IF(Skills!E8=TRUE,Inputs!$B$32,0)))*(1-IF(AND(ArtifactsInput!$M$27,Inputs!$B$4="Chapter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9="ENHANCED_RAGING_BLOW",IF(Inputs!$B$3&gt;=134,MAX(0,IF(Inputs!$B$3&gt;=110,7,5)-5)*50,0),0)/100)*(1+(IF(Skills!A9="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1256)</f>
        <v/>
      </c>
      <c r="L1256">
        <f>K1256*(MIN(Inputs!$B$22+((C1269=TRUE)*(F1269-Calc!F22)),(Inputs!$B$23+((C1271=TRUE)*(F1271-Calc!F24))+(IF(ArtifactsInput!$M$15,CHOOSE(ArtifactsInput!$N$15+1,25,30,35,40,45,50)/100*(Inputs!$B$11-Inputs!$B$11),0))))/100+(Inputs!$B$23+((C1271=TRUE)*(F1271-Calc!F24))+(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IFERROR(1/(IF(Inputs!$B$38="pvp",15,MAX(0.1,Skills!D9-IF(Skills!E9=TRUE,Inputs!$B$32,0)))*(1-IF(AND(ArtifactsInput!$M$27,Inputs!$B$4="Chapter Hunt"),CHOOSE(ArtifactsInput!$N$27+1,20,24,28,32,36,40),0)/100)),0)</f>
        <v/>
      </c>
      <c r="R1256">
        <f>IF(AND(Inputs!$B$38&lt;&gt;"pvp",Inputs!$B$43&gt;0),IF(MAX(0,Inputs!$B$43-B1283)&lt;=0,0,(INT(MAX(0,Inputs!$B$43-B1283)/(IF(Inputs!$B$38="pvp",15,MAX(0.1,Skills!D9-IF(Skills!E9=TRUE,Inputs!$B$32,0)))*(1-IF(AND(ArtifactsInput!$M$27,Inputs!$B$4="Chapter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10="ENHANCED_RAGING_BLOW",IF(Inputs!$B$3&gt;=134,MAX(0,IF(Inputs!$B$3&gt;=110,7,5)-5)*50,0),0)/100)*(1+(IF(Skills!A10="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1257)</f>
        <v/>
      </c>
      <c r="L1257">
        <f>K1257*(MIN(Inputs!$B$22+((C1269=TRUE)*(F1269-Calc!F22)),(Inputs!$B$23+((C1271=TRUE)*(F1271-Calc!F24))+(IF(ArtifactsInput!$M$15,CHOOSE(ArtifactsInput!$N$15+1,25,30,35,40,45,50)/100*(Inputs!$B$11-Inputs!$B$11),0))))/100+(Inputs!$B$23+((C1271=TRUE)*(F1271-Calc!F24))+(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IFERROR(1/(IF(Inputs!$B$38="pvp",15,MAX(0.1,Skills!D10-IF(Skills!E10=TRUE,Inputs!$B$32,0)))*(1-IF(AND(ArtifactsInput!$M$27,Inputs!$B$4="Chapter Hunt"),CHOOSE(ArtifactsInput!$N$27+1,20,24,28,32,36,40),0)/100)),0)</f>
        <v/>
      </c>
      <c r="R1257">
        <f>IF(AND(Inputs!$B$38&lt;&gt;"pvp",Inputs!$B$43&gt;0),IF(MAX(0,Inputs!$B$43-B1283)&lt;=0,0,(INT(MAX(0,Inputs!$B$43-B1283)/(IF(Inputs!$B$38="pvp",15,MAX(0.1,Skills!D10-IF(Skills!E10=TRUE,Inputs!$B$32,0)))*(1-IF(AND(ArtifactsInput!$M$27,Inputs!$B$4="Chapter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11="ENHANCED_RAGING_BLOW",IF(Inputs!$B$3&gt;=134,MAX(0,IF(Inputs!$B$3&gt;=110,7,5)-5)*50,0),0)/100)*(1+(IF(Skills!A11="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1258)</f>
        <v/>
      </c>
      <c r="L1258">
        <f>K1258*(MIN(Inputs!$B$22+((C1269=TRUE)*(F1269-Calc!F22)),(Inputs!$B$23+((C1271=TRUE)*(F1271-Calc!F24))+(IF(ArtifactsInput!$M$15,CHOOSE(ArtifactsInput!$N$15+1,25,30,35,40,45,50)/100*(Inputs!$B$11-Inputs!$B$11),0))))/100+(Inputs!$B$23+((C1271=TRUE)*(F1271-Calc!F24))+(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IFERROR(1/(IF(Inputs!$B$38="pvp",15,MAX(0.1,Skills!D11-IF(Skills!E11=TRUE,Inputs!$B$32,0)))*(1-IF(AND(ArtifactsInput!$M$27,Inputs!$B$4="Chapter Hunt"),CHOOSE(ArtifactsInput!$N$27+1,20,24,28,32,36,40),0)/100)),0)</f>
        <v/>
      </c>
      <c r="R1258">
        <f>IF(AND(Inputs!$B$38&lt;&gt;"pvp",Inputs!$B$43&gt;0),IF(MAX(0,Inputs!$B$43-B1283)&lt;=0,0,(INT(MAX(0,Inputs!$B$43-B1283)/(IF(Inputs!$B$38="pvp",15,MAX(0.1,Skills!D11-IF(Skills!E11=TRUE,Inputs!$B$32,0)))*(1-IF(AND(ArtifactsInput!$M$27,Inputs!$B$4="Chapter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IFERROR(1/(IF(Inputs!$B$38="pvp",15,MAX(0.1,Skills!D15-IF(Skills!E15=TRUE,Inputs!$B$32,0)))*(1-IF(AND(ArtifactsInput!$M$27,Inputs!$B$4="Chapter Hunt"),CHOOSE(ArtifactsInput!$N$27+1,20,24,28,32,36,40),0)/100)),0)</f>
        <v/>
      </c>
      <c r="R1262">
        <f>IF(AND(Inputs!$B$38&lt;&gt;"pvp",Inputs!$B$43&gt;0),IF(Inputs!$B$43&lt;=0,0,(INT(Inputs!$B$43/(IF(Inputs!$B$38="pvp",15,MAX(0.1,Skills!D15-IF(Skills!E15=TRUE,Inputs!$B$32,0)))*(1-IF(AND(ArtifactsInput!$M$27,Inputs!$B$4="Chapter Hunt"),CHOOSE(ArtifactsInput!$N$27+1,20,24,28,32,36,40),0)/100)))+1)),0)</f>
        <v/>
      </c>
      <c r="S1262">
        <f>IFERROR(O1262/N1262,0)</f>
        <v/>
      </c>
      <c r="T1262" t="n">
        <v>0</v>
      </c>
      <c r="V1262" t="n">
        <v>0</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IFERROR(1/(IF(Inputs!$B$38="pvp",15,MAX(0.1,Skills!D16-IF(Skills!E16=TRUE,Inputs!$B$32,0)))*(1-IF(AND(ArtifactsInput!$M$27,Inputs!$B$4="Chapter Hunt"),CHOOSE(ArtifactsInput!$N$27+1,20,24,28,32,36,40),0)/100)),0)</f>
        <v/>
      </c>
      <c r="R1263">
        <f>IF(AND(Inputs!$B$38&lt;&gt;"pvp",Inputs!$B$43&gt;0),IF(Inputs!$B$43&lt;=0,0,(INT(Inputs!$B$43/(IF(Inputs!$B$38="pvp",15,MAX(0.1,Skills!D16-IF(Skills!E16=TRUE,Inputs!$B$32,0)))*(1-IF(AND(ArtifactsInput!$M$27,Inputs!$B$4="Chapter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IFERROR(1/(IF(Inputs!$B$38="pvp",15,MAX(0.1,Skills!D17-IF(Skills!E17=TRUE,Inputs!$B$32,0)))*(1-IF(AND(ArtifactsInput!$M$27,Inputs!$B$4="Chapter Hunt"),CHOOSE(ArtifactsInput!$N$27+1,20,24,28,32,36,40),0)/100)),0)</f>
        <v/>
      </c>
      <c r="R1264">
        <f>IF(AND(Inputs!$B$38&lt;&gt;"pvp",Inputs!$B$43&gt;0),IF(Inputs!$B$43&lt;=0,0,(INT(Inputs!$B$43/(IF(Inputs!$B$38="pvp",15,MAX(0.1,Skills!D17-IF(Skills!E17=TRUE,Inputs!$B$32,0)))*(1-IF(AND(ArtifactsInput!$M$27,Inputs!$B$4="Chapter Hunt"),CHOOSE(ArtifactsInput!$N$27+1,20,24,28,32,36,40),0)/100)))+1)),0)</f>
        <v/>
      </c>
      <c r="S1264">
        <f>IFERROR(O1264/N1264,0)</f>
        <v/>
      </c>
      <c r="T1264" t="n">
        <v>0</v>
      </c>
      <c r="V1264" t="n">
        <v>0</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IFERROR(1/(IF(Inputs!$B$38="pvp",15,MAX(0.1,Skills!D18-IF(Skills!E18=TRUE,Inputs!$B$32,0)))*(1-IF(AND(ArtifactsInput!$M$27,Inputs!$B$4="Chapter Hunt"),CHOOSE(ArtifactsInput!$N$27+1,20,24,28,32,36,40),0)/100)),0)</f>
        <v/>
      </c>
      <c r="R1265">
        <f>IF(AND(Inputs!$B$38&lt;&gt;"pvp",Inputs!$B$43&gt;0),IF(Inputs!$B$43&lt;=0,0,(INT(Inputs!$B$43/(IF(Inputs!$B$38="pvp",15,MAX(0.1,Skills!D18-IF(Skills!E18=TRUE,Inputs!$B$32,0)))*(1-IF(AND(ArtifactsInput!$M$27,Inputs!$B$4="Chapter Hunt"),CHOOSE(ArtifactsInput!$N$27+1,20,24,28,32,36,40),0)/100)))+1)),0)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IFERROR(1/(IF(Inputs!$B$38="pvp",15,MAX(0.1,Skills!D19-IF(Skills!E19=TRUE,Inputs!$B$32,0)))*(1-IF(AND(ArtifactsInput!$M$27,Inputs!$B$4="Chapter Hunt"),CHOOSE(ArtifactsInput!$N$27+1,20,24,28,32,36,40),0)/100)),0)</f>
        <v/>
      </c>
      <c r="R1266">
        <f>IF(AND(Inputs!$B$38&lt;&gt;"pvp",Inputs!$B$43&gt;0),IF(Inputs!$B$43&lt;=0,0,(INT(Inputs!$B$43/(IF(Inputs!$B$38="pvp",15,MAX(0.1,Skills!D19-IF(Skills!E19=TRUE,Inputs!$B$32,0)))*(1-IF(AND(ArtifactsInput!$M$27,Inputs!$B$4="Chapter Hunt"),CHOOSE(ArtifactsInput!$N$27+1,20,24,28,32,36,40),0)/100)))+1)),0)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1266=TRUE)*F1266*IF(AND(Inputs!$B$38&lt;&gt;"pvp",Inputs!$B$43&gt;0),(((R1266-1)*(Skills!T19*(1+(Inputs!$B$34+(IF(ArtifactsInput!$M$7,FALSE,TRUE)-ArtifactsInput!$M$7)*CHOOSE(ArtifactsInput!$N$7+1,6,7.2,8.4,9.6,10.8,12))/100))+MIN((Skills!T19*(1+(Inputs!$B$34+(IF(ArtifactsInput!$M$7,FALSE,TRUE)-ArtifactsInput!$M$7)*CHOOSE(ArtifactsInput!$N$7+1,6,7.2,8.4,9.6,10.8,12))/100)),MAX(0,Inputs!$B$43-((R1266-1)*Skills!D19))))/Inputs!$B$43),IF(Inputs!$B$38="pvp",MIN((Skills!T19*(1+(Inputs!$B$34+(IF(ArtifactsInput!$M$7,FALSE,TRUE)-ArtifactsInput!$M$7)*CHOOSE(ArtifactsInput!$N$7+1,6,7.2,8.4,9.6,10.8,12))/100)),15)/15,(Skills!T19*(1+(Inputs!$B$34+(IF(ArtifactsInput!$M$7,FALSE,TRUE)-ArtifactsInput!$M$7)*CHOOSE(ArtifactsInput!$N$7+1,6,7.2,8.4,9.6,10.8,12))/100))/Skills!D19)))</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Skills!T18*(1+(Inputs!$B$34+(IF(ArtifactsInput!$M$7,FALSE,TRUE)-ArtifactsInput!$M$7)*CHOOSE(ArtifactsInput!$N$7+1,6,7.2,8.4,9.6,10.8,12))/100))+MIN((Skills!T18*(1+(Inputs!$B$34+(IF(ArtifactsInput!$M$7,FALSE,TRUE)-ArtifactsInput!$M$7)*CHOOSE(ArtifactsInput!$N$7+1,6,7.2,8.4,9.6,10.8,12))/100)),MAX(0,Inputs!$B$43-((R1265-1)*Skills!D18))))/Inputs!$B$43),IF(Inputs!$B$38="pvp",MIN((Skills!T18*(1+(Inputs!$B$34+(IF(ArtifactsInput!$M$7,FALSE,TRUE)-ArtifactsInput!$M$7)*CHOOSE(ArtifactsInput!$N$7+1,6,7.2,8.4,9.6,10.8,12))/100)),15)/15,(Skills!T18*(1+(Inputs!$B$34+(IF(ArtifactsInput!$M$7,FALSE,TRUE)-ArtifactsInput!$M$7)*CHOOSE(ArtifactsInput!$N$7+1,6,7.2,8.4,9.6,10.8,12))/100))/Skills!D18)))</f>
        <v/>
      </c>
    </row>
    <row r="1282">
      <c r="A1282" t="inlineStr">
        <is>
          <t>Global Final Damage Bonus % (Enrage + Combo Synergy)</t>
        </is>
      </c>
      <c r="B1282">
        <f>((C1264=TRUE)*F1264*IF(AND(Inputs!$B$38&lt;&gt;"pvp",Inputs!$B$43&gt;0),(((R1264-1)*(Skills!T17*(1+(Inputs!$B$34+(IF(ArtifactsInput!$M$7,FALSE,TRUE)-ArtifactsInput!$M$7)*CHOOSE(ArtifactsInput!$N$7+1,6,7.2,8.4,9.6,10.8,12))/100))+MIN((Skills!T17*(1+(Inputs!$B$34+(IF(ArtifactsInput!$M$7,FALSE,TRUE)-ArtifactsInput!$M$7)*CHOOSE(ArtifactsInput!$N$7+1,6,7.2,8.4,9.6,10.8,12))/100)),MAX(0,Inputs!$B$43-((R1264-1)*Skills!D17))))/Inputs!$B$43),IF(Inputs!$B$38="pvp",MIN((Skills!T17*(1+(Inputs!$B$34+(IF(ArtifactsInput!$M$7,FALSE,TRUE)-ArtifactsInput!$M$7)*CHOOSE(ArtifactsInput!$N$7+1,6,7.2,8.4,9.6,10.8,12))/100)),15)/15,(Skills!T17*(1+(Inputs!$B$34+(IF(ArtifactsInput!$M$7,FALSE,TRUE)-ArtifactsInput!$M$7)*CHOOSE(ArtifactsInput!$N$7+1,6,7.2,8.4,9.6,10.8,12))/100))/Skills!D17)))+((C1261=TRUE)*F1261*IF(Inputs!$B$3&gt;=110,7,5))</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1291)</f>
        <v/>
      </c>
      <c r="L1291">
        <f>K1291*(MIN(Inputs!$B$22+((C1311=TRUE)*(F1311-Calc!F22)),(Inputs!$B$23+((C1313=TRUE)*(F1313-Calc!F24))+(IF(ArtifactsInput!$M$15,CHOOSE(ArtifactsInput!$N$15+1,25,30,35,40,45,50)/100*(Inputs!$B$11-Inputs!$B$11),0))))/100+(Inputs!$B$23+((C1313=TRUE)*(F1313-Calc!F24))+(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Inputs!$B$3&gt;=103</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1294)</f>
        <v/>
      </c>
      <c r="L1294">
        <f>K1294*(MIN(Inputs!$B$22+((C1311=TRUE)*(F1311-Calc!F22)),(Inputs!$B$23+((C1313=TRUE)*(F1313-Calc!F24))+(IF(ArtifactsInput!$M$15,CHOOSE(ArtifactsInput!$N$15+1,25,30,35,40,45,50)/100*(Inputs!$B$11-Inputs!$B$11),0))))/100+(Inputs!$B$23+((C1313=TRUE)*(F1313-Calc!F24))+(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IFERROR(1/(IF(Inputs!$B$38="pvp",15,MAX(0.1,Skills!D5-IF(Skills!E5=TRUE,Inputs!$B$32,0)))*(1-IF(AND(ArtifactsInput!$M$27,Inputs!$B$4="Chapter Hunt"),CHOOSE(ArtifactsInput!$N$27+1,20,24,28,32,36,40),0)/100)),0)</f>
        <v/>
      </c>
      <c r="R1294">
        <f>IF(AND(Inputs!$B$38&lt;&gt;"pvp",Inputs!$B$43&gt;0),IF(MAX(0,Inputs!$B$43-B1325)&lt;=0,0,(INT(MAX(0,Inputs!$B$43-B1325)/(IF(Inputs!$B$38="pvp",15,MAX(0.1,Skills!D5-IF(Skills!E5=TRUE,Inputs!$B$32,0)))*(1-IF(AND(ArtifactsInput!$M$27,Inputs!$B$4="Chapter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1295)</f>
        <v/>
      </c>
      <c r="L1295">
        <f>K1295*(MIN(Inputs!$B$22+((C1311=TRUE)*(F1311-Calc!F22)),(Inputs!$B$23+((C1313=TRUE)*(F1313-Calc!F24))+(IF(ArtifactsInput!$M$15,CHOOSE(ArtifactsInput!$N$15+1,25,30,35,40,45,50)/100*(Inputs!$B$11-Inputs!$B$11),0))))/100+(Inputs!$B$23+((C1313=TRUE)*(F1313-Calc!F24))+(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IFERROR(1/(IF(Inputs!$B$38="pvp",15,MAX(0.1,Skills!D6-IF(Skills!E6=TRUE,Inputs!$B$32,0)))*(1-IF(AND(ArtifactsInput!$M$27,Inputs!$B$4="Chapter Hunt"),CHOOSE(ArtifactsInput!$N$27+1,20,24,28,32,36,40),0)/100)),0)</f>
        <v/>
      </c>
      <c r="R1295">
        <f>IF(AND(Inputs!$B$38&lt;&gt;"pvp",Inputs!$B$43&gt;0),IF(MAX(0,Inputs!$B$43-B1325)&lt;=0,0,(INT(MAX(0,Inputs!$B$43-B1325)/(IF(Inputs!$B$38="pvp",15,MAX(0.1,Skills!D6-IF(Skills!E6=TRUE,Inputs!$B$32,0)))*(1-IF(AND(ArtifactsInput!$M$27,Inputs!$B$4="Chapter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f>Skills!G7*IF(Skills!H7&gt;0,Skills!I7/Skills!H7,1)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1296)</f>
        <v/>
      </c>
      <c r="L1296">
        <f>K1296*(MIN(Inputs!$B$22+((C1311=TRUE)*(F1311-Calc!F22)),(Inputs!$B$23+((C1313=TRUE)*(F1313-Calc!F24))+(IF(ArtifactsInput!$M$15,CHOOSE(ArtifactsInput!$N$15+1,25,30,35,40,45,50)/100*(Inputs!$B$11-Inputs!$B$11),0))))/100+(Inputs!$B$23+((C1313=TRUE)*(F1313-Calc!F24))+(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IFERROR(1/(IF(Inputs!$B$38="pvp",15,MAX(0.1,Skills!D7-IF(Skills!E7=TRUE,Inputs!$B$32,0)))*(1-IF(AND(ArtifactsInput!$M$27,Inputs!$B$4="Chapter Hunt"),CHOOSE(ArtifactsInput!$N$27+1,20,24,28,32,36,40),0)/100)),0)</f>
        <v/>
      </c>
      <c r="R1296">
        <f>IF(AND(Inputs!$B$38&lt;&gt;"pvp",Inputs!$B$43&gt;0),IF(MAX(0,Inputs!$B$43-B1325)&lt;=0,0,(INT(MAX(0,Inputs!$B$43-B1325)/(IF(Inputs!$B$38="pvp",15,MAX(0.1,Skills!D7-IF(Skills!E7=TRUE,Inputs!$B$32,0)))*(1-IF(AND(ArtifactsInput!$M$27,Inputs!$B$4="Chapter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Inputs!$B$3&gt;=117</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1297)</f>
        <v/>
      </c>
      <c r="L1297">
        <f>K1297*(MIN(Inputs!$B$22+((C1311=TRUE)*(F1311-Calc!F22)),(Inputs!$B$23+((C1313=TRUE)*(F1313-Calc!F24))+(IF(ArtifactsInput!$M$15,CHOOSE(ArtifactsInput!$N$15+1,25,30,35,40,45,50)/100*(Inputs!$B$11-Inputs!$B$11),0))))/100+(Inputs!$B$23+((C1313=TRUE)*(F1313-Calc!F24))+(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IFERROR(1/(IF(Inputs!$B$38="pvp",15,MAX(0.1,Skills!D8-IF(Skills!E8=TRUE,Inputs!$B$32,0)))*(1-IF(AND(ArtifactsInput!$M$27,Inputs!$B$4="Chapter Hunt"),CHOOSE(ArtifactsInput!$N$27+1,20,24,28,32,36,40),0)/100)),0)</f>
        <v/>
      </c>
      <c r="R1297">
        <f>IF(AND(Inputs!$B$38&lt;&gt;"pvp",Inputs!$B$43&gt;0),IF(MAX(0,Inputs!$B$43-B1325)&lt;=0,0,(INT(MAX(0,Inputs!$B$43-B1325)/(IF(Inputs!$B$38="pvp",15,MAX(0.1,Skills!D8-IF(Skills!E8=TRUE,Inputs!$B$32,0)))*(1-IF(AND(ArtifactsInput!$M$27,Inputs!$B$4="Chapter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Inputs!$B$3&gt;=69</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9="ENHANCED_RAGING_BLOW",IF(Inputs!$B$3&gt;=134,MAX(0,IF(Inputs!$B$3&gt;=110,7,5)-5)*50,0),0)/100)*(1+(IF(Skills!A9="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1298)</f>
        <v/>
      </c>
      <c r="L1298">
        <f>K1298*(MIN(Inputs!$B$22+((C1311=TRUE)*(F1311-Calc!F22)),(Inputs!$B$23+((C1313=TRUE)*(F1313-Calc!F24))+(IF(ArtifactsInput!$M$15,CHOOSE(ArtifactsInput!$N$15+1,25,30,35,40,45,50)/100*(Inputs!$B$11-Inputs!$B$11),0))))/100+(Inputs!$B$23+((C1313=TRUE)*(F1313-Calc!F24))+(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IFERROR(1/(IF(Inputs!$B$38="pvp",15,MAX(0.1,Skills!D9-IF(Skills!E9=TRUE,Inputs!$B$32,0)))*(1-IF(AND(ArtifactsInput!$M$27,Inputs!$B$4="Chapter Hunt"),CHOOSE(ArtifactsInput!$N$27+1,20,24,28,32,36,40),0)/100)),0)</f>
        <v/>
      </c>
      <c r="R1298">
        <f>IF(AND(Inputs!$B$38&lt;&gt;"pvp",Inputs!$B$43&gt;0),IF(MAX(0,Inputs!$B$43-B1325)&lt;=0,0,(INT(MAX(0,Inputs!$B$43-B1325)/(IF(Inputs!$B$38="pvp",15,MAX(0.1,Skills!D9-IF(Skills!E9=TRUE,Inputs!$B$32,0)))*(1-IF(AND(ArtifactsInput!$M$27,Inputs!$B$4="Chapter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Inputs!$B$3&gt;=63</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f>Skills!G10*IF(Skills!H10&gt;0,Skills!I10/Skills!H10,1)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10="ENHANCED_RAGING_BLOW",IF(Inputs!$B$3&gt;=134,MAX(0,IF(Inputs!$B$3&gt;=110,7,5)-5)*50,0),0)/100)*(1+(IF(Skills!A10="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1299)</f>
        <v/>
      </c>
      <c r="L1299">
        <f>K1299*(MIN(Inputs!$B$22+((C1311=TRUE)*(F1311-Calc!F22)),(Inputs!$B$23+((C1313=TRUE)*(F1313-Calc!F24))+(IF(ArtifactsInput!$M$15,CHOOSE(ArtifactsInput!$N$15+1,25,30,35,40,45,50)/100*(Inputs!$B$11-Inputs!$B$11),0))))/100+(Inputs!$B$23+((C1313=TRUE)*(F1313-Calc!F24))+(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IFERROR(1/(IF(Inputs!$B$38="pvp",15,MAX(0.1,Skills!D10-IF(Skills!E10=TRUE,Inputs!$B$32,0)))*(1-IF(AND(ArtifactsInput!$M$27,Inputs!$B$4="Chapter Hunt"),CHOOSE(ArtifactsInput!$N$27+1,20,24,28,32,36,40),0)/100)),0)</f>
        <v/>
      </c>
      <c r="R1299">
        <f>IF(AND(Inputs!$B$38&lt;&gt;"pvp",Inputs!$B$43&gt;0),IF(MAX(0,Inputs!$B$43-B1325)&lt;=0,0,(INT(MAX(0,Inputs!$B$43-B1325)/(IF(Inputs!$B$38="pvp",15,MAX(0.1,Skills!D10-IF(Skills!E10=TRUE,Inputs!$B$32,0)))*(1-IF(AND(ArtifactsInput!$M$27,Inputs!$B$4="Chapter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Inputs!$B$3&gt;=35</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11="ENHANCED_RAGING_BLOW",IF(Inputs!$B$3&gt;=134,MAX(0,IF(Inputs!$B$3&gt;=110,7,5)-5)*50,0),0)/100)*(1+(IF(Skills!A11="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1300)</f>
        <v/>
      </c>
      <c r="L1300">
        <f>K1300*(MIN(Inputs!$B$22+((C1311=TRUE)*(F1311-Calc!F22)),(Inputs!$B$23+((C1313=TRUE)*(F1313-Calc!F24))+(IF(ArtifactsInput!$M$15,CHOOSE(ArtifactsInput!$N$15+1,25,30,35,40,45,50)/100*(Inputs!$B$11-Inputs!$B$11),0))))/100+(Inputs!$B$23+((C1313=TRUE)*(F1313-Calc!F24))+(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IFERROR(1/(IF(Inputs!$B$38="pvp",15,MAX(0.1,Skills!D11-IF(Skills!E11=TRUE,Inputs!$B$32,0)))*(1-IF(AND(ArtifactsInput!$M$27,Inputs!$B$4="Chapter Hunt"),CHOOSE(ArtifactsInput!$N$27+1,20,24,28,32,36,40),0)/100)),0)</f>
        <v/>
      </c>
      <c r="R1300">
        <f>IF(AND(Inputs!$B$38&lt;&gt;"pvp",Inputs!$B$43&gt;0),IF(MAX(0,Inputs!$B$43-B1325)&lt;=0,0,(INT(MAX(0,Inputs!$B$43-B1325)/(IF(Inputs!$B$38="pvp",15,MAX(0.1,Skills!D11-IF(Skills!E11=TRUE,Inputs!$B$32,0)))*(1-IF(AND(ArtifactsInput!$M$27,Inputs!$B$4="Chapter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Inputs!$B$3&gt;=75</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Inputs!$B$3&gt;=40</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IFERROR(1/(IF(Inputs!$B$38="pvp",15,MAX(0.1,Skills!D15-IF(Skills!E15=TRUE,Inputs!$B$32,0)))*(1-IF(AND(ArtifactsInput!$M$27,Inputs!$B$4="Chapter Hunt"),CHOOSE(ArtifactsInput!$N$27+1,20,24,28,32,36,40),0)/100)),0)</f>
        <v/>
      </c>
      <c r="R1304">
        <f>IF(AND(Inputs!$B$38&lt;&gt;"pvp",Inputs!$B$43&gt;0),IF(Inputs!$B$43&lt;=0,0,(INT(Inputs!$B$43/(IF(Inputs!$B$38="pvp",15,MAX(0.1,Skills!D15-IF(Skills!E15=TRUE,Inputs!$B$32,0)))*(1-IF(AND(ArtifactsInput!$M$27,Inputs!$B$4="Chapter Hunt"),CHOOSE(ArtifactsInput!$N$27+1,20,24,28,32,36,40),0)/100)))+1)),0)</f>
        <v/>
      </c>
      <c r="S1304">
        <f>IFERROR(O1304/N1304,0)</f>
        <v/>
      </c>
      <c r="T1304" t="n">
        <v>0</v>
      </c>
      <c r="V1304" t="n">
        <v>0</v>
      </c>
    </row>
    <row r="1305">
      <c r="A1305">
        <f>Skills!A16</f>
        <v/>
      </c>
      <c r="B1305">
        <f>Skills!B16</f>
        <v/>
      </c>
      <c r="C1305">
        <f>Inputs!$B$3&gt;=66</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IFERROR(1/(IF(Inputs!$B$38="pvp",15,MAX(0.1,Skills!D16-IF(Skills!E16=TRUE,Inputs!$B$32,0)))*(1-IF(AND(ArtifactsInput!$M$27,Inputs!$B$4="Chapter Hunt"),CHOOSE(ArtifactsInput!$N$27+1,20,24,28,32,36,40),0)/100)),0)</f>
        <v/>
      </c>
      <c r="R1305">
        <f>IF(AND(Inputs!$B$38&lt;&gt;"pvp",Inputs!$B$43&gt;0),IF(Inputs!$B$43&lt;=0,0,(INT(Inputs!$B$43/(IF(Inputs!$B$38="pvp",15,MAX(0.1,Skills!D16-IF(Skills!E16=TRUE,Inputs!$B$32,0)))*(1-IF(AND(ArtifactsInput!$M$27,Inputs!$B$4="Chapter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IFERROR(1/(IF(Inputs!$B$38="pvp",15,MAX(0.1,Skills!D17-IF(Skills!E17=TRUE,Inputs!$B$32,0)))*(1-IF(AND(ArtifactsInput!$M$27,Inputs!$B$4="Chapter Hunt"),CHOOSE(ArtifactsInput!$N$27+1,20,24,28,32,36,40),0)/100)),0)</f>
        <v/>
      </c>
      <c r="R1306">
        <f>IF(AND(Inputs!$B$38&lt;&gt;"pvp",Inputs!$B$43&gt;0),IF(Inputs!$B$43&lt;=0,0,(INT(Inputs!$B$43/(IF(Inputs!$B$38="pvp",15,MAX(0.1,Skills!D17-IF(Skills!E17=TRUE,Inputs!$B$32,0)))*(1-IF(AND(ArtifactsInput!$M$27,Inputs!$B$4="Chapter Hunt"),CHOOSE(ArtifactsInput!$N$27+1,20,24,28,32,36,40),0)/100)))+1)),0)</f>
        <v/>
      </c>
      <c r="S1306">
        <f>IFERROR(O1306/N1306,0)</f>
        <v/>
      </c>
      <c r="T1306" t="n">
        <v>0</v>
      </c>
      <c r="V1306" t="n">
        <v>0</v>
      </c>
    </row>
    <row r="1307">
      <c r="A1307">
        <f>Skills!A18</f>
        <v/>
      </c>
      <c r="B1307">
        <f>Skills!B18</f>
        <v/>
      </c>
      <c r="C1307">
        <f>Inputs!$B$3&gt;=115</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IFERROR(1/(IF(Inputs!$B$38="pvp",15,MAX(0.1,Skills!D18-IF(Skills!E18=TRUE,Inputs!$B$32,0)))*(1-IF(AND(ArtifactsInput!$M$27,Inputs!$B$4="Chapter Hunt"),CHOOSE(ArtifactsInput!$N$27+1,20,24,28,32,36,40),0)/100)),0)</f>
        <v/>
      </c>
      <c r="R1307">
        <f>IF(AND(Inputs!$B$38&lt;&gt;"pvp",Inputs!$B$43&gt;0),IF(Inputs!$B$43&lt;=0,0,(INT(Inputs!$B$43/(IF(Inputs!$B$38="pvp",15,MAX(0.1,Skills!D18-IF(Skills!E18=TRUE,Inputs!$B$32,0)))*(1-IF(AND(ArtifactsInput!$M$27,Inputs!$B$4="Chapter Hunt"),CHOOSE(ArtifactsInput!$N$27+1,20,24,28,32,36,40),0)/100)))+1)),0)</f>
        <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IFERROR(1/(IF(Inputs!$B$38="pvp",15,MAX(0.1,Skills!D19-IF(Skills!E19=TRUE,Inputs!$B$32,0)))*(1-IF(AND(ArtifactsInput!$M$27,Inputs!$B$4="Chapter Hunt"),CHOOSE(ArtifactsInput!$N$27+1,20,24,28,32,36,40),0)/100)),0)</f>
        <v/>
      </c>
      <c r="R1308">
        <f>IF(AND(Inputs!$B$38&lt;&gt;"pvp",Inputs!$B$43&gt;0),IF(Inputs!$B$43&lt;=0,0,(INT(Inputs!$B$43/(IF(Inputs!$B$38="pvp",15,MAX(0.1,Skills!D19-IF(Skills!E19=TRUE,Inputs!$B$32,0)))*(1-IF(AND(ArtifactsInput!$M$27,Inputs!$B$4="Chapter Hunt"),CHOOSE(ArtifactsInput!$N$27+1,20,24,28,32,36,40),0)/100)))+1)),0)</f>
        <v/>
      </c>
      <c r="S1308">
        <f>IFERROR(O1308/N1308,0)</f>
        <v/>
      </c>
      <c r="T1308" t="n">
        <v>0</v>
      </c>
      <c r="V1308" t="n">
        <v>0</v>
      </c>
    </row>
    <row r="1309">
      <c r="A1309">
        <f>Skills!A20</f>
        <v/>
      </c>
      <c r="B1309">
        <f>Skills!B20</f>
        <v/>
      </c>
      <c r="C1309">
        <f>Inputs!$B$3&gt;=33</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Inputs!$B$3&gt;=38</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t="n">
        <v>0</v>
      </c>
      <c r="R1310" t="n">
        <v>0</v>
      </c>
      <c r="S1310">
        <f>IFERROR(O1310/N1310,0)</f>
        <v/>
      </c>
      <c r="T1310" t="n">
        <v>0</v>
      </c>
      <c r="V1310" t="n">
        <v>0</v>
      </c>
    </row>
    <row r="1311">
      <c r="A1311">
        <f>Skills!A22</f>
        <v/>
      </c>
      <c r="B1311">
        <f>Skills!B22</f>
        <v/>
      </c>
      <c r="C1311">
        <f>Inputs!$B$3&gt;=43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Inputs!$B$3&gt;=120</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Inputs!$B$3&gt;=120</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Inputs!$B$3&gt;=72</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1308=TRUE)*F1308*IF(AND(Inputs!$B$38&lt;&gt;"pvp",Inputs!$B$43&gt;0),(((R1308-1)*(Skills!T19*(1+(Inputs!$B$34+(ArtifactsInput!$M$7-ArtifactsInput!$M$7)*CHOOSE(ArtifactsInput!$N$7+1,6,7.2,8.4,9.6,10.8,12))/100))+MIN((Skills!T19*(1+(Inputs!$B$34+(ArtifactsInput!$M$7-ArtifactsInput!$M$7)*CHOOSE(ArtifactsInput!$N$7+1,6,7.2,8.4,9.6,10.8,12))/100)),MAX(0,Inputs!$B$43-((R1308-1)*Skills!D19))))/Inputs!$B$43),IF(Inputs!$B$38="pvp",MIN((Skills!T19*(1+(Inputs!$B$34+(ArtifactsInput!$M$7-ArtifactsInput!$M$7)*CHOOSE(ArtifactsInput!$N$7+1,6,7.2,8.4,9.6,10.8,12))/100)),15)/15,(Skills!T19*(1+(Inputs!$B$34+(ArtifactsInput!$M$7-ArtifactsInput!$M$7)*CHOOSE(ArtifactsInput!$N$7+1,6,7.2,8.4,9.6,10.8,12))/100))/Skills!D19)))</f>
        <v/>
      </c>
    </row>
    <row r="1320">
      <c r="A1320" t="inlineStr">
        <is>
          <t>Actions Per Second</t>
        </is>
      </c>
      <c r="B1320">
        <f>1+MIN(150,150*(1-(1-(Inputs!$B$11+((C1309=TRUE)*(F1309-Calc!F20)))/150)*(1-B1319/150)))/100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Raging Blow Casts Per Second</t>
        </is>
      </c>
      <c r="B1322">
        <f>MAX(0,B1320-B1321)</f>
        <v/>
      </c>
    </row>
    <row r="1323">
      <c r="A1323" t="inlineStr">
        <is>
          <t>Global Critical Damage Bonus % (Enrage)</t>
        </is>
      </c>
      <c r="B1323">
        <f>((C1307=TRUE)*F1307*IF(AND(Inputs!$B$38&lt;&gt;"pvp",Inputs!$B$43&gt;0),(((R1307-1)*(Skills!T18*(1+(Inputs!$B$34+(ArtifactsInput!$M$7-ArtifactsInput!$M$7)*CHOOSE(ArtifactsInput!$N$7+1,6,7.2,8.4,9.6,10.8,12))/100))+MIN((Skills!T18*(1+(Inputs!$B$34+(ArtifactsInput!$M$7-ArtifactsInput!$M$7)*CHOOSE(ArtifactsInput!$N$7+1,6,7.2,8.4,9.6,10.8,12))/100)),MAX(0,Inputs!$B$43-((R1307-1)*Skills!D18))))/Inputs!$B$43),IF(Inputs!$B$38="pvp",MIN((Skills!T18*(1+(Inputs!$B$34+(ArtifactsInput!$M$7-ArtifactsInput!$M$7)*CHOOSE(ArtifactsInput!$N$7+1,6,7.2,8.4,9.6,10.8,12))/100)),15)/15,(Skills!T18*(1+(Inputs!$B$34+(ArtifactsInput!$M$7-ArtifactsInput!$M$7)*CHOOSE(ArtifactsInput!$N$7+1,6,7.2,8.4,9.6,10.8,12))/100))/Skills!D18)))</f>
        <v/>
      </c>
    </row>
    <row r="1324">
      <c r="A1324" t="inlineStr">
        <is>
          <t>Global Final Damage Bonus % (Enrage + Combo Synergy)</t>
        </is>
      </c>
      <c r="B1324">
        <f>((C1306=TRUE)*F1306*IF(AND(Inputs!$B$38&lt;&gt;"pvp",Inputs!$B$43&gt;0),(((R1306-1)*(Skills!T17*(1+(Inputs!$B$34+(ArtifactsInput!$M$7-ArtifactsInput!$M$7)*CHOOSE(ArtifactsInput!$N$7+1,6,7.2,8.4,9.6,10.8,12))/100))+MIN((Skills!T17*(1+(Inputs!$B$34+(ArtifactsInput!$M$7-ArtifactsInput!$M$7)*CHOOSE(ArtifactsInput!$N$7+1,6,7.2,8.4,9.6,10.8,12))/100)),MAX(0,Inputs!$B$43-((R1306-1)*Skills!D17))))/Inputs!$B$43),IF(Inputs!$B$38="pvp",MIN((Skills!T17*(1+(Inputs!$B$34+(ArtifactsInput!$M$7-ArtifactsInput!$M$7)*CHOOSE(ArtifactsInput!$N$7+1,6,7.2,8.4,9.6,10.8,12))/100)),15)/15,(Skills!T17*(1+(Inputs!$B$34+(ArtifactsInput!$M$7-ArtifactsInput!$M$7)*CHOOSE(ArtifactsInput!$N$7+1,6,7.2,8.4,9.6,10.8,12))/100))/Skills!D17)))+((C1303=TRUE)*F1303*IF(Inputs!$B$3&gt;=110,7,5))</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1333)</f>
        <v/>
      </c>
      <c r="L1333">
        <f>K1333*(MIN(Inputs!$B$22+((C1353=TRUE)*(F1353-Calc!F22)),(Inputs!$B$23+((C1355=TRUE)*(F1355-Calc!F24))+(IF(ArtifactsInput!$M$15,CHOOSE(ArtifactsInput!$N$15+1,25,30,35,40,45,50)/100*(Inputs!$B$11-Inputs!$B$11),0))))/100+(Inputs!$B$23+((C1355=TRUE)*(F1355-Calc!F24))+(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INDEX(FactorTable!$B$2:$Y$301, MATCH(ROUND(MIN(300,MAX(1,U1333)),0), FactorTable!$A$2:$A$301,0), 22)</f>
        <v/>
      </c>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U1335">
        <f>290*U1334/1000</f>
        <v/>
      </c>
    </row>
    <row r="1336">
      <c r="A1336">
        <f>Skills!A5</f>
        <v/>
      </c>
      <c r="B1336">
        <f>Skills!B5</f>
        <v/>
      </c>
      <c r="C1336">
        <f>Inputs!$B$3&gt;=103</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1336)</f>
        <v/>
      </c>
      <c r="L1336">
        <f>K1336*(MIN(Inputs!$B$22+((C1353=TRUE)*(F1353-Calc!F22)),(Inputs!$B$23+((C1355=TRUE)*(F1355-Calc!F24))+(IF(ArtifactsInput!$M$15,CHOOSE(ArtifactsInput!$N$15+1,25,30,35,40,45,50)/100*(Inputs!$B$11-Inputs!$B$11),0))))/100+(Inputs!$B$23+((C1355=TRUE)*(F1355-Calc!F24))+(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IFERROR(1/(IF(Inputs!$B$38="pvp",15,MAX(0.1,Skills!D5-IF(Skills!E5=TRUE,Inputs!$B$32,0)))*(1-IF(AND(ArtifactsInput!$M$27,Inputs!$B$4="Chapter Hunt"),CHOOSE(ArtifactsInput!$N$27+1,20,24,28,32,36,40),0)/100)),0)</f>
        <v/>
      </c>
      <c r="R1336">
        <f>IF(AND(Inputs!$B$38&lt;&gt;"pvp",Inputs!$B$43&gt;0),IF(MAX(0,Inputs!$B$43-B1367)&lt;=0,0,(INT(MAX(0,Inputs!$B$43-B1367)/(IF(Inputs!$B$38="pvp",15,MAX(0.1,Skills!D5-IF(Skills!E5=TRUE,Inputs!$B$32,0)))*(1-IF(AND(ArtifactsInput!$M$27,Inputs!$B$4="Chapter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1337)</f>
        <v/>
      </c>
      <c r="L1337">
        <f>K1337*(MIN(Inputs!$B$22+((C1353=TRUE)*(F1353-Calc!F22)),(Inputs!$B$23+((C1355=TRUE)*(F1355-Calc!F24))+(IF(ArtifactsInput!$M$15,CHOOSE(ArtifactsInput!$N$15+1,25,30,35,40,45,50)/100*(Inputs!$B$11-Inputs!$B$11),0))))/100+(Inputs!$B$23+((C1355=TRUE)*(F1355-Calc!F24))+(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IFERROR(1/(IF(Inputs!$B$38="pvp",15,MAX(0.1,Skills!D6-IF(Skills!E6=TRUE,Inputs!$B$32,0)))*(1-IF(AND(ArtifactsInput!$M$27,Inputs!$B$4="Chapter Hunt"),CHOOSE(ArtifactsInput!$N$27+1,20,24,28,32,36,40),0)/100)),0)</f>
        <v/>
      </c>
      <c r="R1337">
        <f>IF(AND(Inputs!$B$38&lt;&gt;"pvp",Inputs!$B$43&gt;0),IF(MAX(0,Inputs!$B$43-B1367)&lt;=0,0,(INT(MAX(0,Inputs!$B$43-B1367)/(IF(Inputs!$B$38="pvp",15,MAX(0.1,Skills!D6-IF(Skills!E6=TRUE,Inputs!$B$32,0)))*(1-IF(AND(ArtifactsInput!$M$27,Inputs!$B$4="Chapter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1338)</f>
        <v/>
      </c>
      <c r="L1338">
        <f>K1338*(MIN(Inputs!$B$22+((C1353=TRUE)*(F1353-Calc!F22)),(Inputs!$B$23+((C1355=TRUE)*(F1355-Calc!F24))+(IF(ArtifactsInput!$M$15,CHOOSE(ArtifactsInput!$N$15+1,25,30,35,40,45,50)/100*(Inputs!$B$11-Inputs!$B$11),0))))/100+(Inputs!$B$23+((C1355=TRUE)*(F1355-Calc!F24))+(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IFERROR(1/(IF(Inputs!$B$38="pvp",15,MAX(0.1,Skills!D7-IF(Skills!E7=TRUE,Inputs!$B$32,0)))*(1-IF(AND(ArtifactsInput!$M$27,Inputs!$B$4="Chapter Hunt"),CHOOSE(ArtifactsInput!$N$27+1,20,24,28,32,36,40),0)/100)),0)</f>
        <v/>
      </c>
      <c r="R1338">
        <f>IF(AND(Inputs!$B$38&lt;&gt;"pvp",Inputs!$B$43&gt;0),IF(MAX(0,Inputs!$B$43-B1367)&lt;=0,0,(INT(MAX(0,Inputs!$B$43-B1367)/(IF(Inputs!$B$38="pvp",15,MAX(0.1,Skills!D7-IF(Skills!E7=TRUE,Inputs!$B$32,0)))*(1-IF(AND(ArtifactsInput!$M$27,Inputs!$B$4="Chapter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1339)</f>
        <v/>
      </c>
      <c r="L1339">
        <f>K1339*(MIN(Inputs!$B$22+((C1353=TRUE)*(F1353-Calc!F22)),(Inputs!$B$23+((C1355=TRUE)*(F1355-Calc!F24))+(IF(ArtifactsInput!$M$15,CHOOSE(ArtifactsInput!$N$15+1,25,30,35,40,45,50)/100*(Inputs!$B$11-Inputs!$B$11),0))))/100+(Inputs!$B$23+((C1355=TRUE)*(F1355-Calc!F24))+(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IFERROR(1/(IF(Inputs!$B$38="pvp",15,MAX(0.1,Skills!D8-IF(Skills!E8=TRUE,Inputs!$B$32,0)))*(1-IF(AND(ArtifactsInput!$M$27,Inputs!$B$4="Chapter Hunt"),CHOOSE(ArtifactsInput!$N$27+1,20,24,28,32,36,40),0)/100)),0)</f>
        <v/>
      </c>
      <c r="R1339">
        <f>IF(AND(Inputs!$B$38&lt;&gt;"pvp",Inputs!$B$43&gt;0),IF(MAX(0,Inputs!$B$43-B1367)&lt;=0,0,(INT(MAX(0,Inputs!$B$43-B1367)/(IF(Inputs!$B$38="pvp",15,MAX(0.1,Skills!D8-IF(Skills!E8=TRUE,Inputs!$B$32,0)))*(1-IF(AND(ArtifactsInput!$M$27,Inputs!$B$4="Chapter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Inputs!$B$3&gt;=69</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9="ENHANCED_RAGING_BLOW",IF(Inputs!$B$3&gt;=134,MAX(0,IF(Inputs!$B$3&gt;=110,7,5)-5)*50,0),0)/100)*(1+(IF(Skills!A9="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1340)</f>
        <v/>
      </c>
      <c r="L1340">
        <f>K1340*(MIN(Inputs!$B$22+((C1353=TRUE)*(F1353-Calc!F22)),(Inputs!$B$23+((C1355=TRUE)*(F1355-Calc!F24))+(IF(ArtifactsInput!$M$15,CHOOSE(ArtifactsInput!$N$15+1,25,30,35,40,45,50)/100*(Inputs!$B$11-Inputs!$B$11),0))))/100+(Inputs!$B$23+((C1355=TRUE)*(F1355-Calc!F24))+(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IFERROR(1/(IF(Inputs!$B$38="pvp",15,MAX(0.1,Skills!D9-IF(Skills!E9=TRUE,Inputs!$B$32,0)))*(1-IF(AND(ArtifactsInput!$M$27,Inputs!$B$4="Chapter Hunt"),CHOOSE(ArtifactsInput!$N$27+1,20,24,28,32,36,40),0)/100)),0)</f>
        <v/>
      </c>
      <c r="R1340">
        <f>IF(AND(Inputs!$B$38&lt;&gt;"pvp",Inputs!$B$43&gt;0),IF(MAX(0,Inputs!$B$43-B1367)&lt;=0,0,(INT(MAX(0,Inputs!$B$43-B1367)/(IF(Inputs!$B$38="pvp",15,MAX(0.1,Skills!D9-IF(Skills!E9=TRUE,Inputs!$B$32,0)))*(1-IF(AND(ArtifactsInput!$M$27,Inputs!$B$4="Chapter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Inputs!$B$3&gt;=63</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10="ENHANCED_RAGING_BLOW",IF(Inputs!$B$3&gt;=134,MAX(0,IF(Inputs!$B$3&gt;=110,7,5)-5)*50,0),0)/100)*(1+(IF(Skills!A10="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1341)</f>
        <v/>
      </c>
      <c r="L1341">
        <f>K1341*(MIN(Inputs!$B$22+((C1353=TRUE)*(F1353-Calc!F22)),(Inputs!$B$23+((C1355=TRUE)*(F1355-Calc!F24))+(IF(ArtifactsInput!$M$15,CHOOSE(ArtifactsInput!$N$15+1,25,30,35,40,45,50)/100*(Inputs!$B$11-Inputs!$B$11),0))))/100+(Inputs!$B$23+((C1355=TRUE)*(F1355-Calc!F24))+(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IFERROR(1/(IF(Inputs!$B$38="pvp",15,MAX(0.1,Skills!D10-IF(Skills!E10=TRUE,Inputs!$B$32,0)))*(1-IF(AND(ArtifactsInput!$M$27,Inputs!$B$4="Chapter Hunt"),CHOOSE(ArtifactsInput!$N$27+1,20,24,28,32,36,40),0)/100)),0)</f>
        <v/>
      </c>
      <c r="R1341">
        <f>IF(AND(Inputs!$B$38&lt;&gt;"pvp",Inputs!$B$43&gt;0),IF(MAX(0,Inputs!$B$43-B1367)&lt;=0,0,(INT(MAX(0,Inputs!$B$43-B1367)/(IF(Inputs!$B$38="pvp",15,MAX(0.1,Skills!D10-IF(Skills!E10=TRUE,Inputs!$B$32,0)))*(1-IF(AND(ArtifactsInput!$M$27,Inputs!$B$4="Chapter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Inputs!$B$3&gt;=35</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11="ENHANCED_RAGING_BLOW",IF(Inputs!$B$3&gt;=134,MAX(0,IF(Inputs!$B$3&gt;=110,7,5)-5)*50,0),0)/100)*(1+(IF(Skills!A11="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1342)</f>
        <v/>
      </c>
      <c r="L1342">
        <f>K1342*(MIN(Inputs!$B$22+((C1353=TRUE)*(F1353-Calc!F22)),(Inputs!$B$23+((C1355=TRUE)*(F1355-Calc!F24))+(IF(ArtifactsInput!$M$15,CHOOSE(ArtifactsInput!$N$15+1,25,30,35,40,45,50)/100*(Inputs!$B$11-Inputs!$B$11),0))))/100+(Inputs!$B$23+((C1355=TRUE)*(F1355-Calc!F24))+(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IFERROR(1/(IF(Inputs!$B$38="pvp",15,MAX(0.1,Skills!D11-IF(Skills!E11=TRUE,Inputs!$B$32,0)))*(1-IF(AND(ArtifactsInput!$M$27,Inputs!$B$4="Chapter Hunt"),CHOOSE(ArtifactsInput!$N$27+1,20,24,28,32,36,40),0)/100)),0)</f>
        <v/>
      </c>
      <c r="R1342">
        <f>IF(AND(Inputs!$B$38&lt;&gt;"pvp",Inputs!$B$43&gt;0),IF(MAX(0,Inputs!$B$43-B1367)&lt;=0,0,(INT(MAX(0,Inputs!$B$43-B1367)/(IF(Inputs!$B$38="pvp",15,MAX(0.1,Skills!D11-IF(Skills!E11=TRUE,Inputs!$B$32,0)))*(1-IF(AND(ArtifactsInput!$M$27,Inputs!$B$4="Chapter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Inputs!$B$3&gt;=75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Inputs!$B$3&gt;=40</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IFERROR(1/(IF(Inputs!$B$38="pvp",15,MAX(0.1,Skills!D15-IF(Skills!E15=TRUE,Inputs!$B$32,0)))*(1-IF(AND(ArtifactsInput!$M$27,Inputs!$B$4="Chapter Hunt"),CHOOSE(ArtifactsInput!$N$27+1,20,24,28,32,36,40),0)/100)),0)</f>
        <v/>
      </c>
      <c r="R1346">
        <f>IF(AND(Inputs!$B$38&lt;&gt;"pvp",Inputs!$B$43&gt;0),IF(Inputs!$B$43&lt;=0,0,(INT(Inputs!$B$43/(IF(Inputs!$B$38="pvp",15,MAX(0.1,Skills!D15-IF(Skills!E15=TRUE,Inputs!$B$32,0)))*(1-IF(AND(ArtifactsInput!$M$27,Inputs!$B$4="Chapter Hunt"),CHOOSE(ArtifactsInput!$N$27+1,20,24,28,32,36,40),0)/100)))+1)),0)</f>
        <v/>
      </c>
      <c r="S1346">
        <f>IFERROR(O1346/N1346,0)</f>
        <v/>
      </c>
      <c r="T1346" t="n">
        <v>0</v>
      </c>
      <c r="V1346" t="n">
        <v>0</v>
      </c>
    </row>
    <row r="1347">
      <c r="A1347">
        <f>Skills!A16</f>
        <v/>
      </c>
      <c r="B1347">
        <f>Skills!B16</f>
        <v/>
      </c>
      <c r="C1347">
        <f>Inputs!$B$3&gt;=66</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IFERROR(1/(IF(Inputs!$B$38="pvp",15,MAX(0.1,Skills!D16-IF(Skills!E16=TRUE,Inputs!$B$32,0)))*(1-IF(AND(ArtifactsInput!$M$27,Inputs!$B$4="Chapter Hunt"),CHOOSE(ArtifactsInput!$N$27+1,20,24,28,32,36,40),0)/100)),0)</f>
        <v/>
      </c>
      <c r="R1347">
        <f>IF(AND(Inputs!$B$38&lt;&gt;"pvp",Inputs!$B$43&gt;0),IF(Inputs!$B$43&lt;=0,0,(INT(Inputs!$B$43/(IF(Inputs!$B$38="pvp",15,MAX(0.1,Skills!D16-IF(Skills!E16=TRUE,Inputs!$B$32,0)))*(1-IF(AND(ArtifactsInput!$M$27,Inputs!$B$4="Chapter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IFERROR(1/(IF(Inputs!$B$38="pvp",15,MAX(0.1,Skills!D17-IF(Skills!E17=TRUE,Inputs!$B$32,0)))*(1-IF(AND(ArtifactsInput!$M$27,Inputs!$B$4="Chapter Hunt"),CHOOSE(ArtifactsInput!$N$27+1,20,24,28,32,36,40),0)/100)),0)</f>
        <v/>
      </c>
      <c r="R1348">
        <f>IF(AND(Inputs!$B$38&lt;&gt;"pvp",Inputs!$B$43&gt;0),IF(Inputs!$B$43&lt;=0,0,(INT(Inputs!$B$43/(IF(Inputs!$B$38="pvp",15,MAX(0.1,Skills!D17-IF(Skills!E17=TRUE,Inputs!$B$32,0)))*(1-IF(AND(ArtifactsInput!$M$27,Inputs!$B$4="Chapter Hunt"),CHOOSE(ArtifactsInput!$N$27+1,20,24,28,32,36,40),0)/100)))+1)),0)</f>
        <v/>
      </c>
      <c r="S1348">
        <f>IFERROR(O1348/N1348,0)</f>
        <v/>
      </c>
      <c r="T1348" t="n">
        <v>0</v>
      </c>
      <c r="V1348" t="n">
        <v>0</v>
      </c>
    </row>
    <row r="1349">
      <c r="A1349">
        <f>Skills!A18</f>
        <v/>
      </c>
      <c r="B1349">
        <f>Skills!B18</f>
        <v/>
      </c>
      <c r="C1349">
        <f>Inputs!$B$3&gt;=115</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IFERROR(1/(IF(Inputs!$B$38="pvp",15,MAX(0.1,Skills!D18-IF(Skills!E18=TRUE,Inputs!$B$32,0)))*(1-IF(AND(ArtifactsInput!$M$27,Inputs!$B$4="Chapter Hunt"),CHOOSE(ArtifactsInput!$N$27+1,20,24,28,32,36,40),0)/100)),0)</f>
        <v/>
      </c>
      <c r="R1349">
        <f>IF(AND(Inputs!$B$38&lt;&gt;"pvp",Inputs!$B$43&gt;0),IF(Inputs!$B$43&lt;=0,0,(INT(Inputs!$B$43/(IF(Inputs!$B$38="pvp",15,MAX(0.1,Skills!D18-IF(Skills!E18=TRUE,Inputs!$B$32,0)))*(1-IF(AND(ArtifactsInput!$M$27,Inputs!$B$4="Chapter Hunt"),CHOOSE(ArtifactsInput!$N$27+1,20,24,28,32,36,40),0)/100)))+1)),0)</f>
        <v/>
      </c>
      <c r="S1349">
        <f>IFERROR(O1349/N1349,0)</f>
        <v/>
      </c>
      <c r="T1349" t="n">
        <v>0</v>
      </c>
      <c r="V1349" t="n">
        <v>0</v>
      </c>
    </row>
    <row r="1350">
      <c r="A1350">
        <f>Skills!A19</f>
        <v/>
      </c>
      <c r="B1350">
        <f>Skills!B19</f>
        <v/>
      </c>
      <c r="C1350">
        <f>TRUE</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IFERROR(1/(IF(Inputs!$B$38="pvp",15,MAX(0.1,Skills!D19-IF(Skills!E19=TRUE,Inputs!$B$32,0)))*(1-IF(AND(ArtifactsInput!$M$27,Inputs!$B$4="Chapter Hunt"),CHOOSE(ArtifactsInput!$N$27+1,20,24,28,32,36,40),0)/100)),0)</f>
        <v/>
      </c>
      <c r="R1350">
        <f>IF(AND(Inputs!$B$38&lt;&gt;"pvp",Inputs!$B$43&gt;0),IF(Inputs!$B$43&lt;=0,0,(INT(Inputs!$B$43/(IF(Inputs!$B$38="pvp",15,MAX(0.1,Skills!D19-IF(Skills!E19=TRUE,Inputs!$B$32,0)))*(1-IF(AND(ArtifactsInput!$M$27,Inputs!$B$4="Chapter Hunt"),CHOOSE(ArtifactsInput!$N$27+1,20,24,28,32,36,40),0)/100)))+1)),0)</f>
        <v/>
      </c>
      <c r="S1350">
        <f>IFERROR(O1350/N1350,0)</f>
        <v/>
      </c>
      <c r="T1350" t="n">
        <v>0</v>
      </c>
      <c r="V1350" t="n">
        <v>0</v>
      </c>
    </row>
    <row r="1351">
      <c r="A1351">
        <f>Skills!A20</f>
        <v/>
      </c>
      <c r="B1351">
        <f>Skills!B20</f>
        <v/>
      </c>
      <c r="C1351">
        <f>Inputs!$B$3&gt;=33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Inputs!$B$3&gt;=43</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Inputs!$B$3&gt;=120</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Inputs!$B$3&gt;=120</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Inputs!$B$3&gt;=72</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1350=TRUE)*F1350*IF(AND(Inputs!$B$38&lt;&gt;"pvp",Inputs!$B$43&gt;0),(((R1350-1)*(Skills!T19*(1+(Inputs!$B$34+(ArtifactsInput!$M$7-ArtifactsInput!$M$7)*CHOOSE(ArtifactsInput!$N$7+1,6,7.2,8.4,9.6,10.8,12))/100))+MIN((Skills!T19*(1+(Inputs!$B$34+(ArtifactsInput!$M$7-ArtifactsInput!$M$7)*CHOOSE(ArtifactsInput!$N$7+1,6,7.2,8.4,9.6,10.8,12))/100)),MAX(0,Inputs!$B$43-((R1350-1)*Skills!D19))))/Inputs!$B$43),IF(Inputs!$B$38="pvp",MIN((Skills!T19*(1+(Inputs!$B$34+(ArtifactsInput!$M$7-ArtifactsInput!$M$7)*CHOOSE(ArtifactsInput!$N$7+1,6,7.2,8.4,9.6,10.8,12))/100)),15)/15,(Skills!T19*(1+(Inputs!$B$34+(ArtifactsInput!$M$7-ArtifactsInput!$M$7)*CHOOSE(ArtifactsInput!$N$7+1,6,7.2,8.4,9.6,10.8,12))/100))/Skills!D19)))</f>
        <v/>
      </c>
    </row>
    <row r="1362">
      <c r="A1362" t="inlineStr">
        <is>
          <t>Actions Per Second</t>
        </is>
      </c>
      <c r="B1362">
        <f>1+MIN(150,150*(1-(1-(Inputs!$B$11+((C1351=TRUE)*(F1351-Calc!F20)))/150)*(1-B1361/150)))/100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Raging Blow Casts Per Second</t>
        </is>
      </c>
      <c r="B1364">
        <f>MAX(0,B1362-B1363)</f>
        <v/>
      </c>
    </row>
    <row r="1365">
      <c r="A1365" t="inlineStr">
        <is>
          <t>Global Critical Damage Bonus % (Enrage)</t>
        </is>
      </c>
      <c r="B1365">
        <f>((C1349=TRUE)*F1349*IF(AND(Inputs!$B$38&lt;&gt;"pvp",Inputs!$B$43&gt;0),(((R1349-1)*(Skills!T18*(1+(Inputs!$B$34+(ArtifactsInput!$M$7-ArtifactsInput!$M$7)*CHOOSE(ArtifactsInput!$N$7+1,6,7.2,8.4,9.6,10.8,12))/100))+MIN((Skills!T18*(1+(Inputs!$B$34+(ArtifactsInput!$M$7-ArtifactsInput!$M$7)*CHOOSE(ArtifactsInput!$N$7+1,6,7.2,8.4,9.6,10.8,12))/100)),MAX(0,Inputs!$B$43-((R1349-1)*Skills!D18))))/Inputs!$B$43),IF(Inputs!$B$38="pvp",MIN((Skills!T18*(1+(Inputs!$B$34+(ArtifactsInput!$M$7-ArtifactsInput!$M$7)*CHOOSE(ArtifactsInput!$N$7+1,6,7.2,8.4,9.6,10.8,12))/100)),15)/15,(Skills!T18*(1+(Inputs!$B$34+(ArtifactsInput!$M$7-ArtifactsInput!$M$7)*CHOOSE(ArtifactsInput!$N$7+1,6,7.2,8.4,9.6,10.8,12))/100))/Skills!D18)))</f>
        <v/>
      </c>
    </row>
    <row r="1366">
      <c r="A1366" t="inlineStr">
        <is>
          <t>Global Final Damage Bonus % (Enrage + Combo Synergy)</t>
        </is>
      </c>
      <c r="B1366">
        <f>((C1348=TRUE)*F1348*IF(AND(Inputs!$B$38&lt;&gt;"pvp",Inputs!$B$43&gt;0),(((R1348-1)*(Skills!T17*(1+(Inputs!$B$34+(ArtifactsInput!$M$7-ArtifactsInput!$M$7)*CHOOSE(ArtifactsInput!$N$7+1,6,7.2,8.4,9.6,10.8,12))/100))+MIN((Skills!T17*(1+(Inputs!$B$34+(ArtifactsInput!$M$7-ArtifactsInput!$M$7)*CHOOSE(ArtifactsInput!$N$7+1,6,7.2,8.4,9.6,10.8,12))/100)),MAX(0,Inputs!$B$43-((R1348-1)*Skills!D17))))/Inputs!$B$43),IF(Inputs!$B$38="pvp",MIN((Skills!T17*(1+(Inputs!$B$34+(ArtifactsInput!$M$7-ArtifactsInput!$M$7)*CHOOSE(ArtifactsInput!$N$7+1,6,7.2,8.4,9.6,10.8,12))/100)),15)/15,(Skills!T17*(1+(Inputs!$B$34+(ArtifactsInput!$M$7-ArtifactsInput!$M$7)*CHOOSE(ArtifactsInput!$N$7+1,6,7.2,8.4,9.6,10.8,12))/100))/Skills!D17)))+((C1345=TRUE)*F1345*IF(Inputs!$B$3&gt;=110,7,5))</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1375)</f>
        <v/>
      </c>
      <c r="L1375">
        <f>K1375*(MIN(Inputs!$B$22+((C1395=TRUE)*(F1395-Calc!F22)),(Inputs!$B$23+((C1397=TRUE)*(F1397-Calc!F24))+(IF(ArtifactsInput!$M$15,CHOOSE(ArtifactsInput!$N$15+1,25,30,35,40,45,50)/100*(Inputs!$B$11-Inputs!$B$11),0))))/100+(Inputs!$B$23+((C1397=TRUE)*(F1397-Calc!F24))+(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INDEX(FactorTable!$B$2:$Y$301, MATCH(ROUND(MIN(300,MAX(1,D1376)),0),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INDEX(FactorTable!$B$2:$Y$301, MATCH(ROUND(MIN(300,MAX(1,U1375)),0), FactorTable!$A$2:$A$301,0), 22)</f>
        <v/>
      </c>
    </row>
    <row r="1377">
      <c r="A1377">
        <f>Skills!A4</f>
        <v/>
      </c>
      <c r="B1377">
        <f>Skills!B4</f>
        <v/>
      </c>
      <c r="C1377">
        <f>Inputs!$B$3&gt;=105</f>
        <v/>
      </c>
      <c r="D1377">
        <f>IF(Skills!C4=1,60+Inputs!$B$25+Inputs!$B$29,IF(Skills!C4=2,90+Inputs!$B$26+Inputs!$B$29,IF(Skills!C4=3,120+Inputs!$B$27+Inputs!$B$29,MAX(0,(Inputs!$B$3-100)*3)+Inputs!$B$28+Inputs!$B$29)))</f>
        <v/>
      </c>
      <c r="E1377">
        <f>INDEX(FactorTable!$B$2:$Y$301, MATCH(ROUND(MIN(300,MAX(1,D1377)),0), FactorTable!$A$2:$A$301,0), Skills!M4+1)</f>
        <v/>
      </c>
      <c r="F1377">
        <f>IF(Skills!N4=TRUE,(Skills!L4/10)*(E1377/1000),Skills!L4/10)+Skills!O4</f>
        <v/>
      </c>
      <c r="G1377" t="inlineStr"/>
      <c r="H1377" t="inlineStr"/>
      <c r="I1377" t="inlineStr">
        <is>
          <t>1</t>
        </is>
      </c>
      <c r="J1377" t="inlineStr"/>
      <c r="K1377" t="inlineStr"/>
      <c r="L1377" t="inlineStr"/>
      <c r="M1377" t="inlineStr"/>
      <c r="N1377" t="inlineStr"/>
      <c r="O1377" t="inlineStr"/>
      <c r="P1377" t="inlineStr"/>
      <c r="Q1377" t="inlineStr"/>
      <c r="R1377" t="inlineStr"/>
      <c r="S1377" t="inlineStr"/>
      <c r="U1377">
        <f>290*U1376/1000</f>
        <v/>
      </c>
    </row>
    <row r="1378">
      <c r="A1378">
        <f>Skills!A5</f>
        <v/>
      </c>
      <c r="B1378">
        <f>Skills!B5</f>
        <v/>
      </c>
      <c r="C1378">
        <f>Inputs!$B$3&gt;=103</f>
        <v/>
      </c>
      <c r="D1378">
        <f>IF(Skills!C5=1,60+Inputs!$B$25+Inputs!$B$29,IF(Skills!C5=2,90+Inputs!$B$26+Inputs!$B$29,IF(Skills!C5=3,120+Inputs!$B$27+Inputs!$B$29,MAX(0,(Inputs!$B$3-100)*3)+Inputs!$B$28+Inputs!$B$29)))</f>
        <v/>
      </c>
      <c r="E1378">
        <f>INDEX(FactorTable!$B$2:$Y$301, MATCH(ROUND(MIN(300,MAX(1,D1378)),0), FactorTable!$A$2:$A$301,0), Skills!M5+1)</f>
        <v/>
      </c>
      <c r="F1378">
        <f>IF(Skills!N5=TRUE,(Skills!L5/10)*(E1378/1000),Skills!L5/10)+Skills!O5</f>
        <v/>
      </c>
      <c r="G1378">
        <f>Skills!G5*IF(Skills!H5&gt;0,Skills!I5/Skills!H5,1)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1378)</f>
        <v/>
      </c>
      <c r="L1378">
        <f>K1378*(MIN(Inputs!$B$22+((C1395=TRUE)*(F1395-Calc!F22)),(Inputs!$B$23+((C1397=TRUE)*(F1397-Calc!F24))+(IF(ArtifactsInput!$M$15,CHOOSE(ArtifactsInput!$N$15+1,25,30,35,40,45,50)/100*(Inputs!$B$11-Inputs!$B$11),0))))/100+(Inputs!$B$23+((C1397=TRUE)*(F1397-Calc!F24))+(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IFERROR(1/(IF(Inputs!$B$38="pvp",15,MAX(0.1,Skills!D5-IF(Skills!E5=TRUE,Inputs!$B$32,0)))*(1-IF(AND(ArtifactsInput!$M$27,Inputs!$B$4="Chapter Hunt"),CHOOSE(ArtifactsInput!$N$27+1,20,24,28,32,36,40),0)/100)),0)</f>
        <v/>
      </c>
      <c r="R1378">
        <f>IF(AND(Inputs!$B$38&lt;&gt;"pvp",Inputs!$B$43&gt;0),IF(MAX(0,Inputs!$B$43-B1409)&lt;=0,0,(INT(MAX(0,Inputs!$B$43-B1409)/(IF(Inputs!$B$38="pvp",15,MAX(0.1,Skills!D5-IF(Skills!E5=TRUE,Inputs!$B$32,0)))*(1-IF(AND(ArtifactsInput!$M$27,Inputs!$B$4="Chapter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INDEX(FactorTable!$B$2:$Y$301, MATCH(ROUND(MIN(300,MAX(1,D1379)),0), FactorTable!$A$2:$A$301,0), Skills!M6+1)</f>
        <v/>
      </c>
      <c r="F1379">
        <f>IF(Skills!N6=TRUE,(Skills!L6/10)*(E1379/1000),Skills!L6/10)+Skills!O6</f>
        <v/>
      </c>
      <c r="G1379">
        <f>Skills!G6*IF(Skills!H6&gt;0,Skills!I6/Skills!H6,1)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1379)</f>
        <v/>
      </c>
      <c r="L1379">
        <f>K1379*(MIN(Inputs!$B$22+((C1395=TRUE)*(F1395-Calc!F22)),(Inputs!$B$23+((C1397=TRUE)*(F1397-Calc!F24))+(IF(ArtifactsInput!$M$15,CHOOSE(ArtifactsInput!$N$15+1,25,30,35,40,45,50)/100*(Inputs!$B$11-Inputs!$B$11),0))))/100+(Inputs!$B$23+((C1397=TRUE)*(F1397-Calc!F24))+(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IFERROR(1/(IF(Inputs!$B$38="pvp",15,MAX(0.1,Skills!D6-IF(Skills!E6=TRUE,Inputs!$B$32,0)))*(1-IF(AND(ArtifactsInput!$M$27,Inputs!$B$4="Chapter Hunt"),CHOOSE(ArtifactsInput!$N$27+1,20,24,28,32,36,40),0)/100)),0)</f>
        <v/>
      </c>
      <c r="R1379">
        <f>IF(AND(Inputs!$B$38&lt;&gt;"pvp",Inputs!$B$43&gt;0),IF(MAX(0,Inputs!$B$43-B1409)&lt;=0,0,(INT(MAX(0,Inputs!$B$43-B1409)/(IF(Inputs!$B$38="pvp",15,MAX(0.1,Skills!D6-IF(Skills!E6=TRUE,Inputs!$B$32,0)))*(1-IF(AND(ArtifactsInput!$M$27,Inputs!$B$4="Chapter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INDEX(FactorTable!$B$2:$Y$301, MATCH(ROUND(MIN(300,MAX(1,D1380)),0), FactorTable!$A$2:$A$301,0), Skills!M7+1)</f>
        <v/>
      </c>
      <c r="F1380">
        <f>IF(Skills!N7=TRUE,(Skills!L7/10)*(E1380/1000),Skills!L7/10)+Skills!O7</f>
        <v/>
      </c>
      <c r="G1380">
        <f>Skills!G7*IF(Skills!H7&gt;0,Skills!I7/Skills!H7,1)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1380)</f>
        <v/>
      </c>
      <c r="L1380">
        <f>K1380*(MIN(Inputs!$B$22+((C1395=TRUE)*(F1395-Calc!F22)),(Inputs!$B$23+((C1397=TRUE)*(F1397-Calc!F24))+(IF(ArtifactsInput!$M$15,CHOOSE(ArtifactsInput!$N$15+1,25,30,35,40,45,50)/100*(Inputs!$B$11-Inputs!$B$11),0))))/100+(Inputs!$B$23+((C1397=TRUE)*(F1397-Calc!F24))+(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IFERROR(1/(IF(Inputs!$B$38="pvp",15,MAX(0.1,Skills!D7-IF(Skills!E7=TRUE,Inputs!$B$32,0)))*(1-IF(AND(ArtifactsInput!$M$27,Inputs!$B$4="Chapter Hunt"),CHOOSE(ArtifactsInput!$N$27+1,20,24,28,32,36,40),0)/100)),0)</f>
        <v/>
      </c>
      <c r="R1380">
        <f>IF(AND(Inputs!$B$38&lt;&gt;"pvp",Inputs!$B$43&gt;0),IF(MAX(0,Inputs!$B$43-B1409)&lt;=0,0,(INT(MAX(0,Inputs!$B$43-B1409)/(IF(Inputs!$B$38="pvp",15,MAX(0.1,Skills!D7-IF(Skills!E7=TRUE,Inputs!$B$32,0)))*(1-IF(AND(ArtifactsInput!$M$27,Inputs!$B$4="Chapter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Inputs!$B$3&gt;=117</f>
        <v/>
      </c>
      <c r="D1381">
        <f>IF(Skills!C8=1,60+Inputs!$B$25+Inputs!$B$29,IF(Skills!C8=2,90+Inputs!$B$26+Inputs!$B$29,IF(Skills!C8=3,120+Inputs!$B$27+Inputs!$B$29,MAX(0,(Inputs!$B$3-100)*3)+Inputs!$B$28+Inputs!$B$29)))</f>
        <v/>
      </c>
      <c r="E1381">
        <f>INDEX(FactorTable!$B$2:$Y$301, MATCH(ROUND(MIN(300,MAX(1,D1381)),0), FactorTable!$A$2:$A$301,0), Skills!M8+1)</f>
        <v/>
      </c>
      <c r="F1381">
        <f>IF(Skills!N8=TRUE,(Skills!L8/10)*(E1381/1000),Skills!L8/10)+Skills!O8</f>
        <v/>
      </c>
      <c r="G1381">
        <f>Skills!G8*IF(Skills!H8&gt;0,Skills!I8/Skills!H8,1)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1381)</f>
        <v/>
      </c>
      <c r="L1381">
        <f>K1381*(MIN(Inputs!$B$22+((C1395=TRUE)*(F1395-Calc!F22)),(Inputs!$B$23+((C1397=TRUE)*(F1397-Calc!F24))+(IF(ArtifactsInput!$M$15,CHOOSE(ArtifactsInput!$N$15+1,25,30,35,40,45,50)/100*(Inputs!$B$11-Inputs!$B$11),0))))/100+(Inputs!$B$23+((C1397=TRUE)*(F1397-Calc!F24))+(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IFERROR(1/(IF(Inputs!$B$38="pvp",15,MAX(0.1,Skills!D8-IF(Skills!E8=TRUE,Inputs!$B$32,0)))*(1-IF(AND(ArtifactsInput!$M$27,Inputs!$B$4="Chapter Hunt"),CHOOSE(ArtifactsInput!$N$27+1,20,24,28,32,36,40),0)/100)),0)</f>
        <v/>
      </c>
      <c r="R1381">
        <f>IF(AND(Inputs!$B$38&lt;&gt;"pvp",Inputs!$B$43&gt;0),IF(MAX(0,Inputs!$B$43-B1409)&lt;=0,0,(INT(MAX(0,Inputs!$B$43-B1409)/(IF(Inputs!$B$38="pvp",15,MAX(0.1,Skills!D8-IF(Skills!E8=TRUE,Inputs!$B$32,0)))*(1-IF(AND(ArtifactsInput!$M$27,Inputs!$B$4="Chapter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Inputs!$B$3&gt;=69</f>
        <v/>
      </c>
      <c r="D1382">
        <f>IF(Skills!C9=1,60+Inputs!$B$25+Inputs!$B$29,IF(Skills!C9=2,90+Inputs!$B$26+Inputs!$B$29,IF(Skills!C9=3,120+Inputs!$B$27+Inputs!$B$29,MAX(0,(Inputs!$B$3-100)*3)+Inputs!$B$28+Inputs!$B$29)))</f>
        <v/>
      </c>
      <c r="E1382">
        <f>INDEX(FactorTable!$B$2:$Y$301, MATCH(ROUND(MIN(300,MAX(1,D1382)),0), FactorTable!$A$2:$A$301,0), Skills!M9+1)</f>
        <v/>
      </c>
      <c r="F1382">
        <f>IF(Skills!N9=TRUE,(Skills!L9/10)*(E1382/1000),Skills!L9/10)+Skills!O9</f>
        <v/>
      </c>
      <c r="G1382">
        <f>Skills!G9*IF(Skills!H9&gt;0,Skills!I9/Skills!H9,1)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9="ENHANCED_RAGING_BLOW",IF(Inputs!$B$3&gt;=134,MAX(0,IF(Inputs!$B$3&gt;=110,7,5)-5)*50,0),0)/100)*(1+(IF(Skills!A9="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1382)</f>
        <v/>
      </c>
      <c r="L1382">
        <f>K1382*(MIN(Inputs!$B$22+((C1395=TRUE)*(F1395-Calc!F22)),(Inputs!$B$23+((C1397=TRUE)*(F1397-Calc!F24))+(IF(ArtifactsInput!$M$15,CHOOSE(ArtifactsInput!$N$15+1,25,30,35,40,45,50)/100*(Inputs!$B$11-Inputs!$B$11),0))))/100+(Inputs!$B$23+((C1397=TRUE)*(F1397-Calc!F24))+(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IFERROR(1/(IF(Inputs!$B$38="pvp",15,MAX(0.1,Skills!D9-IF(Skills!E9=TRUE,Inputs!$B$32,0)))*(1-IF(AND(ArtifactsInput!$M$27,Inputs!$B$4="Chapter Hunt"),CHOOSE(ArtifactsInput!$N$27+1,20,24,28,32,36,40),0)/100)),0)</f>
        <v/>
      </c>
      <c r="R1382">
        <f>IF(AND(Inputs!$B$38&lt;&gt;"pvp",Inputs!$B$43&gt;0),IF(MAX(0,Inputs!$B$43-B1409)&lt;=0,0,(INT(MAX(0,Inputs!$B$43-B1409)/(IF(Inputs!$B$38="pvp",15,MAX(0.1,Skills!D9-IF(Skills!E9=TRUE,Inputs!$B$32,0)))*(1-IF(AND(ArtifactsInput!$M$27,Inputs!$B$4="Chapter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Inputs!$B$3&gt;=63</f>
        <v/>
      </c>
      <c r="D1383">
        <f>IF(Skills!C10=1,60+Inputs!$B$25+Inputs!$B$29,IF(Skills!C10=2,90+Inputs!$B$26+Inputs!$B$29,IF(Skills!C10=3,120+Inputs!$B$27+Inputs!$B$29,MAX(0,(Inputs!$B$3-100)*3)+Inputs!$B$28+Inputs!$B$29)))</f>
        <v/>
      </c>
      <c r="E1383">
        <f>INDEX(FactorTable!$B$2:$Y$301, MATCH(ROUND(MIN(300,MAX(1,D1383)),0), FactorTable!$A$2:$A$301,0), Skills!M10+1)</f>
        <v/>
      </c>
      <c r="F1383">
        <f>IF(Skills!N10=TRUE,(Skills!L10/10)*(E1383/1000),Skills!L10/10)+Skills!O10</f>
        <v/>
      </c>
      <c r="G1383">
        <f>Skills!G10*IF(Skills!H10&gt;0,Skills!I10/Skills!H10,1)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10="ENHANCED_RAGING_BLOW",IF(Inputs!$B$3&gt;=134,MAX(0,IF(Inputs!$B$3&gt;=110,7,5)-5)*50,0),0)/100)*(1+(IF(Skills!A10="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1383)</f>
        <v/>
      </c>
      <c r="L1383">
        <f>K1383*(MIN(Inputs!$B$22+((C1395=TRUE)*(F1395-Calc!F22)),(Inputs!$B$23+((C1397=TRUE)*(F1397-Calc!F24))+(IF(ArtifactsInput!$M$15,CHOOSE(ArtifactsInput!$N$15+1,25,30,35,40,45,50)/100*(Inputs!$B$11-Inputs!$B$11),0))))/100+(Inputs!$B$23+((C1397=TRUE)*(F1397-Calc!F24))+(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IFERROR(1/(IF(Inputs!$B$38="pvp",15,MAX(0.1,Skills!D10-IF(Skills!E10=TRUE,Inputs!$B$32,0)))*(1-IF(AND(ArtifactsInput!$M$27,Inputs!$B$4="Chapter Hunt"),CHOOSE(ArtifactsInput!$N$27+1,20,24,28,32,36,40),0)/100)),0)</f>
        <v/>
      </c>
      <c r="R1383">
        <f>IF(AND(Inputs!$B$38&lt;&gt;"pvp",Inputs!$B$43&gt;0),IF(MAX(0,Inputs!$B$43-B1409)&lt;=0,0,(INT(MAX(0,Inputs!$B$43-B1409)/(IF(Inputs!$B$38="pvp",15,MAX(0.1,Skills!D10-IF(Skills!E10=TRUE,Inputs!$B$32,0)))*(1-IF(AND(ArtifactsInput!$M$27,Inputs!$B$4="Chapter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Inputs!$B$3&gt;=35</f>
        <v/>
      </c>
      <c r="D1384">
        <f>IF(Skills!C11=1,60+Inputs!$B$25+Inputs!$B$29,IF(Skills!C11=2,90+Inputs!$B$26+Inputs!$B$29,IF(Skills!C11=3,120+Inputs!$B$27+Inputs!$B$29,MAX(0,(Inputs!$B$3-100)*3)+Inputs!$B$28+Inputs!$B$29)))</f>
        <v/>
      </c>
      <c r="E1384">
        <f>INDEX(FactorTable!$B$2:$Y$301, MATCH(ROUND(MIN(300,MAX(1,D1384)),0), FactorTable!$A$2:$A$301,0), Skills!M11+1)</f>
        <v/>
      </c>
      <c r="F1384">
        <f>IF(Skills!N11=TRUE,(Skills!L11/10)*(E1384/1000),Skills!L11/10)+Skills!O11</f>
        <v/>
      </c>
      <c r="G1384">
        <f>Skills!G11*IF(Skills!H11&gt;0,Skills!I11/Skills!H11,1)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11="ENHANCED_RAGING_BLOW",IF(Inputs!$B$3&gt;=134,MAX(0,IF(Inputs!$B$3&gt;=110,7,5)-5)*50,0),0)/100)*(1+(IF(Skills!A11="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1384)</f>
        <v/>
      </c>
      <c r="L1384">
        <f>K1384*(MIN(Inputs!$B$22+((C1395=TRUE)*(F1395-Calc!F22)),(Inputs!$B$23+((C1397=TRUE)*(F1397-Calc!F24))+(IF(ArtifactsInput!$M$15,CHOOSE(ArtifactsInput!$N$15+1,25,30,35,40,45,50)/100*(Inputs!$B$11-Inputs!$B$11),0))))/100+(Inputs!$B$23+((C1397=TRUE)*(F1397-Calc!F24))+(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IFERROR(1/(IF(Inputs!$B$38="pvp",15,MAX(0.1,Skills!D11-IF(Skills!E11=TRUE,Inputs!$B$32,0)))*(1-IF(AND(ArtifactsInput!$M$27,Inputs!$B$4="Chapter Hunt"),CHOOSE(ArtifactsInput!$N$27+1,20,24,28,32,36,40),0)/100)),0)</f>
        <v/>
      </c>
      <c r="R1384">
        <f>IF(AND(Inputs!$B$38&lt;&gt;"pvp",Inputs!$B$43&gt;0),IF(MAX(0,Inputs!$B$43-B1409)&lt;=0,0,(INT(MAX(0,Inputs!$B$43-B1409)/(IF(Inputs!$B$38="pvp",15,MAX(0.1,Skills!D11-IF(Skills!E11=TRUE,Inputs!$B$32,0)))*(1-IF(AND(ArtifactsInput!$M$27,Inputs!$B$4="Chapter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INDEX(FactorTable!$B$2:$Y$301, MATCH(ROUND(MIN(300,MAX(1,D1385)),0),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INDEX(FactorTable!$B$2:$Y$301, MATCH(ROUND(MIN(300,MAX(1,D1386)),0), FactorTable!$A$2:$A$301,0), Skills!M13+1)</f>
        <v/>
      </c>
      <c r="F1386">
        <f>IF(Skills!N13=TRUE,(Skills!L13/10)*(E1386/1000),Skills!L13/10)+Skills!O13</f>
        <v/>
      </c>
      <c r="G1386">
        <f>Skills!G13*IF(Skills!H13&gt;0,Skills!I13/Skills!H13,1)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Inputs!$B$3&gt;=75</f>
        <v/>
      </c>
      <c r="D1387">
        <f>IF(Skills!C14=1,60+Inputs!$B$25+Inputs!$B$29,IF(Skills!C14=2,90+Inputs!$B$26+Inputs!$B$29,IF(Skills!C14=3,120+Inputs!$B$27+Inputs!$B$29,MAX(0,(Inputs!$B$3-100)*3)+Inputs!$B$28+Inputs!$B$29)))</f>
        <v/>
      </c>
      <c r="E1387">
        <f>INDEX(FactorTable!$B$2:$Y$301, MATCH(ROUND(MIN(300,MAX(1,D1387)),0), FactorTable!$A$2:$A$301,0), Skills!M14+1)</f>
        <v/>
      </c>
      <c r="F1387">
        <f>IF(Skills!N14=TRUE,(Skills!L14/10)*(E1387/1000),Skills!L14/10)+Skills!O14</f>
        <v/>
      </c>
      <c r="G1387">
        <f>Skills!G14*IF(Skills!H14&gt;0,Skills!I14/Skills!H14,1)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Inputs!$B$3&gt;=40</f>
        <v/>
      </c>
      <c r="D1388">
        <f>IF(Skills!C15=1,60+Inputs!$B$25+Inputs!$B$29,IF(Skills!C15=2,90+Inputs!$B$26+Inputs!$B$29,IF(Skills!C15=3,120+Inputs!$B$27+Inputs!$B$29,MAX(0,(Inputs!$B$3-100)*3)+Inputs!$B$28+Inputs!$B$29)))</f>
        <v/>
      </c>
      <c r="E1388">
        <f>INDEX(FactorTable!$B$2:$Y$301, MATCH(ROUND(MIN(300,MAX(1,D1388)),0), FactorTable!$A$2:$A$301,0), Skills!M15+1)</f>
        <v/>
      </c>
      <c r="F1388">
        <f>IF(Skills!N15=TRUE,(Skills!L15/10)*(E1388/1000),Skills!L15/10)+Skills!O15</f>
        <v/>
      </c>
      <c r="G1388">
        <f>Skills!G15*IF(Skills!H15&gt;0,Skills!I15/Skills!H15,1)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IFERROR(1/(IF(Inputs!$B$38="pvp",15,MAX(0.1,Skills!D15-IF(Skills!E15=TRUE,Inputs!$B$32,0)))*(1-IF(AND(ArtifactsInput!$M$27,Inputs!$B$4="Chapter Hunt"),CHOOSE(ArtifactsInput!$N$27+1,20,24,28,32,36,40),0)/100)),0)</f>
        <v/>
      </c>
      <c r="R1388">
        <f>IF(AND(Inputs!$B$38&lt;&gt;"pvp",Inputs!$B$43&gt;0),IF(Inputs!$B$43&lt;=0,0,(INT(Inputs!$B$43/(IF(Inputs!$B$38="pvp",15,MAX(0.1,Skills!D15-IF(Skills!E15=TRUE,Inputs!$B$32,0)))*(1-IF(AND(ArtifactsInput!$M$27,Inputs!$B$4="Chapter Hunt"),CHOOSE(ArtifactsInput!$N$27+1,20,24,28,32,36,40),0)/100)))+1)),0)</f>
        <v/>
      </c>
      <c r="S1388">
        <f>IFERROR(O1388/N1388,0)</f>
        <v/>
      </c>
      <c r="T1388" t="n">
        <v>0</v>
      </c>
      <c r="V1388" t="n">
        <v>0</v>
      </c>
    </row>
    <row r="1389">
      <c r="A1389">
        <f>Skills!A16</f>
        <v/>
      </c>
      <c r="B1389">
        <f>Skills!B16</f>
        <v/>
      </c>
      <c r="C1389">
        <f>Inputs!$B$3&gt;=66</f>
        <v/>
      </c>
      <c r="D1389">
        <f>IF(Skills!C16=1,60+Inputs!$B$25+Inputs!$B$29,IF(Skills!C16=2,90+Inputs!$B$26+Inputs!$B$29,IF(Skills!C16=3,120+Inputs!$B$27+Inputs!$B$29,MAX(0,(Inputs!$B$3-100)*3)+Inputs!$B$28+Inputs!$B$29)))</f>
        <v/>
      </c>
      <c r="E1389">
        <f>INDEX(FactorTable!$B$2:$Y$301, MATCH(ROUND(MIN(300,MAX(1,D1389)),0), FactorTable!$A$2:$A$301,0), Skills!M16+1)</f>
        <v/>
      </c>
      <c r="F1389">
        <f>IF(Skills!N16=TRUE,(Skills!L16/10)*(E1389/1000),Skills!L16/10)+Skills!O16</f>
        <v/>
      </c>
      <c r="G1389">
        <f>Skills!G16*IF(Skills!H16&gt;0,Skills!I16/Skills!H16,1)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IFERROR(1/(IF(Inputs!$B$38="pvp",15,MAX(0.1,Skills!D16-IF(Skills!E16=TRUE,Inputs!$B$32,0)))*(1-IF(AND(ArtifactsInput!$M$27,Inputs!$B$4="Chapter Hunt"),CHOOSE(ArtifactsInput!$N$27+1,20,24,28,32,36,40),0)/100)),0)</f>
        <v/>
      </c>
      <c r="R1389">
        <f>IF(AND(Inputs!$B$38&lt;&gt;"pvp",Inputs!$B$43&gt;0),IF(Inputs!$B$43&lt;=0,0,(INT(Inputs!$B$43/(IF(Inputs!$B$38="pvp",15,MAX(0.1,Skills!D16-IF(Skills!E16=TRUE,Inputs!$B$32,0)))*(1-IF(AND(ArtifactsInput!$M$27,Inputs!$B$4="Chapter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INDEX(FactorTable!$B$2:$Y$301, MATCH(ROUND(MIN(300,MAX(1,D1390)),0), FactorTable!$A$2:$A$301,0), Skills!M17+1)</f>
        <v/>
      </c>
      <c r="F1390">
        <f>IF(Skills!N17=TRUE,(Skills!L17/10)*(E1390/1000),Skills!L17/10)+Skills!O17</f>
        <v/>
      </c>
      <c r="G1390">
        <f>Skills!G17*IF(Skills!H17&gt;0,Skills!I17/Skills!H17,1)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IFERROR(1/(IF(Inputs!$B$38="pvp",15,MAX(0.1,Skills!D17-IF(Skills!E17=TRUE,Inputs!$B$32,0)))*(1-IF(AND(ArtifactsInput!$M$27,Inputs!$B$4="Chapter Hunt"),CHOOSE(ArtifactsInput!$N$27+1,20,24,28,32,36,40),0)/100)),0)</f>
        <v/>
      </c>
      <c r="R1390">
        <f>IF(AND(Inputs!$B$38&lt;&gt;"pvp",Inputs!$B$43&gt;0),IF(Inputs!$B$43&lt;=0,0,(INT(Inputs!$B$43/(IF(Inputs!$B$38="pvp",15,MAX(0.1,Skills!D17-IF(Skills!E17=TRUE,Inputs!$B$32,0)))*(1-IF(AND(ArtifactsInput!$M$27,Inputs!$B$4="Chapter Hunt"),CHOOSE(ArtifactsInput!$N$27+1,20,24,28,32,36,40),0)/100)))+1)),0)</f>
        <v/>
      </c>
      <c r="S1390">
        <f>IFERROR(O1390/N1390,0)</f>
        <v/>
      </c>
      <c r="T1390" t="n">
        <v>0</v>
      </c>
      <c r="V1390" t="n">
        <v>0</v>
      </c>
    </row>
    <row r="1391">
      <c r="A1391">
        <f>Skills!A18</f>
        <v/>
      </c>
      <c r="B1391">
        <f>Skills!B18</f>
        <v/>
      </c>
      <c r="C1391">
        <f>Inputs!$B$3&gt;=115</f>
        <v/>
      </c>
      <c r="D1391">
        <f>IF(Skills!C18=1,60+Inputs!$B$25+Inputs!$B$29,IF(Skills!C18=2,90+Inputs!$B$26+Inputs!$B$29,IF(Skills!C18=3,120+Inputs!$B$27+Inputs!$B$29,MAX(0,(Inputs!$B$3-100)*3)+Inputs!$B$28+Inputs!$B$29)))</f>
        <v/>
      </c>
      <c r="E1391">
        <f>INDEX(FactorTable!$B$2:$Y$301, MATCH(ROUND(MIN(300,MAX(1,D1391)),0), FactorTable!$A$2:$A$301,0), Skills!M18+1)</f>
        <v/>
      </c>
      <c r="F1391">
        <f>IF(Skills!N18=TRUE,(Skills!L18/10)*(E1391/1000),Skills!L18/10)+Skills!O18</f>
        <v/>
      </c>
      <c r="G1391">
        <f>Skills!G18*IF(Skills!H18&gt;0,Skills!I18/Skills!H18,1)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IFERROR(1/(IF(Inputs!$B$38="pvp",15,MAX(0.1,Skills!D18-IF(Skills!E18=TRUE,Inputs!$B$32,0)))*(1-IF(AND(ArtifactsInput!$M$27,Inputs!$B$4="Chapter Hunt"),CHOOSE(ArtifactsInput!$N$27+1,20,24,28,32,36,40),0)/100)),0)</f>
        <v/>
      </c>
      <c r="R1391">
        <f>IF(AND(Inputs!$B$38&lt;&gt;"pvp",Inputs!$B$43&gt;0),IF(Inputs!$B$43&lt;=0,0,(INT(Inputs!$B$43/(IF(Inputs!$B$38="pvp",15,MAX(0.1,Skills!D18-IF(Skills!E18=TRUE,Inputs!$B$32,0)))*(1-IF(AND(ArtifactsInput!$M$27,Inputs!$B$4="Chapter Hunt"),CHOOSE(ArtifactsInput!$N$27+1,20,24,28,32,36,40),0)/100)))+1)),0)</f>
        <v/>
      </c>
      <c r="S1391">
        <f>IFERROR(O1391/N1391,0)</f>
        <v/>
      </c>
      <c r="T1391" t="n">
        <v>0</v>
      </c>
      <c r="V1391" t="n">
        <v>0</v>
      </c>
    </row>
    <row r="1392">
      <c r="A1392">
        <f>Skills!A19</f>
        <v/>
      </c>
      <c r="B1392">
        <f>Skills!B19</f>
        <v/>
      </c>
      <c r="C1392">
        <f>TRUE</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IFERROR(1/(IF(Inputs!$B$38="pvp",15,MAX(0.1,Skills!D19-IF(Skills!E19=TRUE,Inputs!$B$32,0)))*(1-IF(AND(ArtifactsInput!$M$27,Inputs!$B$4="Chapter Hunt"),CHOOSE(ArtifactsInput!$N$27+1,20,24,28,32,36,40),0)/100)),0)</f>
        <v/>
      </c>
      <c r="R1392">
        <f>IF(AND(Inputs!$B$38&lt;&gt;"pvp",Inputs!$B$43&gt;0),IF(Inputs!$B$43&lt;=0,0,(INT(Inputs!$B$43/(IF(Inputs!$B$38="pvp",15,MAX(0.1,Skills!D19-IF(Skills!E19=TRUE,Inputs!$B$32,0)))*(1-IF(AND(ArtifactsInput!$M$27,Inputs!$B$4="Chapter Hunt"),CHOOSE(ArtifactsInput!$N$27+1,20,24,28,32,36,40),0)/100)))+1)),0)</f>
        <v/>
      </c>
      <c r="S1392">
        <f>IFERROR(O1392/N1392,0)</f>
        <v/>
      </c>
      <c r="T1392" t="n">
        <v>0</v>
      </c>
      <c r="V1392" t="n">
        <v>0</v>
      </c>
    </row>
    <row r="1393">
      <c r="A1393">
        <f>Skills!A20</f>
        <v/>
      </c>
      <c r="B1393">
        <f>Skills!B20</f>
        <v/>
      </c>
      <c r="C1393">
        <f>Inputs!$B$3&gt;=33</f>
        <v/>
      </c>
      <c r="D1393">
        <f>IF(Skills!C20=1,60+Inputs!$B$25+Inputs!$B$29,IF(Skills!C20=2,90+Inputs!$B$26+Inputs!$B$29,IF(Skills!C20=3,120+Inputs!$B$27+Inputs!$B$29,MAX(0,(Inputs!$B$3-100)*3)+Inputs!$B$28+Inputs!$B$29)))</f>
        <v/>
      </c>
      <c r="E1393">
        <f>INDEX(FactorTable!$B$2:$Y$301, MATCH(ROUND(MIN(300,MAX(1,D1393)),0), FactorTable!$A$2:$A$301,0), Skills!M20+1)</f>
        <v/>
      </c>
      <c r="F1393">
        <f>IF(Skills!N20=TRUE,(Skills!L20/10)*(E1393/1000),Skills!L20/10)+Skills!O20</f>
        <v/>
      </c>
      <c r="G1393">
        <f>Skills!G20*IF(Skills!H20&gt;0,Skills!I20/Skills!H20,1)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Inputs!$B$3&gt;=38</f>
        <v/>
      </c>
      <c r="D1394">
        <f>IF(Skills!C21=1,60+Inputs!$B$25+Inputs!$B$29,IF(Skills!C21=2,90+Inputs!$B$26+Inputs!$B$29,IF(Skills!C21=3,120+Inputs!$B$27+Inputs!$B$29,MAX(0,(Inputs!$B$3-100)*3)+Inputs!$B$28+Inputs!$B$29)))</f>
        <v/>
      </c>
      <c r="E1394">
        <f>INDEX(FactorTable!$B$2:$Y$301, MATCH(ROUND(MIN(300,MAX(1,D1394)),0), FactorTable!$A$2:$A$301,0), Skills!M21+1)</f>
        <v/>
      </c>
      <c r="F1394">
        <f>IF(Skills!N21=TRUE,(Skills!L21/10)*(E1394/1000),Skills!L21/10)+Skills!O21</f>
        <v/>
      </c>
      <c r="G1394">
        <f>Skills!G21*IF(Skills!H21&gt;0,Skills!I21/Skills!H21,1)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Skills!A22</f>
        <v/>
      </c>
      <c r="B1395">
        <f>Skills!B22</f>
        <v/>
      </c>
      <c r="C1395">
        <f>Inputs!$B$3&gt;=43</f>
        <v/>
      </c>
      <c r="D1395">
        <f>IF(Skills!C22=1,60+Inputs!$B$25+Inputs!$B$29,IF(Skills!C22=2,90+Inputs!$B$26+Inputs!$B$29,IF(Skills!C22=3,120+Inputs!$B$27+Inputs!$B$29,MAX(0,(Inputs!$B$3-100)*3)+Inputs!$B$28+Inputs!$B$29)))</f>
        <v/>
      </c>
      <c r="E1395">
        <f>INDEX(FactorTable!$B$2:$Y$301, MATCH(ROUND(MIN(300,MAX(1,D1395)),0), FactorTable!$A$2:$A$301,0), Skills!M22+1)</f>
        <v/>
      </c>
      <c r="F1395">
        <f>IF(Skills!N22=TRUE,(Skills!L22/10)*(E1395/1000),Skills!L22/10)+Skills!O22</f>
        <v/>
      </c>
      <c r="G1395">
        <f>Skills!G22*IF(Skills!H22&gt;0,Skills!I22/Skills!H22,1)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Inputs!$B$3&gt;=120</f>
        <v/>
      </c>
      <c r="D1396">
        <f>IF(Skills!C23=1,60+Inputs!$B$25+Inputs!$B$29,IF(Skills!C23=2,90+Inputs!$B$26+Inputs!$B$29,IF(Skills!C23=3,120+Inputs!$B$27+Inputs!$B$29,MAX(0,(Inputs!$B$3-100)*3)+Inputs!$B$28+Inputs!$B$29)))</f>
        <v/>
      </c>
      <c r="E1396">
        <f>INDEX(FactorTable!$B$2:$Y$301, MATCH(ROUND(MIN(300,MAX(1,D1396)),0), FactorTable!$A$2:$A$301,0), Skills!M23+1)</f>
        <v/>
      </c>
      <c r="F1396">
        <f>IF(Skills!N23=TRUE,(Skills!L23/10)*(E1396/1000),Skills!L23/10)+Skills!O23</f>
        <v/>
      </c>
      <c r="G1396">
        <f>Skills!G23*IF(Skills!H23&gt;0,Skills!I23/Skills!H23,1)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Inputs!$B$3&gt;=120</f>
        <v/>
      </c>
      <c r="D1397">
        <f>IF(Skills!C24=1,60+Inputs!$B$25+Inputs!$B$29,IF(Skills!C24=2,90+Inputs!$B$26+Inputs!$B$29,IF(Skills!C24=3,120+Inputs!$B$27+Inputs!$B$29,MAX(0,(Inputs!$B$3-100)*3)+Inputs!$B$28+Inputs!$B$29)))</f>
        <v/>
      </c>
      <c r="E1397">
        <f>INDEX(FactorTable!$B$2:$Y$301, MATCH(ROUND(MIN(300,MAX(1,D1397)),0), FactorTable!$A$2:$A$301,0), Skills!M24+1)</f>
        <v/>
      </c>
      <c r="F1397">
        <f>IF(Skills!N24=TRUE,(Skills!L24/10)*(E1397/1000),Skills!L24/10)+Skills!O24</f>
        <v/>
      </c>
      <c r="G1397">
        <f>Skills!G24*IF(Skills!H24&gt;0,Skills!I24/Skills!H24,1)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Inputs!$B$3&gt;=125</f>
        <v/>
      </c>
      <c r="D1398">
        <f>IF(Skills!C25=1,60+Inputs!$B$25+Inputs!$B$29,IF(Skills!C25=2,90+Inputs!$B$26+Inputs!$B$29,IF(Skills!C25=3,120+Inputs!$B$27+Inputs!$B$29,MAX(0,(Inputs!$B$3-100)*3)+Inputs!$B$28+Inputs!$B$29)))</f>
        <v/>
      </c>
      <c r="E1398">
        <f>INDEX(FactorTable!$B$2:$Y$301, MATCH(ROUND(MIN(300,MAX(1,D1398)),0), FactorTable!$A$2:$A$301,0), Skills!M25+1)</f>
        <v/>
      </c>
      <c r="F1398">
        <f>IF(Skills!N25=TRUE,(Skills!L25/10)*(E1398/1000),Skills!L25/10)+Skills!O25</f>
        <v/>
      </c>
      <c r="G1398">
        <f>Skills!G25*IF(Skills!H25&gt;0,Skills!I25/Skills!H25,1)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Inputs!$B$3&gt;=72</f>
        <v/>
      </c>
      <c r="D1399">
        <f>IF(Skills!C26=1,60+Inputs!$B$25+Inputs!$B$29,IF(Skills!C26=2,90+Inputs!$B$26+Inputs!$B$29,IF(Skills!C26=3,120+Inputs!$B$27+Inputs!$B$29,MAX(0,(Inputs!$B$3-100)*3)+Inputs!$B$28+Inputs!$B$29)))</f>
        <v/>
      </c>
      <c r="E1399">
        <f>INDEX(FactorTable!$B$2:$Y$301, MATCH(ROUND(MIN(300,MAX(1,D1399)),0), FactorTable!$A$2:$A$301,0), Skills!M26+1)</f>
        <v/>
      </c>
      <c r="F1399">
        <f>IF(Skills!N26=TRUE,(Skills!L26/10)*(E1399/1000),Skills!L26/10)+Skills!O26</f>
        <v/>
      </c>
      <c r="G1399">
        <f>Skills!G26*IF(Skills!H26&gt;0,Skills!I26/Skills!H26,1)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1392=TRUE)*F1392*IF(AND(Inputs!$B$38&lt;&gt;"pvp",Inputs!$B$43&gt;0),(((R1392-1)*(Skills!T19*(1+(Inputs!$B$34+(ArtifactsInput!$M$7-ArtifactsInput!$M$7)*CHOOSE(ArtifactsInput!$N$7+1,6,7.2,8.4,9.6,10.8,12))/100))+MIN((Skills!T19*(1+(Inputs!$B$34+(ArtifactsInput!$M$7-ArtifactsInput!$M$7)*CHOOSE(ArtifactsInput!$N$7+1,6,7.2,8.4,9.6,10.8,12))/100)),MAX(0,Inputs!$B$43-((R1392-1)*Skills!D19))))/Inputs!$B$43),IF(Inputs!$B$38="pvp",MIN((Skills!T19*(1+(Inputs!$B$34+(ArtifactsInput!$M$7-ArtifactsInput!$M$7)*CHOOSE(ArtifactsInput!$N$7+1,6,7.2,8.4,9.6,10.8,12))/100)),15)/15,(Skills!T19*(1+(Inputs!$B$34+(ArtifactsInput!$M$7-ArtifactsInput!$M$7)*CHOOSE(ArtifactsInput!$N$7+1,6,7.2,8.4,9.6,10.8,12))/100))/Skills!D19)))</f>
        <v/>
      </c>
    </row>
    <row r="1404">
      <c r="A1404" t="inlineStr">
        <is>
          <t>Actions Per Second</t>
        </is>
      </c>
      <c r="B1404">
        <f>1+MIN(150,150*(1-(1-(Inputs!$B$11+((C1393=TRUE)*(F1393-Calc!F20)))/150)*(1-B1403/150)))/100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Raging Blow Casts Per Second</t>
        </is>
      </c>
      <c r="B1406">
        <f>MAX(0,B1404-B1405)</f>
        <v/>
      </c>
    </row>
    <row r="1407">
      <c r="A1407" t="inlineStr">
        <is>
          <t>Global Critical Damage Bonus % (Enrage)</t>
        </is>
      </c>
      <c r="B1407">
        <f>((C1391=TRUE)*F1391*IF(AND(Inputs!$B$38&lt;&gt;"pvp",Inputs!$B$43&gt;0),(((R1391-1)*(Skills!T18*(1+(Inputs!$B$34+(ArtifactsInput!$M$7-ArtifactsInput!$M$7)*CHOOSE(ArtifactsInput!$N$7+1,6,7.2,8.4,9.6,10.8,12))/100))+MIN((Skills!T18*(1+(Inputs!$B$34+(ArtifactsInput!$M$7-ArtifactsInput!$M$7)*CHOOSE(ArtifactsInput!$N$7+1,6,7.2,8.4,9.6,10.8,12))/100)),MAX(0,Inputs!$B$43-((R1391-1)*Skills!D18))))/Inputs!$B$43),IF(Inputs!$B$38="pvp",MIN((Skills!T18*(1+(Inputs!$B$34+(ArtifactsInput!$M$7-ArtifactsInput!$M$7)*CHOOSE(ArtifactsInput!$N$7+1,6,7.2,8.4,9.6,10.8,12))/100)),15)/15,(Skills!T18*(1+(Inputs!$B$34+(ArtifactsInput!$M$7-ArtifactsInput!$M$7)*CHOOSE(ArtifactsInput!$N$7+1,6,7.2,8.4,9.6,10.8,12))/100))/Skills!D18)))</f>
        <v/>
      </c>
    </row>
    <row r="1408">
      <c r="A1408" t="inlineStr">
        <is>
          <t>Global Final Damage Bonus % (Enrage + Combo Synergy)</t>
        </is>
      </c>
      <c r="B1408">
        <f>((C1390=TRUE)*F1390*IF(AND(Inputs!$B$38&lt;&gt;"pvp",Inputs!$B$43&gt;0),(((R1390-1)*(Skills!T17*(1+(Inputs!$B$34+(ArtifactsInput!$M$7-ArtifactsInput!$M$7)*CHOOSE(ArtifactsInput!$N$7+1,6,7.2,8.4,9.6,10.8,12))/100))+MIN((Skills!T17*(1+(Inputs!$B$34+(ArtifactsInput!$M$7-ArtifactsInput!$M$7)*CHOOSE(ArtifactsInput!$N$7+1,6,7.2,8.4,9.6,10.8,12))/100)),MAX(0,Inputs!$B$43-((R1390-1)*Skills!D17))))/Inputs!$B$43),IF(Inputs!$B$38="pvp",MIN((Skills!T17*(1+(Inputs!$B$34+(ArtifactsInput!$M$7-ArtifactsInput!$M$7)*CHOOSE(ArtifactsInput!$N$7+1,6,7.2,8.4,9.6,10.8,12))/100)),15)/15,(Skills!T17*(1+(Inputs!$B$34+(ArtifactsInput!$M$7-ArtifactsInput!$M$7)*CHOOSE(ArtifactsInput!$N$7+1,6,7.2,8.4,9.6,10.8,12))/100))/Skills!D17)))+((C1387=TRUE)*F1387*IF(Inputs!$B$3&gt;=110,7,5))</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1417)</f>
        <v/>
      </c>
      <c r="L1417">
        <f>K1417*(MIN(Inputs!$B$22+((C1437=TRUE)*(F1437-Calc!F22)),(Inputs!$B$23+((C1439=TRUE)*(F1439-Calc!F24))+(IF(ArtifactsInput!$M$15,CHOOSE(ArtifactsInput!$N$15+1,25,30,35,40,45,50)/100*(Inputs!$B$11-Inputs!$B$11),0))))/100+(Inputs!$B$23+((C1439=TRUE)*(F1439-Calc!F24))+(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INDEX(FactorTable!$B$2:$Y$301, MATCH(ROUND(MIN(300,MAX(1,U1417)),0), FactorTable!$A$2:$A$301,0), 22)</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U1419">
        <f>290*U1418/1000</f>
        <v/>
      </c>
    </row>
    <row r="1420">
      <c r="A1420">
        <f>Skills!A5</f>
        <v/>
      </c>
      <c r="B1420">
        <f>Skills!B5</f>
        <v/>
      </c>
      <c r="C1420">
        <f>Inputs!$B$3&gt;=103</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1420)</f>
        <v/>
      </c>
      <c r="L1420">
        <f>K1420*(MIN(Inputs!$B$22+((C1437=TRUE)*(F1437-Calc!F22)),(Inputs!$B$23+((C1439=TRUE)*(F1439-Calc!F24))+(IF(ArtifactsInput!$M$15,CHOOSE(ArtifactsInput!$N$15+1,25,30,35,40,45,50)/100*(Inputs!$B$11-Inputs!$B$11),0))))/100+(Inputs!$B$23+((C1439=TRUE)*(F1439-Calc!F24))+(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IFERROR(1/(IF(Inputs!$B$38="pvp",15,MAX(0.1,Skills!D5-IF(Skills!E5=TRUE,Inputs!$B$32,0)))*(1-IF(AND(ArtifactsInput!$M$27,Inputs!$B$4="Chapter Hunt"),CHOOSE(ArtifactsInput!$N$27+1,20,24,28,32,36,40),0)/100)),0)</f>
        <v/>
      </c>
      <c r="R1420">
        <f>IF(AND(Inputs!$B$38&lt;&gt;"pvp",Inputs!$B$43&gt;0),IF(MAX(0,Inputs!$B$43-B1451)&lt;=0,0,(INT(MAX(0,Inputs!$B$43-B1451)/(IF(Inputs!$B$38="pvp",15,MAX(0.1,Skills!D5-IF(Skills!E5=TRUE,Inputs!$B$32,0)))*(1-IF(AND(ArtifactsInput!$M$27,Inputs!$B$4="Chapter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1421)</f>
        <v/>
      </c>
      <c r="L1421">
        <f>K1421*(MIN(Inputs!$B$22+((C1437=TRUE)*(F1437-Calc!F22)),(Inputs!$B$23+((C1439=TRUE)*(F1439-Calc!F24))+(IF(ArtifactsInput!$M$15,CHOOSE(ArtifactsInput!$N$15+1,25,30,35,40,45,50)/100*(Inputs!$B$11-Inputs!$B$11),0))))/100+(Inputs!$B$23+((C1439=TRUE)*(F1439-Calc!F24))+(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IFERROR(1/(IF(Inputs!$B$38="pvp",15,MAX(0.1,Skills!D6-IF(Skills!E6=TRUE,Inputs!$B$32,0)))*(1-IF(AND(ArtifactsInput!$M$27,Inputs!$B$4="Chapter Hunt"),CHOOSE(ArtifactsInput!$N$27+1,20,24,28,32,36,40),0)/100)),0)</f>
        <v/>
      </c>
      <c r="R1421">
        <f>IF(AND(Inputs!$B$38&lt;&gt;"pvp",Inputs!$B$43&gt;0),IF(MAX(0,Inputs!$B$43-B1451)&lt;=0,0,(INT(MAX(0,Inputs!$B$43-B1451)/(IF(Inputs!$B$38="pvp",15,MAX(0.1,Skills!D6-IF(Skills!E6=TRUE,Inputs!$B$32,0)))*(1-IF(AND(ArtifactsInput!$M$27,Inputs!$B$4="Chapter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f>Skills!G7*IF(Skills!H7&gt;0,Skills!I7/Skills!H7,1)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1422)</f>
        <v/>
      </c>
      <c r="L1422">
        <f>K1422*(MIN(Inputs!$B$22+((C1437=TRUE)*(F1437-Calc!F22)),(Inputs!$B$23+((C1439=TRUE)*(F1439-Calc!F24))+(IF(ArtifactsInput!$M$15,CHOOSE(ArtifactsInput!$N$15+1,25,30,35,40,45,50)/100*(Inputs!$B$11-Inputs!$B$11),0))))/100+(Inputs!$B$23+((C1439=TRUE)*(F1439-Calc!F24))+(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IFERROR(1/(IF(Inputs!$B$38="pvp",15,MAX(0.1,Skills!D7-IF(Skills!E7=TRUE,Inputs!$B$32,0)))*(1-IF(AND(ArtifactsInput!$M$27,Inputs!$B$4="Chapter Hunt"),CHOOSE(ArtifactsInput!$N$27+1,20,24,28,32,36,40),0)/100)),0)</f>
        <v/>
      </c>
      <c r="R1422">
        <f>IF(AND(Inputs!$B$38&lt;&gt;"pvp",Inputs!$B$43&gt;0),IF(MAX(0,Inputs!$B$43-B1451)&lt;=0,0,(INT(MAX(0,Inputs!$B$43-B1451)/(IF(Inputs!$B$38="pvp",15,MAX(0.1,Skills!D7-IF(Skills!E7=TRUE,Inputs!$B$32,0)))*(1-IF(AND(ArtifactsInput!$M$27,Inputs!$B$4="Chapter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Inputs!$B$3&gt;=117</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1423)</f>
        <v/>
      </c>
      <c r="L1423">
        <f>K1423*(MIN(Inputs!$B$22+((C1437=TRUE)*(F1437-Calc!F22)),(Inputs!$B$23+((C1439=TRUE)*(F1439-Calc!F24))+(IF(ArtifactsInput!$M$15,CHOOSE(ArtifactsInput!$N$15+1,25,30,35,40,45,50)/100*(Inputs!$B$11-Inputs!$B$11),0))))/100+(Inputs!$B$23+((C1439=TRUE)*(F1439-Calc!F24))+(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IFERROR(1/(IF(Inputs!$B$38="pvp",15,MAX(0.1,Skills!D8-IF(Skills!E8=TRUE,Inputs!$B$32,0)))*(1-IF(AND(ArtifactsInput!$M$27,Inputs!$B$4="Chapter Hunt"),CHOOSE(ArtifactsInput!$N$27+1,20,24,28,32,36,40),0)/100)),0)</f>
        <v/>
      </c>
      <c r="R1423">
        <f>IF(AND(Inputs!$B$38&lt;&gt;"pvp",Inputs!$B$43&gt;0),IF(MAX(0,Inputs!$B$43-B1451)&lt;=0,0,(INT(MAX(0,Inputs!$B$43-B1451)/(IF(Inputs!$B$38="pvp",15,MAX(0.1,Skills!D8-IF(Skills!E8=TRUE,Inputs!$B$32,0)))*(1-IF(AND(ArtifactsInput!$M$27,Inputs!$B$4="Chapter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9="ENHANCED_RAGING_BLOW",IF(Inputs!$B$3&gt;=134,MAX(0,IF(Inputs!$B$3&gt;=110,7,5)-5)*50,0),0)/100)*(1+(IF(Skills!A9="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1424)</f>
        <v/>
      </c>
      <c r="L1424">
        <f>K1424*(MIN(Inputs!$B$22+((C1437=TRUE)*(F1437-Calc!F22)),(Inputs!$B$23+((C1439=TRUE)*(F1439-Calc!F24))+(IF(ArtifactsInput!$M$15,CHOOSE(ArtifactsInput!$N$15+1,25,30,35,40,45,50)/100*(Inputs!$B$11-Inputs!$B$11),0))))/100+(Inputs!$B$23+((C1439=TRUE)*(F1439-Calc!F24))+(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IFERROR(1/(IF(Inputs!$B$38="pvp",15,MAX(0.1,Skills!D9-IF(Skills!E9=TRUE,Inputs!$B$32,0)))*(1-IF(AND(ArtifactsInput!$M$27,Inputs!$B$4="Chapter Hunt"),CHOOSE(ArtifactsInput!$N$27+1,20,24,28,32,36,40),0)/100)),0)</f>
        <v/>
      </c>
      <c r="R1424">
        <f>IF(AND(Inputs!$B$38&lt;&gt;"pvp",Inputs!$B$43&gt;0),IF(MAX(0,Inputs!$B$43-B1451)&lt;=0,0,(INT(MAX(0,Inputs!$B$43-B1451)/(IF(Inputs!$B$38="pvp",15,MAX(0.1,Skills!D9-IF(Skills!E9=TRUE,Inputs!$B$32,0)))*(1-IF(AND(ArtifactsInput!$M$27,Inputs!$B$4="Chapter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10="ENHANCED_RAGING_BLOW",IF(Inputs!$B$3&gt;=134,MAX(0,IF(Inputs!$B$3&gt;=110,7,5)-5)*50,0),0)/100)*(1+(IF(Skills!A10="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1425)</f>
        <v/>
      </c>
      <c r="L1425">
        <f>K1425*(MIN(Inputs!$B$22+((C1437=TRUE)*(F1437-Calc!F22)),(Inputs!$B$23+((C1439=TRUE)*(F1439-Calc!F24))+(IF(ArtifactsInput!$M$15,CHOOSE(ArtifactsInput!$N$15+1,25,30,35,40,45,50)/100*(Inputs!$B$11-Inputs!$B$11),0))))/100+(Inputs!$B$23+((C1439=TRUE)*(F1439-Calc!F24))+(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IFERROR(1/(IF(Inputs!$B$38="pvp",15,MAX(0.1,Skills!D10-IF(Skills!E10=TRUE,Inputs!$B$32,0)))*(1-IF(AND(ArtifactsInput!$M$27,Inputs!$B$4="Chapter Hunt"),CHOOSE(ArtifactsInput!$N$27+1,20,24,28,32,36,40),0)/100)),0)</f>
        <v/>
      </c>
      <c r="R1425">
        <f>IF(AND(Inputs!$B$38&lt;&gt;"pvp",Inputs!$B$43&gt;0),IF(MAX(0,Inputs!$B$43-B1451)&lt;=0,0,(INT(MAX(0,Inputs!$B$43-B1451)/(IF(Inputs!$B$38="pvp",15,MAX(0.1,Skills!D10-IF(Skills!E10=TRUE,Inputs!$B$32,0)))*(1-IF(AND(ArtifactsInput!$M$27,Inputs!$B$4="Chapter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Inputs!$B$3&gt;=35</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11="ENHANCED_RAGING_BLOW",IF(Inputs!$B$3&gt;=134,MAX(0,IF(Inputs!$B$3&gt;=110,7,5)-5)*50,0),0)/100)*(1+(IF(Skills!A11="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1426)</f>
        <v/>
      </c>
      <c r="L1426">
        <f>K1426*(MIN(Inputs!$B$22+((C1437=TRUE)*(F1437-Calc!F22)),(Inputs!$B$23+((C1439=TRUE)*(F1439-Calc!F24))+(IF(ArtifactsInput!$M$15,CHOOSE(ArtifactsInput!$N$15+1,25,30,35,40,45,50)/100*(Inputs!$B$11-Inputs!$B$11),0))))/100+(Inputs!$B$23+((C1439=TRUE)*(F1439-Calc!F24))+(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IFERROR(1/(IF(Inputs!$B$38="pvp",15,MAX(0.1,Skills!D11-IF(Skills!E11=TRUE,Inputs!$B$32,0)))*(1-IF(AND(ArtifactsInput!$M$27,Inputs!$B$4="Chapter Hunt"),CHOOSE(ArtifactsInput!$N$27+1,20,24,28,32,36,40),0)/100)),0)</f>
        <v/>
      </c>
      <c r="R1426">
        <f>IF(AND(Inputs!$B$38&lt;&gt;"pvp",Inputs!$B$43&gt;0),IF(MAX(0,Inputs!$B$43-B1451)&lt;=0,0,(INT(MAX(0,Inputs!$B$43-B1451)/(IF(Inputs!$B$38="pvp",15,MAX(0.1,Skills!D11-IF(Skills!E11=TRUE,Inputs!$B$32,0)))*(1-IF(AND(ArtifactsInput!$M$27,Inputs!$B$4="Chapter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Inputs!$B$3&gt;=75</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f>Skills!G14*IF(Skills!H14&gt;0,Skills!I14/Skills!H14,1)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Inputs!$B$3&gt;=40</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IFERROR(1/(IF(Inputs!$B$38="pvp",15,MAX(0.1,Skills!D15-IF(Skills!E15=TRUE,Inputs!$B$32,0)))*(1-IF(AND(ArtifactsInput!$M$27,Inputs!$B$4="Chapter Hunt"),CHOOSE(ArtifactsInput!$N$27+1,20,24,28,32,36,40),0)/100)),0)</f>
        <v/>
      </c>
      <c r="R1430">
        <f>IF(AND(Inputs!$B$38&lt;&gt;"pvp",Inputs!$B$43&gt;0),IF(Inputs!$B$43&lt;=0,0,(INT(Inputs!$B$43/(IF(Inputs!$B$38="pvp",15,MAX(0.1,Skills!D15-IF(Skills!E15=TRUE,Inputs!$B$32,0)))*(1-IF(AND(ArtifactsInput!$M$27,Inputs!$B$4="Chapter Hunt"),CHOOSE(ArtifactsInput!$N$27+1,20,24,28,32,36,40),0)/100)))+1)),0)</f>
        <v/>
      </c>
      <c r="S1430">
        <f>IFERROR(O1430/N1430,0)</f>
        <v/>
      </c>
      <c r="T1430" t="n">
        <v>0</v>
      </c>
      <c r="V1430" t="n">
        <v>0</v>
      </c>
    </row>
    <row r="1431">
      <c r="A1431">
        <f>Skills!A16</f>
        <v/>
      </c>
      <c r="B1431">
        <f>Skills!B16</f>
        <v/>
      </c>
      <c r="C1431">
        <f>Inputs!$B$3&gt;=66</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IFERROR(1/(IF(Inputs!$B$38="pvp",15,MAX(0.1,Skills!D16-IF(Skills!E16=TRUE,Inputs!$B$32,0)))*(1-IF(AND(ArtifactsInput!$M$27,Inputs!$B$4="Chapter Hunt"),CHOOSE(ArtifactsInput!$N$27+1,20,24,28,32,36,40),0)/100)),0)</f>
        <v/>
      </c>
      <c r="R1431">
        <f>IF(AND(Inputs!$B$38&lt;&gt;"pvp",Inputs!$B$43&gt;0),IF(Inputs!$B$43&lt;=0,0,(INT(Inputs!$B$43/(IF(Inputs!$B$38="pvp",15,MAX(0.1,Skills!D16-IF(Skills!E16=TRUE,Inputs!$B$32,0)))*(1-IF(AND(ArtifactsInput!$M$27,Inputs!$B$4="Chapter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IFERROR(1/(IF(Inputs!$B$38="pvp",15,MAX(0.1,Skills!D17-IF(Skills!E17=TRUE,Inputs!$B$32,0)))*(1-IF(AND(ArtifactsInput!$M$27,Inputs!$B$4="Chapter Hunt"),CHOOSE(ArtifactsInput!$N$27+1,20,24,28,32,36,40),0)/100)),0)</f>
        <v/>
      </c>
      <c r="R1432">
        <f>IF(AND(Inputs!$B$38&lt;&gt;"pvp",Inputs!$B$43&gt;0),IF(Inputs!$B$43&lt;=0,0,(INT(Inputs!$B$43/(IF(Inputs!$B$38="pvp",15,MAX(0.1,Skills!D17-IF(Skills!E17=TRUE,Inputs!$B$32,0)))*(1-IF(AND(ArtifactsInput!$M$27,Inputs!$B$4="Chapter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IFERROR(1/(IF(Inputs!$B$38="pvp",15,MAX(0.1,Skills!D18-IF(Skills!E18=TRUE,Inputs!$B$32,0)))*(1-IF(AND(ArtifactsInput!$M$27,Inputs!$B$4="Chapter Hunt"),CHOOSE(ArtifactsInput!$N$27+1,20,24,28,32,36,40),0)/100)),0)</f>
        <v/>
      </c>
      <c r="R1433">
        <f>IF(AND(Inputs!$B$38&lt;&gt;"pvp",Inputs!$B$43&gt;0),IF(Inputs!$B$43&lt;=0,0,(INT(Inputs!$B$43/(IF(Inputs!$B$38="pvp",15,MAX(0.1,Skills!D18-IF(Skills!E18=TRUE,Inputs!$B$32,0)))*(1-IF(AND(ArtifactsInput!$M$27,Inputs!$B$4="Chapter Hunt"),CHOOSE(ArtifactsInput!$N$27+1,20,24,28,32,36,40),0)/100)))+1)),0)</f>
        <v/>
      </c>
      <c r="S1433">
        <f>IFERROR(O1433/N1433,0)</f>
        <v/>
      </c>
      <c r="T1433" t="n">
        <v>0</v>
      </c>
      <c r="V1433" t="n">
        <v>0</v>
      </c>
    </row>
    <row r="1434">
      <c r="A1434">
        <f>Skills!A19</f>
        <v/>
      </c>
      <c r="B1434">
        <f>Skills!B19</f>
        <v/>
      </c>
      <c r="C1434">
        <f>TRUE</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IFERROR(1/(IF(Inputs!$B$38="pvp",15,MAX(0.1,Skills!D19-IF(Skills!E19=TRUE,Inputs!$B$32,0)))*(1-IF(AND(ArtifactsInput!$M$27,Inputs!$B$4="Chapter Hunt"),CHOOSE(ArtifactsInput!$N$27+1,20,24,28,32,36,40),0)/100)),0)</f>
        <v/>
      </c>
      <c r="R1434">
        <f>IF(AND(Inputs!$B$38&lt;&gt;"pvp",Inputs!$B$43&gt;0),IF(Inputs!$B$43&lt;=0,0,(INT(Inputs!$B$43/(IF(Inputs!$B$38="pvp",15,MAX(0.1,Skills!D19-IF(Skills!E19=TRUE,Inputs!$B$32,0)))*(1-IF(AND(ArtifactsInput!$M$27,Inputs!$B$4="Chapter Hunt"),CHOOSE(ArtifactsInput!$N$27+1,20,24,28,32,36,40),0)/100)))+1)),0)</f>
        <v/>
      </c>
      <c r="S1434">
        <f>IFERROR(O1434/N1434,0)</f>
        <v/>
      </c>
      <c r="T1434" t="n">
        <v>0</v>
      </c>
      <c r="V1434" t="n">
        <v>0</v>
      </c>
    </row>
    <row r="1435">
      <c r="A1435">
        <f>Skills!A20</f>
        <v/>
      </c>
      <c r="B1435">
        <f>Skills!B20</f>
        <v/>
      </c>
      <c r="C1435">
        <f>Inputs!$B$3&gt;=33</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Inputs!$B$3&gt;=38</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t="n">
        <v>0</v>
      </c>
      <c r="R1436" t="n">
        <v>0</v>
      </c>
      <c r="S1436">
        <f>IFERROR(O1436/N1436,0)</f>
        <v/>
      </c>
      <c r="T1436" t="n">
        <v>0</v>
      </c>
      <c r="V1436" t="n">
        <v>0</v>
      </c>
    </row>
    <row r="1437">
      <c r="A1437">
        <f>Skills!A22</f>
        <v/>
      </c>
      <c r="B1437">
        <f>Skills!B22</f>
        <v/>
      </c>
      <c r="C1437">
        <f>Inputs!$B$3&gt;=43</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Inputs!$B$3&gt;=120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Inputs!$B$3&gt;=120</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Inputs!$B$3&gt;=125</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Inputs!$B$3&gt;=72</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1434=TRUE)*F1434*IF(AND(Inputs!$B$38&lt;&gt;"pvp",Inputs!$B$43&gt;0),(((R1434-1)*(Skills!T19*(1+(Inputs!$B$34+(ArtifactsInput!$M$7-ArtifactsInput!$M$7)*CHOOSE(ArtifactsInput!$N$7+1,6,7.2,8.4,9.6,10.8,12))/100))+MIN((Skills!T19*(1+(Inputs!$B$34+(ArtifactsInput!$M$7-ArtifactsInput!$M$7)*CHOOSE(ArtifactsInput!$N$7+1,6,7.2,8.4,9.6,10.8,12))/100)),MAX(0,Inputs!$B$43-((R1434-1)*Skills!D19))))/Inputs!$B$43),IF(Inputs!$B$38="pvp",MIN((Skills!T19*(1+(Inputs!$B$34+(ArtifactsInput!$M$7-ArtifactsInput!$M$7)*CHOOSE(ArtifactsInput!$N$7+1,6,7.2,8.4,9.6,10.8,12))/100)),15)/15,(Skills!T19*(1+(Inputs!$B$34+(ArtifactsInput!$M$7-ArtifactsInput!$M$7)*CHOOSE(ArtifactsInput!$N$7+1,6,7.2,8.4,9.6,10.8,12))/100))/Skills!D19)))</f>
        <v/>
      </c>
    </row>
    <row r="1446">
      <c r="A1446" t="inlineStr">
        <is>
          <t>Actions Per Second</t>
        </is>
      </c>
      <c r="B1446">
        <f>1+MIN(150,150*(1-(1-(Inputs!$B$11+((C1435=TRUE)*(F1435-Calc!F20)))/150)*(1-B1445/150)))/100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Raging Blow Casts Per Second</t>
        </is>
      </c>
      <c r="B1448">
        <f>MAX(0,B1446-B1447)</f>
        <v/>
      </c>
    </row>
    <row r="1449">
      <c r="A1449" t="inlineStr">
        <is>
          <t>Global Critical Damage Bonus % (Enrage)</t>
        </is>
      </c>
      <c r="B1449">
        <f>((C1433=TRUE)*F1433*IF(AND(Inputs!$B$38&lt;&gt;"pvp",Inputs!$B$43&gt;0),(((R1433-1)*(Skills!T18*(1+(Inputs!$B$34+(ArtifactsInput!$M$7-ArtifactsInput!$M$7)*CHOOSE(ArtifactsInput!$N$7+1,6,7.2,8.4,9.6,10.8,12))/100))+MIN((Skills!T18*(1+(Inputs!$B$34+(ArtifactsInput!$M$7-ArtifactsInput!$M$7)*CHOOSE(ArtifactsInput!$N$7+1,6,7.2,8.4,9.6,10.8,12))/100)),MAX(0,Inputs!$B$43-((R1433-1)*Skills!D18))))/Inputs!$B$43),IF(Inputs!$B$38="pvp",MIN((Skills!T18*(1+(Inputs!$B$34+(ArtifactsInput!$M$7-ArtifactsInput!$M$7)*CHOOSE(ArtifactsInput!$N$7+1,6,7.2,8.4,9.6,10.8,12))/100)),15)/15,(Skills!T18*(1+(Inputs!$B$34+(ArtifactsInput!$M$7-ArtifactsInput!$M$7)*CHOOSE(ArtifactsInput!$N$7+1,6,7.2,8.4,9.6,10.8,12))/100))/Skills!D18)))</f>
        <v/>
      </c>
    </row>
    <row r="1450">
      <c r="A1450" t="inlineStr">
        <is>
          <t>Global Final Damage Bonus % (Enrage + Combo Synergy)</t>
        </is>
      </c>
      <c r="B1450">
        <f>((C1432=TRUE)*F1432*IF(AND(Inputs!$B$38&lt;&gt;"pvp",Inputs!$B$43&gt;0),(((R1432-1)*(Skills!T17*(1+(Inputs!$B$34+(ArtifactsInput!$M$7-ArtifactsInput!$M$7)*CHOOSE(ArtifactsInput!$N$7+1,6,7.2,8.4,9.6,10.8,12))/100))+MIN((Skills!T17*(1+(Inputs!$B$34+(ArtifactsInput!$M$7-ArtifactsInput!$M$7)*CHOOSE(ArtifactsInput!$N$7+1,6,7.2,8.4,9.6,10.8,12))/100)),MAX(0,Inputs!$B$43-((R1432-1)*Skills!D17))))/Inputs!$B$43),IF(Inputs!$B$38="pvp",MIN((Skills!T17*(1+(Inputs!$B$34+(ArtifactsInput!$M$7-ArtifactsInput!$M$7)*CHOOSE(ArtifactsInput!$N$7+1,6,7.2,8.4,9.6,10.8,12))/100)),15)/15,(Skills!T17*(1+(Inputs!$B$34+(ArtifactsInput!$M$7-ArtifactsInput!$M$7)*CHOOSE(ArtifactsInput!$N$7+1,6,7.2,8.4,9.6,10.8,12))/100))/Skills!D17)))+((C1429=TRUE)*F1429*IF(Inputs!$B$3&gt;=110,7,5))</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1459)</f>
        <v/>
      </c>
      <c r="L1459">
        <f>K1459*(MIN(Inputs!$B$22+((C1479=TRUE)*(F1479-Calc!F22)),(Inputs!$B$23+((C1481=TRUE)*(F1481-Calc!F24))+(IF(ArtifactsInput!$M$15,CHOOSE(ArtifactsInput!$N$15+1,25,30,35,40,45,50)/100*(Inputs!$B$11-Inputs!$B$11),0))))/100+(Inputs!$B$23+((C1481=TRUE)*(F1481-Calc!F24))+(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INDEX(FactorTable!$B$2:$Y$301, MATCH(ROUND(MIN(300,MAX(1,D1460)),0),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INDEX(FactorTable!$B$2:$Y$301, MATCH(ROUND(MIN(300,MAX(1,U1459)),0), FactorTable!$A$2:$A$301,0), 22)</f>
        <v/>
      </c>
    </row>
    <row r="1461">
      <c r="A1461">
        <f>Skills!A4</f>
        <v/>
      </c>
      <c r="B1461">
        <f>Skills!B4</f>
        <v/>
      </c>
      <c r="C1461">
        <f>Inputs!$B$3&gt;=105</f>
        <v/>
      </c>
      <c r="D1461">
        <f>IF(Skills!C4=1,60+Inputs!$B$25+Inputs!$B$29,IF(Skills!C4=2,90+Inputs!$B$26+Inputs!$B$29,IF(Skills!C4=3,120+Inputs!$B$27+Inputs!$B$29,MAX(0,(Inputs!$B$3-100)*3)+Inputs!$B$28+Inputs!$B$29)))</f>
        <v/>
      </c>
      <c r="E1461">
        <f>INDEX(FactorTable!$B$2:$Y$301, MATCH(ROUND(MIN(300,MAX(1,D1461)),0), FactorTable!$A$2:$A$301,0), Skills!M4+1)</f>
        <v/>
      </c>
      <c r="F1461">
        <f>IF(Skills!N4=TRUE,(Skills!L4/10)*(E1461/1000),Skills!L4/10)+Skills!O4</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U1461">
        <f>290*U1460/1000</f>
        <v/>
      </c>
    </row>
    <row r="1462">
      <c r="A1462">
        <f>Skills!A5</f>
        <v/>
      </c>
      <c r="B1462">
        <f>Skills!B5</f>
        <v/>
      </c>
      <c r="C1462">
        <f>Inputs!$B$3&gt;=103</f>
        <v/>
      </c>
      <c r="D1462">
        <f>IF(Skills!C5=1,60+Inputs!$B$25+Inputs!$B$29,IF(Skills!C5=2,90+Inputs!$B$26+Inputs!$B$29,IF(Skills!C5=3,120+Inputs!$B$27+Inputs!$B$29,MAX(0,(Inputs!$B$3-100)*3)+Inputs!$B$28+Inputs!$B$29)))</f>
        <v/>
      </c>
      <c r="E1462">
        <f>INDEX(FactorTable!$B$2:$Y$301, MATCH(ROUND(MIN(300,MAX(1,D1462)),0), FactorTable!$A$2:$A$301,0), Skills!M5+1)</f>
        <v/>
      </c>
      <c r="F1462">
        <f>IF(Skills!N5=TRUE,(Skills!L5/10)*(E1462/1000),Skills!L5/10)+Skills!O5</f>
        <v/>
      </c>
      <c r="G1462">
        <f>Skills!G5*IF(Skills!H5&gt;0,Skills!I5/Skills!H5,1)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1462)</f>
        <v/>
      </c>
      <c r="L1462">
        <f>K1462*(MIN(Inputs!$B$22+((C1479=TRUE)*(F1479-Calc!F22)),(Inputs!$B$23+((C1481=TRUE)*(F1481-Calc!F24))+(IF(ArtifactsInput!$M$15,CHOOSE(ArtifactsInput!$N$15+1,25,30,35,40,45,50)/100*(Inputs!$B$11-Inputs!$B$11),0))))/100+(Inputs!$B$23+((C1481=TRUE)*(F1481-Calc!F24))+(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IFERROR(1/(IF(Inputs!$B$38="pvp",15,MAX(0.1,Skills!D5-IF(Skills!E5=TRUE,Inputs!$B$32,0)))*(1-IF(AND(ArtifactsInput!$M$27,Inputs!$B$4="Chapter Hunt"),CHOOSE(ArtifactsInput!$N$27+1,20,24,28,32,36,40),0)/100)),0)</f>
        <v/>
      </c>
      <c r="R1462">
        <f>IF(AND(Inputs!$B$38&lt;&gt;"pvp",Inputs!$B$43&gt;0),IF(MAX(0,Inputs!$B$43-B1493)&lt;=0,0,(INT(MAX(0,Inputs!$B$43-B1493)/(IF(Inputs!$B$38="pvp",15,MAX(0.1,Skills!D5-IF(Skills!E5=TRUE,Inputs!$B$32,0)))*(1-IF(AND(ArtifactsInput!$M$27,Inputs!$B$4="Chapter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INDEX(FactorTable!$B$2:$Y$301, MATCH(ROUND(MIN(300,MAX(1,D1463)),0), FactorTable!$A$2:$A$301,0), Skills!M6+1)</f>
        <v/>
      </c>
      <c r="F1463">
        <f>IF(Skills!N6=TRUE,(Skills!L6/10)*(E1463/1000),Skills!L6/10)+Skills!O6</f>
        <v/>
      </c>
      <c r="G1463">
        <f>Skills!G6*IF(Skills!H6&gt;0,Skills!I6/Skills!H6,1)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1463)</f>
        <v/>
      </c>
      <c r="L1463">
        <f>K1463*(MIN(Inputs!$B$22+((C1479=TRUE)*(F1479-Calc!F22)),(Inputs!$B$23+((C1481=TRUE)*(F1481-Calc!F24))+(IF(ArtifactsInput!$M$15,CHOOSE(ArtifactsInput!$N$15+1,25,30,35,40,45,50)/100*(Inputs!$B$11-Inputs!$B$11),0))))/100+(Inputs!$B$23+((C1481=TRUE)*(F1481-Calc!F24))+(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IFERROR(1/(IF(Inputs!$B$38="pvp",15,MAX(0.1,Skills!D6-IF(Skills!E6=TRUE,Inputs!$B$32,0)))*(1-IF(AND(ArtifactsInput!$M$27,Inputs!$B$4="Chapter Hunt"),CHOOSE(ArtifactsInput!$N$27+1,20,24,28,32,36,40),0)/100)),0)</f>
        <v/>
      </c>
      <c r="R1463">
        <f>IF(AND(Inputs!$B$38&lt;&gt;"pvp",Inputs!$B$43&gt;0),IF(MAX(0,Inputs!$B$43-B1493)&lt;=0,0,(INT(MAX(0,Inputs!$B$43-B1493)/(IF(Inputs!$B$38="pvp",15,MAX(0.1,Skills!D6-IF(Skills!E6=TRUE,Inputs!$B$32,0)))*(1-IF(AND(ArtifactsInput!$M$27,Inputs!$B$4="Chapter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INDEX(FactorTable!$B$2:$Y$301, MATCH(ROUND(MIN(300,MAX(1,D1464)),0), FactorTable!$A$2:$A$301,0), Skills!M7+1)</f>
        <v/>
      </c>
      <c r="F1464">
        <f>IF(Skills!N7=TRUE,(Skills!L7/10)*(E1464/1000),Skills!L7/10)+Skills!O7</f>
        <v/>
      </c>
      <c r="G1464">
        <f>Skills!G7*IF(Skills!H7&gt;0,Skills!I7/Skills!H7,1)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1464)</f>
        <v/>
      </c>
      <c r="L1464">
        <f>K1464*(MIN(Inputs!$B$22+((C1479=TRUE)*(F1479-Calc!F22)),(Inputs!$B$23+((C1481=TRUE)*(F1481-Calc!F24))+(IF(ArtifactsInput!$M$15,CHOOSE(ArtifactsInput!$N$15+1,25,30,35,40,45,50)/100*(Inputs!$B$11-Inputs!$B$11),0))))/100+(Inputs!$B$23+((C1481=TRUE)*(F1481-Calc!F24))+(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IFERROR(1/(IF(Inputs!$B$38="pvp",15,MAX(0.1,Skills!D7-IF(Skills!E7=TRUE,Inputs!$B$32,0)))*(1-IF(AND(ArtifactsInput!$M$27,Inputs!$B$4="Chapter Hunt"),CHOOSE(ArtifactsInput!$N$27+1,20,24,28,32,36,40),0)/100)),0)</f>
        <v/>
      </c>
      <c r="R1464">
        <f>IF(AND(Inputs!$B$38&lt;&gt;"pvp",Inputs!$B$43&gt;0),IF(MAX(0,Inputs!$B$43-B1493)&lt;=0,0,(INT(MAX(0,Inputs!$B$43-B1493)/(IF(Inputs!$B$38="pvp",15,MAX(0.1,Skills!D7-IF(Skills!E7=TRUE,Inputs!$B$32,0)))*(1-IF(AND(ArtifactsInput!$M$27,Inputs!$B$4="Chapter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Inputs!$B$3&gt;=117</f>
        <v/>
      </c>
      <c r="D1465">
        <f>IF(Skills!C8=1,60+Inputs!$B$25+Inputs!$B$29,IF(Skills!C8=2,90+Inputs!$B$26+Inputs!$B$29,IF(Skills!C8=3,120+Inputs!$B$27+Inputs!$B$29,MAX(0,(Inputs!$B$3-100)*3)+Inputs!$B$28+Inputs!$B$29)))</f>
        <v/>
      </c>
      <c r="E1465">
        <f>INDEX(FactorTable!$B$2:$Y$301, MATCH(ROUND(MIN(300,MAX(1,D1465)),0), FactorTable!$A$2:$A$301,0), Skills!M8+1)</f>
        <v/>
      </c>
      <c r="F1465">
        <f>IF(Skills!N8=TRUE,(Skills!L8/10)*(E1465/1000),Skills!L8/10)+Skills!O8</f>
        <v/>
      </c>
      <c r="G1465">
        <f>Skills!G8*IF(Skills!H8&gt;0,Skills!I8/Skills!H8,1)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1465)</f>
        <v/>
      </c>
      <c r="L1465">
        <f>K1465*(MIN(Inputs!$B$22+((C1479=TRUE)*(F1479-Calc!F22)),(Inputs!$B$23+((C1481=TRUE)*(F1481-Calc!F24))+(IF(ArtifactsInput!$M$15,CHOOSE(ArtifactsInput!$N$15+1,25,30,35,40,45,50)/100*(Inputs!$B$11-Inputs!$B$11),0))))/100+(Inputs!$B$23+((C1481=TRUE)*(F1481-Calc!F24))+(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IFERROR(1/(IF(Inputs!$B$38="pvp",15,MAX(0.1,Skills!D8-IF(Skills!E8=TRUE,Inputs!$B$32,0)))*(1-IF(AND(ArtifactsInput!$M$27,Inputs!$B$4="Chapter Hunt"),CHOOSE(ArtifactsInput!$N$27+1,20,24,28,32,36,40),0)/100)),0)</f>
        <v/>
      </c>
      <c r="R1465">
        <f>IF(AND(Inputs!$B$38&lt;&gt;"pvp",Inputs!$B$43&gt;0),IF(MAX(0,Inputs!$B$43-B1493)&lt;=0,0,(INT(MAX(0,Inputs!$B$43-B1493)/(IF(Inputs!$B$38="pvp",15,MAX(0.1,Skills!D8-IF(Skills!E8=TRUE,Inputs!$B$32,0)))*(1-IF(AND(ArtifactsInput!$M$27,Inputs!$B$4="Chapter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Inputs!$B$3&gt;=69</f>
        <v/>
      </c>
      <c r="D1466">
        <f>IF(Skills!C9=1,60+Inputs!$B$25+Inputs!$B$29,IF(Skills!C9=2,90+Inputs!$B$26+Inputs!$B$29,IF(Skills!C9=3,120+Inputs!$B$27+Inputs!$B$29,MAX(0,(Inputs!$B$3-100)*3)+Inputs!$B$28+Inputs!$B$29)))</f>
        <v/>
      </c>
      <c r="E1466">
        <f>INDEX(FactorTable!$B$2:$Y$301, MATCH(ROUND(MIN(300,MAX(1,D1466)),0), FactorTable!$A$2:$A$301,0), Skills!M9+1)</f>
        <v/>
      </c>
      <c r="F1466">
        <f>IF(Skills!N9=TRUE,(Skills!L9/10)*(E1466/1000),Skills!L9/10)+Skills!O9</f>
        <v/>
      </c>
      <c r="G1466">
        <f>Skills!G9*IF(Skills!H9&gt;0,Skills!I9/Skills!H9,1)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9="ENHANCED_RAGING_BLOW",IF(Inputs!$B$3&gt;=134,MAX(0,IF(Inputs!$B$3&gt;=110,7,5)-5)*50,0),0)/100)*(1+(IF(Skills!A9="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1466)</f>
        <v/>
      </c>
      <c r="L1466">
        <f>K1466*(MIN(Inputs!$B$22+((C1479=TRUE)*(F1479-Calc!F22)),(Inputs!$B$23+((C1481=TRUE)*(F1481-Calc!F24))+(IF(ArtifactsInput!$M$15,CHOOSE(ArtifactsInput!$N$15+1,25,30,35,40,45,50)/100*(Inputs!$B$11-Inputs!$B$11),0))))/100+(Inputs!$B$23+((C1481=TRUE)*(F1481-Calc!F24))+(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IFERROR(1/(IF(Inputs!$B$38="pvp",15,MAX(0.1,Skills!D9-IF(Skills!E9=TRUE,Inputs!$B$32,0)))*(1-IF(AND(ArtifactsInput!$M$27,Inputs!$B$4="Chapter Hunt"),CHOOSE(ArtifactsInput!$N$27+1,20,24,28,32,36,40),0)/100)),0)</f>
        <v/>
      </c>
      <c r="R1466">
        <f>IF(AND(Inputs!$B$38&lt;&gt;"pvp",Inputs!$B$43&gt;0),IF(MAX(0,Inputs!$B$43-B1493)&lt;=0,0,(INT(MAX(0,Inputs!$B$43-B1493)/(IF(Inputs!$B$38="pvp",15,MAX(0.1,Skills!D9-IF(Skills!E9=TRUE,Inputs!$B$32,0)))*(1-IF(AND(ArtifactsInput!$M$27,Inputs!$B$4="Chapter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Inputs!$B$3&gt;=63</f>
        <v/>
      </c>
      <c r="D1467">
        <f>IF(Skills!C10=1,60+Inputs!$B$25+Inputs!$B$29,IF(Skills!C10=2,90+Inputs!$B$26+Inputs!$B$29,IF(Skills!C10=3,120+Inputs!$B$27+Inputs!$B$29,MAX(0,(Inputs!$B$3-100)*3)+Inputs!$B$28+Inputs!$B$29)))</f>
        <v/>
      </c>
      <c r="E1467">
        <f>INDEX(FactorTable!$B$2:$Y$301, MATCH(ROUND(MIN(300,MAX(1,D1467)),0), FactorTable!$A$2:$A$301,0), Skills!M10+1)</f>
        <v/>
      </c>
      <c r="F1467">
        <f>IF(Skills!N10=TRUE,(Skills!L10/10)*(E1467/1000),Skills!L10/10)+Skills!O10</f>
        <v/>
      </c>
      <c r="G1467">
        <f>Skills!G10*IF(Skills!H10&gt;0,Skills!I10/Skills!H10,1)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10="ENHANCED_RAGING_BLOW",IF(Inputs!$B$3&gt;=134,MAX(0,IF(Inputs!$B$3&gt;=110,7,5)-5)*50,0),0)/100)*(1+(IF(Skills!A10="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1467)</f>
        <v/>
      </c>
      <c r="L1467">
        <f>K1467*(MIN(Inputs!$B$22+((C1479=TRUE)*(F1479-Calc!F22)),(Inputs!$B$23+((C1481=TRUE)*(F1481-Calc!F24))+(IF(ArtifactsInput!$M$15,CHOOSE(ArtifactsInput!$N$15+1,25,30,35,40,45,50)/100*(Inputs!$B$11-Inputs!$B$11),0))))/100+(Inputs!$B$23+((C1481=TRUE)*(F1481-Calc!F24))+(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IFERROR(1/(IF(Inputs!$B$38="pvp",15,MAX(0.1,Skills!D10-IF(Skills!E10=TRUE,Inputs!$B$32,0)))*(1-IF(AND(ArtifactsInput!$M$27,Inputs!$B$4="Chapter Hunt"),CHOOSE(ArtifactsInput!$N$27+1,20,24,28,32,36,40),0)/100)),0)</f>
        <v/>
      </c>
      <c r="R1467">
        <f>IF(AND(Inputs!$B$38&lt;&gt;"pvp",Inputs!$B$43&gt;0),IF(MAX(0,Inputs!$B$43-B1493)&lt;=0,0,(INT(MAX(0,Inputs!$B$43-B1493)/(IF(Inputs!$B$38="pvp",15,MAX(0.1,Skills!D10-IF(Skills!E10=TRUE,Inputs!$B$32,0)))*(1-IF(AND(ArtifactsInput!$M$27,Inputs!$B$4="Chapter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Inputs!$B$3&gt;=35</f>
        <v/>
      </c>
      <c r="D1468">
        <f>IF(Skills!C11=1,60+Inputs!$B$25+Inputs!$B$29,IF(Skills!C11=2,90+Inputs!$B$26+Inputs!$B$29,IF(Skills!C11=3,120+Inputs!$B$27+Inputs!$B$29,MAX(0,(Inputs!$B$3-100)*3)+Inputs!$B$28+Inputs!$B$29)))</f>
        <v/>
      </c>
      <c r="E1468">
        <f>INDEX(FactorTable!$B$2:$Y$301, MATCH(ROUND(MIN(300,MAX(1,D1468)),0), FactorTable!$A$2:$A$301,0), Skills!M11+1)</f>
        <v/>
      </c>
      <c r="F1468">
        <f>IF(Skills!N11=TRUE,(Skills!L11/10)*(E1468/1000),Skills!L11/10)+Skills!O11</f>
        <v/>
      </c>
      <c r="G1468">
        <f>Skills!G11*IF(Skills!H11&gt;0,Skills!I11/Skills!H11,1)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11="ENHANCED_RAGING_BLOW",IF(Inputs!$B$3&gt;=134,MAX(0,IF(Inputs!$B$3&gt;=110,7,5)-5)*50,0),0)/100)*(1+(IF(Skills!A11="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1468)</f>
        <v/>
      </c>
      <c r="L1468">
        <f>K1468*(MIN(Inputs!$B$22+((C1479=TRUE)*(F1479-Calc!F22)),(Inputs!$B$23+((C1481=TRUE)*(F1481-Calc!F24))+(IF(ArtifactsInput!$M$15,CHOOSE(ArtifactsInput!$N$15+1,25,30,35,40,45,50)/100*(Inputs!$B$11-Inputs!$B$11),0))))/100+(Inputs!$B$23+((C1481=TRUE)*(F1481-Calc!F24))+(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IFERROR(1/(IF(Inputs!$B$38="pvp",15,MAX(0.1,Skills!D11-IF(Skills!E11=TRUE,Inputs!$B$32,0)))*(1-IF(AND(ArtifactsInput!$M$27,Inputs!$B$4="Chapter Hunt"),CHOOSE(ArtifactsInput!$N$27+1,20,24,28,32,36,40),0)/100)),0)</f>
        <v/>
      </c>
      <c r="R1468">
        <f>IF(AND(Inputs!$B$38&lt;&gt;"pvp",Inputs!$B$43&gt;0),IF(MAX(0,Inputs!$B$43-B1493)&lt;=0,0,(INT(MAX(0,Inputs!$B$43-B1493)/(IF(Inputs!$B$38="pvp",15,MAX(0.1,Skills!D11-IF(Skills!E11=TRUE,Inputs!$B$32,0)))*(1-IF(AND(ArtifactsInput!$M$27,Inputs!$B$4="Chapter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INDEX(FactorTable!$B$2:$Y$301, MATCH(ROUND(MIN(300,MAX(1,D1469)),0),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INDEX(FactorTable!$B$2:$Y$301, MATCH(ROUND(MIN(300,MAX(1,D1470)),0), FactorTable!$A$2:$A$301,0), Skills!M13+1)</f>
        <v/>
      </c>
      <c r="F1470">
        <f>IF(Skills!N13=TRUE,(Skills!L13/10)*(E1470/1000),Skills!L13/10)+Skills!O13</f>
        <v/>
      </c>
      <c r="G1470">
        <f>Skills!G13*IF(Skills!H13&gt;0,Skills!I13/Skills!H13,1)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Inputs!$B$3&gt;=75</f>
        <v/>
      </c>
      <c r="D1471">
        <f>IF(Skills!C14=1,60+Inputs!$B$25+Inputs!$B$29,IF(Skills!C14=2,90+Inputs!$B$26+Inputs!$B$29,IF(Skills!C14=3,120+Inputs!$B$27+Inputs!$B$29,MAX(0,(Inputs!$B$3-100)*3)+Inputs!$B$28+Inputs!$B$29)))</f>
        <v/>
      </c>
      <c r="E1471">
        <f>INDEX(FactorTable!$B$2:$Y$301, MATCH(ROUND(MIN(300,MAX(1,D1471)),0), FactorTable!$A$2:$A$301,0), Skills!M14+1)</f>
        <v/>
      </c>
      <c r="F1471">
        <f>IF(Skills!N14=TRUE,(Skills!L14/10)*(E1471/1000),Skills!L14/10)+Skills!O14</f>
        <v/>
      </c>
      <c r="G1471">
        <f>Skills!G14*IF(Skills!H14&gt;0,Skills!I14/Skills!H14,1)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Inputs!$B$3&gt;=40</f>
        <v/>
      </c>
      <c r="D1472">
        <f>IF(Skills!C15=1,60+Inputs!$B$25+Inputs!$B$29,IF(Skills!C15=2,90+Inputs!$B$26+Inputs!$B$29,IF(Skills!C15=3,120+Inputs!$B$27+Inputs!$B$29,MAX(0,(Inputs!$B$3-100)*3)+Inputs!$B$28+Inputs!$B$29)))</f>
        <v/>
      </c>
      <c r="E1472">
        <f>INDEX(FactorTable!$B$2:$Y$301, MATCH(ROUND(MIN(300,MAX(1,D1472)),0), FactorTable!$A$2:$A$301,0), Skills!M15+1)</f>
        <v/>
      </c>
      <c r="F1472">
        <f>IF(Skills!N15=TRUE,(Skills!L15/10)*(E1472/1000),Skills!L15/10)+Skills!O15</f>
        <v/>
      </c>
      <c r="G1472">
        <f>Skills!G15*IF(Skills!H15&gt;0,Skills!I15/Skills!H15,1)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IFERROR(1/(IF(Inputs!$B$38="pvp",15,MAX(0.1,Skills!D15-IF(Skills!E15=TRUE,Inputs!$B$32,0)))*(1-IF(AND(ArtifactsInput!$M$27,Inputs!$B$4="Chapter Hunt"),CHOOSE(ArtifactsInput!$N$27+1,20,24,28,32,36,40),0)/100)),0)</f>
        <v/>
      </c>
      <c r="R1472">
        <f>IF(AND(Inputs!$B$38&lt;&gt;"pvp",Inputs!$B$43&gt;0),IF(Inputs!$B$43&lt;=0,0,(INT(Inputs!$B$43/(IF(Inputs!$B$38="pvp",15,MAX(0.1,Skills!D15-IF(Skills!E15=TRUE,Inputs!$B$32,0)))*(1-IF(AND(ArtifactsInput!$M$27,Inputs!$B$4="Chapter Hunt"),CHOOSE(ArtifactsInput!$N$27+1,20,24,28,32,36,40),0)/100)))+1)),0)</f>
        <v/>
      </c>
      <c r="S1472">
        <f>IFERROR(O1472/N1472,0)</f>
        <v/>
      </c>
      <c r="T1472" t="n">
        <v>0</v>
      </c>
      <c r="V1472" t="n">
        <v>0</v>
      </c>
    </row>
    <row r="1473">
      <c r="A1473">
        <f>Skills!A16</f>
        <v/>
      </c>
      <c r="B1473">
        <f>Skills!B16</f>
        <v/>
      </c>
      <c r="C1473">
        <f>Inputs!$B$3&gt;=66</f>
        <v/>
      </c>
      <c r="D1473">
        <f>IF(Skills!C16=1,60+Inputs!$B$25+Inputs!$B$29,IF(Skills!C16=2,90+Inputs!$B$26+Inputs!$B$29,IF(Skills!C16=3,120+Inputs!$B$27+Inputs!$B$29,MAX(0,(Inputs!$B$3-100)*3)+Inputs!$B$28+Inputs!$B$29)))</f>
        <v/>
      </c>
      <c r="E1473">
        <f>INDEX(FactorTable!$B$2:$Y$301, MATCH(ROUND(MIN(300,MAX(1,D1473)),0), FactorTable!$A$2:$A$301,0), Skills!M16+1)</f>
        <v/>
      </c>
      <c r="F1473">
        <f>IF(Skills!N16=TRUE,(Skills!L16/10)*(E1473/1000),Skills!L16/10)+Skills!O16</f>
        <v/>
      </c>
      <c r="G1473">
        <f>Skills!G16*IF(Skills!H16&gt;0,Skills!I16/Skills!H16,1)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IFERROR(1/(IF(Inputs!$B$38="pvp",15,MAX(0.1,Skills!D16-IF(Skills!E16=TRUE,Inputs!$B$32,0)))*(1-IF(AND(ArtifactsInput!$M$27,Inputs!$B$4="Chapter Hunt"),CHOOSE(ArtifactsInput!$N$27+1,20,24,28,32,36,40),0)/100)),0)</f>
        <v/>
      </c>
      <c r="R1473">
        <f>IF(AND(Inputs!$B$38&lt;&gt;"pvp",Inputs!$B$43&gt;0),IF(Inputs!$B$43&lt;=0,0,(INT(Inputs!$B$43/(IF(Inputs!$B$38="pvp",15,MAX(0.1,Skills!D16-IF(Skills!E16=TRUE,Inputs!$B$32,0)))*(1-IF(AND(ArtifactsInput!$M$27,Inputs!$B$4="Chapter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INDEX(FactorTable!$B$2:$Y$301, MATCH(ROUND(MIN(300,MAX(1,D1474)),0), FactorTable!$A$2:$A$301,0), Skills!M17+1)</f>
        <v/>
      </c>
      <c r="F1474">
        <f>IF(Skills!N17=TRUE,(Skills!L17/10)*(E1474/1000),Skills!L17/10)+Skills!O17</f>
        <v/>
      </c>
      <c r="G1474">
        <f>Skills!G17*IF(Skills!H17&gt;0,Skills!I17/Skills!H17,1)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IFERROR(1/(IF(Inputs!$B$38="pvp",15,MAX(0.1,Skills!D17-IF(Skills!E17=TRUE,Inputs!$B$32,0)))*(1-IF(AND(ArtifactsInput!$M$27,Inputs!$B$4="Chapter Hunt"),CHOOSE(ArtifactsInput!$N$27+1,20,24,28,32,36,40),0)/100)),0)</f>
        <v/>
      </c>
      <c r="R1474">
        <f>IF(AND(Inputs!$B$38&lt;&gt;"pvp",Inputs!$B$43&gt;0),IF(Inputs!$B$43&lt;=0,0,(INT(Inputs!$B$43/(IF(Inputs!$B$38="pvp",15,MAX(0.1,Skills!D17-IF(Skills!E17=TRUE,Inputs!$B$32,0)))*(1-IF(AND(ArtifactsInput!$M$27,Inputs!$B$4="Chapter Hunt"),CHOOSE(ArtifactsInput!$N$27+1,20,24,28,32,36,40),0)/100)))+1)),0)</f>
        <v/>
      </c>
      <c r="S1474">
        <f>IFERROR(O1474/N1474,0)</f>
        <v/>
      </c>
      <c r="T1474" t="n">
        <v>0</v>
      </c>
      <c r="V1474" t="n">
        <v>0</v>
      </c>
    </row>
    <row r="1475">
      <c r="A1475">
        <f>Skills!A18</f>
        <v/>
      </c>
      <c r="B1475">
        <f>Skills!B18</f>
        <v/>
      </c>
      <c r="C1475">
        <f>Inputs!$B$3&gt;=115</f>
        <v/>
      </c>
      <c r="D1475">
        <f>IF(Skills!C18=1,60+Inputs!$B$25+Inputs!$B$29,IF(Skills!C18=2,90+Inputs!$B$26+Inputs!$B$29,IF(Skills!C18=3,120+Inputs!$B$27+Inputs!$B$29,MAX(0,(Inputs!$B$3-100)*3)+Inputs!$B$28+Inputs!$B$29)))</f>
        <v/>
      </c>
      <c r="E1475">
        <f>INDEX(FactorTable!$B$2:$Y$301, MATCH(ROUND(MIN(300,MAX(1,D1475)),0), FactorTable!$A$2:$A$301,0), Skills!M18+1)</f>
        <v/>
      </c>
      <c r="F1475">
        <f>IF(Skills!N18=TRUE,(Skills!L18/10)*(E1475/1000),Skills!L18/10)+Skills!O18</f>
        <v/>
      </c>
      <c r="G1475">
        <f>Skills!G18*IF(Skills!H18&gt;0,Skills!I18/Skills!H18,1)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IFERROR(1/(IF(Inputs!$B$38="pvp",15,MAX(0.1,Skills!D18-IF(Skills!E18=TRUE,Inputs!$B$32,0)))*(1-IF(AND(ArtifactsInput!$M$27,Inputs!$B$4="Chapter Hunt"),CHOOSE(ArtifactsInput!$N$27+1,20,24,28,32,36,40),0)/100)),0)</f>
        <v/>
      </c>
      <c r="R1475">
        <f>IF(AND(Inputs!$B$38&lt;&gt;"pvp",Inputs!$B$43&gt;0),IF(Inputs!$B$43&lt;=0,0,(INT(Inputs!$B$43/(IF(Inputs!$B$38="pvp",15,MAX(0.1,Skills!D18-IF(Skills!E18=TRUE,Inputs!$B$32,0)))*(1-IF(AND(ArtifactsInput!$M$27,Inputs!$B$4="Chapter Hunt"),CHOOSE(ArtifactsInput!$N$27+1,20,24,28,32,36,40),0)/100)))+1)),0)</f>
        <v/>
      </c>
      <c r="S1475">
        <f>IFERROR(O1475/N1475,0)</f>
        <v/>
      </c>
      <c r="T1475" t="n">
        <v>0</v>
      </c>
      <c r="V1475" t="n">
        <v>0</v>
      </c>
    </row>
    <row r="1476">
      <c r="A1476">
        <f>Skills!A19</f>
        <v/>
      </c>
      <c r="B1476">
        <f>Skills!B19</f>
        <v/>
      </c>
      <c r="C1476">
        <f>TRUE</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IFERROR(1/(IF(Inputs!$B$38="pvp",15,MAX(0.1,Skills!D19-IF(Skills!E19=TRUE,Inputs!$B$32,0)))*(1-IF(AND(ArtifactsInput!$M$27,Inputs!$B$4="Chapter Hunt"),CHOOSE(ArtifactsInput!$N$27+1,20,24,28,32,36,40),0)/100)),0)</f>
        <v/>
      </c>
      <c r="R1476">
        <f>IF(AND(Inputs!$B$38&lt;&gt;"pvp",Inputs!$B$43&gt;0),IF(Inputs!$B$43&lt;=0,0,(INT(Inputs!$B$43/(IF(Inputs!$B$38="pvp",15,MAX(0.1,Skills!D19-IF(Skills!E19=TRUE,Inputs!$B$32,0)))*(1-IF(AND(ArtifactsInput!$M$27,Inputs!$B$4="Chapter Hunt"),CHOOSE(ArtifactsInput!$N$27+1,20,24,28,32,36,40),0)/100)))+1)),0)</f>
        <v/>
      </c>
      <c r="S1476">
        <f>IFERROR(O1476/N1476,0)</f>
        <v/>
      </c>
      <c r="T1476" t="n">
        <v>0</v>
      </c>
      <c r="V1476" t="n">
        <v>0</v>
      </c>
    </row>
    <row r="1477">
      <c r="A1477">
        <f>Skills!A20</f>
        <v/>
      </c>
      <c r="B1477">
        <f>Skills!B20</f>
        <v/>
      </c>
      <c r="C1477">
        <f>Inputs!$B$3&gt;=33</f>
        <v/>
      </c>
      <c r="D1477">
        <f>IF(Skills!C20=1,60+Inputs!$B$25+Inputs!$B$29,IF(Skills!C20=2,90+Inputs!$B$26+Inputs!$B$29,IF(Skills!C20=3,120+Inputs!$B$27+Inputs!$B$29,MAX(0,(Inputs!$B$3-100)*3)+Inputs!$B$28+Inputs!$B$29)))</f>
        <v/>
      </c>
      <c r="E1477">
        <f>INDEX(FactorTable!$B$2:$Y$301, MATCH(ROUND(MIN(300,MAX(1,D1477)),0), FactorTable!$A$2:$A$301,0), Skills!M20+1)</f>
        <v/>
      </c>
      <c r="F1477">
        <f>IF(Skills!N20=TRUE,(Skills!L20/10)*(E1477/1000),Skills!L20/10)+Skills!O20</f>
        <v/>
      </c>
      <c r="G1477">
        <f>Skills!G20*IF(Skills!H20&gt;0,Skills!I20/Skills!H20,1)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Inputs!$B$3&gt;=38</f>
        <v/>
      </c>
      <c r="D1478">
        <f>IF(Skills!C21=1,60+Inputs!$B$25+Inputs!$B$29,IF(Skills!C21=2,90+Inputs!$B$26+Inputs!$B$29,IF(Skills!C21=3,120+Inputs!$B$27+Inputs!$B$29,MAX(0,(Inputs!$B$3-100)*3)+Inputs!$B$28+Inputs!$B$29)))</f>
        <v/>
      </c>
      <c r="E1478">
        <f>INDEX(FactorTable!$B$2:$Y$301, MATCH(ROUND(MIN(300,MAX(1,D1478)),0), FactorTable!$A$2:$A$301,0), Skills!M21+1)</f>
        <v/>
      </c>
      <c r="F1478">
        <f>IF(Skills!N21=TRUE,(Skills!L21/10)*(E1478/1000),Skills!L21/10)+Skills!O21</f>
        <v/>
      </c>
      <c r="G1478">
        <f>Skills!G21*IF(Skills!H21&gt;0,Skills!I21/Skills!H21,1)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t="n">
        <v>0</v>
      </c>
      <c r="R1478" t="n">
        <v>0</v>
      </c>
      <c r="S1478">
        <f>IFERROR(O1478/N1478,0)</f>
        <v/>
      </c>
      <c r="T1478" t="n">
        <v>0</v>
      </c>
      <c r="V1478" t="n">
        <v>0</v>
      </c>
    </row>
    <row r="1479">
      <c r="A1479">
        <f>Skills!A22</f>
        <v/>
      </c>
      <c r="B1479">
        <f>Skills!B22</f>
        <v/>
      </c>
      <c r="C1479">
        <f>Inputs!$B$3&gt;=43</f>
        <v/>
      </c>
      <c r="D1479">
        <f>IF(Skills!C22=1,60+Inputs!$B$25+Inputs!$B$29,IF(Skills!C22=2,90+Inputs!$B$26+Inputs!$B$29,IF(Skills!C22=3,120+Inputs!$B$27+Inputs!$B$29,MAX(0,(Inputs!$B$3-100)*3)+Inputs!$B$28+Inputs!$B$29)))</f>
        <v/>
      </c>
      <c r="E1479">
        <f>INDEX(FactorTable!$B$2:$Y$301, MATCH(ROUND(MIN(300,MAX(1,D1479)),0), FactorTable!$A$2:$A$301,0), Skills!M22+1)</f>
        <v/>
      </c>
      <c r="F1479">
        <f>IF(Skills!N22=TRUE,(Skills!L22/10)*(E1479/1000),Skills!L22/10)+Skills!O22</f>
        <v/>
      </c>
      <c r="G1479">
        <f>Skills!G22*IF(Skills!H22&gt;0,Skills!I22/Skills!H22,1)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Inputs!$B$3&gt;=120</f>
        <v/>
      </c>
      <c r="D1480">
        <f>IF(Skills!C23=1,60+Inputs!$B$25+Inputs!$B$29,IF(Skills!C23=2,90+Inputs!$B$26+Inputs!$B$29,IF(Skills!C23=3,120+Inputs!$B$27+Inputs!$B$29,MAX(0,(Inputs!$B$3-100)*3)+Inputs!$B$28+Inputs!$B$29)))</f>
        <v/>
      </c>
      <c r="E1480">
        <f>INDEX(FactorTable!$B$2:$Y$301, MATCH(ROUND(MIN(300,MAX(1,D1480)),0), FactorTable!$A$2:$A$301,0), Skills!M23+1)</f>
        <v/>
      </c>
      <c r="F1480">
        <f>IF(Skills!N23=TRUE,(Skills!L23/10)*(E1480/1000),Skills!L23/10)+Skills!O23</f>
        <v/>
      </c>
      <c r="G1480">
        <f>Skills!G23*IF(Skills!H23&gt;0,Skills!I23/Skills!H23,1)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Inputs!$B$3&gt;=120</f>
        <v/>
      </c>
      <c r="D1481">
        <f>IF(Skills!C24=1,60+Inputs!$B$25+Inputs!$B$29,IF(Skills!C24=2,90+Inputs!$B$26+Inputs!$B$29,IF(Skills!C24=3,120+Inputs!$B$27+Inputs!$B$29,MAX(0,(Inputs!$B$3-100)*3)+Inputs!$B$28+Inputs!$B$29)))</f>
        <v/>
      </c>
      <c r="E1481">
        <f>INDEX(FactorTable!$B$2:$Y$301, MATCH(ROUND(MIN(300,MAX(1,D1481)),0), FactorTable!$A$2:$A$301,0), Skills!M24+1)</f>
        <v/>
      </c>
      <c r="F1481">
        <f>IF(Skills!N24=TRUE,(Skills!L24/10)*(E1481/1000),Skills!L24/10)+Skills!O24</f>
        <v/>
      </c>
      <c r="G1481">
        <f>Skills!G24*IF(Skills!H24&gt;0,Skills!I24/Skills!H24,1)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Inputs!$B$3&gt;=125</f>
        <v/>
      </c>
      <c r="D1482">
        <f>IF(Skills!C25=1,60+Inputs!$B$25+Inputs!$B$29,IF(Skills!C25=2,90+Inputs!$B$26+Inputs!$B$29,IF(Skills!C25=3,120+Inputs!$B$27+Inputs!$B$29,MAX(0,(Inputs!$B$3-100)*3)+Inputs!$B$28+Inputs!$B$29)))</f>
        <v/>
      </c>
      <c r="E1482">
        <f>INDEX(FactorTable!$B$2:$Y$301, MATCH(ROUND(MIN(300,MAX(1,D1482)),0), FactorTable!$A$2:$A$301,0), Skills!M25+1)</f>
        <v/>
      </c>
      <c r="F1482">
        <f>IF(Skills!N25=TRUE,(Skills!L25/10)*(E1482/1000),Skills!L25/10)+Skills!O25</f>
        <v/>
      </c>
      <c r="G1482">
        <f>Skills!G25*IF(Skills!H25&gt;0,Skills!I25/Skills!H25,1)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Inputs!$B$3&gt;=72</f>
        <v/>
      </c>
      <c r="D1483">
        <f>IF(Skills!C26=1,60+Inputs!$B$25+Inputs!$B$29,IF(Skills!C26=2,90+Inputs!$B$26+Inputs!$B$29,IF(Skills!C26=3,120+Inputs!$B$27+Inputs!$B$29,MAX(0,(Inputs!$B$3-100)*3)+Inputs!$B$28+Inputs!$B$29)))</f>
        <v/>
      </c>
      <c r="E1483">
        <f>INDEX(FactorTable!$B$2:$Y$301, MATCH(ROUND(MIN(300,MAX(1,D1483)),0), FactorTable!$A$2:$A$301,0), Skills!M26+1)</f>
        <v/>
      </c>
      <c r="F1483">
        <f>IF(Skills!N26=TRUE,(Skills!L26/10)*(E1483/1000),Skills!L26/10)+Skills!O26</f>
        <v/>
      </c>
      <c r="G1483">
        <f>Skills!G26*IF(Skills!H26&gt;0,Skills!I26/Skills!H26,1)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1476=TRUE)*F1476*IF(AND(Inputs!$B$38&lt;&gt;"pvp",Inputs!$B$43&gt;0),(((R1476-1)*(Skills!T19*(1+(Inputs!$B$34+(ArtifactsInput!$M$7-ArtifactsInput!$M$7)*CHOOSE(ArtifactsInput!$N$7+1,6,7.2,8.4,9.6,10.8,12))/100))+MIN((Skills!T19*(1+(Inputs!$B$34+(ArtifactsInput!$M$7-ArtifactsInput!$M$7)*CHOOSE(ArtifactsInput!$N$7+1,6,7.2,8.4,9.6,10.8,12))/100)),MAX(0,Inputs!$B$43-((R1476-1)*Skills!D19))))/Inputs!$B$43),IF(Inputs!$B$38="pvp",MIN((Skills!T19*(1+(Inputs!$B$34+(ArtifactsInput!$M$7-ArtifactsInput!$M$7)*CHOOSE(ArtifactsInput!$N$7+1,6,7.2,8.4,9.6,10.8,12))/100)),15)/15,(Skills!T19*(1+(Inputs!$B$34+(ArtifactsInput!$M$7-ArtifactsInput!$M$7)*CHOOSE(ArtifactsInput!$N$7+1,6,7.2,8.4,9.6,10.8,12))/100))/Skills!D19)))</f>
        <v/>
      </c>
    </row>
    <row r="1488">
      <c r="A1488" t="inlineStr">
        <is>
          <t>Actions Per Second</t>
        </is>
      </c>
      <c r="B1488">
        <f>1+MIN(150,150*(1-(1-(Inputs!$B$11+((C1477=TRUE)*(F1477-Calc!F20)))/150)*(1-B1487/150)))/100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Raging Blow Casts Per Second</t>
        </is>
      </c>
      <c r="B1490">
        <f>MAX(0,B1488-B1489)</f>
        <v/>
      </c>
    </row>
    <row r="1491">
      <c r="A1491" t="inlineStr">
        <is>
          <t>Global Critical Damage Bonus % (Enrage)</t>
        </is>
      </c>
      <c r="B1491">
        <f>((C1475=TRUE)*F1475*IF(AND(Inputs!$B$38&lt;&gt;"pvp",Inputs!$B$43&gt;0),(((R1475-1)*(Skills!T18*(1+(Inputs!$B$34+(ArtifactsInput!$M$7-ArtifactsInput!$M$7)*CHOOSE(ArtifactsInput!$N$7+1,6,7.2,8.4,9.6,10.8,12))/100))+MIN((Skills!T18*(1+(Inputs!$B$34+(ArtifactsInput!$M$7-ArtifactsInput!$M$7)*CHOOSE(ArtifactsInput!$N$7+1,6,7.2,8.4,9.6,10.8,12))/100)),MAX(0,Inputs!$B$43-((R1475-1)*Skills!D18))))/Inputs!$B$43),IF(Inputs!$B$38="pvp",MIN((Skills!T18*(1+(Inputs!$B$34+(ArtifactsInput!$M$7-ArtifactsInput!$M$7)*CHOOSE(ArtifactsInput!$N$7+1,6,7.2,8.4,9.6,10.8,12))/100)),15)/15,(Skills!T18*(1+(Inputs!$B$34+(ArtifactsInput!$M$7-ArtifactsInput!$M$7)*CHOOSE(ArtifactsInput!$N$7+1,6,7.2,8.4,9.6,10.8,12))/100))/Skills!D18)))</f>
        <v/>
      </c>
    </row>
    <row r="1492">
      <c r="A1492" t="inlineStr">
        <is>
          <t>Global Final Damage Bonus % (Enrage + Combo Synergy)</t>
        </is>
      </c>
      <c r="B1492">
        <f>((C1474=TRUE)*F1474*IF(AND(Inputs!$B$38&lt;&gt;"pvp",Inputs!$B$43&gt;0),(((R1474-1)*(Skills!T17*(1+(Inputs!$B$34+(ArtifactsInput!$M$7-ArtifactsInput!$M$7)*CHOOSE(ArtifactsInput!$N$7+1,6,7.2,8.4,9.6,10.8,12))/100))+MIN((Skills!T17*(1+(Inputs!$B$34+(ArtifactsInput!$M$7-ArtifactsInput!$M$7)*CHOOSE(ArtifactsInput!$N$7+1,6,7.2,8.4,9.6,10.8,12))/100)),MAX(0,Inputs!$B$43-((R1474-1)*Skills!D17))))/Inputs!$B$43),IF(Inputs!$B$38="pvp",MIN((Skills!T17*(1+(Inputs!$B$34+(ArtifactsInput!$M$7-ArtifactsInput!$M$7)*CHOOSE(ArtifactsInput!$N$7+1,6,7.2,8.4,9.6,10.8,12))/100)),15)/15,(Skills!T17*(1+(Inputs!$B$34+(ArtifactsInput!$M$7-ArtifactsInput!$M$7)*CHOOSE(ArtifactsInput!$N$7+1,6,7.2,8.4,9.6,10.8,12))/100))/Skills!D17)))+((C1471=TRUE)*F1471*IF(Inputs!$B$3&gt;=110,7,5))</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1501)</f>
        <v/>
      </c>
      <c r="L1501">
        <f>K1501*(MIN(Inputs!$B$22+((C1521=TRUE)*(F1521-Calc!F22)),(Inputs!$B$23+((C1523=TRUE)*(F1523-Calc!F24))+(IF(ArtifactsInput!$M$15,CHOOSE(ArtifactsInput!$N$15+1,25,30,35,40,45,50)/100*(Inputs!$B$11-Inputs!$B$11),0))))/100+(Inputs!$B$23+((C1523=TRUE)*(F1523-Calc!F24))+(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Inputs!$B$3&gt;=103</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1504)</f>
        <v/>
      </c>
      <c r="L1504">
        <f>K1504*(MIN(Inputs!$B$22+((C1521=TRUE)*(F1521-Calc!F22)),(Inputs!$B$23+((C1523=TRUE)*(F1523-Calc!F24))+(IF(ArtifactsInput!$M$15,CHOOSE(ArtifactsInput!$N$15+1,25,30,35,40,45,50)/100*(Inputs!$B$11-Inputs!$B$11),0))))/100+(Inputs!$B$23+((C1523=TRUE)*(F1523-Calc!F24))+(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IFERROR(1/(IF(Inputs!$B$38="pvp",15,MAX(0.1,Skills!D5-IF(Skills!E5=TRUE,Inputs!$B$32,0)))*(1-IF(AND(ArtifactsInput!$M$27,Inputs!$B$4="Chapter Hunt"),CHOOSE(ArtifactsInput!$N$27+1,20,24,28,32,36,40),0)/100)),0)</f>
        <v/>
      </c>
      <c r="R1504">
        <f>IF(AND(Inputs!$B$38&lt;&gt;"pvp",Inputs!$B$43&gt;0),IF(MAX(0,Inputs!$B$43-B1535)&lt;=0,0,(INT(MAX(0,Inputs!$B$43-B1535)/(IF(Inputs!$B$38="pvp",15,MAX(0.1,Skills!D5-IF(Skills!E5=TRUE,Inputs!$B$32,0)))*(1-IF(AND(ArtifactsInput!$M$27,Inputs!$B$4="Chapter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1505)</f>
        <v/>
      </c>
      <c r="L1505">
        <f>K1505*(MIN(Inputs!$B$22+((C1521=TRUE)*(F1521-Calc!F22)),(Inputs!$B$23+((C1523=TRUE)*(F1523-Calc!F24))+(IF(ArtifactsInput!$M$15,CHOOSE(ArtifactsInput!$N$15+1,25,30,35,40,45,50)/100*(Inputs!$B$11-Inputs!$B$11),0))))/100+(Inputs!$B$23+((C1523=TRUE)*(F1523-Calc!F24))+(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IFERROR(1/(IF(Inputs!$B$38="pvp",15,MAX(0.1,Skills!D6-IF(Skills!E6=TRUE,Inputs!$B$32,0)))*(1-IF(AND(ArtifactsInput!$M$27,Inputs!$B$4="Chapter Hunt"),CHOOSE(ArtifactsInput!$N$27+1,20,24,28,32,36,40),0)/100)),0)</f>
        <v/>
      </c>
      <c r="R1505">
        <f>IF(AND(Inputs!$B$38&lt;&gt;"pvp",Inputs!$B$43&gt;0),IF(MAX(0,Inputs!$B$43-B1535)&lt;=0,0,(INT(MAX(0,Inputs!$B$43-B1535)/(IF(Inputs!$B$38="pvp",15,MAX(0.1,Skills!D6-IF(Skills!E6=TRUE,Inputs!$B$32,0)))*(1-IF(AND(ArtifactsInput!$M$27,Inputs!$B$4="Chapter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f>Skills!G7*IF(Skills!H7&gt;0,Skills!I7/Skills!H7,1)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1506)</f>
        <v/>
      </c>
      <c r="L1506">
        <f>K1506*(MIN(Inputs!$B$22+((C1521=TRUE)*(F1521-Calc!F22)),(Inputs!$B$23+((C1523=TRUE)*(F1523-Calc!F24))+(IF(ArtifactsInput!$M$15,CHOOSE(ArtifactsInput!$N$15+1,25,30,35,40,45,50)/100*(Inputs!$B$11-Inputs!$B$11),0))))/100+(Inputs!$B$23+((C1523=TRUE)*(F1523-Calc!F24))+(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IFERROR(1/(IF(Inputs!$B$38="pvp",15,MAX(0.1,Skills!D7-IF(Skills!E7=TRUE,Inputs!$B$32,0)))*(1-IF(AND(ArtifactsInput!$M$27,Inputs!$B$4="Chapter Hunt"),CHOOSE(ArtifactsInput!$N$27+1,20,24,28,32,36,40),0)/100)),0)</f>
        <v/>
      </c>
      <c r="R1506">
        <f>IF(AND(Inputs!$B$38&lt;&gt;"pvp",Inputs!$B$43&gt;0),IF(MAX(0,Inputs!$B$43-B1535)&lt;=0,0,(INT(MAX(0,Inputs!$B$43-B1535)/(IF(Inputs!$B$38="pvp",15,MAX(0.1,Skills!D7-IF(Skills!E7=TRUE,Inputs!$B$32,0)))*(1-IF(AND(ArtifactsInput!$M$27,Inputs!$B$4="Chapter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Inputs!$B$3&gt;=117</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1507)</f>
        <v/>
      </c>
      <c r="L1507">
        <f>K1507*(MIN(Inputs!$B$22+((C1521=TRUE)*(F1521-Calc!F22)),(Inputs!$B$23+((C1523=TRUE)*(F1523-Calc!F24))+(IF(ArtifactsInput!$M$15,CHOOSE(ArtifactsInput!$N$15+1,25,30,35,40,45,50)/100*(Inputs!$B$11-Inputs!$B$11),0))))/100+(Inputs!$B$23+((C1523=TRUE)*(F1523-Calc!F24))+(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IFERROR(1/(IF(Inputs!$B$38="pvp",15,MAX(0.1,Skills!D8-IF(Skills!E8=TRUE,Inputs!$B$32,0)))*(1-IF(AND(ArtifactsInput!$M$27,Inputs!$B$4="Chapter Hunt"),CHOOSE(ArtifactsInput!$N$27+1,20,24,28,32,36,40),0)/100)),0)</f>
        <v/>
      </c>
      <c r="R1507">
        <f>IF(AND(Inputs!$B$38&lt;&gt;"pvp",Inputs!$B$43&gt;0),IF(MAX(0,Inputs!$B$43-B1535)&lt;=0,0,(INT(MAX(0,Inputs!$B$43-B1535)/(IF(Inputs!$B$38="pvp",15,MAX(0.1,Skills!D8-IF(Skills!E8=TRUE,Inputs!$B$32,0)))*(1-IF(AND(ArtifactsInput!$M$27,Inputs!$B$4="Chapter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Inputs!$B$3&gt;=69</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9="ENHANCED_RAGING_BLOW",IF(Inputs!$B$3&gt;=134,MAX(0,IF(Inputs!$B$3&gt;=110,7,5)-5)*50,0),0)/100)*(1+(IF(Skills!A9="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1508)</f>
        <v/>
      </c>
      <c r="L1508">
        <f>K1508*(MIN(Inputs!$B$22+((C1521=TRUE)*(F1521-Calc!F22)),(Inputs!$B$23+((C1523=TRUE)*(F1523-Calc!F24))+(IF(ArtifactsInput!$M$15,CHOOSE(ArtifactsInput!$N$15+1,25,30,35,40,45,50)/100*(Inputs!$B$11-Inputs!$B$11),0))))/100+(Inputs!$B$23+((C1523=TRUE)*(F1523-Calc!F24))+(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IFERROR(1/(IF(Inputs!$B$38="pvp",15,MAX(0.1,Skills!D9-IF(Skills!E9=TRUE,Inputs!$B$32,0)))*(1-IF(AND(ArtifactsInput!$M$27,Inputs!$B$4="Chapter Hunt"),CHOOSE(ArtifactsInput!$N$27+1,20,24,28,32,36,40),0)/100)),0)</f>
        <v/>
      </c>
      <c r="R1508">
        <f>IF(AND(Inputs!$B$38&lt;&gt;"pvp",Inputs!$B$43&gt;0),IF(MAX(0,Inputs!$B$43-B1535)&lt;=0,0,(INT(MAX(0,Inputs!$B$43-B1535)/(IF(Inputs!$B$38="pvp",15,MAX(0.1,Skills!D9-IF(Skills!E9=TRUE,Inputs!$B$32,0)))*(1-IF(AND(ArtifactsInput!$M$27,Inputs!$B$4="Chapter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Inputs!$B$3&gt;=63</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f>Skills!G10*IF(Skills!H10&gt;0,Skills!I10/Skills!H10,1)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10="ENHANCED_RAGING_BLOW",IF(Inputs!$B$3&gt;=134,MAX(0,IF(Inputs!$B$3&gt;=110,7,5)-5)*50,0),0)/100)*(1+(IF(Skills!A10="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1509)</f>
        <v/>
      </c>
      <c r="L1509">
        <f>K1509*(MIN(Inputs!$B$22+((C1521=TRUE)*(F1521-Calc!F22)),(Inputs!$B$23+((C1523=TRUE)*(F1523-Calc!F24))+(IF(ArtifactsInput!$M$15,CHOOSE(ArtifactsInput!$N$15+1,25,30,35,40,45,50)/100*(Inputs!$B$11-Inputs!$B$11),0))))/100+(Inputs!$B$23+((C1523=TRUE)*(F1523-Calc!F24))+(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IFERROR(1/(IF(Inputs!$B$38="pvp",15,MAX(0.1,Skills!D10-IF(Skills!E10=TRUE,Inputs!$B$32,0)))*(1-IF(AND(ArtifactsInput!$M$27,Inputs!$B$4="Chapter Hunt"),CHOOSE(ArtifactsInput!$N$27+1,20,24,28,32,36,40),0)/100)),0)</f>
        <v/>
      </c>
      <c r="R1509">
        <f>IF(AND(Inputs!$B$38&lt;&gt;"pvp",Inputs!$B$43&gt;0),IF(MAX(0,Inputs!$B$43-B1535)&lt;=0,0,(INT(MAX(0,Inputs!$B$43-B1535)/(IF(Inputs!$B$38="pvp",15,MAX(0.1,Skills!D10-IF(Skills!E10=TRUE,Inputs!$B$32,0)))*(1-IF(AND(ArtifactsInput!$M$27,Inputs!$B$4="Chapter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Inputs!$B$3&gt;=35</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11="ENHANCED_RAGING_BLOW",IF(Inputs!$B$3&gt;=134,MAX(0,IF(Inputs!$B$3&gt;=110,7,5)-5)*50,0),0)/100)*(1+(IF(Skills!A11="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1510)</f>
        <v/>
      </c>
      <c r="L1510">
        <f>K1510*(MIN(Inputs!$B$22+((C1521=TRUE)*(F1521-Calc!F22)),(Inputs!$B$23+((C1523=TRUE)*(F1523-Calc!F24))+(IF(ArtifactsInput!$M$15,CHOOSE(ArtifactsInput!$N$15+1,25,30,35,40,45,50)/100*(Inputs!$B$11-Inputs!$B$11),0))))/100+(Inputs!$B$23+((C1523=TRUE)*(F1523-Calc!F24))+(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IFERROR(1/(IF(Inputs!$B$38="pvp",15,MAX(0.1,Skills!D11-IF(Skills!E11=TRUE,Inputs!$B$32,0)))*(1-IF(AND(ArtifactsInput!$M$27,Inputs!$B$4="Chapter Hunt"),CHOOSE(ArtifactsInput!$N$27+1,20,24,28,32,36,40),0)/100)),0)</f>
        <v/>
      </c>
      <c r="R1510">
        <f>IF(AND(Inputs!$B$38&lt;&gt;"pvp",Inputs!$B$43&gt;0),IF(MAX(0,Inputs!$B$43-B1535)&lt;=0,0,(INT(MAX(0,Inputs!$B$43-B1535)/(IF(Inputs!$B$38="pvp",15,MAX(0.1,Skills!D11-IF(Skills!E11=TRUE,Inputs!$B$32,0)))*(1-IF(AND(ArtifactsInput!$M$27,Inputs!$B$4="Chapter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Inputs!$B$3&gt;=75</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Inputs!$B$3&gt;=40</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IFERROR(1/(IF(Inputs!$B$38="pvp",15,MAX(0.1,Skills!D15-IF(Skills!E15=TRUE,Inputs!$B$32,0)))*(1-IF(AND(ArtifactsInput!$M$27,Inputs!$B$4="Chapter Hunt"),CHOOSE(ArtifactsInput!$N$27+1,20,24,28,32,36,40),0)/100)),0)</f>
        <v/>
      </c>
      <c r="R1514">
        <f>IF(AND(Inputs!$B$38&lt;&gt;"pvp",Inputs!$B$43&gt;0),IF(Inputs!$B$43&lt;=0,0,(INT(Inputs!$B$43/(IF(Inputs!$B$38="pvp",15,MAX(0.1,Skills!D15-IF(Skills!E15=TRUE,Inputs!$B$32,0)))*(1-IF(AND(ArtifactsInput!$M$27,Inputs!$B$4="Chapter Hunt"),CHOOSE(ArtifactsInput!$N$27+1,20,24,28,32,36,40),0)/100)))+1)),0)</f>
        <v/>
      </c>
      <c r="S1514">
        <f>IFERROR(O1514/N1514,0)</f>
        <v/>
      </c>
      <c r="T1514" t="n">
        <v>0</v>
      </c>
      <c r="V1514" t="n">
        <v>0</v>
      </c>
    </row>
    <row r="1515">
      <c r="A1515">
        <f>Skills!A16</f>
        <v/>
      </c>
      <c r="B1515">
        <f>Skills!B16</f>
        <v/>
      </c>
      <c r="C1515">
        <f>Inputs!$B$3&gt;=66</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IFERROR(1/(IF(Inputs!$B$38="pvp",15,MAX(0.1,Skills!D16-IF(Skills!E16=TRUE,Inputs!$B$32,0)))*(1-IF(AND(ArtifactsInput!$M$27,Inputs!$B$4="Chapter Hunt"),CHOOSE(ArtifactsInput!$N$27+1,20,24,28,32,36,40),0)/100)),0)</f>
        <v/>
      </c>
      <c r="R1515">
        <f>IF(AND(Inputs!$B$38&lt;&gt;"pvp",Inputs!$B$43&gt;0),IF(Inputs!$B$43&lt;=0,0,(INT(Inputs!$B$43/(IF(Inputs!$B$38="pvp",15,MAX(0.1,Skills!D16-IF(Skills!E16=TRUE,Inputs!$B$32,0)))*(1-IF(AND(ArtifactsInput!$M$27,Inputs!$B$4="Chapter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IFERROR(1/(IF(Inputs!$B$38="pvp",15,MAX(0.1,Skills!D17-IF(Skills!E17=TRUE,Inputs!$B$32,0)))*(1-IF(AND(ArtifactsInput!$M$27,Inputs!$B$4="Chapter Hunt"),CHOOSE(ArtifactsInput!$N$27+1,20,24,28,32,36,40),0)/100)),0)</f>
        <v/>
      </c>
      <c r="R1516">
        <f>IF(AND(Inputs!$B$38&lt;&gt;"pvp",Inputs!$B$43&gt;0),IF(Inputs!$B$43&lt;=0,0,(INT(Inputs!$B$43/(IF(Inputs!$B$38="pvp",15,MAX(0.1,Skills!D17-IF(Skills!E17=TRUE,Inputs!$B$32,0)))*(1-IF(AND(ArtifactsInput!$M$27,Inputs!$B$4="Chapter Hunt"),CHOOSE(ArtifactsInput!$N$27+1,20,24,28,32,36,40),0)/100)))+1)),0)</f>
        <v/>
      </c>
      <c r="S1516">
        <f>IFERROR(O1516/N1516,0)</f>
        <v/>
      </c>
      <c r="T1516" t="n">
        <v>0</v>
      </c>
      <c r="V1516" t="n">
        <v>0</v>
      </c>
    </row>
    <row r="1517">
      <c r="A1517">
        <f>Skills!A18</f>
        <v/>
      </c>
      <c r="B1517">
        <f>Skills!B18</f>
        <v/>
      </c>
      <c r="C1517">
        <f>Inputs!$B$3&gt;=115</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IFERROR(1/(IF(Inputs!$B$38="pvp",15,MAX(0.1,Skills!D18-IF(Skills!E18=TRUE,Inputs!$B$32,0)))*(1-IF(AND(ArtifactsInput!$M$27,Inputs!$B$4="Chapter Hunt"),CHOOSE(ArtifactsInput!$N$27+1,20,24,28,32,36,40),0)/100)),0)</f>
        <v/>
      </c>
      <c r="R1517">
        <f>IF(AND(Inputs!$B$38&lt;&gt;"pvp",Inputs!$B$43&gt;0),IF(Inputs!$B$43&lt;=0,0,(INT(Inputs!$B$43/(IF(Inputs!$B$38="pvp",15,MAX(0.1,Skills!D18-IF(Skills!E18=TRUE,Inputs!$B$32,0)))*(1-IF(AND(ArtifactsInput!$M$27,Inputs!$B$4="Chapter Hunt"),CHOOSE(ArtifactsInput!$N$27+1,20,24,28,32,36,40),0)/100)))+1)),0)</f>
        <v/>
      </c>
      <c r="S1517">
        <f>IFERROR(O1517/N1517,0)</f>
        <v/>
      </c>
      <c r="T1517" t="n">
        <v>0</v>
      </c>
      <c r="V1517" t="n">
        <v>0</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IFERROR(1/(IF(Inputs!$B$38="pvp",15,MAX(0.1,Skills!D19-IF(Skills!E19=TRUE,Inputs!$B$32,0)))*(1-IF(AND(ArtifactsInput!$M$27,Inputs!$B$4="Chapter Hunt"),CHOOSE(ArtifactsInput!$N$27+1,20,24,28,32,36,40),0)/100)),0)</f>
        <v/>
      </c>
      <c r="R1518">
        <f>IF(AND(Inputs!$B$38&lt;&gt;"pvp",Inputs!$B$43&gt;0),IF(Inputs!$B$43&lt;=0,0,(INT(Inputs!$B$43/(IF(Inputs!$B$38="pvp",15,MAX(0.1,Skills!D19-IF(Skills!E19=TRUE,Inputs!$B$32,0)))*(1-IF(AND(ArtifactsInput!$M$27,Inputs!$B$4="Chapter Hunt"),CHOOSE(ArtifactsInput!$N$27+1,20,24,28,32,36,40),0)/100)))+1)),0)</f>
        <v/>
      </c>
      <c r="S1518">
        <f>IFERROR(O1518/N1518,0)</f>
        <v/>
      </c>
      <c r="T1518" t="n">
        <v>0</v>
      </c>
      <c r="V1518" t="n">
        <v>0</v>
      </c>
    </row>
    <row r="1519">
      <c r="A1519">
        <f>Skills!A20</f>
        <v/>
      </c>
      <c r="B1519">
        <f>Skills!B20</f>
        <v/>
      </c>
      <c r="C1519">
        <f>Inputs!$B$3&gt;=33</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Inputs!$B$3&gt;=38</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Skills!A22</f>
        <v/>
      </c>
      <c r="B1521">
        <f>Skills!B22</f>
        <v/>
      </c>
      <c r="C1521">
        <f>Inputs!$B$3&gt;=43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Inputs!$B$3&gt;=120</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Inputs!$B$3&gt;=120</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Inputs!$B$3&gt;=72</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1518=TRUE)*F1518*IF(AND(Inputs!$B$38&lt;&gt;"pvp",Inputs!$B$43&gt;0),(((R1518-1)*(Skills!T19*(1+(Inputs!$B$34+(ArtifactsInput!$M$7-ArtifactsInput!$M$7)*CHOOSE(ArtifactsInput!$N$7+1,6,7.2,8.4,9.6,10.8,12))/100))+MIN((Skills!T19*(1+(Inputs!$B$34+(ArtifactsInput!$M$7-ArtifactsInput!$M$7)*CHOOSE(ArtifactsInput!$N$7+1,6,7.2,8.4,9.6,10.8,12))/100)),MAX(0,Inputs!$B$43-((R1518-1)*Skills!D19))))/Inputs!$B$43),IF(Inputs!$B$38="pvp",MIN((Skills!T19*(1+(Inputs!$B$34+(ArtifactsInput!$M$7-ArtifactsInput!$M$7)*CHOOSE(ArtifactsInput!$N$7+1,6,7.2,8.4,9.6,10.8,12))/100)),15)/15,(Skills!T19*(1+(Inputs!$B$34+(ArtifactsInput!$M$7-ArtifactsInput!$M$7)*CHOOSE(ArtifactsInput!$N$7+1,6,7.2,8.4,9.6,10.8,12))/100))/Skills!D19)))</f>
        <v/>
      </c>
    </row>
    <row r="1530">
      <c r="A1530" t="inlineStr">
        <is>
          <t>Actions Per Second</t>
        </is>
      </c>
      <c r="B1530">
        <f>1+MIN(150,150*(1-(1-(Inputs!$B$11+((C1519=TRUE)*(F1519-Calc!F20)))/150)*(1-B1529/150)))/100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Raging Blow Casts Per Second</t>
        </is>
      </c>
      <c r="B1532">
        <f>MAX(0,B1530-B1531)</f>
        <v/>
      </c>
    </row>
    <row r="1533">
      <c r="A1533" t="inlineStr">
        <is>
          <t>Global Critical Damage Bonus % (Enrage)</t>
        </is>
      </c>
      <c r="B1533">
        <f>((C1517=TRUE)*F1517*IF(AND(Inputs!$B$38&lt;&gt;"pvp",Inputs!$B$43&gt;0),(((R1517-1)*(Skills!T18*(1+(Inputs!$B$34+(ArtifactsInput!$M$7-ArtifactsInput!$M$7)*CHOOSE(ArtifactsInput!$N$7+1,6,7.2,8.4,9.6,10.8,12))/100))+MIN((Skills!T18*(1+(Inputs!$B$34+(ArtifactsInput!$M$7-ArtifactsInput!$M$7)*CHOOSE(ArtifactsInput!$N$7+1,6,7.2,8.4,9.6,10.8,12))/100)),MAX(0,Inputs!$B$43-((R1517-1)*Skills!D18))))/Inputs!$B$43),IF(Inputs!$B$38="pvp",MIN((Skills!T18*(1+(Inputs!$B$34+(ArtifactsInput!$M$7-ArtifactsInput!$M$7)*CHOOSE(ArtifactsInput!$N$7+1,6,7.2,8.4,9.6,10.8,12))/100)),15)/15,(Skills!T18*(1+(Inputs!$B$34+(ArtifactsInput!$M$7-ArtifactsInput!$M$7)*CHOOSE(ArtifactsInput!$N$7+1,6,7.2,8.4,9.6,10.8,12))/100))/Skills!D18)))</f>
        <v/>
      </c>
    </row>
    <row r="1534">
      <c r="A1534" t="inlineStr">
        <is>
          <t>Global Final Damage Bonus % (Enrage + Combo Synergy)</t>
        </is>
      </c>
      <c r="B1534">
        <f>((C1516=TRUE)*F1516*IF(AND(Inputs!$B$38&lt;&gt;"pvp",Inputs!$B$43&gt;0),(((R1516-1)*(Skills!T17*(1+(Inputs!$B$34+(ArtifactsInput!$M$7-ArtifactsInput!$M$7)*CHOOSE(ArtifactsInput!$N$7+1,6,7.2,8.4,9.6,10.8,12))/100))+MIN((Skills!T17*(1+(Inputs!$B$34+(ArtifactsInput!$M$7-ArtifactsInput!$M$7)*CHOOSE(ArtifactsInput!$N$7+1,6,7.2,8.4,9.6,10.8,12))/100)),MAX(0,Inputs!$B$43-((R1516-1)*Skills!D17))))/Inputs!$B$43),IF(Inputs!$B$38="pvp",MIN((Skills!T17*(1+(Inputs!$B$34+(ArtifactsInput!$M$7-ArtifactsInput!$M$7)*CHOOSE(ArtifactsInput!$N$7+1,6,7.2,8.4,9.6,10.8,12))/100)),15)/15,(Skills!T17*(1+(Inputs!$B$34+(ArtifactsInput!$M$7-ArtifactsInput!$M$7)*CHOOSE(ArtifactsInput!$N$7+1,6,7.2,8.4,9.6,10.8,12))/100))/Skills!D17)))+((C1513=TRUE)*F1513*IF(Inputs!$B$3&gt;=110,7,5))</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1543)</f>
        <v/>
      </c>
      <c r="L1543">
        <f>K1543*(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INDEX(FactorTable!$B$2:$Y$301, MATCH(ROUND(MIN(300,MAX(1,D1544)),0),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INDEX(FactorTable!$B$2:$Y$301, MATCH(ROUND(MIN(300,MAX(1,U1543)),0), FactorTable!$A$2:$A$301,0), 22)</f>
        <v/>
      </c>
    </row>
    <row r="1545">
      <c r="A1545">
        <f>Skills!A4</f>
        <v/>
      </c>
      <c r="B1545">
        <f>Skills!B4</f>
        <v/>
      </c>
      <c r="C1545">
        <f>Inputs!$B$3&gt;=105</f>
        <v/>
      </c>
      <c r="D1545">
        <f>IF(Skills!C4=1,60+Inputs!$B$25+Inputs!$B$29,IF(Skills!C4=2,90+Inputs!$B$26+Inputs!$B$29,IF(Skills!C4=3,120+Inputs!$B$27+Inputs!$B$29,MAX(0,(Inputs!$B$3-100)*3)+Inputs!$B$28+Inputs!$B$29)))</f>
        <v/>
      </c>
      <c r="E1545">
        <f>INDEX(FactorTable!$B$2:$Y$301, MATCH(ROUND(MIN(300,MAX(1,D1545)),0), FactorTable!$A$2:$A$301,0), Skills!M4+1)</f>
        <v/>
      </c>
      <c r="F1545">
        <f>IF(Skills!N4=TRUE,(Skills!L4/10)*(E1545/1000),Skills!L4/10)+Skills!O4</f>
        <v/>
      </c>
      <c r="G1545" t="inlineStr"/>
      <c r="H1545" t="inlineStr"/>
      <c r="I1545" t="inlineStr">
        <is>
          <t>1</t>
        </is>
      </c>
      <c r="J1545" t="inlineStr"/>
      <c r="K1545" t="inlineStr"/>
      <c r="L1545" t="inlineStr"/>
      <c r="M1545" t="inlineStr"/>
      <c r="N1545" t="inlineStr"/>
      <c r="O1545" t="inlineStr"/>
      <c r="P1545" t="inlineStr"/>
      <c r="Q1545" t="inlineStr"/>
      <c r="R1545" t="inlineStr"/>
      <c r="S1545" t="inlineStr"/>
      <c r="U1545">
        <f>290*U1544/1000</f>
        <v/>
      </c>
    </row>
    <row r="1546">
      <c r="A1546">
        <f>Skills!A5</f>
        <v/>
      </c>
      <c r="B1546">
        <f>Skills!B5</f>
        <v/>
      </c>
      <c r="C1546">
        <f>Inputs!$B$3&gt;=103</f>
        <v/>
      </c>
      <c r="D1546">
        <f>IF(Skills!C5=1,60+Inputs!$B$25+Inputs!$B$29,IF(Skills!C5=2,90+Inputs!$B$26+Inputs!$B$29,IF(Skills!C5=3,120+Inputs!$B$27+Inputs!$B$29,MAX(0,(Inputs!$B$3-100)*3)+Inputs!$B$28+Inputs!$B$29)))</f>
        <v/>
      </c>
      <c r="E1546">
        <f>INDEX(FactorTable!$B$2:$Y$301, MATCH(ROUND(MIN(300,MAX(1,D1546)),0), FactorTable!$A$2:$A$301,0), Skills!M5+1)</f>
        <v/>
      </c>
      <c r="F1546">
        <f>IF(Skills!N5=TRUE,(Skills!L5/10)*(E1546/1000),Skills!L5/10)+Skills!O5</f>
        <v/>
      </c>
      <c r="G1546">
        <f>Skills!G5*IF(Skills!H5&gt;0,Skills!I5/Skills!H5,1)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1546)</f>
        <v/>
      </c>
      <c r="L1546">
        <f>K1546*(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IFERROR(1/(IF(Inputs!$B$38="pvp",15,MAX(0.1,Skills!D5-IF(Skills!E5=TRUE,Inputs!$B$32,0)))*(1-IF(AND(ArtifactsInput!$M$27,Inputs!$B$4="Chapter Hunt"),CHOOSE(ArtifactsInput!$N$27+1,20,24,28,32,36,40),0)/100)),0)</f>
        <v/>
      </c>
      <c r="R1546">
        <f>IF(AND(Inputs!$B$38&lt;&gt;"pvp",Inputs!$B$43&gt;0),IF(MAX(0,Inputs!$B$43-B1577)&lt;=0,0,(INT(MAX(0,Inputs!$B$43-B1577)/(IF(Inputs!$B$38="pvp",15,MAX(0.1,Skills!D5-IF(Skills!E5=TRUE,Inputs!$B$32,0)))*(1-IF(AND(ArtifactsInput!$M$27,Inputs!$B$4="Chapter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INDEX(FactorTable!$B$2:$Y$301, MATCH(ROUND(MIN(300,MAX(1,D1547)),0), FactorTable!$A$2:$A$301,0), Skills!M6+1)</f>
        <v/>
      </c>
      <c r="F1547">
        <f>IF(Skills!N6=TRUE,(Skills!L6/10)*(E1547/1000),Skills!L6/10)+Skills!O6</f>
        <v/>
      </c>
      <c r="G1547">
        <f>Skills!G6*IF(Skills!H6&gt;0,Skills!I6/Skills!H6,1)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1547)</f>
        <v/>
      </c>
      <c r="L1547">
        <f>K1547*(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IFERROR(1/(IF(Inputs!$B$38="pvp",15,MAX(0.1,Skills!D6-IF(Skills!E6=TRUE,Inputs!$B$32,0)))*(1-IF(AND(ArtifactsInput!$M$27,Inputs!$B$4="Chapter Hunt"),CHOOSE(ArtifactsInput!$N$27+1,20,24,28,32,36,40),0)/100)),0)</f>
        <v/>
      </c>
      <c r="R1547">
        <f>IF(AND(Inputs!$B$38&lt;&gt;"pvp",Inputs!$B$43&gt;0),IF(MAX(0,Inputs!$B$43-B1577)&lt;=0,0,(INT(MAX(0,Inputs!$B$43-B1577)/(IF(Inputs!$B$38="pvp",15,MAX(0.1,Skills!D6-IF(Skills!E6=TRUE,Inputs!$B$32,0)))*(1-IF(AND(ArtifactsInput!$M$27,Inputs!$B$4="Chapter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INDEX(FactorTable!$B$2:$Y$301, MATCH(ROUND(MIN(300,MAX(1,D1548)),0), FactorTable!$A$2:$A$301,0), Skills!M7+1)</f>
        <v/>
      </c>
      <c r="F1548">
        <f>IF(Skills!N7=TRUE,(Skills!L7/10)*(E1548/1000),Skills!L7/10)+Skills!O7</f>
        <v/>
      </c>
      <c r="G1548">
        <f>Skills!G7*IF(Skills!H7&gt;0,Skills!I7/Skills!H7,1)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1548)</f>
        <v/>
      </c>
      <c r="L1548">
        <f>K1548*(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IFERROR(1/(IF(Inputs!$B$38="pvp",15,MAX(0.1,Skills!D7-IF(Skills!E7=TRUE,Inputs!$B$32,0)))*(1-IF(AND(ArtifactsInput!$M$27,Inputs!$B$4="Chapter Hunt"),CHOOSE(ArtifactsInput!$N$27+1,20,24,28,32,36,40),0)/100)),0)</f>
        <v/>
      </c>
      <c r="R1548">
        <f>IF(AND(Inputs!$B$38&lt;&gt;"pvp",Inputs!$B$43&gt;0),IF(MAX(0,Inputs!$B$43-B1577)&lt;=0,0,(INT(MAX(0,Inputs!$B$43-B1577)/(IF(Inputs!$B$38="pvp",15,MAX(0.1,Skills!D7-IF(Skills!E7=TRUE,Inputs!$B$32,0)))*(1-IF(AND(ArtifactsInput!$M$27,Inputs!$B$4="Chapter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Inputs!$B$3&gt;=117</f>
        <v/>
      </c>
      <c r="D1549">
        <f>IF(Skills!C8=1,60+Inputs!$B$25+Inputs!$B$29,IF(Skills!C8=2,90+Inputs!$B$26+Inputs!$B$29,IF(Skills!C8=3,120+Inputs!$B$27+Inputs!$B$29,MAX(0,(Inputs!$B$3-100)*3)+Inputs!$B$28+Inputs!$B$29)))</f>
        <v/>
      </c>
      <c r="E1549">
        <f>INDEX(FactorTable!$B$2:$Y$301, MATCH(ROUND(MIN(300,MAX(1,D1549)),0), FactorTable!$A$2:$A$301,0), Skills!M8+1)</f>
        <v/>
      </c>
      <c r="F1549">
        <f>IF(Skills!N8=TRUE,(Skills!L8/10)*(E1549/1000),Skills!L8/10)+Skills!O8</f>
        <v/>
      </c>
      <c r="G1549">
        <f>Skills!G8*IF(Skills!H8&gt;0,Skills!I8/Skills!H8,1)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1549)</f>
        <v/>
      </c>
      <c r="L1549">
        <f>K1549*(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IFERROR(1/(IF(Inputs!$B$38="pvp",15,MAX(0.1,Skills!D8-IF(Skills!E8=TRUE,Inputs!$B$32,0)))*(1-IF(AND(ArtifactsInput!$M$27,Inputs!$B$4="Chapter Hunt"),CHOOSE(ArtifactsInput!$N$27+1,20,24,28,32,36,40),0)/100)),0)</f>
        <v/>
      </c>
      <c r="R1549">
        <f>IF(AND(Inputs!$B$38&lt;&gt;"pvp",Inputs!$B$43&gt;0),IF(MAX(0,Inputs!$B$43-B1577)&lt;=0,0,(INT(MAX(0,Inputs!$B$43-B1577)/(IF(Inputs!$B$38="pvp",15,MAX(0.1,Skills!D8-IF(Skills!E8=TRUE,Inputs!$B$32,0)))*(1-IF(AND(ArtifactsInput!$M$27,Inputs!$B$4="Chapter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Inputs!$B$3&gt;=69</f>
        <v/>
      </c>
      <c r="D1550">
        <f>IF(Skills!C9=1,60+Inputs!$B$25+Inputs!$B$29,IF(Skills!C9=2,90+Inputs!$B$26+Inputs!$B$29,IF(Skills!C9=3,120+Inputs!$B$27+Inputs!$B$29,MAX(0,(Inputs!$B$3-100)*3)+Inputs!$B$28+Inputs!$B$29)))</f>
        <v/>
      </c>
      <c r="E1550">
        <f>INDEX(FactorTable!$B$2:$Y$301, MATCH(ROUND(MIN(300,MAX(1,D1550)),0), FactorTable!$A$2:$A$301,0), Skills!M9+1)</f>
        <v/>
      </c>
      <c r="F1550">
        <f>IF(Skills!N9=TRUE,(Skills!L9/10)*(E1550/1000),Skills!L9/10)+Skills!O9</f>
        <v/>
      </c>
      <c r="G1550">
        <f>Skills!G9*IF(Skills!H9&gt;0,Skills!I9/Skills!H9,1)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ENHANCED_RAGING_BLOW",IF(Inputs!$B$3&gt;=134,MAX(0,IF(Inputs!$B$3&gt;=110,7,5)-5)*50,0),0)/100)*(1+(IF(Skills!A9="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1550)</f>
        <v/>
      </c>
      <c r="L1550">
        <f>K1550*(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IFERROR(1/(IF(Inputs!$B$38="pvp",15,MAX(0.1,Skills!D9-IF(Skills!E9=TRUE,Inputs!$B$32,0)))*(1-IF(AND(ArtifactsInput!$M$27,Inputs!$B$4="Chapter Hunt"),CHOOSE(ArtifactsInput!$N$27+1,20,24,28,32,36,40),0)/100)),0)</f>
        <v/>
      </c>
      <c r="R1550">
        <f>IF(AND(Inputs!$B$38&lt;&gt;"pvp",Inputs!$B$43&gt;0),IF(MAX(0,Inputs!$B$43-B1577)&lt;=0,0,(INT(MAX(0,Inputs!$B$43-B1577)/(IF(Inputs!$B$38="pvp",15,MAX(0.1,Skills!D9-IF(Skills!E9=TRUE,Inputs!$B$32,0)))*(1-IF(AND(ArtifactsInput!$M$27,Inputs!$B$4="Chapter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Inputs!$B$3&gt;=63</f>
        <v/>
      </c>
      <c r="D1551">
        <f>IF(Skills!C10=1,60+Inputs!$B$25+Inputs!$B$29,IF(Skills!C10=2,90+Inputs!$B$26+Inputs!$B$29,IF(Skills!C10=3,120+Inputs!$B$27+Inputs!$B$29,MAX(0,(Inputs!$B$3-100)*3)+Inputs!$B$28+Inputs!$B$29)))</f>
        <v/>
      </c>
      <c r="E1551">
        <f>INDEX(FactorTable!$B$2:$Y$301, MATCH(ROUND(MIN(300,MAX(1,D1551)),0), FactorTable!$A$2:$A$301,0), Skills!M10+1)</f>
        <v/>
      </c>
      <c r="F1551">
        <f>IF(Skills!N10=TRUE,(Skills!L10/10)*(E1551/1000),Skills!L10/10)+Skills!O10</f>
        <v/>
      </c>
      <c r="G1551">
        <f>Skills!G10*IF(Skills!H10&gt;0,Skills!I10/Skills!H10,1)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10="ENHANCED_RAGING_BLOW",IF(Inputs!$B$3&gt;=134,MAX(0,IF(Inputs!$B$3&gt;=110,7,5)-5)*50,0),0)/100)*(1+(IF(Skills!A10="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1551)</f>
        <v/>
      </c>
      <c r="L1551">
        <f>K1551*(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IFERROR(1/(IF(Inputs!$B$38="pvp",15,MAX(0.1,Skills!D10-IF(Skills!E10=TRUE,Inputs!$B$32,0)))*(1-IF(AND(ArtifactsInput!$M$27,Inputs!$B$4="Chapter Hunt"),CHOOSE(ArtifactsInput!$N$27+1,20,24,28,32,36,40),0)/100)),0)</f>
        <v/>
      </c>
      <c r="R1551">
        <f>IF(AND(Inputs!$B$38&lt;&gt;"pvp",Inputs!$B$43&gt;0),IF(MAX(0,Inputs!$B$43-B1577)&lt;=0,0,(INT(MAX(0,Inputs!$B$43-B1577)/(IF(Inputs!$B$38="pvp",15,MAX(0.1,Skills!D10-IF(Skills!E10=TRUE,Inputs!$B$32,0)))*(1-IF(AND(ArtifactsInput!$M$27,Inputs!$B$4="Chapter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Inputs!$B$3&gt;=35</f>
        <v/>
      </c>
      <c r="D1552">
        <f>IF(Skills!C11=1,60+Inputs!$B$25+Inputs!$B$29,IF(Skills!C11=2,90+Inputs!$B$26+Inputs!$B$29,IF(Skills!C11=3,120+Inputs!$B$27+Inputs!$B$29,MAX(0,(Inputs!$B$3-100)*3)+Inputs!$B$28+Inputs!$B$29)))</f>
        <v/>
      </c>
      <c r="E1552">
        <f>INDEX(FactorTable!$B$2:$Y$301, MATCH(ROUND(MIN(300,MAX(1,D1552)),0), FactorTable!$A$2:$A$301,0), Skills!M11+1)</f>
        <v/>
      </c>
      <c r="F1552">
        <f>IF(Skills!N11=TRUE,(Skills!L11/10)*(E1552/1000),Skills!L11/10)+Skills!O11</f>
        <v/>
      </c>
      <c r="G1552">
        <f>Skills!G11*IF(Skills!H11&gt;0,Skills!I11/Skills!H11,1)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11="ENHANCED_RAGING_BLOW",IF(Inputs!$B$3&gt;=134,MAX(0,IF(Inputs!$B$3&gt;=110,7,5)-5)*50,0),0)/100)*(1+(IF(Skills!A11="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1552)</f>
        <v/>
      </c>
      <c r="L1552">
        <f>K1552*(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IFERROR(1/(IF(Inputs!$B$38="pvp",15,MAX(0.1,Skills!D11-IF(Skills!E11=TRUE,Inputs!$B$32,0)))*(1-IF(AND(ArtifactsInput!$M$27,Inputs!$B$4="Chapter Hunt"),CHOOSE(ArtifactsInput!$N$27+1,20,24,28,32,36,40),0)/100)),0)</f>
        <v/>
      </c>
      <c r="R1552">
        <f>IF(AND(Inputs!$B$38&lt;&gt;"pvp",Inputs!$B$43&gt;0),IF(MAX(0,Inputs!$B$43-B1577)&lt;=0,0,(INT(MAX(0,Inputs!$B$43-B1577)/(IF(Inputs!$B$38="pvp",15,MAX(0.1,Skills!D11-IF(Skills!E11=TRUE,Inputs!$B$32,0)))*(1-IF(AND(ArtifactsInput!$M$27,Inputs!$B$4="Chapter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INDEX(FactorTable!$B$2:$Y$301, MATCH(ROUND(MIN(300,MAX(1,D1553)),0),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INDEX(FactorTable!$B$2:$Y$301, MATCH(ROUND(MIN(300,MAX(1,D1554)),0), FactorTable!$A$2:$A$301,0), Skills!M13+1)</f>
        <v/>
      </c>
      <c r="F1554">
        <f>IF(Skills!N13=TRUE,(Skills!L13/10)*(E1554/1000),Skills!L13/10)+Skills!O13</f>
        <v/>
      </c>
      <c r="G1554">
        <f>Skills!G13*IF(Skills!H13&gt;0,Skills!I13/Skills!H13,1)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Inputs!$B$3&gt;=75</f>
        <v/>
      </c>
      <c r="D1555">
        <f>IF(Skills!C14=1,60+Inputs!$B$25+Inputs!$B$29,IF(Skills!C14=2,90+Inputs!$B$26+Inputs!$B$29,IF(Skills!C14=3,120+Inputs!$B$27+Inputs!$B$29,MAX(0,(Inputs!$B$3-100)*3)+Inputs!$B$28+Inputs!$B$29)))</f>
        <v/>
      </c>
      <c r="E1555">
        <f>INDEX(FactorTable!$B$2:$Y$301, MATCH(ROUND(MIN(300,MAX(1,D1555)),0), FactorTable!$A$2:$A$301,0), Skills!M14+1)</f>
        <v/>
      </c>
      <c r="F1555">
        <f>IF(Skills!N14=TRUE,(Skills!L14/10)*(E1555/1000),Skills!L14/10)+Skills!O14</f>
        <v/>
      </c>
      <c r="G1555">
        <f>Skills!G14*IF(Skills!H14&gt;0,Skills!I14/Skills!H14,1)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Inputs!$B$3&gt;=40</f>
        <v/>
      </c>
      <c r="D1556">
        <f>IF(Skills!C15=1,60+Inputs!$B$25+Inputs!$B$29,IF(Skills!C15=2,90+Inputs!$B$26+Inputs!$B$29,IF(Skills!C15=3,120+Inputs!$B$27+Inputs!$B$29,MAX(0,(Inputs!$B$3-100)*3)+Inputs!$B$28+Inputs!$B$29)))</f>
        <v/>
      </c>
      <c r="E1556">
        <f>INDEX(FactorTable!$B$2:$Y$301, MATCH(ROUND(MIN(300,MAX(1,D1556)),0), FactorTable!$A$2:$A$301,0), Skills!M15+1)</f>
        <v/>
      </c>
      <c r="F1556">
        <f>IF(Skills!N15=TRUE,(Skills!L15/10)*(E1556/1000),Skills!L15/10)+Skills!O15</f>
        <v/>
      </c>
      <c r="G1556">
        <f>Skills!G15*IF(Skills!H15&gt;0,Skills!I15/Skills!H15,1)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IFERROR(1/(IF(Inputs!$B$38="pvp",15,MAX(0.1,Skills!D15-IF(Skills!E15=TRUE,Inputs!$B$32,0)))*(1-IF(AND(ArtifactsInput!$M$27,Inputs!$B$4="Chapter Hunt"),CHOOSE(ArtifactsInput!$N$27+1,20,24,28,32,36,40),0)/100)),0)</f>
        <v/>
      </c>
      <c r="R1556">
        <f>IF(AND(Inputs!$B$38&lt;&gt;"pvp",Inputs!$B$43&gt;0),IF(Inputs!$B$43&lt;=0,0,(INT(Inputs!$B$43/(IF(Inputs!$B$38="pvp",15,MAX(0.1,Skills!D15-IF(Skills!E15=TRUE,Inputs!$B$32,0)))*(1-IF(AND(ArtifactsInput!$M$27,Inputs!$B$4="Chapter Hunt"),CHOOSE(ArtifactsInput!$N$27+1,20,24,28,32,36,40),0)/100)))+1)),0)</f>
        <v/>
      </c>
      <c r="S1556">
        <f>IFERROR(O1556/N1556,0)</f>
        <v/>
      </c>
      <c r="T1556" t="n">
        <v>0</v>
      </c>
      <c r="V1556" t="n">
        <v>0</v>
      </c>
    </row>
    <row r="1557">
      <c r="A1557">
        <f>Skills!A16</f>
        <v/>
      </c>
      <c r="B1557">
        <f>Skills!B16</f>
        <v/>
      </c>
      <c r="C1557">
        <f>Inputs!$B$3&gt;=66</f>
        <v/>
      </c>
      <c r="D1557">
        <f>IF(Skills!C16=1,60+Inputs!$B$25+Inputs!$B$29,IF(Skills!C16=2,90+Inputs!$B$26+Inputs!$B$29,IF(Skills!C16=3,120+Inputs!$B$27+Inputs!$B$29,MAX(0,(Inputs!$B$3-100)*3)+Inputs!$B$28+Inputs!$B$29)))</f>
        <v/>
      </c>
      <c r="E1557">
        <f>INDEX(FactorTable!$B$2:$Y$301, MATCH(ROUND(MIN(300,MAX(1,D1557)),0), FactorTable!$A$2:$A$301,0), Skills!M16+1)</f>
        <v/>
      </c>
      <c r="F1557">
        <f>IF(Skills!N16=TRUE,(Skills!L16/10)*(E1557/1000),Skills!L16/10)+Skills!O16</f>
        <v/>
      </c>
      <c r="G1557">
        <f>Skills!G16*IF(Skills!H16&gt;0,Skills!I16/Skills!H16,1)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IFERROR(1/(IF(Inputs!$B$38="pvp",15,MAX(0.1,Skills!D16-IF(Skills!E16=TRUE,Inputs!$B$32,0)))*(1-IF(AND(ArtifactsInput!$M$27,Inputs!$B$4="Chapter Hunt"),CHOOSE(ArtifactsInput!$N$27+1,20,24,28,32,36,40),0)/100)),0)</f>
        <v/>
      </c>
      <c r="R1557">
        <f>IF(AND(Inputs!$B$38&lt;&gt;"pvp",Inputs!$B$43&gt;0),IF(Inputs!$B$43&lt;=0,0,(INT(Inputs!$B$43/(IF(Inputs!$B$38="pvp",15,MAX(0.1,Skills!D16-IF(Skills!E16=TRUE,Inputs!$B$32,0)))*(1-IF(AND(ArtifactsInput!$M$27,Inputs!$B$4="Chapter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INDEX(FactorTable!$B$2:$Y$301, MATCH(ROUND(MIN(300,MAX(1,D1558)),0), FactorTable!$A$2:$A$301,0), Skills!M17+1)</f>
        <v/>
      </c>
      <c r="F1558">
        <f>IF(Skills!N17=TRUE,(Skills!L17/10)*(E1558/1000),Skills!L17/10)+Skills!O17</f>
        <v/>
      </c>
      <c r="G1558">
        <f>Skills!G17*IF(Skills!H17&gt;0,Skills!I17/Skills!H17,1)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IFERROR(1/(IF(Inputs!$B$38="pvp",15,MAX(0.1,Skills!D17-IF(Skills!E17=TRUE,Inputs!$B$32,0)))*(1-IF(AND(ArtifactsInput!$M$27,Inputs!$B$4="Chapter Hunt"),CHOOSE(ArtifactsInput!$N$27+1,20,24,28,32,36,40),0)/100)),0)</f>
        <v/>
      </c>
      <c r="R1558">
        <f>IF(AND(Inputs!$B$38&lt;&gt;"pvp",Inputs!$B$43&gt;0),IF(Inputs!$B$43&lt;=0,0,(INT(Inputs!$B$43/(IF(Inputs!$B$38="pvp",15,MAX(0.1,Skills!D17-IF(Skills!E17=TRUE,Inputs!$B$32,0)))*(1-IF(AND(ArtifactsInput!$M$27,Inputs!$B$4="Chapter Hunt"),CHOOSE(ArtifactsInput!$N$27+1,20,24,28,32,36,40),0)/100)))+1)),0)</f>
        <v/>
      </c>
      <c r="S1558">
        <f>IFERROR(O1558/N1558,0)</f>
        <v/>
      </c>
      <c r="T1558" t="n">
        <v>0</v>
      </c>
      <c r="V1558" t="n">
        <v>0</v>
      </c>
    </row>
    <row r="1559">
      <c r="A1559">
        <f>Skills!A18</f>
        <v/>
      </c>
      <c r="B1559">
        <f>Skills!B18</f>
        <v/>
      </c>
      <c r="C1559">
        <f>Inputs!$B$3&gt;=115</f>
        <v/>
      </c>
      <c r="D1559">
        <f>IF(Skills!C18=1,60+Inputs!$B$25+Inputs!$B$29,IF(Skills!C18=2,90+Inputs!$B$26+Inputs!$B$29,IF(Skills!C18=3,120+Inputs!$B$27+Inputs!$B$29,MAX(0,(Inputs!$B$3-100)*3)+Inputs!$B$28+Inputs!$B$29)))</f>
        <v/>
      </c>
      <c r="E1559">
        <f>INDEX(FactorTable!$B$2:$Y$301, MATCH(ROUND(MIN(300,MAX(1,D1559)),0), FactorTable!$A$2:$A$301,0), Skills!M18+1)</f>
        <v/>
      </c>
      <c r="F1559">
        <f>IF(Skills!N18=TRUE,(Skills!L18/10)*(E1559/1000),Skills!L18/10)+Skills!O18</f>
        <v/>
      </c>
      <c r="G1559">
        <f>Skills!G18*IF(Skills!H18&gt;0,Skills!I18/Skills!H18,1)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IFERROR(1/(IF(Inputs!$B$38="pvp",15,MAX(0.1,Skills!D18-IF(Skills!E18=TRUE,Inputs!$B$32,0)))*(1-IF(AND(ArtifactsInput!$M$27,Inputs!$B$4="Chapter Hunt"),CHOOSE(ArtifactsInput!$N$27+1,20,24,28,32,36,40),0)/100)),0)</f>
        <v/>
      </c>
      <c r="R1559">
        <f>IF(AND(Inputs!$B$38&lt;&gt;"pvp",Inputs!$B$43&gt;0),IF(Inputs!$B$43&lt;=0,0,(INT(Inputs!$B$43/(IF(Inputs!$B$38="pvp",15,MAX(0.1,Skills!D18-IF(Skills!E18=TRUE,Inputs!$B$32,0)))*(1-IF(AND(ArtifactsInput!$M$27,Inputs!$B$4="Chapter Hunt"),CHOOSE(ArtifactsInput!$N$27+1,20,24,28,32,36,40),0)/100)))+1)),0)</f>
        <v/>
      </c>
      <c r="S1559">
        <f>IFERROR(O1559/N1559,0)</f>
        <v/>
      </c>
      <c r="T1559" t="n">
        <v>0</v>
      </c>
      <c r="V1559" t="n">
        <v>0</v>
      </c>
    </row>
    <row r="1560">
      <c r="A1560">
        <f>Skills!A19</f>
        <v/>
      </c>
      <c r="B1560">
        <f>Skills!B19</f>
        <v/>
      </c>
      <c r="C1560">
        <f>TRUE</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IFERROR(1/(IF(Inputs!$B$38="pvp",15,MAX(0.1,Skills!D19-IF(Skills!E19=TRUE,Inputs!$B$32,0)))*(1-IF(AND(ArtifactsInput!$M$27,Inputs!$B$4="Chapter Hunt"),CHOOSE(ArtifactsInput!$N$27+1,20,24,28,32,36,40),0)/100)),0)</f>
        <v/>
      </c>
      <c r="R1560">
        <f>IF(AND(Inputs!$B$38&lt;&gt;"pvp",Inputs!$B$43&gt;0),IF(Inputs!$B$43&lt;=0,0,(INT(Inputs!$B$43/(IF(Inputs!$B$38="pvp",15,MAX(0.1,Skills!D19-IF(Skills!E19=TRUE,Inputs!$B$32,0)))*(1-IF(AND(ArtifactsInput!$M$27,Inputs!$B$4="Chapter Hunt"),CHOOSE(ArtifactsInput!$N$27+1,20,24,28,32,36,40),0)/100)))+1)),0)</f>
        <v/>
      </c>
      <c r="S1560">
        <f>IFERROR(O1560/N1560,0)</f>
        <v/>
      </c>
      <c r="T1560" t="n">
        <v>0</v>
      </c>
      <c r="V1560" t="n">
        <v>0</v>
      </c>
    </row>
    <row r="1561">
      <c r="A1561">
        <f>Skills!A20</f>
        <v/>
      </c>
      <c r="B1561">
        <f>Skills!B20</f>
        <v/>
      </c>
      <c r="C1561">
        <f>Inputs!$B$3&gt;=33</f>
        <v/>
      </c>
      <c r="D1561">
        <f>IF(Skills!C20=1,60+Inputs!$B$25+Inputs!$B$29,IF(Skills!C20=2,90+Inputs!$B$26+Inputs!$B$29,IF(Skills!C20=3,120+Inputs!$B$27+Inputs!$B$29,MAX(0,(Inputs!$B$3-100)*3)+Inputs!$B$28+Inputs!$B$29)))</f>
        <v/>
      </c>
      <c r="E1561">
        <f>INDEX(FactorTable!$B$2:$Y$301, MATCH(ROUND(MIN(300,MAX(1,D1561)),0), FactorTable!$A$2:$A$301,0), Skills!M20+1)</f>
        <v/>
      </c>
      <c r="F1561">
        <f>IF(Skills!N20=TRUE,(Skills!L20/10)*(E1561/1000),Skills!L20/10)+Skills!O20</f>
        <v/>
      </c>
      <c r="G1561">
        <f>Skills!G20*IF(Skills!H20&gt;0,Skills!I20/Skills!H20,1)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Inputs!$B$3&gt;=38</f>
        <v/>
      </c>
      <c r="D1562">
        <f>IF(Skills!C21=1,60+Inputs!$B$25+Inputs!$B$29,IF(Skills!C21=2,90+Inputs!$B$26+Inputs!$B$29,IF(Skills!C21=3,120+Inputs!$B$27+Inputs!$B$29,MAX(0,(Inputs!$B$3-100)*3)+Inputs!$B$28+Inputs!$B$29)))</f>
        <v/>
      </c>
      <c r="E1562">
        <f>INDEX(FactorTable!$B$2:$Y$301, MATCH(ROUND(MIN(300,MAX(1,D1562)),0), FactorTable!$A$2:$A$301,0), Skills!M21+1)</f>
        <v/>
      </c>
      <c r="F1562">
        <f>IF(Skills!N21=TRUE,(Skills!L21/10)*(E1562/1000),Skills!L21/10)+Skills!O21</f>
        <v/>
      </c>
      <c r="G1562">
        <f>Skills!G21*IF(Skills!H21&gt;0,Skills!I21/Skills!H21,1)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t="n">
        <v>0</v>
      </c>
      <c r="R1562" t="n">
        <v>0</v>
      </c>
      <c r="S1562">
        <f>IFERROR(O1562/N1562,0)</f>
        <v/>
      </c>
      <c r="T1562" t="n">
        <v>0</v>
      </c>
      <c r="V1562" t="n">
        <v>0</v>
      </c>
    </row>
    <row r="1563">
      <c r="A1563">
        <f>Skills!A22</f>
        <v/>
      </c>
      <c r="B1563">
        <f>Skills!B22</f>
        <v/>
      </c>
      <c r="C1563">
        <f>Inputs!$B$3&gt;=43</f>
        <v/>
      </c>
      <c r="D1563">
        <f>IF(Skills!C22=1,60+Inputs!$B$25+Inputs!$B$29,IF(Skills!C22=2,90+Inputs!$B$26+Inputs!$B$29,IF(Skills!C22=3,120+Inputs!$B$27+Inputs!$B$29,MAX(0,(Inputs!$B$3-100)*3)+Inputs!$B$28+Inputs!$B$29)))</f>
        <v/>
      </c>
      <c r="E1563">
        <f>INDEX(FactorTable!$B$2:$Y$301, MATCH(ROUND(MIN(300,MAX(1,D1563)),0), FactorTable!$A$2:$A$301,0), Skills!M22+1)</f>
        <v/>
      </c>
      <c r="F1563">
        <f>IF(Skills!N22=TRUE,(Skills!L22/10)*(E1563/1000),Skills!L22/10)+Skills!O22</f>
        <v/>
      </c>
      <c r="G1563">
        <f>Skills!G22*IF(Skills!H22&gt;0,Skills!I22/Skills!H22,1)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Inputs!$B$3&gt;=120</f>
        <v/>
      </c>
      <c r="D1564">
        <f>IF(Skills!C23=1,60+Inputs!$B$25+Inputs!$B$29,IF(Skills!C23=2,90+Inputs!$B$26+Inputs!$B$29,IF(Skills!C23=3,120+Inputs!$B$27+Inputs!$B$29,MAX(0,(Inputs!$B$3-100)*3)+Inputs!$B$28+Inputs!$B$29)))</f>
        <v/>
      </c>
      <c r="E1564">
        <f>INDEX(FactorTable!$B$2:$Y$301, MATCH(ROUND(MIN(300,MAX(1,D1564)),0), FactorTable!$A$2:$A$301,0), Skills!M23+1)</f>
        <v/>
      </c>
      <c r="F1564">
        <f>IF(Skills!N23=TRUE,(Skills!L23/10)*(E1564/1000),Skills!L23/10)+Skills!O23</f>
        <v/>
      </c>
      <c r="G1564">
        <f>Skills!G23*IF(Skills!H23&gt;0,Skills!I23/Skills!H23,1)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Inputs!$B$3&gt;=120</f>
        <v/>
      </c>
      <c r="D1565">
        <f>IF(Skills!C24=1,60+Inputs!$B$25+Inputs!$B$29,IF(Skills!C24=2,90+Inputs!$B$26+Inputs!$B$29,IF(Skills!C24=3,120+Inputs!$B$27+Inputs!$B$29,MAX(0,(Inputs!$B$3-100)*3)+Inputs!$B$28+Inputs!$B$29)))</f>
        <v/>
      </c>
      <c r="E1565">
        <f>INDEX(FactorTable!$B$2:$Y$301, MATCH(ROUND(MIN(300,MAX(1,D1565)),0), FactorTable!$A$2:$A$301,0), Skills!M24+1)</f>
        <v/>
      </c>
      <c r="F1565">
        <f>IF(Skills!N24=TRUE,(Skills!L24/10)*(E1565/1000),Skills!L24/10)+Skills!O24</f>
        <v/>
      </c>
      <c r="G1565">
        <f>Skills!G24*IF(Skills!H24&gt;0,Skills!I24/Skills!H24,1)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Inputs!$B$3&gt;=125</f>
        <v/>
      </c>
      <c r="D1566">
        <f>IF(Skills!C25=1,60+Inputs!$B$25+Inputs!$B$29,IF(Skills!C25=2,90+Inputs!$B$26+Inputs!$B$29,IF(Skills!C25=3,120+Inputs!$B$27+Inputs!$B$29,MAX(0,(Inputs!$B$3-100)*3)+Inputs!$B$28+Inputs!$B$29)))</f>
        <v/>
      </c>
      <c r="E1566">
        <f>INDEX(FactorTable!$B$2:$Y$301, MATCH(ROUND(MIN(300,MAX(1,D1566)),0), FactorTable!$A$2:$A$301,0), Skills!M25+1)</f>
        <v/>
      </c>
      <c r="F1566">
        <f>IF(Skills!N25=TRUE,(Skills!L25/10)*(E1566/1000),Skills!L25/10)+Skills!O25</f>
        <v/>
      </c>
      <c r="G1566">
        <f>Skills!G25*IF(Skills!H25&gt;0,Skills!I25/Skills!H25,1)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Inputs!$B$3&gt;=72</f>
        <v/>
      </c>
      <c r="D1567">
        <f>IF(Skills!C26=1,60+Inputs!$B$25+Inputs!$B$29,IF(Skills!C26=2,90+Inputs!$B$26+Inputs!$B$29,IF(Skills!C26=3,120+Inputs!$B$27+Inputs!$B$29,MAX(0,(Inputs!$B$3-100)*3)+Inputs!$B$28+Inputs!$B$29)))</f>
        <v/>
      </c>
      <c r="E1567">
        <f>INDEX(FactorTable!$B$2:$Y$301, MATCH(ROUND(MIN(300,MAX(1,D1567)),0), FactorTable!$A$2:$A$301,0), Skills!M26+1)</f>
        <v/>
      </c>
      <c r="F1567">
        <f>IF(Skills!N26=TRUE,(Skills!L26/10)*(E1567/1000),Skills!L26/10)+Skills!O26</f>
        <v/>
      </c>
      <c r="G1567">
        <f>Skills!G26*IF(Skills!H26&gt;0,Skills!I26/Skills!H26,1)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1560=TRUE)*F1560*IF(AND(Inputs!$B$38&lt;&gt;"pvp",Inputs!$B$43&gt;0),(((R1560-1)*(Skills!T19*(1+(Inputs!$B$34+(ArtifactsInput!$M$7-ArtifactsInput!$M$7)*CHOOSE(ArtifactsInput!$N$7+1,6,7.2,8.4,9.6,10.8,12))/100))+MIN((Skills!T19*(1+(Inputs!$B$34+(ArtifactsInput!$M$7-ArtifactsInput!$M$7)*CHOOSE(ArtifactsInput!$N$7+1,6,7.2,8.4,9.6,10.8,12))/100)),MAX(0,Inputs!$B$43-((R1560-1)*Skills!D19))))/Inputs!$B$43),IF(Inputs!$B$38="pvp",MIN((Skills!T19*(1+(Inputs!$B$34+(ArtifactsInput!$M$7-ArtifactsInput!$M$7)*CHOOSE(ArtifactsInput!$N$7+1,6,7.2,8.4,9.6,10.8,12))/100)),15)/15,(Skills!T19*(1+(Inputs!$B$34+(ArtifactsInput!$M$7-ArtifactsInput!$M$7)*CHOOSE(ArtifactsInput!$N$7+1,6,7.2,8.4,9.6,10.8,12))/100))/Skills!D19)))</f>
        <v/>
      </c>
    </row>
    <row r="1572">
      <c r="A1572" t="inlineStr">
        <is>
          <t>Actions Per Second</t>
        </is>
      </c>
      <c r="B1572">
        <f>1+MIN(150,150*(1-(1-(Inputs!$B$11+((C1561=TRUE)*(F1561-Calc!F20)))/150)*(1-B1571/150)))/100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Raging Blow Casts Per Second</t>
        </is>
      </c>
      <c r="B1574">
        <f>MAX(0,B1572-B1573)</f>
        <v/>
      </c>
    </row>
    <row r="1575">
      <c r="A1575" t="inlineStr">
        <is>
          <t>Global Critical Damage Bonus % (Enrage)</t>
        </is>
      </c>
      <c r="B1575">
        <f>((C1559=TRUE)*F1559*IF(AND(Inputs!$B$38&lt;&gt;"pvp",Inputs!$B$43&gt;0),(((R1559-1)*(Skills!T18*(1+(Inputs!$B$34+(ArtifactsInput!$M$7-ArtifactsInput!$M$7)*CHOOSE(ArtifactsInput!$N$7+1,6,7.2,8.4,9.6,10.8,12))/100))+MIN((Skills!T18*(1+(Inputs!$B$34+(ArtifactsInput!$M$7-ArtifactsInput!$M$7)*CHOOSE(ArtifactsInput!$N$7+1,6,7.2,8.4,9.6,10.8,12))/100)),MAX(0,Inputs!$B$43-((R1559-1)*Skills!D18))))/Inputs!$B$43),IF(Inputs!$B$38="pvp",MIN((Skills!T18*(1+(Inputs!$B$34+(ArtifactsInput!$M$7-ArtifactsInput!$M$7)*CHOOSE(ArtifactsInput!$N$7+1,6,7.2,8.4,9.6,10.8,12))/100)),15)/15,(Skills!T18*(1+(Inputs!$B$34+(ArtifactsInput!$M$7-ArtifactsInput!$M$7)*CHOOSE(ArtifactsInput!$N$7+1,6,7.2,8.4,9.6,10.8,12))/100))/Skills!D18)))</f>
        <v/>
      </c>
    </row>
    <row r="1576">
      <c r="A1576" t="inlineStr">
        <is>
          <t>Global Final Damage Bonus % (Enrage + Combo Synergy)</t>
        </is>
      </c>
      <c r="B1576">
        <f>((C1558=TRUE)*F1558*IF(AND(Inputs!$B$38&lt;&gt;"pvp",Inputs!$B$43&gt;0),(((R1558-1)*(Skills!T17*(1+(Inputs!$B$34+(ArtifactsInput!$M$7-ArtifactsInput!$M$7)*CHOOSE(ArtifactsInput!$N$7+1,6,7.2,8.4,9.6,10.8,12))/100))+MIN((Skills!T17*(1+(Inputs!$B$34+(ArtifactsInput!$M$7-ArtifactsInput!$M$7)*CHOOSE(ArtifactsInput!$N$7+1,6,7.2,8.4,9.6,10.8,12))/100)),MAX(0,Inputs!$B$43-((R1558-1)*Skills!D17))))/Inputs!$B$43),IF(Inputs!$B$38="pvp",MIN((Skills!T17*(1+(Inputs!$B$34+(ArtifactsInput!$M$7-ArtifactsInput!$M$7)*CHOOSE(ArtifactsInput!$N$7+1,6,7.2,8.4,9.6,10.8,12))/100)),15)/15,(Skills!T17*(1+(Inputs!$B$34+(ArtifactsInput!$M$7-ArtifactsInput!$M$7)*CHOOSE(ArtifactsInput!$N$7+1,6,7.2,8.4,9.6,10.8,12))/100))/Skills!D17)))+((C1555=TRUE)*F1555*IF(Inputs!$B$3&gt;=110,7,5))</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1585)</f>
        <v/>
      </c>
      <c r="L1585">
        <f>K1585*(MIN(Inputs!$B$22+((C1605=TRUE)*(F1605-Calc!F22)),(Inputs!$B$23+((C1607=TRUE)*(F1607-Calc!F24))+(IF(ArtifactsInput!$M$15,CHOOSE(ArtifactsInput!$N$15+1,25,30,35,40,45,50)/100*(Inputs!$B$11-Inputs!$B$11),0))))/100+(Inputs!$B$23+((C1607=TRUE)*(F1607-Calc!F24))+(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INDEX(FactorTable!$B$2:$Y$301, MATCH(ROUND(MIN(300,MAX(1,D1586)),0),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INDEX(FactorTable!$B$2:$Y$301, MATCH(ROUND(MIN(300,MAX(1,U1585)),0), FactorTable!$A$2:$A$301,0), 22)</f>
        <v/>
      </c>
    </row>
    <row r="1587">
      <c r="A1587">
        <f>Skills!A4</f>
        <v/>
      </c>
      <c r="B1587">
        <f>Skills!B4</f>
        <v/>
      </c>
      <c r="C1587">
        <f>Inputs!$B$3&gt;=105</f>
        <v/>
      </c>
      <c r="D1587">
        <f>IF(Skills!C4=1,60+Inputs!$B$25+Inputs!$B$29,IF(Skills!C4=2,90+Inputs!$B$26+Inputs!$B$29,IF(Skills!C4=3,120+Inputs!$B$27+Inputs!$B$29,MAX(0,(Inputs!$B$3-100)*3)+Inputs!$B$28+Inputs!$B$29)))</f>
        <v/>
      </c>
      <c r="E1587">
        <f>INDEX(FactorTable!$B$2:$Y$301, MATCH(ROUND(MIN(300,MAX(1,D1587)),0), FactorTable!$A$2:$A$301,0), Skills!M4+1)</f>
        <v/>
      </c>
      <c r="F1587">
        <f>IF(Skills!N4=TRUE,(Skills!L4/10)*(E1587/1000),Skills!L4/10)+Skills!O4</f>
        <v/>
      </c>
      <c r="G1587" t="inlineStr"/>
      <c r="H1587" t="inlineStr"/>
      <c r="I1587" t="inlineStr">
        <is>
          <t>1</t>
        </is>
      </c>
      <c r="J1587" t="inlineStr"/>
      <c r="K1587" t="inlineStr"/>
      <c r="L1587" t="inlineStr"/>
      <c r="M1587" t="inlineStr"/>
      <c r="N1587" t="inlineStr"/>
      <c r="O1587" t="inlineStr"/>
      <c r="P1587" t="inlineStr"/>
      <c r="Q1587" t="inlineStr"/>
      <c r="R1587" t="inlineStr"/>
      <c r="S1587" t="inlineStr"/>
      <c r="U1587">
        <f>290*U1586/1000</f>
        <v/>
      </c>
    </row>
    <row r="1588">
      <c r="A1588">
        <f>Skills!A5</f>
        <v/>
      </c>
      <c r="B1588">
        <f>Skills!B5</f>
        <v/>
      </c>
      <c r="C1588">
        <f>Inputs!$B$3&gt;=103</f>
        <v/>
      </c>
      <c r="D1588">
        <f>IF(Skills!C5=1,60+Inputs!$B$25+Inputs!$B$29,IF(Skills!C5=2,90+Inputs!$B$26+Inputs!$B$29,IF(Skills!C5=3,120+Inputs!$B$27+Inputs!$B$29,MAX(0,(Inputs!$B$3-100)*3)+Inputs!$B$28+Inputs!$B$29)))</f>
        <v/>
      </c>
      <c r="E1588">
        <f>INDEX(FactorTable!$B$2:$Y$301, MATCH(ROUND(MIN(300,MAX(1,D1588)),0), FactorTable!$A$2:$A$301,0), Skills!M5+1)</f>
        <v/>
      </c>
      <c r="F1588">
        <f>IF(Skills!N5=TRUE,(Skills!L5/10)*(E1588/1000),Skills!L5/10)+Skills!O5</f>
        <v/>
      </c>
      <c r="G1588">
        <f>Skills!G5*IF(Skills!H5&gt;0,Skills!I5/Skills!H5,1)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1588)</f>
        <v/>
      </c>
      <c r="L1588">
        <f>K1588*(MIN(Inputs!$B$22+((C1605=TRUE)*(F1605-Calc!F22)),(Inputs!$B$23+((C1607=TRUE)*(F1607-Calc!F24))+(IF(ArtifactsInput!$M$15,CHOOSE(ArtifactsInput!$N$15+1,25,30,35,40,45,50)/100*(Inputs!$B$11-Inputs!$B$11),0))))/100+(Inputs!$B$23+((C1607=TRUE)*(F1607-Calc!F24))+(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IFERROR(1/(IF(Inputs!$B$38="pvp",15,MAX(0.1,Skills!D5-IF(Skills!E5=TRUE,Inputs!$B$32,0)))*(1-IF(AND(ArtifactsInput!$M$27,Inputs!$B$4="Chapter Hunt"),CHOOSE(ArtifactsInput!$N$27+1,20,24,28,32,36,40),0)/100)),0)</f>
        <v/>
      </c>
      <c r="R1588">
        <f>IF(AND(Inputs!$B$38&lt;&gt;"pvp",Inputs!$B$43&gt;0),IF(MAX(0,Inputs!$B$43-B1619)&lt;=0,0,(INT(MAX(0,Inputs!$B$43-B1619)/(IF(Inputs!$B$38="pvp",15,MAX(0.1,Skills!D5-IF(Skills!E5=TRUE,Inputs!$B$32,0)))*(1-IF(AND(ArtifactsInput!$M$27,Inputs!$B$4="Chapter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INDEX(FactorTable!$B$2:$Y$301, MATCH(ROUND(MIN(300,MAX(1,D1589)),0), FactorTable!$A$2:$A$301,0), Skills!M6+1)</f>
        <v/>
      </c>
      <c r="F1589">
        <f>IF(Skills!N6=TRUE,(Skills!L6/10)*(E1589/1000),Skills!L6/10)+Skills!O6</f>
        <v/>
      </c>
      <c r="G1589">
        <f>Skills!G6*IF(Skills!H6&gt;0,Skills!I6/Skills!H6,1)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1589)</f>
        <v/>
      </c>
      <c r="L1589">
        <f>K1589*(MIN(Inputs!$B$22+((C1605=TRUE)*(F1605-Calc!F22)),(Inputs!$B$23+((C1607=TRUE)*(F1607-Calc!F24))+(IF(ArtifactsInput!$M$15,CHOOSE(ArtifactsInput!$N$15+1,25,30,35,40,45,50)/100*(Inputs!$B$11-Inputs!$B$11),0))))/100+(Inputs!$B$23+((C1607=TRUE)*(F1607-Calc!F24))+(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IFERROR(1/(IF(Inputs!$B$38="pvp",15,MAX(0.1,Skills!D6-IF(Skills!E6=TRUE,Inputs!$B$32,0)))*(1-IF(AND(ArtifactsInput!$M$27,Inputs!$B$4="Chapter Hunt"),CHOOSE(ArtifactsInput!$N$27+1,20,24,28,32,36,40),0)/100)),0)</f>
        <v/>
      </c>
      <c r="R1589">
        <f>IF(AND(Inputs!$B$38&lt;&gt;"pvp",Inputs!$B$43&gt;0),IF(MAX(0,Inputs!$B$43-B1619)&lt;=0,0,(INT(MAX(0,Inputs!$B$43-B1619)/(IF(Inputs!$B$38="pvp",15,MAX(0.1,Skills!D6-IF(Skills!E6=TRUE,Inputs!$B$32,0)))*(1-IF(AND(ArtifactsInput!$M$27,Inputs!$B$4="Chapter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INDEX(FactorTable!$B$2:$Y$301, MATCH(ROUND(MIN(300,MAX(1,D1590)),0), FactorTable!$A$2:$A$301,0), Skills!M7+1)</f>
        <v/>
      </c>
      <c r="F1590">
        <f>IF(Skills!N7=TRUE,(Skills!L7/10)*(E1590/1000),Skills!L7/10)+Skills!O7</f>
        <v/>
      </c>
      <c r="G1590">
        <f>Skills!G7*IF(Skills!H7&gt;0,Skills!I7/Skills!H7,1)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1590)</f>
        <v/>
      </c>
      <c r="L1590">
        <f>K1590*(MIN(Inputs!$B$22+((C1605=TRUE)*(F1605-Calc!F22)),(Inputs!$B$23+((C1607=TRUE)*(F1607-Calc!F24))+(IF(ArtifactsInput!$M$15,CHOOSE(ArtifactsInput!$N$15+1,25,30,35,40,45,50)/100*(Inputs!$B$11-Inputs!$B$11),0))))/100+(Inputs!$B$23+((C1607=TRUE)*(F1607-Calc!F24))+(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IFERROR(1/(IF(Inputs!$B$38="pvp",15,MAX(0.1,Skills!D7-IF(Skills!E7=TRUE,Inputs!$B$32,0)))*(1-IF(AND(ArtifactsInput!$M$27,Inputs!$B$4="Chapter Hunt"),CHOOSE(ArtifactsInput!$N$27+1,20,24,28,32,36,40),0)/100)),0)</f>
        <v/>
      </c>
      <c r="R1590">
        <f>IF(AND(Inputs!$B$38&lt;&gt;"pvp",Inputs!$B$43&gt;0),IF(MAX(0,Inputs!$B$43-B1619)&lt;=0,0,(INT(MAX(0,Inputs!$B$43-B1619)/(IF(Inputs!$B$38="pvp",15,MAX(0.1,Skills!D7-IF(Skills!E7=TRUE,Inputs!$B$32,0)))*(1-IF(AND(ArtifactsInput!$M$27,Inputs!$B$4="Chapter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Inputs!$B$3&gt;=117</f>
        <v/>
      </c>
      <c r="D1591">
        <f>IF(Skills!C8=1,60+Inputs!$B$25+Inputs!$B$29,IF(Skills!C8=2,90+Inputs!$B$26+Inputs!$B$29,IF(Skills!C8=3,120+Inputs!$B$27+Inputs!$B$29,MAX(0,(Inputs!$B$3-100)*3)+Inputs!$B$28+Inputs!$B$29)))</f>
        <v/>
      </c>
      <c r="E1591">
        <f>INDEX(FactorTable!$B$2:$Y$301, MATCH(ROUND(MIN(300,MAX(1,D1591)),0), FactorTable!$A$2:$A$301,0), Skills!M8+1)</f>
        <v/>
      </c>
      <c r="F1591">
        <f>IF(Skills!N8=TRUE,(Skills!L8/10)*(E1591/1000),Skills!L8/10)+Skills!O8</f>
        <v/>
      </c>
      <c r="G1591">
        <f>Skills!G8*IF(Skills!H8&gt;0,Skills!I8/Skills!H8,1)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1591)</f>
        <v/>
      </c>
      <c r="L1591">
        <f>K1591*(MIN(Inputs!$B$22+((C1605=TRUE)*(F1605-Calc!F22)),(Inputs!$B$23+((C1607=TRUE)*(F1607-Calc!F24))+(IF(ArtifactsInput!$M$15,CHOOSE(ArtifactsInput!$N$15+1,25,30,35,40,45,50)/100*(Inputs!$B$11-Inputs!$B$11),0))))/100+(Inputs!$B$23+((C1607=TRUE)*(F1607-Calc!F24))+(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IFERROR(1/(IF(Inputs!$B$38="pvp",15,MAX(0.1,Skills!D8-IF(Skills!E8=TRUE,Inputs!$B$32,0)))*(1-IF(AND(ArtifactsInput!$M$27,Inputs!$B$4="Chapter Hunt"),CHOOSE(ArtifactsInput!$N$27+1,20,24,28,32,36,40),0)/100)),0)</f>
        <v/>
      </c>
      <c r="R1591">
        <f>IF(AND(Inputs!$B$38&lt;&gt;"pvp",Inputs!$B$43&gt;0),IF(MAX(0,Inputs!$B$43-B1619)&lt;=0,0,(INT(MAX(0,Inputs!$B$43-B1619)/(IF(Inputs!$B$38="pvp",15,MAX(0.1,Skills!D8-IF(Skills!E8=TRUE,Inputs!$B$32,0)))*(1-IF(AND(ArtifactsInput!$M$27,Inputs!$B$4="Chapter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Inputs!$B$3&gt;=69</f>
        <v/>
      </c>
      <c r="D1592">
        <f>IF(Skills!C9=1,60+Inputs!$B$25+Inputs!$B$29,IF(Skills!C9=2,90+Inputs!$B$26+Inputs!$B$29,IF(Skills!C9=3,120+Inputs!$B$27+Inputs!$B$29,MAX(0,(Inputs!$B$3-100)*3)+Inputs!$B$28+Inputs!$B$29)))</f>
        <v/>
      </c>
      <c r="E1592">
        <f>INDEX(FactorTable!$B$2:$Y$301, MATCH(ROUND(MIN(300,MAX(1,D1592)),0), FactorTable!$A$2:$A$301,0), Skills!M9+1)</f>
        <v/>
      </c>
      <c r="F1592">
        <f>IF(Skills!N9=TRUE,(Skills!L9/10)*(E1592/1000),Skills!L9/10)+Skills!O9</f>
        <v/>
      </c>
      <c r="G1592">
        <f>Skills!G9*IF(Skills!H9&gt;0,Skills!I9/Skills!H9,1)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9="ENHANCED_RAGING_BLOW",IF(Inputs!$B$3&gt;=134,MAX(0,IF(Inputs!$B$3&gt;=110,7,5)-5)*50,0),0)/100)*(1+(IF(Skills!A9="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1592)</f>
        <v/>
      </c>
      <c r="L1592">
        <f>K1592*(MIN(Inputs!$B$22+((C1605=TRUE)*(F1605-Calc!F22)),(Inputs!$B$23+((C1607=TRUE)*(F1607-Calc!F24))+(IF(ArtifactsInput!$M$15,CHOOSE(ArtifactsInput!$N$15+1,25,30,35,40,45,50)/100*(Inputs!$B$11-Inputs!$B$11),0))))/100+(Inputs!$B$23+((C1607=TRUE)*(F1607-Calc!F24))+(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IFERROR(1/(IF(Inputs!$B$38="pvp",15,MAX(0.1,Skills!D9-IF(Skills!E9=TRUE,Inputs!$B$32,0)))*(1-IF(AND(ArtifactsInput!$M$27,Inputs!$B$4="Chapter Hunt"),CHOOSE(ArtifactsInput!$N$27+1,20,24,28,32,36,40),0)/100)),0)</f>
        <v/>
      </c>
      <c r="R1592">
        <f>IF(AND(Inputs!$B$38&lt;&gt;"pvp",Inputs!$B$43&gt;0),IF(MAX(0,Inputs!$B$43-B1619)&lt;=0,0,(INT(MAX(0,Inputs!$B$43-B1619)/(IF(Inputs!$B$38="pvp",15,MAX(0.1,Skills!D9-IF(Skills!E9=TRUE,Inputs!$B$32,0)))*(1-IF(AND(ArtifactsInput!$M$27,Inputs!$B$4="Chapter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Inputs!$B$3&gt;=63</f>
        <v/>
      </c>
      <c r="D1593">
        <f>IF(Skills!C10=1,60+Inputs!$B$25+Inputs!$B$29,IF(Skills!C10=2,90+Inputs!$B$26+Inputs!$B$29,IF(Skills!C10=3,120+Inputs!$B$27+Inputs!$B$29,MAX(0,(Inputs!$B$3-100)*3)+Inputs!$B$28+Inputs!$B$29)))</f>
        <v/>
      </c>
      <c r="E1593">
        <f>INDEX(FactorTable!$B$2:$Y$301, MATCH(ROUND(MIN(300,MAX(1,D1593)),0), FactorTable!$A$2:$A$301,0), Skills!M10+1)</f>
        <v/>
      </c>
      <c r="F1593">
        <f>IF(Skills!N10=TRUE,(Skills!L10/10)*(E1593/1000),Skills!L10/10)+Skills!O10</f>
        <v/>
      </c>
      <c r="G1593">
        <f>Skills!G10*IF(Skills!H10&gt;0,Skills!I10/Skills!H10,1)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10="ENHANCED_RAGING_BLOW",IF(Inputs!$B$3&gt;=134,MAX(0,IF(Inputs!$B$3&gt;=110,7,5)-5)*50,0),0)/100)*(1+(IF(Skills!A10="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1593)</f>
        <v/>
      </c>
      <c r="L1593">
        <f>K1593*(MIN(Inputs!$B$22+((C1605=TRUE)*(F1605-Calc!F22)),(Inputs!$B$23+((C1607=TRUE)*(F1607-Calc!F24))+(IF(ArtifactsInput!$M$15,CHOOSE(ArtifactsInput!$N$15+1,25,30,35,40,45,50)/100*(Inputs!$B$11-Inputs!$B$11),0))))/100+(Inputs!$B$23+((C1607=TRUE)*(F1607-Calc!F24))+(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IFERROR(1/(IF(Inputs!$B$38="pvp",15,MAX(0.1,Skills!D10-IF(Skills!E10=TRUE,Inputs!$B$32,0)))*(1-IF(AND(ArtifactsInput!$M$27,Inputs!$B$4="Chapter Hunt"),CHOOSE(ArtifactsInput!$N$27+1,20,24,28,32,36,40),0)/100)),0)</f>
        <v/>
      </c>
      <c r="R1593">
        <f>IF(AND(Inputs!$B$38&lt;&gt;"pvp",Inputs!$B$43&gt;0),IF(MAX(0,Inputs!$B$43-B1619)&lt;=0,0,(INT(MAX(0,Inputs!$B$43-B1619)/(IF(Inputs!$B$38="pvp",15,MAX(0.1,Skills!D10-IF(Skills!E10=TRUE,Inputs!$B$32,0)))*(1-IF(AND(ArtifactsInput!$M$27,Inputs!$B$4="Chapter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Inputs!$B$3&gt;=35</f>
        <v/>
      </c>
      <c r="D1594">
        <f>IF(Skills!C11=1,60+Inputs!$B$25+Inputs!$B$29,IF(Skills!C11=2,90+Inputs!$B$26+Inputs!$B$29,IF(Skills!C11=3,120+Inputs!$B$27+Inputs!$B$29,MAX(0,(Inputs!$B$3-100)*3)+Inputs!$B$28+Inputs!$B$29)))</f>
        <v/>
      </c>
      <c r="E1594">
        <f>INDEX(FactorTable!$B$2:$Y$301, MATCH(ROUND(MIN(300,MAX(1,D1594)),0), FactorTable!$A$2:$A$301,0), Skills!M11+1)</f>
        <v/>
      </c>
      <c r="F1594">
        <f>IF(Skills!N11=TRUE,(Skills!L11/10)*(E1594/1000),Skills!L11/10)+Skills!O11</f>
        <v/>
      </c>
      <c r="G1594">
        <f>Skills!G11*IF(Skills!H11&gt;0,Skills!I11/Skills!H11,1)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11="ENHANCED_RAGING_BLOW",IF(Inputs!$B$3&gt;=134,MAX(0,IF(Inputs!$B$3&gt;=110,7,5)-5)*50,0),0)/100)*(1+(IF(Skills!A11="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1594)</f>
        <v/>
      </c>
      <c r="L1594">
        <f>K1594*(MIN(Inputs!$B$22+((C1605=TRUE)*(F1605-Calc!F22)),(Inputs!$B$23+((C1607=TRUE)*(F1607-Calc!F24))+(IF(ArtifactsInput!$M$15,CHOOSE(ArtifactsInput!$N$15+1,25,30,35,40,45,50)/100*(Inputs!$B$11-Inputs!$B$11),0))))/100+(Inputs!$B$23+((C1607=TRUE)*(F1607-Calc!F24))+(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IFERROR(1/(IF(Inputs!$B$38="pvp",15,MAX(0.1,Skills!D11-IF(Skills!E11=TRUE,Inputs!$B$32,0)))*(1-IF(AND(ArtifactsInput!$M$27,Inputs!$B$4="Chapter Hunt"),CHOOSE(ArtifactsInput!$N$27+1,20,24,28,32,36,40),0)/100)),0)</f>
        <v/>
      </c>
      <c r="R1594">
        <f>IF(AND(Inputs!$B$38&lt;&gt;"pvp",Inputs!$B$43&gt;0),IF(MAX(0,Inputs!$B$43-B1619)&lt;=0,0,(INT(MAX(0,Inputs!$B$43-B1619)/(IF(Inputs!$B$38="pvp",15,MAX(0.1,Skills!D11-IF(Skills!E11=TRUE,Inputs!$B$32,0)))*(1-IF(AND(ArtifactsInput!$M$27,Inputs!$B$4="Chapter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INDEX(FactorTable!$B$2:$Y$301, MATCH(ROUND(MIN(300,MAX(1,D1595)),0),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INDEX(FactorTable!$B$2:$Y$301, MATCH(ROUND(MIN(300,MAX(1,D1596)),0), FactorTable!$A$2:$A$301,0), Skills!M13+1)</f>
        <v/>
      </c>
      <c r="F1596">
        <f>IF(Skills!N13=TRUE,(Skills!L13/10)*(E1596/1000),Skills!L13/10)+Skills!O13</f>
        <v/>
      </c>
      <c r="G1596">
        <f>Skills!G13*IF(Skills!H13&gt;0,Skills!I13/Skills!H13,1)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Inputs!$B$3&gt;=75</f>
        <v/>
      </c>
      <c r="D1597">
        <f>IF(Skills!C14=1,60+Inputs!$B$25+Inputs!$B$29,IF(Skills!C14=2,90+Inputs!$B$26+Inputs!$B$29,IF(Skills!C14=3,120+Inputs!$B$27+Inputs!$B$29,MAX(0,(Inputs!$B$3-100)*3)+Inputs!$B$28+Inputs!$B$29)))</f>
        <v/>
      </c>
      <c r="E1597">
        <f>INDEX(FactorTable!$B$2:$Y$301, MATCH(ROUND(MIN(300,MAX(1,D1597)),0), FactorTable!$A$2:$A$301,0), Skills!M14+1)</f>
        <v/>
      </c>
      <c r="F1597">
        <f>IF(Skills!N14=TRUE,(Skills!L14/10)*(E1597/1000),Skills!L14/10)+Skills!O14</f>
        <v/>
      </c>
      <c r="G1597">
        <f>Skills!G14*IF(Skills!H14&gt;0,Skills!I14/Skills!H14,1)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Inputs!$B$3&gt;=40</f>
        <v/>
      </c>
      <c r="D1598">
        <f>IF(Skills!C15=1,60+Inputs!$B$25+Inputs!$B$29,IF(Skills!C15=2,90+Inputs!$B$26+Inputs!$B$29,IF(Skills!C15=3,120+Inputs!$B$27+Inputs!$B$29,MAX(0,(Inputs!$B$3-100)*3)+Inputs!$B$28+Inputs!$B$29)))</f>
        <v/>
      </c>
      <c r="E1598">
        <f>INDEX(FactorTable!$B$2:$Y$301, MATCH(ROUND(MIN(300,MAX(1,D1598)),0), FactorTable!$A$2:$A$301,0), Skills!M15+1)</f>
        <v/>
      </c>
      <c r="F1598">
        <f>IF(Skills!N15=TRUE,(Skills!L15/10)*(E1598/1000),Skills!L15/10)+Skills!O15</f>
        <v/>
      </c>
      <c r="G1598">
        <f>Skills!G15*IF(Skills!H15&gt;0,Skills!I15/Skills!H15,1)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IFERROR(1/(IF(Inputs!$B$38="pvp",15,MAX(0.1,Skills!D15-IF(Skills!E15=TRUE,Inputs!$B$32,0)))*(1-IF(AND(ArtifactsInput!$M$27,Inputs!$B$4="Chapter Hunt"),CHOOSE(ArtifactsInput!$N$27+1,20,24,28,32,36,40),0)/100)),0)</f>
        <v/>
      </c>
      <c r="R1598">
        <f>IF(AND(Inputs!$B$38&lt;&gt;"pvp",Inputs!$B$43&gt;0),IF(Inputs!$B$43&lt;=0,0,(INT(Inputs!$B$43/(IF(Inputs!$B$38="pvp",15,MAX(0.1,Skills!D15-IF(Skills!E15=TRUE,Inputs!$B$32,0)))*(1-IF(AND(ArtifactsInput!$M$27,Inputs!$B$4="Chapter Hunt"),CHOOSE(ArtifactsInput!$N$27+1,20,24,28,32,36,40),0)/100)))+1)),0)</f>
        <v/>
      </c>
      <c r="S1598">
        <f>IFERROR(O1598/N1598,0)</f>
        <v/>
      </c>
      <c r="T1598" t="n">
        <v>0</v>
      </c>
      <c r="V1598" t="n">
        <v>0</v>
      </c>
    </row>
    <row r="1599">
      <c r="A1599">
        <f>Skills!A16</f>
        <v/>
      </c>
      <c r="B1599">
        <f>Skills!B16</f>
        <v/>
      </c>
      <c r="C1599">
        <f>Inputs!$B$3&gt;=66</f>
        <v/>
      </c>
      <c r="D1599">
        <f>IF(Skills!C16=1,60+Inputs!$B$25+Inputs!$B$29,IF(Skills!C16=2,90+Inputs!$B$26+Inputs!$B$29,IF(Skills!C16=3,120+Inputs!$B$27+Inputs!$B$29,MAX(0,(Inputs!$B$3-100)*3)+Inputs!$B$28+Inputs!$B$29)))</f>
        <v/>
      </c>
      <c r="E1599">
        <f>INDEX(FactorTable!$B$2:$Y$301, MATCH(ROUND(MIN(300,MAX(1,D1599)),0), FactorTable!$A$2:$A$301,0), Skills!M16+1)</f>
        <v/>
      </c>
      <c r="F1599">
        <f>IF(Skills!N16=TRUE,(Skills!L16/10)*(E1599/1000),Skills!L16/10)+Skills!O16</f>
        <v/>
      </c>
      <c r="G1599">
        <f>Skills!G16*IF(Skills!H16&gt;0,Skills!I16/Skills!H16,1)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IFERROR(1/(IF(Inputs!$B$38="pvp",15,MAX(0.1,Skills!D16-IF(Skills!E16=TRUE,Inputs!$B$32,0)))*(1-IF(AND(ArtifactsInput!$M$27,Inputs!$B$4="Chapter Hunt"),CHOOSE(ArtifactsInput!$N$27+1,20,24,28,32,36,40),0)/100)),0)</f>
        <v/>
      </c>
      <c r="R1599">
        <f>IF(AND(Inputs!$B$38&lt;&gt;"pvp",Inputs!$B$43&gt;0),IF(Inputs!$B$43&lt;=0,0,(INT(Inputs!$B$43/(IF(Inputs!$B$38="pvp",15,MAX(0.1,Skills!D16-IF(Skills!E16=TRUE,Inputs!$B$32,0)))*(1-IF(AND(ArtifactsInput!$M$27,Inputs!$B$4="Chapter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INDEX(FactorTable!$B$2:$Y$301, MATCH(ROUND(MIN(300,MAX(1,D1600)),0), FactorTable!$A$2:$A$301,0), Skills!M17+1)</f>
        <v/>
      </c>
      <c r="F1600">
        <f>IF(Skills!N17=TRUE,(Skills!L17/10)*(E1600/1000),Skills!L17/10)+Skills!O17</f>
        <v/>
      </c>
      <c r="G1600">
        <f>Skills!G17*IF(Skills!H17&gt;0,Skills!I17/Skills!H17,1)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IFERROR(1/(IF(Inputs!$B$38="pvp",15,MAX(0.1,Skills!D17-IF(Skills!E17=TRUE,Inputs!$B$32,0)))*(1-IF(AND(ArtifactsInput!$M$27,Inputs!$B$4="Chapter Hunt"),CHOOSE(ArtifactsInput!$N$27+1,20,24,28,32,36,40),0)/100)),0)</f>
        <v/>
      </c>
      <c r="R1600">
        <f>IF(AND(Inputs!$B$38&lt;&gt;"pvp",Inputs!$B$43&gt;0),IF(Inputs!$B$43&lt;=0,0,(INT(Inputs!$B$43/(IF(Inputs!$B$38="pvp",15,MAX(0.1,Skills!D17-IF(Skills!E17=TRUE,Inputs!$B$32,0)))*(1-IF(AND(ArtifactsInput!$M$27,Inputs!$B$4="Chapter Hunt"),CHOOSE(ArtifactsInput!$N$27+1,20,24,28,32,36,40),0)/100)))+1)),0)</f>
        <v/>
      </c>
      <c r="S1600">
        <f>IFERROR(O1600/N1600,0)</f>
        <v/>
      </c>
      <c r="T1600" t="n">
        <v>0</v>
      </c>
      <c r="V1600" t="n">
        <v>0</v>
      </c>
    </row>
    <row r="1601">
      <c r="A1601">
        <f>Skills!A18</f>
        <v/>
      </c>
      <c r="B1601">
        <f>Skills!B18</f>
        <v/>
      </c>
      <c r="C1601">
        <f>Inputs!$B$3&gt;=115</f>
        <v/>
      </c>
      <c r="D1601">
        <f>IF(Skills!C18=1,60+Inputs!$B$25+Inputs!$B$29,IF(Skills!C18=2,90+Inputs!$B$26+Inputs!$B$29,IF(Skills!C18=3,120+Inputs!$B$27+Inputs!$B$29,MAX(0,(Inputs!$B$3-100)*3)+Inputs!$B$28+Inputs!$B$29)))</f>
        <v/>
      </c>
      <c r="E1601">
        <f>INDEX(FactorTable!$B$2:$Y$301, MATCH(ROUND(MIN(300,MAX(1,D1601)),0), FactorTable!$A$2:$A$301,0), Skills!M18+1)</f>
        <v/>
      </c>
      <c r="F1601">
        <f>IF(Skills!N18=TRUE,(Skills!L18/10)*(E1601/1000),Skills!L18/10)+Skills!O18</f>
        <v/>
      </c>
      <c r="G1601">
        <f>Skills!G18*IF(Skills!H18&gt;0,Skills!I18/Skills!H18,1)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IFERROR(1/(IF(Inputs!$B$38="pvp",15,MAX(0.1,Skills!D18-IF(Skills!E18=TRUE,Inputs!$B$32,0)))*(1-IF(AND(ArtifactsInput!$M$27,Inputs!$B$4="Chapter Hunt"),CHOOSE(ArtifactsInput!$N$27+1,20,24,28,32,36,40),0)/100)),0)</f>
        <v/>
      </c>
      <c r="R1601">
        <f>IF(AND(Inputs!$B$38&lt;&gt;"pvp",Inputs!$B$43&gt;0),IF(Inputs!$B$43&lt;=0,0,(INT(Inputs!$B$43/(IF(Inputs!$B$38="pvp",15,MAX(0.1,Skills!D18-IF(Skills!E18=TRUE,Inputs!$B$32,0)))*(1-IF(AND(ArtifactsInput!$M$27,Inputs!$B$4="Chapter Hunt"),CHOOSE(ArtifactsInput!$N$27+1,20,24,28,32,36,40),0)/100)))+1)),0)</f>
        <v/>
      </c>
      <c r="S1601">
        <f>IFERROR(O1601/N1601,0)</f>
        <v/>
      </c>
      <c r="T1601" t="n">
        <v>0</v>
      </c>
      <c r="V1601" t="n">
        <v>0</v>
      </c>
    </row>
    <row r="1602">
      <c r="A1602">
        <f>Skills!A19</f>
        <v/>
      </c>
      <c r="B1602">
        <f>Skills!B19</f>
        <v/>
      </c>
      <c r="C1602">
        <f>TRUE</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IFERROR(1/(IF(Inputs!$B$38="pvp",15,MAX(0.1,Skills!D19-IF(Skills!E19=TRUE,Inputs!$B$32,0)))*(1-IF(AND(ArtifactsInput!$M$27,Inputs!$B$4="Chapter Hunt"),CHOOSE(ArtifactsInput!$N$27+1,20,24,28,32,36,40),0)/100)),0)</f>
        <v/>
      </c>
      <c r="R1602">
        <f>IF(AND(Inputs!$B$38&lt;&gt;"pvp",Inputs!$B$43&gt;0),IF(Inputs!$B$43&lt;=0,0,(INT(Inputs!$B$43/(IF(Inputs!$B$38="pvp",15,MAX(0.1,Skills!D19-IF(Skills!E19=TRUE,Inputs!$B$32,0)))*(1-IF(AND(ArtifactsInput!$M$27,Inputs!$B$4="Chapter Hunt"),CHOOSE(ArtifactsInput!$N$27+1,20,24,28,32,36,40),0)/100)))+1)),0)</f>
        <v/>
      </c>
      <c r="S1602">
        <f>IFERROR(O1602/N1602,0)</f>
        <v/>
      </c>
      <c r="T1602" t="n">
        <v>0</v>
      </c>
      <c r="V1602" t="n">
        <v>0</v>
      </c>
    </row>
    <row r="1603">
      <c r="A1603">
        <f>Skills!A20</f>
        <v/>
      </c>
      <c r="B1603">
        <f>Skills!B20</f>
        <v/>
      </c>
      <c r="C1603">
        <f>Inputs!$B$3&gt;=33</f>
        <v/>
      </c>
      <c r="D1603">
        <f>IF(Skills!C20=1,60+Inputs!$B$25+Inputs!$B$29,IF(Skills!C20=2,90+Inputs!$B$26+Inputs!$B$29,IF(Skills!C20=3,120+Inputs!$B$27+Inputs!$B$29,MAX(0,(Inputs!$B$3-100)*3)+Inputs!$B$28+Inputs!$B$29)))</f>
        <v/>
      </c>
      <c r="E1603">
        <f>INDEX(FactorTable!$B$2:$Y$301, MATCH(ROUND(MIN(300,MAX(1,D1603)),0), FactorTable!$A$2:$A$301,0), Skills!M20+1)</f>
        <v/>
      </c>
      <c r="F1603">
        <f>IF(Skills!N20=TRUE,(Skills!L20/10)*(E1603/1000),Skills!L20/10)+Skills!O20</f>
        <v/>
      </c>
      <c r="G1603">
        <f>Skills!G20*IF(Skills!H20&gt;0,Skills!I20/Skills!H20,1)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Inputs!$B$3&gt;=38</f>
        <v/>
      </c>
      <c r="D1604">
        <f>IF(Skills!C21=1,60+Inputs!$B$25+Inputs!$B$29,IF(Skills!C21=2,90+Inputs!$B$26+Inputs!$B$29,IF(Skills!C21=3,120+Inputs!$B$27+Inputs!$B$29,MAX(0,(Inputs!$B$3-100)*3)+Inputs!$B$28+Inputs!$B$29)))</f>
        <v/>
      </c>
      <c r="E1604">
        <f>INDEX(FactorTable!$B$2:$Y$301, MATCH(ROUND(MIN(300,MAX(1,D1604)),0), FactorTable!$A$2:$A$301,0), Skills!M21+1)</f>
        <v/>
      </c>
      <c r="F1604">
        <f>IF(Skills!N21=TRUE,(Skills!L21/10)*(E1604/1000),Skills!L21/10)+Skills!O21</f>
        <v/>
      </c>
      <c r="G1604">
        <f>Skills!G21*IF(Skills!H21&gt;0,Skills!I21/Skills!H21,1)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t="n">
        <v>0</v>
      </c>
      <c r="R1604" t="n">
        <v>0</v>
      </c>
      <c r="S1604">
        <f>IFERROR(O1604/N1604,0)</f>
        <v/>
      </c>
      <c r="T1604" t="n">
        <v>0</v>
      </c>
      <c r="V1604" t="n">
        <v>0</v>
      </c>
    </row>
    <row r="1605">
      <c r="A1605">
        <f>Skills!A22</f>
        <v/>
      </c>
      <c r="B1605">
        <f>Skills!B22</f>
        <v/>
      </c>
      <c r="C1605">
        <f>Inputs!$B$3&gt;=43</f>
        <v/>
      </c>
      <c r="D1605">
        <f>IF(Skills!C22=1,60+Inputs!$B$25+Inputs!$B$29,IF(Skills!C22=2,90+Inputs!$B$26+Inputs!$B$29,IF(Skills!C22=3,120+Inputs!$B$27+Inputs!$B$29,MAX(0,(Inputs!$B$3-100)*3)+Inputs!$B$28+Inputs!$B$29)))</f>
        <v/>
      </c>
      <c r="E1605">
        <f>INDEX(FactorTable!$B$2:$Y$301, MATCH(ROUND(MIN(300,MAX(1,D1605)),0), FactorTable!$A$2:$A$301,0), Skills!M22+1)</f>
        <v/>
      </c>
      <c r="F1605">
        <f>IF(Skills!N22=TRUE,(Skills!L22/10)*(E1605/1000),Skills!L22/10)+Skills!O22</f>
        <v/>
      </c>
      <c r="G1605">
        <f>Skills!G22*IF(Skills!H22&gt;0,Skills!I22/Skills!H22,1)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Inputs!$B$3&gt;=120</f>
        <v/>
      </c>
      <c r="D1606">
        <f>IF(Skills!C23=1,60+Inputs!$B$25+Inputs!$B$29,IF(Skills!C23=2,90+Inputs!$B$26+Inputs!$B$29,IF(Skills!C23=3,120+Inputs!$B$27+Inputs!$B$29,MAX(0,(Inputs!$B$3-100)*3)+Inputs!$B$28+Inputs!$B$29)))</f>
        <v/>
      </c>
      <c r="E1606">
        <f>INDEX(FactorTable!$B$2:$Y$301, MATCH(ROUND(MIN(300,MAX(1,D1606)),0), FactorTable!$A$2:$A$301,0), Skills!M23+1)</f>
        <v/>
      </c>
      <c r="F1606">
        <f>IF(Skills!N23=TRUE,(Skills!L23/10)*(E1606/1000),Skills!L23/10)+Skills!O23</f>
        <v/>
      </c>
      <c r="G1606">
        <f>Skills!G23*IF(Skills!H23&gt;0,Skills!I23/Skills!H23,1)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Inputs!$B$3&gt;=120</f>
        <v/>
      </c>
      <c r="D1607">
        <f>IF(Skills!C24=1,60+Inputs!$B$25+Inputs!$B$29,IF(Skills!C24=2,90+Inputs!$B$26+Inputs!$B$29,IF(Skills!C24=3,120+Inputs!$B$27+Inputs!$B$29,MAX(0,(Inputs!$B$3-100)*3)+Inputs!$B$28+Inputs!$B$29)))</f>
        <v/>
      </c>
      <c r="E1607">
        <f>INDEX(FactorTable!$B$2:$Y$301, MATCH(ROUND(MIN(300,MAX(1,D1607)),0), FactorTable!$A$2:$A$301,0), Skills!M24+1)</f>
        <v/>
      </c>
      <c r="F1607">
        <f>IF(Skills!N24=TRUE,(Skills!L24/10)*(E1607/1000),Skills!L24/10)+Skills!O24</f>
        <v/>
      </c>
      <c r="G1607">
        <f>Skills!G24*IF(Skills!H24&gt;0,Skills!I24/Skills!H24,1)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Inputs!$B$3&gt;=125</f>
        <v/>
      </c>
      <c r="D1608">
        <f>IF(Skills!C25=1,60+Inputs!$B$25+Inputs!$B$29,IF(Skills!C25=2,90+Inputs!$B$26+Inputs!$B$29,IF(Skills!C25=3,120+Inputs!$B$27+Inputs!$B$29,MAX(0,(Inputs!$B$3-100)*3)+Inputs!$B$28+Inputs!$B$29)))</f>
        <v/>
      </c>
      <c r="E1608">
        <f>INDEX(FactorTable!$B$2:$Y$301, MATCH(ROUND(MIN(300,MAX(1,D1608)),0), FactorTable!$A$2:$A$301,0), Skills!M25+1)</f>
        <v/>
      </c>
      <c r="F1608">
        <f>IF(Skills!N25=TRUE,(Skills!L25/10)*(E1608/1000),Skills!L25/10)+Skills!O25</f>
        <v/>
      </c>
      <c r="G1608">
        <f>Skills!G25*IF(Skills!H25&gt;0,Skills!I25/Skills!H25,1)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Inputs!$B$3&gt;=72</f>
        <v/>
      </c>
      <c r="D1609">
        <f>IF(Skills!C26=1,60+Inputs!$B$25+Inputs!$B$29,IF(Skills!C26=2,90+Inputs!$B$26+Inputs!$B$29,IF(Skills!C26=3,120+Inputs!$B$27+Inputs!$B$29,MAX(0,(Inputs!$B$3-100)*3)+Inputs!$B$28+Inputs!$B$29)))</f>
        <v/>
      </c>
      <c r="E1609">
        <f>INDEX(FactorTable!$B$2:$Y$301, MATCH(ROUND(MIN(300,MAX(1,D1609)),0), FactorTable!$A$2:$A$301,0), Skills!M26+1)</f>
        <v/>
      </c>
      <c r="F1609">
        <f>IF(Skills!N26=TRUE,(Skills!L26/10)*(E1609/1000),Skills!L26/10)+Skills!O26</f>
        <v/>
      </c>
      <c r="G1609">
        <f>Skills!G26*IF(Skills!H26&gt;0,Skills!I26/Skills!H26,1)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1602=TRUE)*F1602*IF(AND(Inputs!$B$38&lt;&gt;"pvp",Inputs!$B$43&gt;0),(((R1602-1)*(Skills!T19*(1+(Inputs!$B$34+(ArtifactsInput!$M$7-ArtifactsInput!$M$7)*CHOOSE(ArtifactsInput!$N$7+1,6,7.2,8.4,9.6,10.8,12))/100))+MIN((Skills!T19*(1+(Inputs!$B$34+(ArtifactsInput!$M$7-ArtifactsInput!$M$7)*CHOOSE(ArtifactsInput!$N$7+1,6,7.2,8.4,9.6,10.8,12))/100)),MAX(0,Inputs!$B$43-((R1602-1)*Skills!D19))))/Inputs!$B$43),IF(Inputs!$B$38="pvp",MIN((Skills!T19*(1+(Inputs!$B$34+(ArtifactsInput!$M$7-ArtifactsInput!$M$7)*CHOOSE(ArtifactsInput!$N$7+1,6,7.2,8.4,9.6,10.8,12))/100)),15)/15,(Skills!T19*(1+(Inputs!$B$34+(ArtifactsInput!$M$7-ArtifactsInput!$M$7)*CHOOSE(ArtifactsInput!$N$7+1,6,7.2,8.4,9.6,10.8,12))/100))/Skills!D19)))</f>
        <v/>
      </c>
    </row>
    <row r="1614">
      <c r="A1614" t="inlineStr">
        <is>
          <t>Actions Per Second</t>
        </is>
      </c>
      <c r="B1614">
        <f>1+MIN(150,150*(1-(1-(Inputs!$B$11+((C1603=TRUE)*(F1603-Calc!F20)))/150)*(1-B1613/150)))/100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Raging Blow Casts Per Second</t>
        </is>
      </c>
      <c r="B1616">
        <f>MAX(0,B1614-B1615)</f>
        <v/>
      </c>
    </row>
    <row r="1617">
      <c r="A1617" t="inlineStr">
        <is>
          <t>Global Critical Damage Bonus % (Enrage)</t>
        </is>
      </c>
      <c r="B1617">
        <f>((C1601=TRUE)*F1601*IF(AND(Inputs!$B$38&lt;&gt;"pvp",Inputs!$B$43&gt;0),(((R1601-1)*(Skills!T18*(1+(Inputs!$B$34+(ArtifactsInput!$M$7-ArtifactsInput!$M$7)*CHOOSE(ArtifactsInput!$N$7+1,6,7.2,8.4,9.6,10.8,12))/100))+MIN((Skills!T18*(1+(Inputs!$B$34+(ArtifactsInput!$M$7-ArtifactsInput!$M$7)*CHOOSE(ArtifactsInput!$N$7+1,6,7.2,8.4,9.6,10.8,12))/100)),MAX(0,Inputs!$B$43-((R1601-1)*Skills!D18))))/Inputs!$B$43),IF(Inputs!$B$38="pvp",MIN((Skills!T18*(1+(Inputs!$B$34+(ArtifactsInput!$M$7-ArtifactsInput!$M$7)*CHOOSE(ArtifactsInput!$N$7+1,6,7.2,8.4,9.6,10.8,12))/100)),15)/15,(Skills!T18*(1+(Inputs!$B$34+(ArtifactsInput!$M$7-ArtifactsInput!$M$7)*CHOOSE(ArtifactsInput!$N$7+1,6,7.2,8.4,9.6,10.8,12))/100))/Skills!D18)))</f>
        <v/>
      </c>
    </row>
    <row r="1618">
      <c r="A1618" t="inlineStr">
        <is>
          <t>Global Final Damage Bonus % (Enrage + Combo Synergy)</t>
        </is>
      </c>
      <c r="B1618">
        <f>((C1600=TRUE)*F1600*IF(AND(Inputs!$B$38&lt;&gt;"pvp",Inputs!$B$43&gt;0),(((R1600-1)*(Skills!T17*(1+(Inputs!$B$34+(ArtifactsInput!$M$7-ArtifactsInput!$M$7)*CHOOSE(ArtifactsInput!$N$7+1,6,7.2,8.4,9.6,10.8,12))/100))+MIN((Skills!T17*(1+(Inputs!$B$34+(ArtifactsInput!$M$7-ArtifactsInput!$M$7)*CHOOSE(ArtifactsInput!$N$7+1,6,7.2,8.4,9.6,10.8,12))/100)),MAX(0,Inputs!$B$43-((R1600-1)*Skills!D17))))/Inputs!$B$43),IF(Inputs!$B$38="pvp",MIN((Skills!T17*(1+(Inputs!$B$34+(ArtifactsInput!$M$7-ArtifactsInput!$M$7)*CHOOSE(ArtifactsInput!$N$7+1,6,7.2,8.4,9.6,10.8,12))/100)),15)/15,(Skills!T17*(1+(Inputs!$B$34+(ArtifactsInput!$M$7-ArtifactsInput!$M$7)*CHOOSE(ArtifactsInput!$N$7+1,6,7.2,8.4,9.6,10.8,12))/100))/Skills!D17)))+((C1597=TRUE)*F1597*IF(Inputs!$B$3&gt;=110,7,5))</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1627)</f>
        <v/>
      </c>
      <c r="L1627">
        <f>K1627*(MIN(Inputs!$B$22+((C1647=TRUE)*(F1647-Calc!F22)),(Inputs!$B$23+((C1649=TRUE)*(F1649-Calc!F24))+(IF(ArtifactsInput!$M$15,CHOOSE(ArtifactsInput!$N$15+1,25,30,35,40,45,50)/100*(Inputs!$B$11-Inputs!$B$11),0))))/100+(Inputs!$B$23+((C1649=TRUE)*(F1649-Calc!F24))+(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INDEX(FactorTable!$B$2:$Y$301, MATCH(ROUND(MIN(300,MAX(1,D1628)),0),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INDEX(FactorTable!$B$2:$Y$301, MATCH(ROUND(MIN(300,MAX(1,U1627)),0), FactorTable!$A$2:$A$301,0), 22)</f>
        <v/>
      </c>
    </row>
    <row r="1629">
      <c r="A1629">
        <f>Skills!A4</f>
        <v/>
      </c>
      <c r="B1629">
        <f>Skills!B4</f>
        <v/>
      </c>
      <c r="C1629">
        <f>Inputs!$B$3&gt;=105</f>
        <v/>
      </c>
      <c r="D1629">
        <f>IF(Skills!C4=1,60+Inputs!$B$25+Inputs!$B$29,IF(Skills!C4=2,90+Inputs!$B$26+Inputs!$B$29,IF(Skills!C4=3,120+Inputs!$B$27+Inputs!$B$29,MAX(0,(Inputs!$B$3-100)*3)+Inputs!$B$28+Inputs!$B$29)))</f>
        <v/>
      </c>
      <c r="E1629">
        <f>INDEX(FactorTable!$B$2:$Y$301, MATCH(ROUND(MIN(300,MAX(1,D1629)),0), FactorTable!$A$2:$A$301,0), Skills!M4+1)</f>
        <v/>
      </c>
      <c r="F1629">
        <f>IF(Skills!N4=TRUE,(Skills!L4/10)*(E1629/1000),Skills!L4/10)+Skills!O4</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U1629">
        <f>290*U1628/1000</f>
        <v/>
      </c>
    </row>
    <row r="1630">
      <c r="A1630">
        <f>Skills!A5</f>
        <v/>
      </c>
      <c r="B1630">
        <f>Skills!B5</f>
        <v/>
      </c>
      <c r="C1630">
        <f>Inputs!$B$3&gt;=103</f>
        <v/>
      </c>
      <c r="D1630">
        <f>IF(Skills!C5=1,60+Inputs!$B$25+Inputs!$B$29,IF(Skills!C5=2,90+Inputs!$B$26+Inputs!$B$29,IF(Skills!C5=3,120+Inputs!$B$27+Inputs!$B$29,MAX(0,(Inputs!$B$3-100)*3)+Inputs!$B$28+Inputs!$B$29)))</f>
        <v/>
      </c>
      <c r="E1630">
        <f>INDEX(FactorTable!$B$2:$Y$301, MATCH(ROUND(MIN(300,MAX(1,D1630)),0), FactorTable!$A$2:$A$301,0), Skills!M5+1)</f>
        <v/>
      </c>
      <c r="F1630">
        <f>IF(Skills!N5=TRUE,(Skills!L5/10)*(E1630/1000),Skills!L5/10)+Skills!O5</f>
        <v/>
      </c>
      <c r="G1630">
        <f>Skills!G5*IF(Skills!H5&gt;0,Skills!I5/Skills!H5,1)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1630)</f>
        <v/>
      </c>
      <c r="L1630">
        <f>K1630*(MIN(Inputs!$B$22+((C1647=TRUE)*(F1647-Calc!F22)),(Inputs!$B$23+((C1649=TRUE)*(F1649-Calc!F24))+(IF(ArtifactsInput!$M$15,CHOOSE(ArtifactsInput!$N$15+1,25,30,35,40,45,50)/100*(Inputs!$B$11-Inputs!$B$11),0))))/100+(Inputs!$B$23+((C1649=TRUE)*(F1649-Calc!F24))+(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IFERROR(1/(IF(Inputs!$B$38="pvp",15,MAX(0.1,Skills!D5-IF(Skills!E5=TRUE,Inputs!$B$32,0)))*(1-IF(AND(ArtifactsInput!$M$27,Inputs!$B$4="Chapter Hunt"),CHOOSE(ArtifactsInput!$N$27+1,20,24,28,32,36,40),0)/100)),0)</f>
        <v/>
      </c>
      <c r="R1630">
        <f>IF(AND(Inputs!$B$38&lt;&gt;"pvp",Inputs!$B$43&gt;0),IF(MAX(0,Inputs!$B$43-B1661)&lt;=0,0,(INT(MAX(0,Inputs!$B$43-B1661)/(IF(Inputs!$B$38="pvp",15,MAX(0.1,Skills!D5-IF(Skills!E5=TRUE,Inputs!$B$32,0)))*(1-IF(AND(ArtifactsInput!$M$27,Inputs!$B$4="Chapter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INDEX(FactorTable!$B$2:$Y$301, MATCH(ROUND(MIN(300,MAX(1,D1631)),0), FactorTable!$A$2:$A$301,0), Skills!M6+1)</f>
        <v/>
      </c>
      <c r="F1631">
        <f>IF(Skills!N6=TRUE,(Skills!L6/10)*(E1631/1000),Skills!L6/10)+Skills!O6</f>
        <v/>
      </c>
      <c r="G1631">
        <f>Skills!G6*IF(Skills!H6&gt;0,Skills!I6/Skills!H6,1)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1631)</f>
        <v/>
      </c>
      <c r="L1631">
        <f>K1631*(MIN(Inputs!$B$22+((C1647=TRUE)*(F1647-Calc!F22)),(Inputs!$B$23+((C1649=TRUE)*(F1649-Calc!F24))+(IF(ArtifactsInput!$M$15,CHOOSE(ArtifactsInput!$N$15+1,25,30,35,40,45,50)/100*(Inputs!$B$11-Inputs!$B$11),0))))/100+(Inputs!$B$23+((C1649=TRUE)*(F1649-Calc!F24))+(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IFERROR(1/(IF(Inputs!$B$38="pvp",15,MAX(0.1,Skills!D6-IF(Skills!E6=TRUE,Inputs!$B$32,0)))*(1-IF(AND(ArtifactsInput!$M$27,Inputs!$B$4="Chapter Hunt"),CHOOSE(ArtifactsInput!$N$27+1,20,24,28,32,36,40),0)/100)),0)</f>
        <v/>
      </c>
      <c r="R1631">
        <f>IF(AND(Inputs!$B$38&lt;&gt;"pvp",Inputs!$B$43&gt;0),IF(MAX(0,Inputs!$B$43-B1661)&lt;=0,0,(INT(MAX(0,Inputs!$B$43-B1661)/(IF(Inputs!$B$38="pvp",15,MAX(0.1,Skills!D6-IF(Skills!E6=TRUE,Inputs!$B$32,0)))*(1-IF(AND(ArtifactsInput!$M$27,Inputs!$B$4="Chapter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INDEX(FactorTable!$B$2:$Y$301, MATCH(ROUND(MIN(300,MAX(1,D1632)),0), FactorTable!$A$2:$A$301,0), Skills!M7+1)</f>
        <v/>
      </c>
      <c r="F1632">
        <f>IF(Skills!N7=TRUE,(Skills!L7/10)*(E1632/1000),Skills!L7/10)+Skills!O7</f>
        <v/>
      </c>
      <c r="G1632">
        <f>Skills!G7*IF(Skills!H7&gt;0,Skills!I7/Skills!H7,1)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1632)</f>
        <v/>
      </c>
      <c r="L1632">
        <f>K1632*(MIN(Inputs!$B$22+((C1647=TRUE)*(F1647-Calc!F22)),(Inputs!$B$23+((C1649=TRUE)*(F1649-Calc!F24))+(IF(ArtifactsInput!$M$15,CHOOSE(ArtifactsInput!$N$15+1,25,30,35,40,45,50)/100*(Inputs!$B$11-Inputs!$B$11),0))))/100+(Inputs!$B$23+((C1649=TRUE)*(F1649-Calc!F24))+(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IFERROR(1/(IF(Inputs!$B$38="pvp",15,MAX(0.1,Skills!D7-IF(Skills!E7=TRUE,Inputs!$B$32,0)))*(1-IF(AND(ArtifactsInput!$M$27,Inputs!$B$4="Chapter Hunt"),CHOOSE(ArtifactsInput!$N$27+1,20,24,28,32,36,40),0)/100)),0)</f>
        <v/>
      </c>
      <c r="R1632">
        <f>IF(AND(Inputs!$B$38&lt;&gt;"pvp",Inputs!$B$43&gt;0),IF(MAX(0,Inputs!$B$43-B1661)&lt;=0,0,(INT(MAX(0,Inputs!$B$43-B1661)/(IF(Inputs!$B$38="pvp",15,MAX(0.1,Skills!D7-IF(Skills!E7=TRUE,Inputs!$B$32,0)))*(1-IF(AND(ArtifactsInput!$M$27,Inputs!$B$4="Chapter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Inputs!$B$3&gt;=117</f>
        <v/>
      </c>
      <c r="D1633">
        <f>IF(Skills!C8=1,60+Inputs!$B$25+Inputs!$B$29,IF(Skills!C8=2,90+Inputs!$B$26+Inputs!$B$29,IF(Skills!C8=3,120+Inputs!$B$27+Inputs!$B$29,MAX(0,(Inputs!$B$3-100)*3)+Inputs!$B$28+Inputs!$B$29)))</f>
        <v/>
      </c>
      <c r="E1633">
        <f>INDEX(FactorTable!$B$2:$Y$301, MATCH(ROUND(MIN(300,MAX(1,D1633)),0), FactorTable!$A$2:$A$301,0), Skills!M8+1)</f>
        <v/>
      </c>
      <c r="F1633">
        <f>IF(Skills!N8=TRUE,(Skills!L8/10)*(E1633/1000),Skills!L8/10)+Skills!O8</f>
        <v/>
      </c>
      <c r="G1633">
        <f>Skills!G8*IF(Skills!H8&gt;0,Skills!I8/Skills!H8,1)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1633)</f>
        <v/>
      </c>
      <c r="L1633">
        <f>K1633*(MIN(Inputs!$B$22+((C1647=TRUE)*(F1647-Calc!F22)),(Inputs!$B$23+((C1649=TRUE)*(F1649-Calc!F24))+(IF(ArtifactsInput!$M$15,CHOOSE(ArtifactsInput!$N$15+1,25,30,35,40,45,50)/100*(Inputs!$B$11-Inputs!$B$11),0))))/100+(Inputs!$B$23+((C1649=TRUE)*(F1649-Calc!F24))+(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IFERROR(1/(IF(Inputs!$B$38="pvp",15,MAX(0.1,Skills!D8-IF(Skills!E8=TRUE,Inputs!$B$32,0)))*(1-IF(AND(ArtifactsInput!$M$27,Inputs!$B$4="Chapter Hunt"),CHOOSE(ArtifactsInput!$N$27+1,20,24,28,32,36,40),0)/100)),0)</f>
        <v/>
      </c>
      <c r="R1633">
        <f>IF(AND(Inputs!$B$38&lt;&gt;"pvp",Inputs!$B$43&gt;0),IF(MAX(0,Inputs!$B$43-B1661)&lt;=0,0,(INT(MAX(0,Inputs!$B$43-B1661)/(IF(Inputs!$B$38="pvp",15,MAX(0.1,Skills!D8-IF(Skills!E8=TRUE,Inputs!$B$32,0)))*(1-IF(AND(ArtifactsInput!$M$27,Inputs!$B$4="Chapter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Inputs!$B$3&gt;=69</f>
        <v/>
      </c>
      <c r="D1634">
        <f>IF(Skills!C9=1,60+Inputs!$B$25+Inputs!$B$29,IF(Skills!C9=2,90+Inputs!$B$26+Inputs!$B$29,IF(Skills!C9=3,120+Inputs!$B$27+Inputs!$B$29,MAX(0,(Inputs!$B$3-100)*3)+Inputs!$B$28+Inputs!$B$29)))</f>
        <v/>
      </c>
      <c r="E1634">
        <f>INDEX(FactorTable!$B$2:$Y$301, MATCH(ROUND(MIN(300,MAX(1,D1634)),0), FactorTable!$A$2:$A$301,0), Skills!M9+1)</f>
        <v/>
      </c>
      <c r="F1634">
        <f>IF(Skills!N9=TRUE,(Skills!L9/10)*(E1634/1000),Skills!L9/10)+Skills!O9</f>
        <v/>
      </c>
      <c r="G1634">
        <f>Skills!G9*IF(Skills!H9&gt;0,Skills!I9/Skills!H9,1)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9="ENHANCED_RAGING_BLOW",IF(Inputs!$B$3&gt;=134,MAX(0,IF(Inputs!$B$3&gt;=110,7,5)-5)*50,0),0)/100)*(1+(IF(Skills!A9="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1634)</f>
        <v/>
      </c>
      <c r="L1634">
        <f>K1634*(MIN(Inputs!$B$22+((C1647=TRUE)*(F1647-Calc!F22)),(Inputs!$B$23+((C1649=TRUE)*(F1649-Calc!F24))+(IF(ArtifactsInput!$M$15,CHOOSE(ArtifactsInput!$N$15+1,25,30,35,40,45,50)/100*(Inputs!$B$11-Inputs!$B$11),0))))/100+(Inputs!$B$23+((C1649=TRUE)*(F1649-Calc!F24))+(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IFERROR(1/(IF(Inputs!$B$38="pvp",15,MAX(0.1,Skills!D9-IF(Skills!E9=TRUE,Inputs!$B$32,0)))*(1-IF(AND(ArtifactsInput!$M$27,Inputs!$B$4="Chapter Hunt"),CHOOSE(ArtifactsInput!$N$27+1,20,24,28,32,36,40),0)/100)),0)</f>
        <v/>
      </c>
      <c r="R1634">
        <f>IF(AND(Inputs!$B$38&lt;&gt;"pvp",Inputs!$B$43&gt;0),IF(MAX(0,Inputs!$B$43-B1661)&lt;=0,0,(INT(MAX(0,Inputs!$B$43-B1661)/(IF(Inputs!$B$38="pvp",15,MAX(0.1,Skills!D9-IF(Skills!E9=TRUE,Inputs!$B$32,0)))*(1-IF(AND(ArtifactsInput!$M$27,Inputs!$B$4="Chapter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Inputs!$B$3&gt;=63</f>
        <v/>
      </c>
      <c r="D1635">
        <f>IF(Skills!C10=1,60+Inputs!$B$25+Inputs!$B$29,IF(Skills!C10=2,90+Inputs!$B$26+Inputs!$B$29,IF(Skills!C10=3,120+Inputs!$B$27+Inputs!$B$29,MAX(0,(Inputs!$B$3-100)*3)+Inputs!$B$28+Inputs!$B$29)))</f>
        <v/>
      </c>
      <c r="E1635">
        <f>INDEX(FactorTable!$B$2:$Y$301, MATCH(ROUND(MIN(300,MAX(1,D1635)),0), FactorTable!$A$2:$A$301,0), Skills!M10+1)</f>
        <v/>
      </c>
      <c r="F1635">
        <f>IF(Skills!N10=TRUE,(Skills!L10/10)*(E1635/1000),Skills!L10/10)+Skills!O10</f>
        <v/>
      </c>
      <c r="G1635">
        <f>Skills!G10*IF(Skills!H10&gt;0,Skills!I10/Skills!H10,1)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10="ENHANCED_RAGING_BLOW",IF(Inputs!$B$3&gt;=134,MAX(0,IF(Inputs!$B$3&gt;=110,7,5)-5)*50,0),0)/100)*(1+(IF(Skills!A10="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1635)</f>
        <v/>
      </c>
      <c r="L1635">
        <f>K1635*(MIN(Inputs!$B$22+((C1647=TRUE)*(F1647-Calc!F22)),(Inputs!$B$23+((C1649=TRUE)*(F1649-Calc!F24))+(IF(ArtifactsInput!$M$15,CHOOSE(ArtifactsInput!$N$15+1,25,30,35,40,45,50)/100*(Inputs!$B$11-Inputs!$B$11),0))))/100+(Inputs!$B$23+((C1649=TRUE)*(F1649-Calc!F24))+(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IFERROR(1/(IF(Inputs!$B$38="pvp",15,MAX(0.1,Skills!D10-IF(Skills!E10=TRUE,Inputs!$B$32,0)))*(1-IF(AND(ArtifactsInput!$M$27,Inputs!$B$4="Chapter Hunt"),CHOOSE(ArtifactsInput!$N$27+1,20,24,28,32,36,40),0)/100)),0)</f>
        <v/>
      </c>
      <c r="R1635">
        <f>IF(AND(Inputs!$B$38&lt;&gt;"pvp",Inputs!$B$43&gt;0),IF(MAX(0,Inputs!$B$43-B1661)&lt;=0,0,(INT(MAX(0,Inputs!$B$43-B1661)/(IF(Inputs!$B$38="pvp",15,MAX(0.1,Skills!D10-IF(Skills!E10=TRUE,Inputs!$B$32,0)))*(1-IF(AND(ArtifactsInput!$M$27,Inputs!$B$4="Chapter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Inputs!$B$3&gt;=35</f>
        <v/>
      </c>
      <c r="D1636">
        <f>IF(Skills!C11=1,60+Inputs!$B$25+Inputs!$B$29,IF(Skills!C11=2,90+Inputs!$B$26+Inputs!$B$29,IF(Skills!C11=3,120+Inputs!$B$27+Inputs!$B$29,MAX(0,(Inputs!$B$3-100)*3)+Inputs!$B$28+Inputs!$B$29)))</f>
        <v/>
      </c>
      <c r="E1636">
        <f>INDEX(FactorTable!$B$2:$Y$301, MATCH(ROUND(MIN(300,MAX(1,D1636)),0), FactorTable!$A$2:$A$301,0), Skills!M11+1)</f>
        <v/>
      </c>
      <c r="F1636">
        <f>IF(Skills!N11=TRUE,(Skills!L11/10)*(E1636/1000),Skills!L11/10)+Skills!O11</f>
        <v/>
      </c>
      <c r="G1636">
        <f>Skills!G11*IF(Skills!H11&gt;0,Skills!I11/Skills!H11,1)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11="ENHANCED_RAGING_BLOW",IF(Inputs!$B$3&gt;=134,MAX(0,IF(Inputs!$B$3&gt;=110,7,5)-5)*50,0),0)/100)*(1+(IF(Skills!A11="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1636)</f>
        <v/>
      </c>
      <c r="L1636">
        <f>K1636*(MIN(Inputs!$B$22+((C1647=TRUE)*(F1647-Calc!F22)),(Inputs!$B$23+((C1649=TRUE)*(F1649-Calc!F24))+(IF(ArtifactsInput!$M$15,CHOOSE(ArtifactsInput!$N$15+1,25,30,35,40,45,50)/100*(Inputs!$B$11-Inputs!$B$11),0))))/100+(Inputs!$B$23+((C1649=TRUE)*(F1649-Calc!F24))+(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IFERROR(1/(IF(Inputs!$B$38="pvp",15,MAX(0.1,Skills!D11-IF(Skills!E11=TRUE,Inputs!$B$32,0)))*(1-IF(AND(ArtifactsInput!$M$27,Inputs!$B$4="Chapter Hunt"),CHOOSE(ArtifactsInput!$N$27+1,20,24,28,32,36,40),0)/100)),0)</f>
        <v/>
      </c>
      <c r="R1636">
        <f>IF(AND(Inputs!$B$38&lt;&gt;"pvp",Inputs!$B$43&gt;0),IF(MAX(0,Inputs!$B$43-B1661)&lt;=0,0,(INT(MAX(0,Inputs!$B$43-B1661)/(IF(Inputs!$B$38="pvp",15,MAX(0.1,Skills!D11-IF(Skills!E11=TRUE,Inputs!$B$32,0)))*(1-IF(AND(ArtifactsInput!$M$27,Inputs!$B$4="Chapter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INDEX(FactorTable!$B$2:$Y$301, MATCH(ROUND(MIN(300,MAX(1,D1637)),0),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INDEX(FactorTable!$B$2:$Y$301, MATCH(ROUND(MIN(300,MAX(1,D1638)),0), FactorTable!$A$2:$A$301,0), Skills!M13+1)</f>
        <v/>
      </c>
      <c r="F1638">
        <f>IF(Skills!N13=TRUE,(Skills!L13/10)*(E1638/1000),Skills!L13/10)+Skills!O13</f>
        <v/>
      </c>
      <c r="G1638">
        <f>Skills!G13*IF(Skills!H13&gt;0,Skills!I13/Skills!H13,1)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Inputs!$B$3&gt;=75</f>
        <v/>
      </c>
      <c r="D1639">
        <f>IF(Skills!C14=1,60+Inputs!$B$25+Inputs!$B$29,IF(Skills!C14=2,90+Inputs!$B$26+Inputs!$B$29,IF(Skills!C14=3,120+Inputs!$B$27+Inputs!$B$29,MAX(0,(Inputs!$B$3-100)*3)+Inputs!$B$28+Inputs!$B$29)))</f>
        <v/>
      </c>
      <c r="E1639">
        <f>INDEX(FactorTable!$B$2:$Y$301, MATCH(ROUND(MIN(300,MAX(1,D1639)),0), FactorTable!$A$2:$A$301,0), Skills!M14+1)</f>
        <v/>
      </c>
      <c r="F1639">
        <f>IF(Skills!N14=TRUE,(Skills!L14/10)*(E1639/1000),Skills!L14/10)+Skills!O14</f>
        <v/>
      </c>
      <c r="G1639">
        <f>Skills!G14*IF(Skills!H14&gt;0,Skills!I14/Skills!H14,1)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Inputs!$B$3&gt;=40</f>
        <v/>
      </c>
      <c r="D1640">
        <f>IF(Skills!C15=1,60+Inputs!$B$25+Inputs!$B$29,IF(Skills!C15=2,90+Inputs!$B$26+Inputs!$B$29,IF(Skills!C15=3,120+Inputs!$B$27+Inputs!$B$29,MAX(0,(Inputs!$B$3-100)*3)+Inputs!$B$28+Inputs!$B$29)))</f>
        <v/>
      </c>
      <c r="E1640">
        <f>INDEX(FactorTable!$B$2:$Y$301, MATCH(ROUND(MIN(300,MAX(1,D1640)),0), FactorTable!$A$2:$A$301,0), Skills!M15+1)</f>
        <v/>
      </c>
      <c r="F1640">
        <f>IF(Skills!N15=TRUE,(Skills!L15/10)*(E1640/1000),Skills!L15/10)+Skills!O15</f>
        <v/>
      </c>
      <c r="G1640">
        <f>Skills!G15*IF(Skills!H15&gt;0,Skills!I15/Skills!H15,1)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IFERROR(1/(IF(Inputs!$B$38="pvp",15,MAX(0.1,Skills!D15-IF(Skills!E15=TRUE,Inputs!$B$32,0)))*(1-IF(AND(ArtifactsInput!$M$27,Inputs!$B$4="Chapter Hunt"),CHOOSE(ArtifactsInput!$N$27+1,20,24,28,32,36,40),0)/100)),0)</f>
        <v/>
      </c>
      <c r="R1640">
        <f>IF(AND(Inputs!$B$38&lt;&gt;"pvp",Inputs!$B$43&gt;0),IF(Inputs!$B$43&lt;=0,0,(INT(Inputs!$B$43/(IF(Inputs!$B$38="pvp",15,MAX(0.1,Skills!D15-IF(Skills!E15=TRUE,Inputs!$B$32,0)))*(1-IF(AND(ArtifactsInput!$M$27,Inputs!$B$4="Chapter Hunt"),CHOOSE(ArtifactsInput!$N$27+1,20,24,28,32,36,40),0)/100)))+1)),0)</f>
        <v/>
      </c>
      <c r="S1640">
        <f>IFERROR(O1640/N1640,0)</f>
        <v/>
      </c>
      <c r="T1640" t="n">
        <v>0</v>
      </c>
      <c r="V1640" t="n">
        <v>0</v>
      </c>
    </row>
    <row r="1641">
      <c r="A1641">
        <f>Skills!A16</f>
        <v/>
      </c>
      <c r="B1641">
        <f>Skills!B16</f>
        <v/>
      </c>
      <c r="C1641">
        <f>Inputs!$B$3&gt;=66</f>
        <v/>
      </c>
      <c r="D1641">
        <f>IF(Skills!C16=1,60+Inputs!$B$25+Inputs!$B$29,IF(Skills!C16=2,90+Inputs!$B$26+Inputs!$B$29,IF(Skills!C16=3,120+Inputs!$B$27+Inputs!$B$29,MAX(0,(Inputs!$B$3-100)*3)+Inputs!$B$28+Inputs!$B$29)))</f>
        <v/>
      </c>
      <c r="E1641">
        <f>INDEX(FactorTable!$B$2:$Y$301, MATCH(ROUND(MIN(300,MAX(1,D1641)),0), FactorTable!$A$2:$A$301,0), Skills!M16+1)</f>
        <v/>
      </c>
      <c r="F1641">
        <f>IF(Skills!N16=TRUE,(Skills!L16/10)*(E1641/1000),Skills!L16/10)+Skills!O16</f>
        <v/>
      </c>
      <c r="G1641">
        <f>Skills!G16*IF(Skills!H16&gt;0,Skills!I16/Skills!H16,1)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IFERROR(1/(IF(Inputs!$B$38="pvp",15,MAX(0.1,Skills!D16-IF(Skills!E16=TRUE,Inputs!$B$32,0)))*(1-IF(AND(ArtifactsInput!$M$27,Inputs!$B$4="Chapter Hunt"),CHOOSE(ArtifactsInput!$N$27+1,20,24,28,32,36,40),0)/100)),0)</f>
        <v/>
      </c>
      <c r="R1641">
        <f>IF(AND(Inputs!$B$38&lt;&gt;"pvp",Inputs!$B$43&gt;0),IF(Inputs!$B$43&lt;=0,0,(INT(Inputs!$B$43/(IF(Inputs!$B$38="pvp",15,MAX(0.1,Skills!D16-IF(Skills!E16=TRUE,Inputs!$B$32,0)))*(1-IF(AND(ArtifactsInput!$M$27,Inputs!$B$4="Chapter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INDEX(FactorTable!$B$2:$Y$301, MATCH(ROUND(MIN(300,MAX(1,D1642)),0), FactorTable!$A$2:$A$301,0), Skills!M17+1)</f>
        <v/>
      </c>
      <c r="F1642">
        <f>IF(Skills!N17=TRUE,(Skills!L17/10)*(E1642/1000),Skills!L17/10)+Skills!O17</f>
        <v/>
      </c>
      <c r="G1642">
        <f>Skills!G17*IF(Skills!H17&gt;0,Skills!I17/Skills!H17,1)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IFERROR(1/(IF(Inputs!$B$38="pvp",15,MAX(0.1,Skills!D17-IF(Skills!E17=TRUE,Inputs!$B$32,0)))*(1-IF(AND(ArtifactsInput!$M$27,Inputs!$B$4="Chapter Hunt"),CHOOSE(ArtifactsInput!$N$27+1,20,24,28,32,36,40),0)/100)),0)</f>
        <v/>
      </c>
      <c r="R1642">
        <f>IF(AND(Inputs!$B$38&lt;&gt;"pvp",Inputs!$B$43&gt;0),IF(Inputs!$B$43&lt;=0,0,(INT(Inputs!$B$43/(IF(Inputs!$B$38="pvp",15,MAX(0.1,Skills!D17-IF(Skills!E17=TRUE,Inputs!$B$32,0)))*(1-IF(AND(ArtifactsInput!$M$27,Inputs!$B$4="Chapter Hunt"),CHOOSE(ArtifactsInput!$N$27+1,20,24,28,32,36,40),0)/100)))+1)),0)</f>
        <v/>
      </c>
      <c r="S1642">
        <f>IFERROR(O1642/N1642,0)</f>
        <v/>
      </c>
      <c r="T1642" t="n">
        <v>0</v>
      </c>
      <c r="V1642" t="n">
        <v>0</v>
      </c>
    </row>
    <row r="1643">
      <c r="A1643">
        <f>Skills!A18</f>
        <v/>
      </c>
      <c r="B1643">
        <f>Skills!B18</f>
        <v/>
      </c>
      <c r="C1643">
        <f>Inputs!$B$3&gt;=115</f>
        <v/>
      </c>
      <c r="D1643">
        <f>IF(Skills!C18=1,60+Inputs!$B$25+Inputs!$B$29,IF(Skills!C18=2,90+Inputs!$B$26+Inputs!$B$29,IF(Skills!C18=3,120+Inputs!$B$27+Inputs!$B$29,MAX(0,(Inputs!$B$3-100)*3)+Inputs!$B$28+Inputs!$B$29)))</f>
        <v/>
      </c>
      <c r="E1643">
        <f>INDEX(FactorTable!$B$2:$Y$301, MATCH(ROUND(MIN(300,MAX(1,D1643)),0), FactorTable!$A$2:$A$301,0), Skills!M18+1)</f>
        <v/>
      </c>
      <c r="F1643">
        <f>IF(Skills!N18=TRUE,(Skills!L18/10)*(E1643/1000),Skills!L18/10)+Skills!O18</f>
        <v/>
      </c>
      <c r="G1643">
        <f>Skills!G18*IF(Skills!H18&gt;0,Skills!I18/Skills!H18,1)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IFERROR(1/(IF(Inputs!$B$38="pvp",15,MAX(0.1,Skills!D18-IF(Skills!E18=TRUE,Inputs!$B$32,0)))*(1-IF(AND(ArtifactsInput!$M$27,Inputs!$B$4="Chapter Hunt"),CHOOSE(ArtifactsInput!$N$27+1,20,24,28,32,36,40),0)/100)),0)</f>
        <v/>
      </c>
      <c r="R1643">
        <f>IF(AND(Inputs!$B$38&lt;&gt;"pvp",Inputs!$B$43&gt;0),IF(Inputs!$B$43&lt;=0,0,(INT(Inputs!$B$43/(IF(Inputs!$B$38="pvp",15,MAX(0.1,Skills!D18-IF(Skills!E18=TRUE,Inputs!$B$32,0)))*(1-IF(AND(ArtifactsInput!$M$27,Inputs!$B$4="Chapter Hunt"),CHOOSE(ArtifactsInput!$N$27+1,20,24,28,32,36,40),0)/100)))+1)),0)</f>
        <v/>
      </c>
      <c r="S1643">
        <f>IFERROR(O1643/N1643,0)</f>
        <v/>
      </c>
      <c r="T1643" t="n">
        <v>0</v>
      </c>
      <c r="V1643" t="n">
        <v>0</v>
      </c>
    </row>
    <row r="1644">
      <c r="A1644">
        <f>Skills!A19</f>
        <v/>
      </c>
      <c r="B1644">
        <f>Skills!B19</f>
        <v/>
      </c>
      <c r="C1644">
        <f>TRUE</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IFERROR(1/(IF(Inputs!$B$38="pvp",15,MAX(0.1,Skills!D19-IF(Skills!E19=TRUE,Inputs!$B$32,0)))*(1-IF(AND(ArtifactsInput!$M$27,Inputs!$B$4="Chapter Hunt"),CHOOSE(ArtifactsInput!$N$27+1,20,24,28,32,36,40),0)/100)),0)</f>
        <v/>
      </c>
      <c r="R1644">
        <f>IF(AND(Inputs!$B$38&lt;&gt;"pvp",Inputs!$B$43&gt;0),IF(Inputs!$B$43&lt;=0,0,(INT(Inputs!$B$43/(IF(Inputs!$B$38="pvp",15,MAX(0.1,Skills!D19-IF(Skills!E19=TRUE,Inputs!$B$32,0)))*(1-IF(AND(ArtifactsInput!$M$27,Inputs!$B$4="Chapter Hunt"),CHOOSE(ArtifactsInput!$N$27+1,20,24,28,32,36,40),0)/100)))+1)),0)</f>
        <v/>
      </c>
      <c r="S1644">
        <f>IFERROR(O1644/N1644,0)</f>
        <v/>
      </c>
      <c r="T1644" t="n">
        <v>0</v>
      </c>
      <c r="V1644" t="n">
        <v>0</v>
      </c>
    </row>
    <row r="1645">
      <c r="A1645">
        <f>Skills!A20</f>
        <v/>
      </c>
      <c r="B1645">
        <f>Skills!B20</f>
        <v/>
      </c>
      <c r="C1645">
        <f>Inputs!$B$3&gt;=33</f>
        <v/>
      </c>
      <c r="D1645">
        <f>IF(Skills!C20=1,60+Inputs!$B$25+Inputs!$B$29,IF(Skills!C20=2,90+Inputs!$B$26+Inputs!$B$29,IF(Skills!C20=3,120+Inputs!$B$27+Inputs!$B$29,MAX(0,(Inputs!$B$3-100)*3)+Inputs!$B$28+Inputs!$B$29)))</f>
        <v/>
      </c>
      <c r="E1645">
        <f>INDEX(FactorTable!$B$2:$Y$301, MATCH(ROUND(MIN(300,MAX(1,D1645)),0), FactorTable!$A$2:$A$301,0), Skills!M20+1)</f>
        <v/>
      </c>
      <c r="F1645">
        <f>IF(Skills!N20=TRUE,(Skills!L20/10)*(E1645/1000),Skills!L20/10)+Skills!O20</f>
        <v/>
      </c>
      <c r="G1645">
        <f>Skills!G20*IF(Skills!H20&gt;0,Skills!I20/Skills!H20,1)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Inputs!$B$3&gt;=38</f>
        <v/>
      </c>
      <c r="D1646">
        <f>IF(Skills!C21=1,60+Inputs!$B$25+Inputs!$B$29,IF(Skills!C21=2,90+Inputs!$B$26+Inputs!$B$29,IF(Skills!C21=3,120+Inputs!$B$27+Inputs!$B$29,MAX(0,(Inputs!$B$3-100)*3)+Inputs!$B$28+Inputs!$B$29)))</f>
        <v/>
      </c>
      <c r="E1646">
        <f>INDEX(FactorTable!$B$2:$Y$301, MATCH(ROUND(MIN(300,MAX(1,D1646)),0), FactorTable!$A$2:$A$301,0), Skills!M21+1)</f>
        <v/>
      </c>
      <c r="F1646">
        <f>IF(Skills!N21=TRUE,(Skills!L21/10)*(E1646/1000),Skills!L21/10)+Skills!O21</f>
        <v/>
      </c>
      <c r="G1646">
        <f>Skills!G21*IF(Skills!H21&gt;0,Skills!I21/Skills!H21,1)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Skills!A22</f>
        <v/>
      </c>
      <c r="B1647">
        <f>Skills!B22</f>
        <v/>
      </c>
      <c r="C1647">
        <f>Inputs!$B$3&gt;=43</f>
        <v/>
      </c>
      <c r="D1647">
        <f>IF(Skills!C22=1,60+Inputs!$B$25+Inputs!$B$29,IF(Skills!C22=2,90+Inputs!$B$26+Inputs!$B$29,IF(Skills!C22=3,120+Inputs!$B$27+Inputs!$B$29,MAX(0,(Inputs!$B$3-100)*3)+Inputs!$B$28+Inputs!$B$29)))</f>
        <v/>
      </c>
      <c r="E1647">
        <f>INDEX(FactorTable!$B$2:$Y$301, MATCH(ROUND(MIN(300,MAX(1,D1647)),0), FactorTable!$A$2:$A$301,0), Skills!M22+1)</f>
        <v/>
      </c>
      <c r="F1647">
        <f>IF(Skills!N22=TRUE,(Skills!L22/10)*(E1647/1000),Skills!L22/10)+Skills!O22</f>
        <v/>
      </c>
      <c r="G1647">
        <f>Skills!G22*IF(Skills!H22&gt;0,Skills!I22/Skills!H22,1)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Inputs!$B$3&gt;=120</f>
        <v/>
      </c>
      <c r="D1648">
        <f>IF(Skills!C23=1,60+Inputs!$B$25+Inputs!$B$29,IF(Skills!C23=2,90+Inputs!$B$26+Inputs!$B$29,IF(Skills!C23=3,120+Inputs!$B$27+Inputs!$B$29,MAX(0,(Inputs!$B$3-100)*3)+Inputs!$B$28+Inputs!$B$29)))</f>
        <v/>
      </c>
      <c r="E1648">
        <f>INDEX(FactorTable!$B$2:$Y$301, MATCH(ROUND(MIN(300,MAX(1,D1648)),0), FactorTable!$A$2:$A$301,0), Skills!M23+1)</f>
        <v/>
      </c>
      <c r="F1648">
        <f>IF(Skills!N23=TRUE,(Skills!L23/10)*(E1648/1000),Skills!L23/10)+Skills!O23</f>
        <v/>
      </c>
      <c r="G1648">
        <f>Skills!G23*IF(Skills!H23&gt;0,Skills!I23/Skills!H23,1)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Inputs!$B$3&gt;=120</f>
        <v/>
      </c>
      <c r="D1649">
        <f>IF(Skills!C24=1,60+Inputs!$B$25+Inputs!$B$29,IF(Skills!C24=2,90+Inputs!$B$26+Inputs!$B$29,IF(Skills!C24=3,120+Inputs!$B$27+Inputs!$B$29,MAX(0,(Inputs!$B$3-100)*3)+Inputs!$B$28+Inputs!$B$29)))</f>
        <v/>
      </c>
      <c r="E1649">
        <f>INDEX(FactorTable!$B$2:$Y$301, MATCH(ROUND(MIN(300,MAX(1,D1649)),0), FactorTable!$A$2:$A$301,0), Skills!M24+1)</f>
        <v/>
      </c>
      <c r="F1649">
        <f>IF(Skills!N24=TRUE,(Skills!L24/10)*(E1649/1000),Skills!L24/10)+Skills!O24</f>
        <v/>
      </c>
      <c r="G1649">
        <f>Skills!G24*IF(Skills!H24&gt;0,Skills!I24/Skills!H24,1)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Inputs!$B$3&gt;=125</f>
        <v/>
      </c>
      <c r="D1650">
        <f>IF(Skills!C25=1,60+Inputs!$B$25+Inputs!$B$29,IF(Skills!C25=2,90+Inputs!$B$26+Inputs!$B$29,IF(Skills!C25=3,120+Inputs!$B$27+Inputs!$B$29,MAX(0,(Inputs!$B$3-100)*3)+Inputs!$B$28+Inputs!$B$29)))</f>
        <v/>
      </c>
      <c r="E1650">
        <f>INDEX(FactorTable!$B$2:$Y$301, MATCH(ROUND(MIN(300,MAX(1,D1650)),0), FactorTable!$A$2:$A$301,0), Skills!M25+1)</f>
        <v/>
      </c>
      <c r="F1650">
        <f>IF(Skills!N25=TRUE,(Skills!L25/10)*(E1650/1000),Skills!L25/10)+Skills!O25</f>
        <v/>
      </c>
      <c r="G1650">
        <f>Skills!G25*IF(Skills!H25&gt;0,Skills!I25/Skills!H25,1)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Inputs!$B$3&gt;=72</f>
        <v/>
      </c>
      <c r="D1651">
        <f>IF(Skills!C26=1,60+Inputs!$B$25+Inputs!$B$29,IF(Skills!C26=2,90+Inputs!$B$26+Inputs!$B$29,IF(Skills!C26=3,120+Inputs!$B$27+Inputs!$B$29,MAX(0,(Inputs!$B$3-100)*3)+Inputs!$B$28+Inputs!$B$29)))</f>
        <v/>
      </c>
      <c r="E1651">
        <f>INDEX(FactorTable!$B$2:$Y$301, MATCH(ROUND(MIN(300,MAX(1,D1651)),0), FactorTable!$A$2:$A$301,0), Skills!M26+1)</f>
        <v/>
      </c>
      <c r="F1651">
        <f>IF(Skills!N26=TRUE,(Skills!L26/10)*(E1651/1000),Skills!L26/10)+Skills!O26</f>
        <v/>
      </c>
      <c r="G1651">
        <f>Skills!G26*IF(Skills!H26&gt;0,Skills!I26/Skills!H26,1)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1644=TRUE)*F1644*IF(AND(Inputs!$B$38&lt;&gt;"pvp",Inputs!$B$43&gt;0),(((R1644-1)*(Skills!T19*(1+(Inputs!$B$34+(ArtifactsInput!$M$7-ArtifactsInput!$M$7)*CHOOSE(ArtifactsInput!$N$7+1,6,7.2,8.4,9.6,10.8,12))/100))+MIN((Skills!T19*(1+(Inputs!$B$34+(ArtifactsInput!$M$7-ArtifactsInput!$M$7)*CHOOSE(ArtifactsInput!$N$7+1,6,7.2,8.4,9.6,10.8,12))/100)),MAX(0,Inputs!$B$43-((R1644-1)*Skills!D19))))/Inputs!$B$43),IF(Inputs!$B$38="pvp",MIN((Skills!T19*(1+(Inputs!$B$34+(ArtifactsInput!$M$7-ArtifactsInput!$M$7)*CHOOSE(ArtifactsInput!$N$7+1,6,7.2,8.4,9.6,10.8,12))/100)),15)/15,(Skills!T19*(1+(Inputs!$B$34+(ArtifactsInput!$M$7-ArtifactsInput!$M$7)*CHOOSE(ArtifactsInput!$N$7+1,6,7.2,8.4,9.6,10.8,12))/100))/Skills!D19)))</f>
        <v/>
      </c>
    </row>
    <row r="1656">
      <c r="A1656" t="inlineStr">
        <is>
          <t>Actions Per Second</t>
        </is>
      </c>
      <c r="B1656">
        <f>1+MIN(150,150*(1-(1-(Inputs!$B$11+((C1645=TRUE)*(F1645-Calc!F20)))/150)*(1-B1655/150)))/100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Raging Blow Casts Per Second</t>
        </is>
      </c>
      <c r="B1658">
        <f>MAX(0,B1656-B1657)</f>
        <v/>
      </c>
    </row>
    <row r="1659">
      <c r="A1659" t="inlineStr">
        <is>
          <t>Global Critical Damage Bonus % (Enrage)</t>
        </is>
      </c>
      <c r="B1659">
        <f>((C1643=TRUE)*F1643*IF(AND(Inputs!$B$38&lt;&gt;"pvp",Inputs!$B$43&gt;0),(((R1643-1)*(Skills!T18*(1+(Inputs!$B$34+(ArtifactsInput!$M$7-ArtifactsInput!$M$7)*CHOOSE(ArtifactsInput!$N$7+1,6,7.2,8.4,9.6,10.8,12))/100))+MIN((Skills!T18*(1+(Inputs!$B$34+(ArtifactsInput!$M$7-ArtifactsInput!$M$7)*CHOOSE(ArtifactsInput!$N$7+1,6,7.2,8.4,9.6,10.8,12))/100)),MAX(0,Inputs!$B$43-((R1643-1)*Skills!D18))))/Inputs!$B$43),IF(Inputs!$B$38="pvp",MIN((Skills!T18*(1+(Inputs!$B$34+(ArtifactsInput!$M$7-ArtifactsInput!$M$7)*CHOOSE(ArtifactsInput!$N$7+1,6,7.2,8.4,9.6,10.8,12))/100)),15)/15,(Skills!T18*(1+(Inputs!$B$34+(ArtifactsInput!$M$7-ArtifactsInput!$M$7)*CHOOSE(ArtifactsInput!$N$7+1,6,7.2,8.4,9.6,10.8,12))/100))/Skills!D18)))</f>
        <v/>
      </c>
    </row>
    <row r="1660">
      <c r="A1660" t="inlineStr">
        <is>
          <t>Global Final Damage Bonus % (Enrage + Combo Synergy)</t>
        </is>
      </c>
      <c r="B1660">
        <f>((C1642=TRUE)*F1642*IF(AND(Inputs!$B$38&lt;&gt;"pvp",Inputs!$B$43&gt;0),(((R1642-1)*(Skills!T17*(1+(Inputs!$B$34+(ArtifactsInput!$M$7-ArtifactsInput!$M$7)*CHOOSE(ArtifactsInput!$N$7+1,6,7.2,8.4,9.6,10.8,12))/100))+MIN((Skills!T17*(1+(Inputs!$B$34+(ArtifactsInput!$M$7-ArtifactsInput!$M$7)*CHOOSE(ArtifactsInput!$N$7+1,6,7.2,8.4,9.6,10.8,12))/100)),MAX(0,Inputs!$B$43-((R1642-1)*Skills!D17))))/Inputs!$B$43),IF(Inputs!$B$38="pvp",MIN((Skills!T17*(1+(Inputs!$B$34+(ArtifactsInput!$M$7-ArtifactsInput!$M$7)*CHOOSE(ArtifactsInput!$N$7+1,6,7.2,8.4,9.6,10.8,12))/100)),15)/15,(Skills!T17*(1+(Inputs!$B$34+(ArtifactsInput!$M$7-ArtifactsInput!$M$7)*CHOOSE(ArtifactsInput!$N$7+1,6,7.2,8.4,9.6,10.8,12))/100))/Skills!D17)))+((C1639=TRUE)*F1639*IF(Inputs!$B$3&gt;=110,7,5))</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1669)</f>
        <v/>
      </c>
      <c r="L1669">
        <f>K1669*(MIN(Inputs!$B$22+((C1689=TRUE)*(F1689-Calc!F22)),(Inputs!$B$23+((C1691=TRUE)*(F1691-Calc!F24))+(IF(ArtifactsInput!$M$15,CHOOSE(ArtifactsInput!$N$15+1,25,30,35,40,45,50)/100*(Inputs!$B$11-Inputs!$B$11),0))))/100+(Inputs!$B$23+((C1691=TRUE)*(F1691-Calc!F24))+(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INDEX(FactorTable!$B$2:$Y$301, MATCH(ROUND(MIN(300,MAX(1,U1669)),0), FactorTable!$A$2:$A$301,0), 22)</f>
        <v/>
      </c>
    </row>
    <row r="1671">
      <c r="A1671">
        <f>Skills!A4</f>
        <v/>
      </c>
      <c r="B1671">
        <f>Skills!B4</f>
        <v/>
      </c>
      <c r="C1671">
        <f>Inputs!$B$3&gt;=105</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U1671">
        <f>290*U1670/1000</f>
        <v/>
      </c>
    </row>
    <row r="1672">
      <c r="A1672">
        <f>Skills!A5</f>
        <v/>
      </c>
      <c r="B1672">
        <f>Skills!B5</f>
        <v/>
      </c>
      <c r="C1672">
        <f>Inputs!$B$3&gt;=103</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1672)</f>
        <v/>
      </c>
      <c r="L1672">
        <f>K1672*(MIN(Inputs!$B$22+((C1689=TRUE)*(F1689-Calc!F22)),(Inputs!$B$23+((C1691=TRUE)*(F1691-Calc!F24))+(IF(ArtifactsInput!$M$15,CHOOSE(ArtifactsInput!$N$15+1,25,30,35,40,45,50)/100*(Inputs!$B$11-Inputs!$B$11),0))))/100+(Inputs!$B$23+((C1691=TRUE)*(F1691-Calc!F24))+(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IFERROR(1/(IF(Inputs!$B$38="pvp",15,MAX(0.1,Skills!D5-IF(Skills!E5=TRUE,Inputs!$B$32,0)))*(1-IF(AND(ArtifactsInput!$M$27,Inputs!$B$4="Chapter Hunt"),CHOOSE(ArtifactsInput!$N$27+1,20,24,28,32,36,40),0)/100)),0)</f>
        <v/>
      </c>
      <c r="R1672">
        <f>IF(AND(Inputs!$B$38&lt;&gt;"pvp",Inputs!$B$43&gt;0),IF(MAX(0,Inputs!$B$43-B1703)&lt;=0,0,(INT(MAX(0,Inputs!$B$43-B1703)/(IF(Inputs!$B$38="pvp",15,MAX(0.1,Skills!D5-IF(Skills!E5=TRUE,Inputs!$B$32,0)))*(1-IF(AND(ArtifactsInput!$M$27,Inputs!$B$4="Chapter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1673)</f>
        <v/>
      </c>
      <c r="L1673">
        <f>K1673*(MIN(Inputs!$B$22+((C1689=TRUE)*(F1689-Calc!F22)),(Inputs!$B$23+((C1691=TRUE)*(F1691-Calc!F24))+(IF(ArtifactsInput!$M$15,CHOOSE(ArtifactsInput!$N$15+1,25,30,35,40,45,50)/100*(Inputs!$B$11-Inputs!$B$11),0))))/100+(Inputs!$B$23+((C1691=TRUE)*(F1691-Calc!F24))+(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IFERROR(1/(IF(Inputs!$B$38="pvp",15,MAX(0.1,Skills!D6-IF(Skills!E6=TRUE,Inputs!$B$32,0)))*(1-IF(AND(ArtifactsInput!$M$27,Inputs!$B$4="Chapter Hunt"),CHOOSE(ArtifactsInput!$N$27+1,20,24,28,32,36,40),0)/100)),0)</f>
        <v/>
      </c>
      <c r="R1673">
        <f>IF(AND(Inputs!$B$38&lt;&gt;"pvp",Inputs!$B$43&gt;0),IF(MAX(0,Inputs!$B$43-B1703)&lt;=0,0,(INT(MAX(0,Inputs!$B$43-B1703)/(IF(Inputs!$B$38="pvp",15,MAX(0.1,Skills!D6-IF(Skills!E6=TRUE,Inputs!$B$32,0)))*(1-IF(AND(ArtifactsInput!$M$27,Inputs!$B$4="Chapter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1674)</f>
        <v/>
      </c>
      <c r="L1674">
        <f>K1674*(MIN(Inputs!$B$22+((C1689=TRUE)*(F1689-Calc!F22)),(Inputs!$B$23+((C1691=TRUE)*(F1691-Calc!F24))+(IF(ArtifactsInput!$M$15,CHOOSE(ArtifactsInput!$N$15+1,25,30,35,40,45,50)/100*(Inputs!$B$11-Inputs!$B$11),0))))/100+(Inputs!$B$23+((C1691=TRUE)*(F1691-Calc!F24))+(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IFERROR(1/(IF(Inputs!$B$38="pvp",15,MAX(0.1,Skills!D7-IF(Skills!E7=TRUE,Inputs!$B$32,0)))*(1-IF(AND(ArtifactsInput!$M$27,Inputs!$B$4="Chapter Hunt"),CHOOSE(ArtifactsInput!$N$27+1,20,24,28,32,36,40),0)/100)),0)</f>
        <v/>
      </c>
      <c r="R1674">
        <f>IF(AND(Inputs!$B$38&lt;&gt;"pvp",Inputs!$B$43&gt;0),IF(MAX(0,Inputs!$B$43-B1703)&lt;=0,0,(INT(MAX(0,Inputs!$B$43-B1703)/(IF(Inputs!$B$38="pvp",15,MAX(0.1,Skills!D7-IF(Skills!E7=TRUE,Inputs!$B$32,0)))*(1-IF(AND(ArtifactsInput!$M$27,Inputs!$B$4="Chapter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Inputs!$B$3&gt;=117</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1675)</f>
        <v/>
      </c>
      <c r="L1675">
        <f>K1675*(MIN(Inputs!$B$22+((C1689=TRUE)*(F1689-Calc!F22)),(Inputs!$B$23+((C1691=TRUE)*(F1691-Calc!F24))+(IF(ArtifactsInput!$M$15,CHOOSE(ArtifactsInput!$N$15+1,25,30,35,40,45,50)/100*(Inputs!$B$11-Inputs!$B$11),0))))/100+(Inputs!$B$23+((C1691=TRUE)*(F1691-Calc!F24))+(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IFERROR(1/(IF(Inputs!$B$38="pvp",15,MAX(0.1,Skills!D8-IF(Skills!E8=TRUE,Inputs!$B$32,0)))*(1-IF(AND(ArtifactsInput!$M$27,Inputs!$B$4="Chapter Hunt"),CHOOSE(ArtifactsInput!$N$27+1,20,24,28,32,36,40),0)/100)),0)</f>
        <v/>
      </c>
      <c r="R1675">
        <f>IF(AND(Inputs!$B$38&lt;&gt;"pvp",Inputs!$B$43&gt;0),IF(MAX(0,Inputs!$B$43-B1703)&lt;=0,0,(INT(MAX(0,Inputs!$B$43-B1703)/(IF(Inputs!$B$38="pvp",15,MAX(0.1,Skills!D8-IF(Skills!E8=TRUE,Inputs!$B$32,0)))*(1-IF(AND(ArtifactsInput!$M$27,Inputs!$B$4="Chapter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Inputs!$B$3&gt;=69</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9="ENHANCED_RAGING_BLOW",IF(Inputs!$B$3&gt;=134,MAX(0,IF(Inputs!$B$3&gt;=110,7,5)-5)*50,0),0)/100)*(1+(IF(Skills!A9="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1676)</f>
        <v/>
      </c>
      <c r="L1676">
        <f>K1676*(MIN(Inputs!$B$22+((C1689=TRUE)*(F1689-Calc!F22)),(Inputs!$B$23+((C1691=TRUE)*(F1691-Calc!F24))+(IF(ArtifactsInput!$M$15,CHOOSE(ArtifactsInput!$N$15+1,25,30,35,40,45,50)/100*(Inputs!$B$11-Inputs!$B$11),0))))/100+(Inputs!$B$23+((C1691=TRUE)*(F1691-Calc!F24))+(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IFERROR(1/(IF(Inputs!$B$38="pvp",15,MAX(0.1,Skills!D9-IF(Skills!E9=TRUE,Inputs!$B$32,0)))*(1-IF(AND(ArtifactsInput!$M$27,Inputs!$B$4="Chapter Hunt"),CHOOSE(ArtifactsInput!$N$27+1,20,24,28,32,36,40),0)/100)),0)</f>
        <v/>
      </c>
      <c r="R1676">
        <f>IF(AND(Inputs!$B$38&lt;&gt;"pvp",Inputs!$B$43&gt;0),IF(MAX(0,Inputs!$B$43-B1703)&lt;=0,0,(INT(MAX(0,Inputs!$B$43-B1703)/(IF(Inputs!$B$38="pvp",15,MAX(0.1,Skills!D9-IF(Skills!E9=TRUE,Inputs!$B$32,0)))*(1-IF(AND(ArtifactsInput!$M$27,Inputs!$B$4="Chapter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Inputs!$B$3&gt;=63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10="ENHANCED_RAGING_BLOW",IF(Inputs!$B$3&gt;=134,MAX(0,IF(Inputs!$B$3&gt;=110,7,5)-5)*50,0),0)/100)*(1+(IF(Skills!A10="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1677)</f>
        <v/>
      </c>
      <c r="L1677">
        <f>K1677*(MIN(Inputs!$B$22+((C1689=TRUE)*(F1689-Calc!F22)),(Inputs!$B$23+((C1691=TRUE)*(F1691-Calc!F24))+(IF(ArtifactsInput!$M$15,CHOOSE(ArtifactsInput!$N$15+1,25,30,35,40,45,50)/100*(Inputs!$B$11-Inputs!$B$11),0))))/100+(Inputs!$B$23+((C1691=TRUE)*(F1691-Calc!F24))+(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IFERROR(1/(IF(Inputs!$B$38="pvp",15,MAX(0.1,Skills!D10-IF(Skills!E10=TRUE,Inputs!$B$32,0)))*(1-IF(AND(ArtifactsInput!$M$27,Inputs!$B$4="Chapter Hunt"),CHOOSE(ArtifactsInput!$N$27+1,20,24,28,32,36,40),0)/100)),0)</f>
        <v/>
      </c>
      <c r="R1677">
        <f>IF(AND(Inputs!$B$38&lt;&gt;"pvp",Inputs!$B$43&gt;0),IF(MAX(0,Inputs!$B$43-B1703)&lt;=0,0,(INT(MAX(0,Inputs!$B$43-B1703)/(IF(Inputs!$B$38="pvp",15,MAX(0.1,Skills!D10-IF(Skills!E10=TRUE,Inputs!$B$32,0)))*(1-IF(AND(ArtifactsInput!$M$27,Inputs!$B$4="Chapter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Inputs!$B$3&gt;=35</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11="ENHANCED_RAGING_BLOW",IF(Inputs!$B$3&gt;=134,MAX(0,IF(Inputs!$B$3&gt;=110,7,5)-5)*50,0),0)/100)*(1+(IF(Skills!A11="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1678)</f>
        <v/>
      </c>
      <c r="L1678">
        <f>K1678*(MIN(Inputs!$B$22+((C1689=TRUE)*(F1689-Calc!F22)),(Inputs!$B$23+((C1691=TRUE)*(F1691-Calc!F24))+(IF(ArtifactsInput!$M$15,CHOOSE(ArtifactsInput!$N$15+1,25,30,35,40,45,50)/100*(Inputs!$B$11-Inputs!$B$11),0))))/100+(Inputs!$B$23+((C1691=TRUE)*(F1691-Calc!F24))+(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IFERROR(1/(IF(Inputs!$B$38="pvp",15,MAX(0.1,Skills!D11-IF(Skills!E11=TRUE,Inputs!$B$32,0)))*(1-IF(AND(ArtifactsInput!$M$27,Inputs!$B$4="Chapter Hunt"),CHOOSE(ArtifactsInput!$N$27+1,20,24,28,32,36,40),0)/100)),0)</f>
        <v/>
      </c>
      <c r="R1678">
        <f>IF(AND(Inputs!$B$38&lt;&gt;"pvp",Inputs!$B$43&gt;0),IF(MAX(0,Inputs!$B$43-B1703)&lt;=0,0,(INT(MAX(0,Inputs!$B$43-B1703)/(IF(Inputs!$B$38="pvp",15,MAX(0.1,Skills!D11-IF(Skills!E11=TRUE,Inputs!$B$32,0)))*(1-IF(AND(ArtifactsInput!$M$27,Inputs!$B$4="Chapter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Inputs!$B$3&gt;=75</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Inputs!$B$3&gt;=40</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IFERROR(1/(IF(Inputs!$B$38="pvp",15,MAX(0.1,Skills!D15-IF(Skills!E15=TRUE,Inputs!$B$32,0)))*(1-IF(AND(ArtifactsInput!$M$27,Inputs!$B$4="Chapter Hunt"),CHOOSE(ArtifactsInput!$N$27+1,20,24,28,32,36,40),0)/100)),0)</f>
        <v/>
      </c>
      <c r="R1682">
        <f>IF(AND(Inputs!$B$38&lt;&gt;"pvp",Inputs!$B$43&gt;0),IF(Inputs!$B$43&lt;=0,0,(INT(Inputs!$B$43/(IF(Inputs!$B$38="pvp",15,MAX(0.1,Skills!D15-IF(Skills!E15=TRUE,Inputs!$B$32,0)))*(1-IF(AND(ArtifactsInput!$M$27,Inputs!$B$4="Chapter Hunt"),CHOOSE(ArtifactsInput!$N$27+1,20,24,28,32,36,40),0)/100)))+1)),0)</f>
        <v/>
      </c>
      <c r="S1682">
        <f>IFERROR(O1682/N1682,0)</f>
        <v/>
      </c>
      <c r="T1682" t="n">
        <v>0</v>
      </c>
      <c r="V1682" t="n">
        <v>0</v>
      </c>
    </row>
    <row r="1683">
      <c r="A1683">
        <f>Skills!A16</f>
        <v/>
      </c>
      <c r="B1683">
        <f>Skills!B16</f>
        <v/>
      </c>
      <c r="C1683">
        <f>Inputs!$B$3&gt;=66</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IFERROR(1/(IF(Inputs!$B$38="pvp",15,MAX(0.1,Skills!D16-IF(Skills!E16=TRUE,Inputs!$B$32,0)))*(1-IF(AND(ArtifactsInput!$M$27,Inputs!$B$4="Chapter Hunt"),CHOOSE(ArtifactsInput!$N$27+1,20,24,28,32,36,40),0)/100)),0)</f>
        <v/>
      </c>
      <c r="R1683">
        <f>IF(AND(Inputs!$B$38&lt;&gt;"pvp",Inputs!$B$43&gt;0),IF(Inputs!$B$43&lt;=0,0,(INT(Inputs!$B$43/(IF(Inputs!$B$38="pvp",15,MAX(0.1,Skills!D16-IF(Skills!E16=TRUE,Inputs!$B$32,0)))*(1-IF(AND(ArtifactsInput!$M$27,Inputs!$B$4="Chapter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IFERROR(1/(IF(Inputs!$B$38="pvp",15,MAX(0.1,Skills!D17-IF(Skills!E17=TRUE,Inputs!$B$32,0)))*(1-IF(AND(ArtifactsInput!$M$27,Inputs!$B$4="Chapter Hunt"),CHOOSE(ArtifactsInput!$N$27+1,20,24,28,32,36,40),0)/100)),0)</f>
        <v/>
      </c>
      <c r="R1684">
        <f>IF(AND(Inputs!$B$38&lt;&gt;"pvp",Inputs!$B$43&gt;0),IF(Inputs!$B$43&lt;=0,0,(INT(Inputs!$B$43/(IF(Inputs!$B$38="pvp",15,MAX(0.1,Skills!D17-IF(Skills!E17=TRUE,Inputs!$B$32,0)))*(1-IF(AND(ArtifactsInput!$M$27,Inputs!$B$4="Chapter Hunt"),CHOOSE(ArtifactsInput!$N$27+1,20,24,28,32,36,40),0)/100)))+1)),0)</f>
        <v/>
      </c>
      <c r="S1684">
        <f>IFERROR(O1684/N1684,0)</f>
        <v/>
      </c>
      <c r="T1684" t="n">
        <v>0</v>
      </c>
      <c r="V1684" t="n">
        <v>0</v>
      </c>
    </row>
    <row r="1685">
      <c r="A1685">
        <f>Skills!A18</f>
        <v/>
      </c>
      <c r="B1685">
        <f>Skills!B18</f>
        <v/>
      </c>
      <c r="C1685">
        <f>Inputs!$B$3&gt;=115</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IFERROR(1/(IF(Inputs!$B$38="pvp",15,MAX(0.1,Skills!D18-IF(Skills!E18=TRUE,Inputs!$B$32,0)))*(1-IF(AND(ArtifactsInput!$M$27,Inputs!$B$4="Chapter Hunt"),CHOOSE(ArtifactsInput!$N$27+1,20,24,28,32,36,40),0)/100)),0)</f>
        <v/>
      </c>
      <c r="R1685">
        <f>IF(AND(Inputs!$B$38&lt;&gt;"pvp",Inputs!$B$43&gt;0),IF(Inputs!$B$43&lt;=0,0,(INT(Inputs!$B$43/(IF(Inputs!$B$38="pvp",15,MAX(0.1,Skills!D18-IF(Skills!E18=TRUE,Inputs!$B$32,0)))*(1-IF(AND(ArtifactsInput!$M$27,Inputs!$B$4="Chapter Hunt"),CHOOSE(ArtifactsInput!$N$27+1,20,24,28,32,36,40),0)/100)))+1)),0)</f>
        <v/>
      </c>
      <c r="S1685">
        <f>IFERROR(O1685/N1685,0)</f>
        <v/>
      </c>
      <c r="T1685" t="n">
        <v>0</v>
      </c>
      <c r="V1685" t="n">
        <v>0</v>
      </c>
    </row>
    <row r="1686">
      <c r="A1686">
        <f>Skills!A19</f>
        <v/>
      </c>
      <c r="B1686">
        <f>Skills!B19</f>
        <v/>
      </c>
      <c r="C1686">
        <f>TRUE</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IFERROR(1/(IF(Inputs!$B$38="pvp",15,MAX(0.1,Skills!D19-IF(Skills!E19=TRUE,Inputs!$B$32,0)))*(1-IF(AND(ArtifactsInput!$M$27,Inputs!$B$4="Chapter Hunt"),CHOOSE(ArtifactsInput!$N$27+1,20,24,28,32,36,40),0)/100)),0)</f>
        <v/>
      </c>
      <c r="R1686">
        <f>IF(AND(Inputs!$B$38&lt;&gt;"pvp",Inputs!$B$43&gt;0),IF(Inputs!$B$43&lt;=0,0,(INT(Inputs!$B$43/(IF(Inputs!$B$38="pvp",15,MAX(0.1,Skills!D19-IF(Skills!E19=TRUE,Inputs!$B$32,0)))*(1-IF(AND(ArtifactsInput!$M$27,Inputs!$B$4="Chapter Hunt"),CHOOSE(ArtifactsInput!$N$27+1,20,24,28,32,36,40),0)/100)))+1)),0)</f>
        <v/>
      </c>
      <c r="S1686">
        <f>IFERROR(O1686/N1686,0)</f>
        <v/>
      </c>
      <c r="T1686" t="n">
        <v>0</v>
      </c>
      <c r="V1686" t="n">
        <v>0</v>
      </c>
    </row>
    <row r="1687">
      <c r="A1687">
        <f>Skills!A20</f>
        <v/>
      </c>
      <c r="B1687">
        <f>Skills!B20</f>
        <v/>
      </c>
      <c r="C1687">
        <f>Inputs!$B$3&gt;=33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Skills!A22</f>
        <v/>
      </c>
      <c r="B1689">
        <f>Skills!B22</f>
        <v/>
      </c>
      <c r="C1689">
        <f>Inputs!$B$3&gt;=43</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Inputs!$B$3&gt;=120</f>
        <v/>
      </c>
      <c r="D1690">
        <f>IF(Skills!C23=1,60+Inputs!$B$25+Inputs!$B$29,IF(Skills!C23=2,90+Inputs!$B$26+Inputs!$B$29,IF(Skills!C23=3,120+Inputs!$B$27+Inputs!$B$29,MAX(0,(Inputs!$B$3-100)*3)+Inputs!$B$28+Inputs!$B$29)))</f>
        <v/>
      </c>
      <c r="E1690">
        <f>INDEX(FactorTable!$B$2:$Y$301, MATCH(ROUND(MIN(300,MAX(1,D1690)),0), FactorTable!$A$2:$A$301,0), Skills!M23+1)</f>
        <v/>
      </c>
      <c r="F1690">
        <f>IF(Skills!N23=TRUE,(Skills!L23/10)*(E1690/1000),Skills!L23/10)+Skills!O23</f>
        <v/>
      </c>
      <c r="G1690">
        <f>Skills!G23*IF(Skills!H23&gt;0,Skills!I23/Skills!H23,1)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Inputs!$B$3&gt;=120</f>
        <v/>
      </c>
      <c r="D1691">
        <f>IF(Skills!C24=1,60+Inputs!$B$25+Inputs!$B$29,IF(Skills!C24=2,90+Inputs!$B$26+Inputs!$B$29,IF(Skills!C24=3,120+Inputs!$B$27+Inputs!$B$29,MAX(0,(Inputs!$B$3-100)*3)+Inputs!$B$28+Inputs!$B$29)))</f>
        <v/>
      </c>
      <c r="E1691">
        <f>INDEX(FactorTable!$B$2:$Y$301, MATCH(ROUND(MIN(300,MAX(1,D1691)),0), FactorTable!$A$2:$A$301,0), Skills!M24+1)</f>
        <v/>
      </c>
      <c r="F1691">
        <f>IF(Skills!N24=TRUE,(Skills!L24/10)*(E1691/1000),Skills!L24/10)+Skills!O24</f>
        <v/>
      </c>
      <c r="G1691">
        <f>Skills!G24*IF(Skills!H24&gt;0,Skills!I24/Skills!H24,1)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Inputs!$B$3&gt;=125</f>
        <v/>
      </c>
      <c r="D1692">
        <f>IF(Skills!C25=1,60+Inputs!$B$25+Inputs!$B$29,IF(Skills!C25=2,90+Inputs!$B$26+Inputs!$B$29,IF(Skills!C25=3,120+Inputs!$B$27+Inputs!$B$29,MAX(0,(Inputs!$B$3-100)*3)+Inputs!$B$28+Inputs!$B$29)))</f>
        <v/>
      </c>
      <c r="E1692">
        <f>INDEX(FactorTable!$B$2:$Y$301, MATCH(ROUND(MIN(300,MAX(1,D1692)),0), FactorTable!$A$2:$A$301,0), Skills!M25+1)</f>
        <v/>
      </c>
      <c r="F1692">
        <f>IF(Skills!N25=TRUE,(Skills!L25/10)*(E1692/1000),Skills!L25/10)+Skills!O25</f>
        <v/>
      </c>
      <c r="G1692">
        <f>Skills!G25*IF(Skills!H25&gt;0,Skills!I25/Skills!H25,1)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Inputs!$B$3&gt;=72</f>
        <v/>
      </c>
      <c r="D1693">
        <f>IF(Skills!C26=1,60+Inputs!$B$25+Inputs!$B$29,IF(Skills!C26=2,90+Inputs!$B$26+Inputs!$B$29,IF(Skills!C26=3,120+Inputs!$B$27+Inputs!$B$29,MAX(0,(Inputs!$B$3-100)*3)+Inputs!$B$28+Inputs!$B$29)))</f>
        <v/>
      </c>
      <c r="E1693">
        <f>INDEX(FactorTable!$B$2:$Y$301, MATCH(ROUND(MIN(300,MAX(1,D1693)),0), FactorTable!$A$2:$A$301,0), Skills!M26+1)</f>
        <v/>
      </c>
      <c r="F1693">
        <f>IF(Skills!N26=TRUE,(Skills!L26/10)*(E1693/1000),Skills!L26/10)+Skills!O26</f>
        <v/>
      </c>
      <c r="G1693">
        <f>Skills!G26*IF(Skills!H26&gt;0,Skills!I26/Skills!H26,1)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1686=TRUE)*F1686*IF(AND(Inputs!$B$38&lt;&gt;"pvp",Inputs!$B$43&gt;0),(((R1686-1)*(Skills!T19*(1+(Inputs!$B$34+(ArtifactsInput!$M$7-ArtifactsInput!$M$7)*CHOOSE(ArtifactsInput!$N$7+1,6,7.2,8.4,9.6,10.8,12))/100))+MIN((Skills!T19*(1+(Inputs!$B$34+(ArtifactsInput!$M$7-ArtifactsInput!$M$7)*CHOOSE(ArtifactsInput!$N$7+1,6,7.2,8.4,9.6,10.8,12))/100)),MAX(0,Inputs!$B$43-((R1686-1)*Skills!D19))))/Inputs!$B$43),IF(Inputs!$B$38="pvp",MIN((Skills!T19*(1+(Inputs!$B$34+(ArtifactsInput!$M$7-ArtifactsInput!$M$7)*CHOOSE(ArtifactsInput!$N$7+1,6,7.2,8.4,9.6,10.8,12))/100)),15)/15,(Skills!T19*(1+(Inputs!$B$34+(ArtifactsInput!$M$7-ArtifactsInput!$M$7)*CHOOSE(ArtifactsInput!$N$7+1,6,7.2,8.4,9.6,10.8,12))/100))/Skills!D19)))</f>
        <v/>
      </c>
    </row>
    <row r="1698">
      <c r="A1698" t="inlineStr">
        <is>
          <t>Actions Per Second</t>
        </is>
      </c>
      <c r="B1698">
        <f>1+MIN(150,150*(1-(1-(Inputs!$B$11+((C1687=TRUE)*(F1687-Calc!F20)))/150)*(1-B1697/150)))/100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Raging Blow Casts Per Second</t>
        </is>
      </c>
      <c r="B1700">
        <f>MAX(0,B1698-B1699)</f>
        <v/>
      </c>
    </row>
    <row r="1701">
      <c r="A1701" t="inlineStr">
        <is>
          <t>Global Critical Damage Bonus % (Enrage)</t>
        </is>
      </c>
      <c r="B1701">
        <f>((C1685=TRUE)*F1685*IF(AND(Inputs!$B$38&lt;&gt;"pvp",Inputs!$B$43&gt;0),(((R1685-1)*(Skills!T18*(1+(Inputs!$B$34+(ArtifactsInput!$M$7-ArtifactsInput!$M$7)*CHOOSE(ArtifactsInput!$N$7+1,6,7.2,8.4,9.6,10.8,12))/100))+MIN((Skills!T18*(1+(Inputs!$B$34+(ArtifactsInput!$M$7-ArtifactsInput!$M$7)*CHOOSE(ArtifactsInput!$N$7+1,6,7.2,8.4,9.6,10.8,12))/100)),MAX(0,Inputs!$B$43-((R1685-1)*Skills!D18))))/Inputs!$B$43),IF(Inputs!$B$38="pvp",MIN((Skills!T18*(1+(Inputs!$B$34+(ArtifactsInput!$M$7-ArtifactsInput!$M$7)*CHOOSE(ArtifactsInput!$N$7+1,6,7.2,8.4,9.6,10.8,12))/100)),15)/15,(Skills!T18*(1+(Inputs!$B$34+(ArtifactsInput!$M$7-ArtifactsInput!$M$7)*CHOOSE(ArtifactsInput!$N$7+1,6,7.2,8.4,9.6,10.8,12))/100))/Skills!D18)))</f>
        <v/>
      </c>
    </row>
    <row r="1702">
      <c r="A1702" t="inlineStr">
        <is>
          <t>Global Final Damage Bonus % (Enrage + Combo Synergy)</t>
        </is>
      </c>
      <c r="B1702">
        <f>((C1684=TRUE)*F1684*IF(AND(Inputs!$B$38&lt;&gt;"pvp",Inputs!$B$43&gt;0),(((R1684-1)*(Skills!T17*(1+(Inputs!$B$34+(ArtifactsInput!$M$7-ArtifactsInput!$M$7)*CHOOSE(ArtifactsInput!$N$7+1,6,7.2,8.4,9.6,10.8,12))/100))+MIN((Skills!T17*(1+(Inputs!$B$34+(ArtifactsInput!$M$7-ArtifactsInput!$M$7)*CHOOSE(ArtifactsInput!$N$7+1,6,7.2,8.4,9.6,10.8,12))/100)),MAX(0,Inputs!$B$43-((R1684-1)*Skills!D17))))/Inputs!$B$43),IF(Inputs!$B$38="pvp",MIN((Skills!T17*(1+(Inputs!$B$34+(ArtifactsInput!$M$7-ArtifactsInput!$M$7)*CHOOSE(ArtifactsInput!$N$7+1,6,7.2,8.4,9.6,10.8,12))/100)),15)/15,(Skills!T17*(1+(Inputs!$B$34+(ArtifactsInput!$M$7-ArtifactsInput!$M$7)*CHOOSE(ArtifactsInput!$N$7+1,6,7.2,8.4,9.6,10.8,12))/100))/Skills!D17)))+((C1681=TRUE)*F1681*IF(Inputs!$B$3&gt;=110,7,5))</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1711)</f>
        <v/>
      </c>
      <c r="L1711">
        <f>K1711*(MIN(Inputs!$B$22+((C1731=TRUE)*(F1731-Calc!F22)),(Inputs!$B$23+((C1733=TRUE)*(F1733-Calc!F24))+(IF(ArtifactsInput!$M$15,CHOOSE(ArtifactsInput!$N$15+1,25,30,35,40,45,50)/100*(Inputs!$B$11-Inputs!$B$11),0))))/100+(Inputs!$B$23+((C1733=TRUE)*(F1733-Calc!F24))+(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INDEX(FactorTable!$B$2:$Y$301, MATCH(ROUND(MIN(300,MAX(1,U1711)),0), FactorTable!$A$2:$A$301,0), 22)</f>
        <v/>
      </c>
    </row>
    <row r="1713">
      <c r="A1713">
        <f>Skills!A4</f>
        <v/>
      </c>
      <c r="B1713">
        <f>Skills!B4</f>
        <v/>
      </c>
      <c r="C1713">
        <f>Inputs!$B$3&gt;=105</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t="inlineStr"/>
      <c r="H1713" t="inlineStr"/>
      <c r="I1713" t="inlineStr">
        <is>
          <t>1</t>
        </is>
      </c>
      <c r="J1713" t="inlineStr"/>
      <c r="K1713" t="inlineStr"/>
      <c r="L1713" t="inlineStr"/>
      <c r="M1713" t="inlineStr"/>
      <c r="N1713" t="inlineStr"/>
      <c r="O1713" t="inlineStr"/>
      <c r="P1713" t="inlineStr"/>
      <c r="Q1713" t="inlineStr"/>
      <c r="R1713" t="inlineStr"/>
      <c r="S1713" t="inlineStr"/>
      <c r="U1713">
        <f>290*U1712/1000</f>
        <v/>
      </c>
    </row>
    <row r="1714">
      <c r="A1714">
        <f>Skills!A5</f>
        <v/>
      </c>
      <c r="B1714">
        <f>Skills!B5</f>
        <v/>
      </c>
      <c r="C1714">
        <f>Inputs!$B$3&gt;=103</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1714)</f>
        <v/>
      </c>
      <c r="L1714">
        <f>K1714*(MIN(Inputs!$B$22+((C1731=TRUE)*(F1731-Calc!F22)),(Inputs!$B$23+((C1733=TRUE)*(F1733-Calc!F24))+(IF(ArtifactsInput!$M$15,CHOOSE(ArtifactsInput!$N$15+1,25,30,35,40,45,50)/100*(Inputs!$B$11-Inputs!$B$11),0))))/100+(Inputs!$B$23+((C1733=TRUE)*(F1733-Calc!F24))+(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IFERROR(1/(IF(Inputs!$B$38="pvp",15,MAX(0.1,Skills!D5-IF(Skills!E5=TRUE,Inputs!$B$32,0)))*(1-IF(AND(ArtifactsInput!$M$27,Inputs!$B$4="Chapter Hunt"),CHOOSE(ArtifactsInput!$N$27+1,20,24,28,32,36,40),0)/100)),0)</f>
        <v/>
      </c>
      <c r="R1714">
        <f>IF(AND(Inputs!$B$38&lt;&gt;"pvp",Inputs!$B$43&gt;0),IF(MAX(0,Inputs!$B$43-B1745)&lt;=0,0,(INT(MAX(0,Inputs!$B$43-B1745)/(IF(Inputs!$B$38="pvp",15,MAX(0.1,Skills!D5-IF(Skills!E5=TRUE,Inputs!$B$32,0)))*(1-IF(AND(ArtifactsInput!$M$27,Inputs!$B$4="Chapter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1715)</f>
        <v/>
      </c>
      <c r="L1715">
        <f>K1715*(MIN(Inputs!$B$22+((C1731=TRUE)*(F1731-Calc!F22)),(Inputs!$B$23+((C1733=TRUE)*(F1733-Calc!F24))+(IF(ArtifactsInput!$M$15,CHOOSE(ArtifactsInput!$N$15+1,25,30,35,40,45,50)/100*(Inputs!$B$11-Inputs!$B$11),0))))/100+(Inputs!$B$23+((C1733=TRUE)*(F1733-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IFERROR(1/(IF(Inputs!$B$38="pvp",15,MAX(0.1,Skills!D6-IF(Skills!E6=TRUE,Inputs!$B$32,0)))*(1-IF(AND(ArtifactsInput!$M$27,Inputs!$B$4="Chapter Hunt"),CHOOSE(ArtifactsInput!$N$27+1,20,24,28,32,36,40),0)/100)),0)</f>
        <v/>
      </c>
      <c r="R1715">
        <f>IF(AND(Inputs!$B$38&lt;&gt;"pvp",Inputs!$B$43&gt;0),IF(MAX(0,Inputs!$B$43-B1745)&lt;=0,0,(INT(MAX(0,Inputs!$B$43-B1745)/(IF(Inputs!$B$38="pvp",15,MAX(0.1,Skills!D6-IF(Skills!E6=TRUE,Inputs!$B$32,0)))*(1-IF(AND(ArtifactsInput!$M$27,Inputs!$B$4="Chapter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1716)</f>
        <v/>
      </c>
      <c r="L1716">
        <f>K1716*(MIN(Inputs!$B$22+((C1731=TRUE)*(F1731-Calc!F22)),(Inputs!$B$23+((C1733=TRUE)*(F1733-Calc!F24))+(IF(ArtifactsInput!$M$15,CHOOSE(ArtifactsInput!$N$15+1,25,30,35,40,45,50)/100*(Inputs!$B$11-Inputs!$B$11),0))))/100+(Inputs!$B$23+((C1733=TRUE)*(F1733-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IFERROR(1/(IF(Inputs!$B$38="pvp",15,MAX(0.1,Skills!D7-IF(Skills!E7=TRUE,Inputs!$B$32,0)))*(1-IF(AND(ArtifactsInput!$M$27,Inputs!$B$4="Chapter Hunt"),CHOOSE(ArtifactsInput!$N$27+1,20,24,28,32,36,40),0)/100)),0)</f>
        <v/>
      </c>
      <c r="R1716">
        <f>IF(AND(Inputs!$B$38&lt;&gt;"pvp",Inputs!$B$43&gt;0),IF(MAX(0,Inputs!$B$43-B1745)&lt;=0,0,(INT(MAX(0,Inputs!$B$43-B1745)/(IF(Inputs!$B$38="pvp",15,MAX(0.1,Skills!D7-IF(Skills!E7=TRUE,Inputs!$B$32,0)))*(1-IF(AND(ArtifactsInput!$M$27,Inputs!$B$4="Chapter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Inputs!$B$3&gt;=117</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1717)</f>
        <v/>
      </c>
      <c r="L1717">
        <f>K1717*(MIN(Inputs!$B$22+((C1731=TRUE)*(F1731-Calc!F22)),(Inputs!$B$23+((C1733=TRUE)*(F1733-Calc!F24))+(IF(ArtifactsInput!$M$15,CHOOSE(ArtifactsInput!$N$15+1,25,30,35,40,45,50)/100*(Inputs!$B$11-Inputs!$B$11),0))))/100+(Inputs!$B$23+((C1733=TRUE)*(F1733-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IFERROR(1/(IF(Inputs!$B$38="pvp",15,MAX(0.1,Skills!D8-IF(Skills!E8=TRUE,Inputs!$B$32,0)))*(1-IF(AND(ArtifactsInput!$M$27,Inputs!$B$4="Chapter Hunt"),CHOOSE(ArtifactsInput!$N$27+1,20,24,28,32,36,40),0)/100)),0)</f>
        <v/>
      </c>
      <c r="R1717">
        <f>IF(AND(Inputs!$B$38&lt;&gt;"pvp",Inputs!$B$43&gt;0),IF(MAX(0,Inputs!$B$43-B1745)&lt;=0,0,(INT(MAX(0,Inputs!$B$43-B1745)/(IF(Inputs!$B$38="pvp",15,MAX(0.1,Skills!D8-IF(Skills!E8=TRUE,Inputs!$B$32,0)))*(1-IF(AND(ArtifactsInput!$M$27,Inputs!$B$4="Chapter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Inputs!$B$3&gt;=69</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9="ENHANCED_RAGING_BLOW",IF(Inputs!$B$3&gt;=134,MAX(0,IF(Inputs!$B$3&gt;=110,7,5)-5)*50,0),0)/100)*(1+(IF(Skills!A9="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1718)</f>
        <v/>
      </c>
      <c r="L1718">
        <f>K1718*(MIN(Inputs!$B$22+((C1731=TRUE)*(F1731-Calc!F22)),(Inputs!$B$23+((C1733=TRUE)*(F1733-Calc!F24))+(IF(ArtifactsInput!$M$15,CHOOSE(ArtifactsInput!$N$15+1,25,30,35,40,45,50)/100*(Inputs!$B$11-Inputs!$B$11),0))))/100+(Inputs!$B$23+((C1733=TRUE)*(F1733-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IFERROR(1/(IF(Inputs!$B$38="pvp",15,MAX(0.1,Skills!D9-IF(Skills!E9=TRUE,Inputs!$B$32,0)))*(1-IF(AND(ArtifactsInput!$M$27,Inputs!$B$4="Chapter Hunt"),CHOOSE(ArtifactsInput!$N$27+1,20,24,28,32,36,40),0)/100)),0)</f>
        <v/>
      </c>
      <c r="R1718">
        <f>IF(AND(Inputs!$B$38&lt;&gt;"pvp",Inputs!$B$43&gt;0),IF(MAX(0,Inputs!$B$43-B1745)&lt;=0,0,(INT(MAX(0,Inputs!$B$43-B1745)/(IF(Inputs!$B$38="pvp",15,MAX(0.1,Skills!D9-IF(Skills!E9=TRUE,Inputs!$B$32,0)))*(1-IF(AND(ArtifactsInput!$M$27,Inputs!$B$4="Chapter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Inputs!$B$3&gt;=63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10="ENHANCED_RAGING_BLOW",IF(Inputs!$B$3&gt;=134,MAX(0,IF(Inputs!$B$3&gt;=110,7,5)-5)*50,0),0)/100)*(1+(IF(Skills!A10="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1719)</f>
        <v/>
      </c>
      <c r="L1719">
        <f>K1719*(MIN(Inputs!$B$22+((C1731=TRUE)*(F1731-Calc!F22)),(Inputs!$B$23+((C1733=TRUE)*(F1733-Calc!F24))+(IF(ArtifactsInput!$M$15,CHOOSE(ArtifactsInput!$N$15+1,25,30,35,40,45,50)/100*(Inputs!$B$11-Inputs!$B$11),0))))/100+(Inputs!$B$23+((C1733=TRUE)*(F1733-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IFERROR(1/(IF(Inputs!$B$38="pvp",15,MAX(0.1,Skills!D10-IF(Skills!E10=TRUE,Inputs!$B$32,0)))*(1-IF(AND(ArtifactsInput!$M$27,Inputs!$B$4="Chapter Hunt"),CHOOSE(ArtifactsInput!$N$27+1,20,24,28,32,36,40),0)/100)),0)</f>
        <v/>
      </c>
      <c r="R1719">
        <f>IF(AND(Inputs!$B$38&lt;&gt;"pvp",Inputs!$B$43&gt;0),IF(MAX(0,Inputs!$B$43-B1745)&lt;=0,0,(INT(MAX(0,Inputs!$B$43-B1745)/(IF(Inputs!$B$38="pvp",15,MAX(0.1,Skills!D10-IF(Skills!E10=TRUE,Inputs!$B$32,0)))*(1-IF(AND(ArtifactsInput!$M$27,Inputs!$B$4="Chapter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Inputs!$B$3&gt;=35</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11="ENHANCED_RAGING_BLOW",IF(Inputs!$B$3&gt;=134,MAX(0,IF(Inputs!$B$3&gt;=110,7,5)-5)*50,0),0)/100)*(1+(IF(Skills!A11="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1720)</f>
        <v/>
      </c>
      <c r="L1720">
        <f>K1720*(MIN(Inputs!$B$22+((C1731=TRUE)*(F1731-Calc!F22)),(Inputs!$B$23+((C1733=TRUE)*(F1733-Calc!F24))+(IF(ArtifactsInput!$M$15,CHOOSE(ArtifactsInput!$N$15+1,25,30,35,40,45,50)/100*(Inputs!$B$11-Inputs!$B$11),0))))/100+(Inputs!$B$23+((C1733=TRUE)*(F1733-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IFERROR(1/(IF(Inputs!$B$38="pvp",15,MAX(0.1,Skills!D11-IF(Skills!E11=TRUE,Inputs!$B$32,0)))*(1-IF(AND(ArtifactsInput!$M$27,Inputs!$B$4="Chapter Hunt"),CHOOSE(ArtifactsInput!$N$27+1,20,24,28,32,36,40),0)/100)),0)</f>
        <v/>
      </c>
      <c r="R1720">
        <f>IF(AND(Inputs!$B$38&lt;&gt;"pvp",Inputs!$B$43&gt;0),IF(MAX(0,Inputs!$B$43-B1745)&lt;=0,0,(INT(MAX(0,Inputs!$B$43-B1745)/(IF(Inputs!$B$38="pvp",15,MAX(0.1,Skills!D11-IF(Skills!E11=TRUE,Inputs!$B$32,0)))*(1-IF(AND(ArtifactsInput!$M$27,Inputs!$B$4="Chapter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Inputs!$B$3&gt;=75</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Inputs!$B$3&gt;=40</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Inputs!$B$3&gt;=66</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IFERROR(1/(IF(Inputs!$B$38="pvp",15,MAX(0.1,Skills!D16-IF(Skills!E16=TRUE,Inputs!$B$32,0)))*(1-IF(AND(ArtifactsInput!$M$27,Inputs!$B$4="Chapter Hunt"),CHOOSE(ArtifactsInput!$N$27+1,20,24,28,32,36,40),0)/100)),0)</f>
        <v/>
      </c>
      <c r="R1725">
        <f>IF(AND(Inputs!$B$38&lt;&gt;"pvp",Inputs!$B$43&gt;0),IF(Inputs!$B$43&lt;=0,0,(INT(Inputs!$B$43/(IF(Inputs!$B$38="pvp",15,MAX(0.1,Skills!D16-IF(Skills!E16=TRUE,Inputs!$B$32,0)))*(1-IF(AND(ArtifactsInput!$M$27,Inputs!$B$4="Chapter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IFERROR(1/(IF(Inputs!$B$38="pvp",15,MAX(0.1,Skills!D17-IF(Skills!E17=TRUE,Inputs!$B$32,0)))*(1-IF(AND(ArtifactsInput!$M$27,Inputs!$B$4="Chapter Hunt"),CHOOSE(ArtifactsInput!$N$27+1,20,24,28,32,36,40),0)/100)),0)</f>
        <v/>
      </c>
      <c r="R1726">
        <f>IF(AND(Inputs!$B$38&lt;&gt;"pvp",Inputs!$B$43&gt;0),IF(Inputs!$B$43&lt;=0,0,(INT(Inputs!$B$43/(IF(Inputs!$B$38="pvp",15,MAX(0.1,Skills!D17-IF(Skills!E17=TRUE,Inputs!$B$32,0)))*(1-IF(AND(ArtifactsInput!$M$27,Inputs!$B$4="Chapter Hunt"),CHOOSE(ArtifactsInput!$N$27+1,20,24,28,32,36,40),0)/100)))+1)),0)</f>
        <v/>
      </c>
      <c r="S1726">
        <f>IFERROR(O1726/N1726,0)</f>
        <v/>
      </c>
      <c r="T1726" t="n">
        <v>0</v>
      </c>
      <c r="V1726" t="n">
        <v>0</v>
      </c>
    </row>
    <row r="1727">
      <c r="A1727">
        <f>Skills!A18</f>
        <v/>
      </c>
      <c r="B1727">
        <f>Skills!B18</f>
        <v/>
      </c>
      <c r="C1727">
        <f>Inputs!$B$3&gt;=115</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IFERROR(1/(IF(Inputs!$B$38="pvp",15,MAX(0.1,Skills!D18-IF(Skills!E18=TRUE,Inputs!$B$32,0)))*(1-IF(AND(ArtifactsInput!$M$27,Inputs!$B$4="Chapter Hunt"),CHOOSE(ArtifactsInput!$N$27+1,20,24,28,32,36,40),0)/100)),0)</f>
        <v/>
      </c>
      <c r="R1727">
        <f>IF(AND(Inputs!$B$38&lt;&gt;"pvp",Inputs!$B$43&gt;0),IF(Inputs!$B$43&lt;=0,0,(INT(Inputs!$B$43/(IF(Inputs!$B$38="pvp",15,MAX(0.1,Skills!D18-IF(Skills!E18=TRUE,Inputs!$B$32,0)))*(1-IF(AND(ArtifactsInput!$M$27,Inputs!$B$4="Chapter Hunt"),CHOOSE(ArtifactsInput!$N$27+1,20,24,28,32,36,40),0)/100)))+1)),0)</f>
        <v/>
      </c>
      <c r="S1727">
        <f>IFERROR(O1727/N1727,0)</f>
        <v/>
      </c>
      <c r="T1727" t="n">
        <v>0</v>
      </c>
      <c r="V1727" t="n">
        <v>0</v>
      </c>
    </row>
    <row r="1728">
      <c r="A1728">
        <f>Skills!A19</f>
        <v/>
      </c>
      <c r="B1728">
        <f>Skills!B19</f>
        <v/>
      </c>
      <c r="C1728">
        <f>TRUE</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IFERROR(1/(IF(Inputs!$B$38="pvp",15,MAX(0.1,Skills!D19-IF(Skills!E19=TRUE,Inputs!$B$32,0)))*(1-IF(AND(ArtifactsInput!$M$27,Inputs!$B$4="Chapter Hunt"),CHOOSE(ArtifactsInput!$N$27+1,20,24,28,32,36,40),0)/100)),0)</f>
        <v/>
      </c>
      <c r="R1728">
        <f>IF(AND(Inputs!$B$38&lt;&gt;"pvp",Inputs!$B$43&gt;0),IF(Inputs!$B$43&lt;=0,0,(INT(Inputs!$B$43/(IF(Inputs!$B$38="pvp",15,MAX(0.1,Skills!D19-IF(Skills!E19=TRUE,Inputs!$B$32,0)))*(1-IF(AND(ArtifactsInput!$M$27,Inputs!$B$4="Chapter Hunt"),CHOOSE(ArtifactsInput!$N$27+1,20,24,28,32,36,40),0)/100)))+1)),0)</f>
        <v/>
      </c>
      <c r="S1728">
        <f>IFERROR(O1728/N1728,0)</f>
        <v/>
      </c>
      <c r="T1728" t="n">
        <v>0</v>
      </c>
      <c r="V1728" t="n">
        <v>0</v>
      </c>
    </row>
    <row r="1729">
      <c r="A1729">
        <f>Skills!A20</f>
        <v/>
      </c>
      <c r="B1729">
        <f>Skills!B20</f>
        <v/>
      </c>
      <c r="C1729">
        <f>Inputs!$B$3&gt;=33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Skills!A22</f>
        <v/>
      </c>
      <c r="B1731">
        <f>Skills!B22</f>
        <v/>
      </c>
      <c r="C1731">
        <f>Inputs!$B$3&gt;=43</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Inputs!$B$3&gt;=120</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Inputs!$B$3&gt;=120</f>
        <v/>
      </c>
      <c r="D1733">
        <f>IF(Skills!C24=1,60+Inputs!$B$25+Inputs!$B$29,IF(Skills!C24=2,90+Inputs!$B$26+Inputs!$B$29,IF(Skills!C24=3,120+Inputs!$B$27+Inputs!$B$29,MAX(0,(Inputs!$B$3-100)*3)+Inputs!$B$28+Inputs!$B$29)))</f>
        <v/>
      </c>
      <c r="E1733">
        <f>INDEX(FactorTable!$B$2:$Y$301, MATCH(ROUND(MIN(300,MAX(1,D1733)),0), FactorTable!$A$2:$A$301,0), Skills!M24+1)</f>
        <v/>
      </c>
      <c r="F1733">
        <f>IF(Skills!N24=TRUE,(Skills!L24/10)*(E1733/1000),Skills!L24/10)+Skills!O24</f>
        <v/>
      </c>
      <c r="G1733">
        <f>Skills!G24*IF(Skills!H24&gt;0,Skills!I24/Skills!H24,1)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Inputs!$B$3&gt;=125</f>
        <v/>
      </c>
      <c r="D1734">
        <f>IF(Skills!C25=1,60+Inputs!$B$25+Inputs!$B$29,IF(Skills!C25=2,90+Inputs!$B$26+Inputs!$B$29,IF(Skills!C25=3,120+Inputs!$B$27+Inputs!$B$29,MAX(0,(Inputs!$B$3-100)*3)+Inputs!$B$28+Inputs!$B$29)))</f>
        <v/>
      </c>
      <c r="E1734">
        <f>INDEX(FactorTable!$B$2:$Y$301, MATCH(ROUND(MIN(300,MAX(1,D1734)),0), FactorTable!$A$2:$A$301,0), Skills!M25+1)</f>
        <v/>
      </c>
      <c r="F1734">
        <f>IF(Skills!N25=TRUE,(Skills!L25/10)*(E1734/1000),Skills!L25/10)+Skills!O25</f>
        <v/>
      </c>
      <c r="G1734">
        <f>Skills!G25*IF(Skills!H25&gt;0,Skills!I25/Skills!H25,1)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Inputs!$B$3&gt;=72</f>
        <v/>
      </c>
      <c r="D1735">
        <f>IF(Skills!C26=1,60+Inputs!$B$25+Inputs!$B$29,IF(Skills!C26=2,90+Inputs!$B$26+Inputs!$B$29,IF(Skills!C26=3,120+Inputs!$B$27+Inputs!$B$29,MAX(0,(Inputs!$B$3-100)*3)+Inputs!$B$28+Inputs!$B$29)))</f>
        <v/>
      </c>
      <c r="E1735">
        <f>INDEX(FactorTable!$B$2:$Y$301, MATCH(ROUND(MIN(300,MAX(1,D1735)),0), FactorTable!$A$2:$A$301,0), Skills!M26+1)</f>
        <v/>
      </c>
      <c r="F1735">
        <f>IF(Skills!N26=TRUE,(Skills!L26/10)*(E1735/1000),Skills!L26/10)+Skills!O26</f>
        <v/>
      </c>
      <c r="G1735">
        <f>Skills!G26*IF(Skills!H26&gt;0,Skills!I26/Skills!H26,1)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1728=TRUE)*F1728*IF(AND(Inputs!$B$38&lt;&gt;"pvp",Inputs!$B$43&gt;0),(((R1728-1)*(Skills!T19*(1+(Inputs!$B$34+(ArtifactsInput!$M$7-ArtifactsInput!$M$7)*CHOOSE(ArtifactsInput!$N$7+1,6,7.2,8.4,9.6,10.8,12))/100))+MIN((Skills!T19*(1+(Inputs!$B$34+(ArtifactsInput!$M$7-ArtifactsInput!$M$7)*CHOOSE(ArtifactsInput!$N$7+1,6,7.2,8.4,9.6,10.8,12))/100)),MAX(0,Inputs!$B$43-((R1728-1)*Skills!D19))))/Inputs!$B$43),IF(Inputs!$B$38="pvp",MIN((Skills!T19*(1+(Inputs!$B$34+(ArtifactsInput!$M$7-ArtifactsInput!$M$7)*CHOOSE(ArtifactsInput!$N$7+1,6,7.2,8.4,9.6,10.8,12))/100)),15)/15,(Skills!T19*(1+(Inputs!$B$34+(ArtifactsInput!$M$7-ArtifactsInput!$M$7)*CHOOSE(ArtifactsInput!$N$7+1,6,7.2,8.4,9.6,10.8,12))/100))/Skills!D19)))</f>
        <v/>
      </c>
    </row>
    <row r="1740">
      <c r="A1740" t="inlineStr">
        <is>
          <t>Actions Per Second</t>
        </is>
      </c>
      <c r="B1740">
        <f>1+MIN(150,150*(1-(1-(Inputs!$B$11+((C1729=TRUE)*(F1729-Calc!F20)))/150)*(1-B1739/150)))/100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Raging Blow Casts Per Second</t>
        </is>
      </c>
      <c r="B1742">
        <f>MAX(0,B1740-B1741)</f>
        <v/>
      </c>
    </row>
    <row r="1743">
      <c r="A1743" t="inlineStr">
        <is>
          <t>Global Critical Damage Bonus % (Enrage)</t>
        </is>
      </c>
      <c r="B1743">
        <f>((C1727=TRUE)*F1727*IF(AND(Inputs!$B$38&lt;&gt;"pvp",Inputs!$B$43&gt;0),(((R1727-1)*(Skills!T18*(1+(Inputs!$B$34+(ArtifactsInput!$M$7-ArtifactsInput!$M$7)*CHOOSE(ArtifactsInput!$N$7+1,6,7.2,8.4,9.6,10.8,12))/100))+MIN((Skills!T18*(1+(Inputs!$B$34+(ArtifactsInput!$M$7-ArtifactsInput!$M$7)*CHOOSE(ArtifactsInput!$N$7+1,6,7.2,8.4,9.6,10.8,12))/100)),MAX(0,Inputs!$B$43-((R1727-1)*Skills!D18))))/Inputs!$B$43),IF(Inputs!$B$38="pvp",MIN((Skills!T18*(1+(Inputs!$B$34+(ArtifactsInput!$M$7-ArtifactsInput!$M$7)*CHOOSE(ArtifactsInput!$N$7+1,6,7.2,8.4,9.6,10.8,12))/100)),15)/15,(Skills!T18*(1+(Inputs!$B$34+(ArtifactsInput!$M$7-ArtifactsInput!$M$7)*CHOOSE(ArtifactsInput!$N$7+1,6,7.2,8.4,9.6,10.8,12))/100))/Skills!D18)))</f>
        <v/>
      </c>
    </row>
    <row r="1744">
      <c r="A1744" t="inlineStr">
        <is>
          <t>Global Final Damage Bonus % (Enrage + Combo Synergy)</t>
        </is>
      </c>
      <c r="B1744">
        <f>((C1726=TRUE)*F1726*IF(AND(Inputs!$B$38&lt;&gt;"pvp",Inputs!$B$43&gt;0),(((R1726-1)*(Skills!T17*(1+(Inputs!$B$34+(ArtifactsInput!$M$7-ArtifactsInput!$M$7)*CHOOSE(ArtifactsInput!$N$7+1,6,7.2,8.4,9.6,10.8,12))/100))+MIN((Skills!T17*(1+(Inputs!$B$34+(ArtifactsInput!$M$7-ArtifactsInput!$M$7)*CHOOSE(ArtifactsInput!$N$7+1,6,7.2,8.4,9.6,10.8,12))/100)),MAX(0,Inputs!$B$43-((R1726-1)*Skills!D17))))/Inputs!$B$43),IF(Inputs!$B$38="pvp",MIN((Skills!T17*(1+(Inputs!$B$34+(ArtifactsInput!$M$7-ArtifactsInput!$M$7)*CHOOSE(ArtifactsInput!$N$7+1,6,7.2,8.4,9.6,10.8,12))/100)),15)/15,(Skills!T17*(1+(Inputs!$B$34+(ArtifactsInput!$M$7-ArtifactsInput!$M$7)*CHOOSE(ArtifactsInput!$N$7+1,6,7.2,8.4,9.6,10.8,12))/100))/Skills!D17)))+((C1723=TRUE)*F1723*IF(Inputs!$B$3&gt;=110,7,5))</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U1755">
        <f>290*U1754/1000</f>
        <v/>
      </c>
    </row>
    <row r="1756">
      <c r="A1756">
        <f>Skills!A5</f>
        <v/>
      </c>
      <c r="B1756">
        <f>Skills!B5</f>
        <v/>
      </c>
      <c r="C1756">
        <f>Inputs!$B$3&gt;=103</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IFERROR(1/(IF(Inputs!$B$38="pvp",15,MAX(0.1,Skills!D5-IF(Skills!E5=TRUE,Inputs!$B$32,0)))*(1-IF(AND(ArtifactsInput!$M$27,Inputs!$B$4="Chapter Hunt"),CHOOSE(ArtifactsInput!$N$27+1,20,24,28,32,36,40),0)/100)),0)</f>
        <v/>
      </c>
      <c r="R1756">
        <f>IF(AND(Inputs!$B$38&lt;&gt;"pvp",Inputs!$B$43&gt;0),IF(MAX(0,Inputs!$B$43-B1787)&lt;=0,0,(INT(MAX(0,Inputs!$B$43-B1787)/(IF(Inputs!$B$38="pvp",15,MAX(0.1,Skills!D5-IF(Skills!E5=TRUE,Inputs!$B$32,0)))*(1-IF(AND(ArtifactsInput!$M$27,Inputs!$B$4="Chapter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IFERROR(1/(IF(Inputs!$B$38="pvp",15,MAX(0.1,Skills!D6-IF(Skills!E6=TRUE,Inputs!$B$32,0)))*(1-IF(AND(ArtifactsInput!$M$27,Inputs!$B$4="Chapter Hunt"),CHOOSE(ArtifactsInput!$N$27+1,20,24,28,32,36,40),0)/100)),0)</f>
        <v/>
      </c>
      <c r="R1757">
        <f>IF(AND(Inputs!$B$38&lt;&gt;"pvp",Inputs!$B$43&gt;0),IF(MAX(0,Inputs!$B$43-B1787)&lt;=0,0,(INT(MAX(0,Inputs!$B$43-B1787)/(IF(Inputs!$B$38="pvp",15,MAX(0.1,Skills!D6-IF(Skills!E6=TRUE,Inputs!$B$32,0)))*(1-IF(AND(ArtifactsInput!$M$27,Inputs!$B$4="Chapter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IFERROR(1/(IF(Inputs!$B$38="pvp",15,MAX(0.1,Skills!D7-IF(Skills!E7=TRUE,Inputs!$B$32,0)))*(1-IF(AND(ArtifactsInput!$M$27,Inputs!$B$4="Chapter Hunt"),CHOOSE(ArtifactsInput!$N$27+1,20,24,28,32,36,40),0)/100)),0)</f>
        <v/>
      </c>
      <c r="R1758">
        <f>IF(AND(Inputs!$B$38&lt;&gt;"pvp",Inputs!$B$43&gt;0),IF(MAX(0,Inputs!$B$43-B1787)&lt;=0,0,(INT(MAX(0,Inputs!$B$43-B1787)/(IF(Inputs!$B$38="pvp",15,MAX(0.1,Skills!D7-IF(Skills!E7=TRUE,Inputs!$B$32,0)))*(1-IF(AND(ArtifactsInput!$M$27,Inputs!$B$4="Chapter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Inputs!$B$3&gt;=117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IFERROR(1/(IF(Inputs!$B$38="pvp",15,MAX(0.1,Skills!D8-IF(Skills!E8=TRUE,Inputs!$B$32,0)))*(1-IF(AND(ArtifactsInput!$M$27,Inputs!$B$4="Chapter Hunt"),CHOOSE(ArtifactsInput!$N$27+1,20,24,28,32,36,40),0)/100)),0)</f>
        <v/>
      </c>
      <c r="R1759">
        <f>IF(AND(Inputs!$B$38&lt;&gt;"pvp",Inputs!$B$43&gt;0),IF(MAX(0,Inputs!$B$43-B1787)&lt;=0,0,(INT(MAX(0,Inputs!$B$43-B1787)/(IF(Inputs!$B$38="pvp",15,MAX(0.1,Skills!D8-IF(Skills!E8=TRUE,Inputs!$B$32,0)))*(1-IF(AND(ArtifactsInput!$M$27,Inputs!$B$4="Chapter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9="ENHANCED_RAGING_BLOW",IF(Inputs!$B$3&gt;=134,MAX(0,IF(Inputs!$B$3&gt;=110,7,5)-5)*50,0),0)/100)*(1+(IF(Skills!A9="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IFERROR(1/(IF(Inputs!$B$38="pvp",15,MAX(0.1,Skills!D9-IF(Skills!E9=TRUE,Inputs!$B$32,0)))*(1-IF(AND(ArtifactsInput!$M$27,Inputs!$B$4="Chapter Hunt"),CHOOSE(ArtifactsInput!$N$27+1,20,24,28,32,36,40),0)/100)),0)</f>
        <v/>
      </c>
      <c r="R1760">
        <f>IF(AND(Inputs!$B$38&lt;&gt;"pvp",Inputs!$B$43&gt;0),IF(MAX(0,Inputs!$B$43-B1787)&lt;=0,0,(INT(MAX(0,Inputs!$B$43-B1787)/(IF(Inputs!$B$38="pvp",15,MAX(0.1,Skills!D9-IF(Skills!E9=TRUE,Inputs!$B$32,0)))*(1-IF(AND(ArtifactsInput!$M$27,Inputs!$B$4="Chapter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10="ENHANCED_RAGING_BLOW",IF(Inputs!$B$3&gt;=134,MAX(0,IF(Inputs!$B$3&gt;=110,7,5)-5)*50,0),0)/100)*(1+(IF(Skills!A10="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IFERROR(1/(IF(Inputs!$B$38="pvp",15,MAX(0.1,Skills!D10-IF(Skills!E10=TRUE,Inputs!$B$32,0)))*(1-IF(AND(ArtifactsInput!$M$27,Inputs!$B$4="Chapter Hunt"),CHOOSE(ArtifactsInput!$N$27+1,20,24,28,32,36,40),0)/100)),0)</f>
        <v/>
      </c>
      <c r="R1761">
        <f>IF(AND(Inputs!$B$38&lt;&gt;"pvp",Inputs!$B$43&gt;0),IF(MAX(0,Inputs!$B$43-B1787)&lt;=0,0,(INT(MAX(0,Inputs!$B$43-B1787)/(IF(Inputs!$B$38="pvp",15,MAX(0.1,Skills!D10-IF(Skills!E10=TRUE,Inputs!$B$32,0)))*(1-IF(AND(ArtifactsInput!$M$27,Inputs!$B$4="Chapter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Inputs!$B$3&gt;=35</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11="ENHANCED_RAGING_BLOW",IF(Inputs!$B$3&gt;=134,MAX(0,IF(Inputs!$B$3&gt;=110,7,5)-5)*50,0),0)/100)*(1+(IF(Skills!A11="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IFERROR(1/(IF(Inputs!$B$38="pvp",15,MAX(0.1,Skills!D11-IF(Skills!E11=TRUE,Inputs!$B$32,0)))*(1-IF(AND(ArtifactsInput!$M$27,Inputs!$B$4="Chapter Hunt"),CHOOSE(ArtifactsInput!$N$27+1,20,24,28,32,36,40),0)/100)),0)</f>
        <v/>
      </c>
      <c r="R1762">
        <f>IF(AND(Inputs!$B$38&lt;&gt;"pvp",Inputs!$B$43&gt;0),IF(MAX(0,Inputs!$B$43-B1787)&lt;=0,0,(INT(MAX(0,Inputs!$B$43-B1787)/(IF(Inputs!$B$38="pvp",15,MAX(0.1,Skills!D11-IF(Skills!E11=TRUE,Inputs!$B$32,0)))*(1-IF(AND(ArtifactsInput!$M$27,Inputs!$B$4="Chapter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Inputs!$B$3&gt;=75</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Inputs!$B$3&gt;=40</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Inputs!$B$3&gt;=66</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Inputs!$B$3&gt;=125</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Inputs!$B$3&gt;=72</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1770=TRUE)*F1770*IF(AND(Inputs!$B$38&lt;&gt;"pvp",Inputs!$B$43&gt;0),(((R1770-1)*(Skills!T19*(1+(Inputs!$B$34+(ArtifactsInput!$M$7-ArtifactsInput!$M$7)*CHOOSE(ArtifactsInput!$N$7+1,6,7.2,8.4,9.6,10.8,12))/100))+MIN((Skills!T19*(1+(Inputs!$B$34+(ArtifactsInput!$M$7-ArtifactsInput!$M$7)*CHOOSE(ArtifactsInput!$N$7+1,6,7.2,8.4,9.6,10.8,12))/100)),MAX(0,Inputs!$B$43-((R1770-1)*Skills!D19))))/Inputs!$B$43),IF(Inputs!$B$38="pvp",MIN((Skills!T19*(1+(Inputs!$B$34+(ArtifactsInput!$M$7-ArtifactsInput!$M$7)*CHOOSE(ArtifactsInput!$N$7+1,6,7.2,8.4,9.6,10.8,12))/100)),15)/15,(Skills!T19*(1+(Inputs!$B$34+(ArtifactsInput!$M$7-ArtifactsInput!$M$7)*CHOOSE(ArtifactsInput!$N$7+1,6,7.2,8.4,9.6,10.8,12))/100))/Skills!D19)))</f>
        <v/>
      </c>
    </row>
    <row r="1782">
      <c r="A1782" t="inlineStr">
        <is>
          <t>Actions Per Second</t>
        </is>
      </c>
      <c r="B1782">
        <f>1+MIN(150,150*(1-(1-(Inputs!$B$11+((C1771=TRUE)*(F1771-Calc!F20)))/150)*(1-B1781/150)))/100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Raging Blow Casts Per Second</t>
        </is>
      </c>
      <c r="B1784">
        <f>MAX(0,B1782-B1783)</f>
        <v/>
      </c>
    </row>
    <row r="1785">
      <c r="A1785" t="inlineStr">
        <is>
          <t>Global Critical Damage Bonus % (Enrage)</t>
        </is>
      </c>
      <c r="B1785">
        <f>((C1769=TRUE)*F1769*IF(AND(Inputs!$B$38&lt;&gt;"pvp",Inputs!$B$43&gt;0),(((R1769-1)*(Skills!T18*(1+(Inputs!$B$34+(ArtifactsInput!$M$7-ArtifactsInput!$M$7)*CHOOSE(ArtifactsInput!$N$7+1,6,7.2,8.4,9.6,10.8,12))/100))+MIN((Skills!T18*(1+(Inputs!$B$34+(ArtifactsInput!$M$7-ArtifactsInput!$M$7)*CHOOSE(ArtifactsInput!$N$7+1,6,7.2,8.4,9.6,10.8,12))/100)),MAX(0,Inputs!$B$43-((R1769-1)*Skills!D18))))/Inputs!$B$43),IF(Inputs!$B$38="pvp",MIN((Skills!T18*(1+(Inputs!$B$34+(ArtifactsInput!$M$7-ArtifactsInput!$M$7)*CHOOSE(ArtifactsInput!$N$7+1,6,7.2,8.4,9.6,10.8,12))/100)),15)/15,(Skills!T18*(1+(Inputs!$B$34+(ArtifactsInput!$M$7-ArtifactsInput!$M$7)*CHOOSE(ArtifactsInput!$N$7+1,6,7.2,8.4,9.6,10.8,12))/100))/Skills!D18)))</f>
        <v/>
      </c>
    </row>
    <row r="1786">
      <c r="A1786" t="inlineStr">
        <is>
          <t>Global Final Damage Bonus % (Enrage + Combo Synergy)</t>
        </is>
      </c>
      <c r="B1786">
        <f>((C1768=TRUE)*F1768*IF(AND(Inputs!$B$38&lt;&gt;"pvp",Inputs!$B$43&gt;0),(((R1768-1)*(Skills!T17*(1+(Inputs!$B$34+(ArtifactsInput!$M$7-ArtifactsInput!$M$7)*CHOOSE(ArtifactsInput!$N$7+1,6,7.2,8.4,9.6,10.8,12))/100))+MIN((Skills!T17*(1+(Inputs!$B$34+(ArtifactsInput!$M$7-ArtifactsInput!$M$7)*CHOOSE(ArtifactsInput!$N$7+1,6,7.2,8.4,9.6,10.8,12))/100)),MAX(0,Inputs!$B$43-((R1768-1)*Skills!D17))))/Inputs!$B$43),IF(Inputs!$B$38="pvp",MIN((Skills!T17*(1+(Inputs!$B$34+(ArtifactsInput!$M$7-ArtifactsInput!$M$7)*CHOOSE(ArtifactsInput!$N$7+1,6,7.2,8.4,9.6,10.8,12))/100)),15)/15,(Skills!T17*(1+(Inputs!$B$34+(ArtifactsInput!$M$7-ArtifactsInput!$M$7)*CHOOSE(ArtifactsInput!$N$7+1,6,7.2,8.4,9.6,10.8,12))/100))/Skills!D17)))+((C1765=TRUE)*F1765*IF(Inputs!$B$3&gt;=110,7,5))</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1795)</f>
        <v/>
      </c>
      <c r="L1795">
        <f>K1795*(MIN(Inputs!$B$22+((C1815=TRUE)*(F1815-Calc!F22)),(Inputs!$B$23+((C1817=TRUE)*(F1817-Calc!F24))+(IF(ArtifactsInput!$M$15,CHOOSE(ArtifactsInput!$N$15+1,25,30,35,40,45,50)/100*(Inputs!$B$11-Inputs!$B$11),0))))/100+(Inputs!$B$23+((C1817=TRUE)*(F1817-Calc!F24))+(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INDEX(FactorTable!$B$2:$Y$301, MATCH(ROUND(MIN(300,MAX(1,D1796)),0),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INDEX(FactorTable!$B$2:$Y$301, MATCH(ROUND(MIN(300,MAX(1,U1795)),0), FactorTable!$A$2:$A$301,0), 22)</f>
        <v/>
      </c>
    </row>
    <row r="1797">
      <c r="A1797">
        <f>Skills!A4</f>
        <v/>
      </c>
      <c r="B1797">
        <f>Skills!B4</f>
        <v/>
      </c>
      <c r="C1797">
        <f>Inputs!$B$3&gt;=105</f>
        <v/>
      </c>
      <c r="D1797">
        <f>IF(Skills!C4=1,60+Inputs!$B$25+Inputs!$B$29,IF(Skills!C4=2,90+Inputs!$B$26+Inputs!$B$29,IF(Skills!C4=3,120+Inputs!$B$27+Inputs!$B$29,MAX(0,(Inputs!$B$3-100)*3)+Inputs!$B$28+Inputs!$B$29)))</f>
        <v/>
      </c>
      <c r="E1797">
        <f>INDEX(FactorTable!$B$2:$Y$301, MATCH(ROUND(MIN(300,MAX(1,D1797)),0), FactorTable!$A$2:$A$301,0), Skills!M4+1)</f>
        <v/>
      </c>
      <c r="F1797">
        <f>IF(Skills!N4=TRUE,(Skills!L4/10)*(E1797/1000),Skills!L4/10)+Skills!O4</f>
        <v/>
      </c>
      <c r="G1797" t="inlineStr"/>
      <c r="H1797" t="inlineStr"/>
      <c r="I1797" t="inlineStr">
        <is>
          <t>1</t>
        </is>
      </c>
      <c r="J1797" t="inlineStr"/>
      <c r="K1797" t="inlineStr"/>
      <c r="L1797" t="inlineStr"/>
      <c r="M1797" t="inlineStr"/>
      <c r="N1797" t="inlineStr"/>
      <c r="O1797" t="inlineStr"/>
      <c r="P1797" t="inlineStr"/>
      <c r="Q1797" t="inlineStr"/>
      <c r="R1797" t="inlineStr"/>
      <c r="S1797" t="inlineStr"/>
      <c r="U1797">
        <f>290*U1796/1000</f>
        <v/>
      </c>
    </row>
    <row r="1798">
      <c r="A1798">
        <f>Skills!A5</f>
        <v/>
      </c>
      <c r="B1798">
        <f>Skills!B5</f>
        <v/>
      </c>
      <c r="C1798">
        <f>Inputs!$B$3&gt;=103</f>
        <v/>
      </c>
      <c r="D1798">
        <f>IF(Skills!C5=1,60+Inputs!$B$25+Inputs!$B$29,IF(Skills!C5=2,90+Inputs!$B$26+Inputs!$B$29,IF(Skills!C5=3,120+Inputs!$B$27+Inputs!$B$29,MAX(0,(Inputs!$B$3-100)*3)+Inputs!$B$28+Inputs!$B$29)))</f>
        <v/>
      </c>
      <c r="E1798">
        <f>INDEX(FactorTable!$B$2:$Y$301, MATCH(ROUND(MIN(300,MAX(1,D1798)),0), FactorTable!$A$2:$A$301,0), Skills!M5+1)</f>
        <v/>
      </c>
      <c r="F1798">
        <f>IF(Skills!N5=TRUE,(Skills!L5/10)*(E1798/1000),Skills!L5/10)+Skills!O5</f>
        <v/>
      </c>
      <c r="G1798">
        <f>Skills!G5*IF(Skills!H5&gt;0,Skills!I5/Skills!H5,1)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1798)</f>
        <v/>
      </c>
      <c r="L1798">
        <f>K1798*(MIN(Inputs!$B$22+((C1815=TRUE)*(F1815-Calc!F22)),(Inputs!$B$23+((C1817=TRUE)*(F1817-Calc!F24))+(IF(ArtifactsInput!$M$15,CHOOSE(ArtifactsInput!$N$15+1,25,30,35,40,45,50)/100*(Inputs!$B$11-Inputs!$B$11),0))))/100+(Inputs!$B$23+((C1817=TRUE)*(F1817-Calc!F24))+(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IFERROR(1/(IF(Inputs!$B$38="pvp",15,MAX(0.1,Skills!D5-IF(Skills!E5=TRUE,Inputs!$B$32,0)))*(1-IF(AND(ArtifactsInput!$M$27,Inputs!$B$4="Chapter Hunt"),CHOOSE(ArtifactsInput!$N$27+1,20,24,28,32,36,40),0)/100)),0)</f>
        <v/>
      </c>
      <c r="R1798">
        <f>IF(AND(Inputs!$B$38&lt;&gt;"pvp",Inputs!$B$43&gt;0),IF(MAX(0,Inputs!$B$43-B1829)&lt;=0,0,(INT(MAX(0,Inputs!$B$43-B1829)/(IF(Inputs!$B$38="pvp",15,MAX(0.1,Skills!D5-IF(Skills!E5=TRUE,Inputs!$B$32,0)))*(1-IF(AND(ArtifactsInput!$M$27,Inputs!$B$4="Chapter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INDEX(FactorTable!$B$2:$Y$301, MATCH(ROUND(MIN(300,MAX(1,D1799)),0), FactorTable!$A$2:$A$301,0), Skills!M6+1)</f>
        <v/>
      </c>
      <c r="F1799">
        <f>IF(Skills!N6=TRUE,(Skills!L6/10)*(E1799/1000),Skills!L6/10)+Skills!O6</f>
        <v/>
      </c>
      <c r="G1799">
        <f>Skills!G6*IF(Skills!H6&gt;0,Skills!I6/Skills!H6,1)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1799)</f>
        <v/>
      </c>
      <c r="L1799">
        <f>K1799*(MIN(Inputs!$B$22+((C1815=TRUE)*(F1815-Calc!F22)),(Inputs!$B$23+((C1817=TRUE)*(F1817-Calc!F24))+(IF(ArtifactsInput!$M$15,CHOOSE(ArtifactsInput!$N$15+1,25,30,35,40,45,50)/100*(Inputs!$B$11-Inputs!$B$11),0))))/100+(Inputs!$B$23+((C1817=TRUE)*(F1817-Calc!F24))+(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IFERROR(1/(IF(Inputs!$B$38="pvp",15,MAX(0.1,Skills!D6-IF(Skills!E6=TRUE,Inputs!$B$32,0)))*(1-IF(AND(ArtifactsInput!$M$27,Inputs!$B$4="Chapter Hunt"),CHOOSE(ArtifactsInput!$N$27+1,20,24,28,32,36,40),0)/100)),0)</f>
        <v/>
      </c>
      <c r="R1799">
        <f>IF(AND(Inputs!$B$38&lt;&gt;"pvp",Inputs!$B$43&gt;0),IF(MAX(0,Inputs!$B$43-B1829)&lt;=0,0,(INT(MAX(0,Inputs!$B$43-B1829)/(IF(Inputs!$B$38="pvp",15,MAX(0.1,Skills!D6-IF(Skills!E6=TRUE,Inputs!$B$32,0)))*(1-IF(AND(ArtifactsInput!$M$27,Inputs!$B$4="Chapter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INDEX(FactorTable!$B$2:$Y$301, MATCH(ROUND(MIN(300,MAX(1,D1800)),0), FactorTable!$A$2:$A$301,0), Skills!M7+1)</f>
        <v/>
      </c>
      <c r="F1800">
        <f>IF(Skills!N7=TRUE,(Skills!L7/10)*(E1800/1000),Skills!L7/10)+Skills!O7</f>
        <v/>
      </c>
      <c r="G1800">
        <f>Skills!G7*IF(Skills!H7&gt;0,Skills!I7/Skills!H7,1)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1800)</f>
        <v/>
      </c>
      <c r="L1800">
        <f>K1800*(MIN(Inputs!$B$22+((C1815=TRUE)*(F1815-Calc!F22)),(Inputs!$B$23+((C1817=TRUE)*(F1817-Calc!F24))+(IF(ArtifactsInput!$M$15,CHOOSE(ArtifactsInput!$N$15+1,25,30,35,40,45,50)/100*(Inputs!$B$11-Inputs!$B$11),0))))/100+(Inputs!$B$23+((C1817=TRUE)*(F1817-Calc!F24))+(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IFERROR(1/(IF(Inputs!$B$38="pvp",15,MAX(0.1,Skills!D7-IF(Skills!E7=TRUE,Inputs!$B$32,0)))*(1-IF(AND(ArtifactsInput!$M$27,Inputs!$B$4="Chapter Hunt"),CHOOSE(ArtifactsInput!$N$27+1,20,24,28,32,36,40),0)/100)),0)</f>
        <v/>
      </c>
      <c r="R1800">
        <f>IF(AND(Inputs!$B$38&lt;&gt;"pvp",Inputs!$B$43&gt;0),IF(MAX(0,Inputs!$B$43-B1829)&lt;=0,0,(INT(MAX(0,Inputs!$B$43-B1829)/(IF(Inputs!$B$38="pvp",15,MAX(0.1,Skills!D7-IF(Skills!E7=TRUE,Inputs!$B$32,0)))*(1-IF(AND(ArtifactsInput!$M$27,Inputs!$B$4="Chapter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Inputs!$B$3&gt;=117</f>
        <v/>
      </c>
      <c r="D1801">
        <f>IF(Skills!C8=1,60+Inputs!$B$25+Inputs!$B$29,IF(Skills!C8=2,90+Inputs!$B$26+Inputs!$B$29,IF(Skills!C8=3,120+Inputs!$B$27+Inputs!$B$29,MAX(0,(Inputs!$B$3-100)*3)+Inputs!$B$28+Inputs!$B$29)))</f>
        <v/>
      </c>
      <c r="E1801">
        <f>INDEX(FactorTable!$B$2:$Y$301, MATCH(ROUND(MIN(300,MAX(1,D1801)),0), FactorTable!$A$2:$A$301,0), Skills!M8+1)</f>
        <v/>
      </c>
      <c r="F1801">
        <f>IF(Skills!N8=TRUE,(Skills!L8/10)*(E1801/1000),Skills!L8/10)+Skills!O8</f>
        <v/>
      </c>
      <c r="G1801">
        <f>Skills!G8*IF(Skills!H8&gt;0,Skills!I8/Skills!H8,1)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1801)</f>
        <v/>
      </c>
      <c r="L1801">
        <f>K1801*(MIN(Inputs!$B$22+((C1815=TRUE)*(F1815-Calc!F22)),(Inputs!$B$23+((C1817=TRUE)*(F1817-Calc!F24))+(IF(ArtifactsInput!$M$15,CHOOSE(ArtifactsInput!$N$15+1,25,30,35,40,45,50)/100*(Inputs!$B$11-Inputs!$B$11),0))))/100+(Inputs!$B$23+((C1817=TRUE)*(F1817-Calc!F24))+(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IFERROR(1/(IF(Inputs!$B$38="pvp",15,MAX(0.1,Skills!D8-IF(Skills!E8=TRUE,Inputs!$B$32,0)))*(1-IF(AND(ArtifactsInput!$M$27,Inputs!$B$4="Chapter Hunt"),CHOOSE(ArtifactsInput!$N$27+1,20,24,28,32,36,40),0)/100)),0)</f>
        <v/>
      </c>
      <c r="R1801">
        <f>IF(AND(Inputs!$B$38&lt;&gt;"pvp",Inputs!$B$43&gt;0),IF(MAX(0,Inputs!$B$43-B1829)&lt;=0,0,(INT(MAX(0,Inputs!$B$43-B1829)/(IF(Inputs!$B$38="pvp",15,MAX(0.1,Skills!D8-IF(Skills!E8=TRUE,Inputs!$B$32,0)))*(1-IF(AND(ArtifactsInput!$M$27,Inputs!$B$4="Chapter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Inputs!$B$3&gt;=69</f>
        <v/>
      </c>
      <c r="D1802">
        <f>IF(Skills!C9=1,60+Inputs!$B$25+Inputs!$B$29,IF(Skills!C9=2,90+Inputs!$B$26+Inputs!$B$29,IF(Skills!C9=3,120+Inputs!$B$27+Inputs!$B$29,MAX(0,(Inputs!$B$3-100)*3)+Inputs!$B$28+Inputs!$B$29)))</f>
        <v/>
      </c>
      <c r="E1802">
        <f>INDEX(FactorTable!$B$2:$Y$301, MATCH(ROUND(MIN(300,MAX(1,D1802)),0), FactorTable!$A$2:$A$301,0), Skills!M9+1)</f>
        <v/>
      </c>
      <c r="F1802">
        <f>IF(Skills!N9=TRUE,(Skills!L9/10)*(E1802/1000),Skills!L9/10)+Skills!O9</f>
        <v/>
      </c>
      <c r="G1802">
        <f>Skills!G9*IF(Skills!H9&gt;0,Skills!I9/Skills!H9,1)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9="ENHANCED_RAGING_BLOW",IF(Inputs!$B$3&gt;=134,MAX(0,IF(Inputs!$B$3&gt;=110,7,5)-5)*50,0),0)/100)*(1+(IF(Skills!A9="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1802)</f>
        <v/>
      </c>
      <c r="L1802">
        <f>K1802*(MIN(Inputs!$B$22+((C1815=TRUE)*(F1815-Calc!F22)),(Inputs!$B$23+((C1817=TRUE)*(F1817-Calc!F24))+(IF(ArtifactsInput!$M$15,CHOOSE(ArtifactsInput!$N$15+1,25,30,35,40,45,50)/100*(Inputs!$B$11-Inputs!$B$11),0))))/100+(Inputs!$B$23+((C1817=TRUE)*(F1817-Calc!F24))+(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IFERROR(1/(IF(Inputs!$B$38="pvp",15,MAX(0.1,Skills!D9-IF(Skills!E9=TRUE,Inputs!$B$32,0)))*(1-IF(AND(ArtifactsInput!$M$27,Inputs!$B$4="Chapter Hunt"),CHOOSE(ArtifactsInput!$N$27+1,20,24,28,32,36,40),0)/100)),0)</f>
        <v/>
      </c>
      <c r="R1802">
        <f>IF(AND(Inputs!$B$38&lt;&gt;"pvp",Inputs!$B$43&gt;0),IF(MAX(0,Inputs!$B$43-B1829)&lt;=0,0,(INT(MAX(0,Inputs!$B$43-B1829)/(IF(Inputs!$B$38="pvp",15,MAX(0.1,Skills!D9-IF(Skills!E9=TRUE,Inputs!$B$32,0)))*(1-IF(AND(ArtifactsInput!$M$27,Inputs!$B$4="Chapter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Inputs!$B$3&gt;=63</f>
        <v/>
      </c>
      <c r="D1803">
        <f>IF(Skills!C10=1,60+Inputs!$B$25+Inputs!$B$29,IF(Skills!C10=2,90+Inputs!$B$26+Inputs!$B$29,IF(Skills!C10=3,120+Inputs!$B$27+Inputs!$B$29,MAX(0,(Inputs!$B$3-100)*3)+Inputs!$B$28+Inputs!$B$29)))</f>
        <v/>
      </c>
      <c r="E1803">
        <f>INDEX(FactorTable!$B$2:$Y$301, MATCH(ROUND(MIN(300,MAX(1,D1803)),0), FactorTable!$A$2:$A$301,0), Skills!M10+1)</f>
        <v/>
      </c>
      <c r="F1803">
        <f>IF(Skills!N10=TRUE,(Skills!L10/10)*(E1803/1000),Skills!L10/10)+Skills!O10</f>
        <v/>
      </c>
      <c r="G1803">
        <f>Skills!G10*IF(Skills!H10&gt;0,Skills!I10/Skills!H10,1)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10="ENHANCED_RAGING_BLOW",IF(Inputs!$B$3&gt;=134,MAX(0,IF(Inputs!$B$3&gt;=110,7,5)-5)*50,0),0)/100)*(1+(IF(Skills!A10="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1803)</f>
        <v/>
      </c>
      <c r="L1803">
        <f>K1803*(MIN(Inputs!$B$22+((C1815=TRUE)*(F1815-Calc!F22)),(Inputs!$B$23+((C1817=TRUE)*(F1817-Calc!F24))+(IF(ArtifactsInput!$M$15,CHOOSE(ArtifactsInput!$N$15+1,25,30,35,40,45,50)/100*(Inputs!$B$11-Inputs!$B$11),0))))/100+(Inputs!$B$23+((C1817=TRUE)*(F1817-Calc!F24))+(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IFERROR(1/(IF(Inputs!$B$38="pvp",15,MAX(0.1,Skills!D10-IF(Skills!E10=TRUE,Inputs!$B$32,0)))*(1-IF(AND(ArtifactsInput!$M$27,Inputs!$B$4="Chapter Hunt"),CHOOSE(ArtifactsInput!$N$27+1,20,24,28,32,36,40),0)/100)),0)</f>
        <v/>
      </c>
      <c r="R1803">
        <f>IF(AND(Inputs!$B$38&lt;&gt;"pvp",Inputs!$B$43&gt;0),IF(MAX(0,Inputs!$B$43-B1829)&lt;=0,0,(INT(MAX(0,Inputs!$B$43-B1829)/(IF(Inputs!$B$38="pvp",15,MAX(0.1,Skills!D10-IF(Skills!E10=TRUE,Inputs!$B$32,0)))*(1-IF(AND(ArtifactsInput!$M$27,Inputs!$B$4="Chapter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Inputs!$B$3&gt;=35</f>
        <v/>
      </c>
      <c r="D1804">
        <f>IF(Skills!C11=1,60+Inputs!$B$25+Inputs!$B$29,IF(Skills!C11=2,90+Inputs!$B$26+Inputs!$B$29,IF(Skills!C11=3,120+Inputs!$B$27+Inputs!$B$29,MAX(0,(Inputs!$B$3-100)*3)+Inputs!$B$28+Inputs!$B$29)))</f>
        <v/>
      </c>
      <c r="E1804">
        <f>INDEX(FactorTable!$B$2:$Y$301, MATCH(ROUND(MIN(300,MAX(1,D1804)),0), FactorTable!$A$2:$A$301,0), Skills!M11+1)</f>
        <v/>
      </c>
      <c r="F1804">
        <f>IF(Skills!N11=TRUE,(Skills!L11/10)*(E1804/1000),Skills!L11/10)+Skills!O11</f>
        <v/>
      </c>
      <c r="G1804">
        <f>Skills!G11*IF(Skills!H11&gt;0,Skills!I11/Skills!H11,1)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11="ENHANCED_RAGING_BLOW",IF(Inputs!$B$3&gt;=134,MAX(0,IF(Inputs!$B$3&gt;=110,7,5)-5)*50,0),0)/100)*(1+(IF(Skills!A11="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1804)</f>
        <v/>
      </c>
      <c r="L1804">
        <f>K1804*(MIN(Inputs!$B$22+((C1815=TRUE)*(F1815-Calc!F22)),(Inputs!$B$23+((C1817=TRUE)*(F1817-Calc!F24))+(IF(ArtifactsInput!$M$15,CHOOSE(ArtifactsInput!$N$15+1,25,30,35,40,45,50)/100*(Inputs!$B$11-Inputs!$B$11),0))))/100+(Inputs!$B$23+((C1817=TRUE)*(F1817-Calc!F24))+(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IFERROR(1/(IF(Inputs!$B$38="pvp",15,MAX(0.1,Skills!D11-IF(Skills!E11=TRUE,Inputs!$B$32,0)))*(1-IF(AND(ArtifactsInput!$M$27,Inputs!$B$4="Chapter Hunt"),CHOOSE(ArtifactsInput!$N$27+1,20,24,28,32,36,40),0)/100)),0)</f>
        <v/>
      </c>
      <c r="R1804">
        <f>IF(AND(Inputs!$B$38&lt;&gt;"pvp",Inputs!$B$43&gt;0),IF(MAX(0,Inputs!$B$43-B1829)&lt;=0,0,(INT(MAX(0,Inputs!$B$43-B1829)/(IF(Inputs!$B$38="pvp",15,MAX(0.1,Skills!D11-IF(Skills!E11=TRUE,Inputs!$B$32,0)))*(1-IF(AND(ArtifactsInput!$M$27,Inputs!$B$4="Chapter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INDEX(FactorTable!$B$2:$Y$301, MATCH(ROUND(MIN(300,MAX(1,D1805)),0),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INDEX(FactorTable!$B$2:$Y$301, MATCH(ROUND(MIN(300,MAX(1,D1806)),0), FactorTable!$A$2:$A$301,0), Skills!M13+1)</f>
        <v/>
      </c>
      <c r="F1806">
        <f>IF(Skills!N13=TRUE,(Skills!L13/10)*(E1806/1000),Skills!L13/10)+Skills!O13</f>
        <v/>
      </c>
      <c r="G1806">
        <f>Skills!G13*IF(Skills!H13&gt;0,Skills!I13/Skills!H13,1)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Inputs!$B$3&gt;=75</f>
        <v/>
      </c>
      <c r="D1807">
        <f>IF(Skills!C14=1,60+Inputs!$B$25+Inputs!$B$29,IF(Skills!C14=2,90+Inputs!$B$26+Inputs!$B$29,IF(Skills!C14=3,120+Inputs!$B$27+Inputs!$B$29,MAX(0,(Inputs!$B$3-100)*3)+Inputs!$B$28+Inputs!$B$29)))</f>
        <v/>
      </c>
      <c r="E1807">
        <f>INDEX(FactorTable!$B$2:$Y$301, MATCH(ROUND(MIN(300,MAX(1,D1807)),0), FactorTable!$A$2:$A$301,0), Skills!M14+1)</f>
        <v/>
      </c>
      <c r="F1807">
        <f>IF(Skills!N14=TRUE,(Skills!L14/10)*(E1807/1000),Skills!L14/10)+Skills!O14</f>
        <v/>
      </c>
      <c r="G1807">
        <f>Skills!G14*IF(Skills!H14&gt;0,Skills!I14/Skills!H14,1)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Inputs!$B$3&gt;=40</f>
        <v/>
      </c>
      <c r="D1808">
        <f>IF(Skills!C15=1,60+Inputs!$B$25+Inputs!$B$29,IF(Skills!C15=2,90+Inputs!$B$26+Inputs!$B$29,IF(Skills!C15=3,120+Inputs!$B$27+Inputs!$B$29,MAX(0,(Inputs!$B$3-100)*3)+Inputs!$B$28+Inputs!$B$29)))</f>
        <v/>
      </c>
      <c r="E1808">
        <f>INDEX(FactorTable!$B$2:$Y$301, MATCH(ROUND(MIN(300,MAX(1,D1808)),0), FactorTable!$A$2:$A$301,0), Skills!M15+1)</f>
        <v/>
      </c>
      <c r="F1808">
        <f>IF(Skills!N15=TRUE,(Skills!L15/10)*(E1808/1000),Skills!L15/10)+Skills!O15</f>
        <v/>
      </c>
      <c r="G1808">
        <f>Skills!G15*IF(Skills!H15&gt;0,Skills!I15/Skills!H15,1)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IFERROR(1/(IF(Inputs!$B$38="pvp",15,MAX(0.1,Skills!D15-IF(Skills!E15=TRUE,Inputs!$B$32,0)))*(1-IF(AND(ArtifactsInput!$M$27,Inputs!$B$4="Chapter Hunt"),CHOOSE(ArtifactsInput!$N$27+1,20,24,28,32,36,40),0)/100)),0)</f>
        <v/>
      </c>
      <c r="R1808">
        <f>IF(AND(Inputs!$B$38&lt;&gt;"pvp",Inputs!$B$43&gt;0),IF(Inputs!$B$43&lt;=0,0,(INT(Inputs!$B$43/(IF(Inputs!$B$38="pvp",15,MAX(0.1,Skills!D15-IF(Skills!E15=TRUE,Inputs!$B$32,0)))*(1-IF(AND(ArtifactsInput!$M$27,Inputs!$B$4="Chapter Hunt"),CHOOSE(ArtifactsInput!$N$27+1,20,24,28,32,36,40),0)/100)))+1)),0)</f>
        <v/>
      </c>
      <c r="S1808">
        <f>IFERROR(O1808/N1808,0)</f>
        <v/>
      </c>
      <c r="T1808" t="n">
        <v>0</v>
      </c>
      <c r="V1808" t="n">
        <v>0</v>
      </c>
    </row>
    <row r="1809">
      <c r="A1809">
        <f>Skills!A16</f>
        <v/>
      </c>
      <c r="B1809">
        <f>Skills!B16</f>
        <v/>
      </c>
      <c r="C1809">
        <f>Inputs!$B$3&gt;=66</f>
        <v/>
      </c>
      <c r="D1809">
        <f>IF(Skills!C16=1,60+Inputs!$B$25+Inputs!$B$29,IF(Skills!C16=2,90+Inputs!$B$26+Inputs!$B$29,IF(Skills!C16=3,120+Inputs!$B$27+Inputs!$B$29,MAX(0,(Inputs!$B$3-100)*3)+Inputs!$B$28+Inputs!$B$29)))</f>
        <v/>
      </c>
      <c r="E1809">
        <f>INDEX(FactorTable!$B$2:$Y$301, MATCH(ROUND(MIN(300,MAX(1,D1809)),0), FactorTable!$A$2:$A$301,0), Skills!M16+1)</f>
        <v/>
      </c>
      <c r="F1809">
        <f>IF(Skills!N16=TRUE,(Skills!L16/10)*(E1809/1000),Skills!L16/10)+Skills!O16</f>
        <v/>
      </c>
      <c r="G1809">
        <f>Skills!G16*IF(Skills!H16&gt;0,Skills!I16/Skills!H16,1)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IFERROR(1/(IF(Inputs!$B$38="pvp",15,MAX(0.1,Skills!D16-IF(Skills!E16=TRUE,Inputs!$B$32,0)))*(1-IF(AND(ArtifactsInput!$M$27,Inputs!$B$4="Chapter Hunt"),CHOOSE(ArtifactsInput!$N$27+1,20,24,28,32,36,40),0)/100)),0)</f>
        <v/>
      </c>
      <c r="R1809">
        <f>IF(AND(Inputs!$B$38&lt;&gt;"pvp",Inputs!$B$43&gt;0),IF(Inputs!$B$43&lt;=0,0,(INT(Inputs!$B$43/(IF(Inputs!$B$38="pvp",15,MAX(0.1,Skills!D16-IF(Skills!E16=TRUE,Inputs!$B$32,0)))*(1-IF(AND(ArtifactsInput!$M$27,Inputs!$B$4="Chapter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INDEX(FactorTable!$B$2:$Y$301, MATCH(ROUND(MIN(300,MAX(1,D1810)),0), FactorTable!$A$2:$A$301,0), Skills!M17+1)</f>
        <v/>
      </c>
      <c r="F1810">
        <f>IF(Skills!N17=TRUE,(Skills!L17/10)*(E1810/1000),Skills!L17/10)+Skills!O17</f>
        <v/>
      </c>
      <c r="G1810">
        <f>Skills!G17*IF(Skills!H17&gt;0,Skills!I17/Skills!H17,1)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IFERROR(1/(IF(Inputs!$B$38="pvp",15,MAX(0.1,Skills!D17-IF(Skills!E17=TRUE,Inputs!$B$32,0)))*(1-IF(AND(ArtifactsInput!$M$27,Inputs!$B$4="Chapter Hunt"),CHOOSE(ArtifactsInput!$N$27+1,20,24,28,32,36,40),0)/100)),0)</f>
        <v/>
      </c>
      <c r="R1810">
        <f>IF(AND(Inputs!$B$38&lt;&gt;"pvp",Inputs!$B$43&gt;0),IF(Inputs!$B$43&lt;=0,0,(INT(Inputs!$B$43/(IF(Inputs!$B$38="pvp",15,MAX(0.1,Skills!D17-IF(Skills!E17=TRUE,Inputs!$B$32,0)))*(1-IF(AND(ArtifactsInput!$M$27,Inputs!$B$4="Chapter Hunt"),CHOOSE(ArtifactsInput!$N$27+1,20,24,28,32,36,40),0)/100)))+1)),0)</f>
        <v/>
      </c>
      <c r="S1810">
        <f>IFERROR(O1810/N1810,0)</f>
        <v/>
      </c>
      <c r="T1810" t="n">
        <v>0</v>
      </c>
      <c r="V1810" t="n">
        <v>0</v>
      </c>
    </row>
    <row r="1811">
      <c r="A1811">
        <f>Skills!A18</f>
        <v/>
      </c>
      <c r="B1811">
        <f>Skills!B18</f>
        <v/>
      </c>
      <c r="C1811">
        <f>Inputs!$B$3&gt;=115</f>
        <v/>
      </c>
      <c r="D1811">
        <f>IF(Skills!C18=1,60+Inputs!$B$25+Inputs!$B$29,IF(Skills!C18=2,90+Inputs!$B$26+Inputs!$B$29,IF(Skills!C18=3,120+Inputs!$B$27+Inputs!$B$29,MAX(0,(Inputs!$B$3-100)*3)+Inputs!$B$28+Inputs!$B$29)))</f>
        <v/>
      </c>
      <c r="E1811">
        <f>INDEX(FactorTable!$B$2:$Y$301, MATCH(ROUND(MIN(300,MAX(1,D1811)),0), FactorTable!$A$2:$A$301,0), Skills!M18+1)</f>
        <v/>
      </c>
      <c r="F1811">
        <f>IF(Skills!N18=TRUE,(Skills!L18/10)*(E1811/1000),Skills!L18/10)+Skills!O18</f>
        <v/>
      </c>
      <c r="G1811">
        <f>Skills!G18*IF(Skills!H18&gt;0,Skills!I18/Skills!H18,1)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IFERROR(1/(IF(Inputs!$B$38="pvp",15,MAX(0.1,Skills!D18-IF(Skills!E18=TRUE,Inputs!$B$32,0)))*(1-IF(AND(ArtifactsInput!$M$27,Inputs!$B$4="Chapter Hunt"),CHOOSE(ArtifactsInput!$N$27+1,20,24,28,32,36,40),0)/100)),0)</f>
        <v/>
      </c>
      <c r="R1811">
        <f>IF(AND(Inputs!$B$38&lt;&gt;"pvp",Inputs!$B$43&gt;0),IF(Inputs!$B$43&lt;=0,0,(INT(Inputs!$B$43/(IF(Inputs!$B$38="pvp",15,MAX(0.1,Skills!D18-IF(Skills!E18=TRUE,Inputs!$B$32,0)))*(1-IF(AND(ArtifactsInput!$M$27,Inputs!$B$4="Chapter Hunt"),CHOOSE(ArtifactsInput!$N$27+1,20,24,28,32,36,40),0)/100)))+1)),0)</f>
        <v/>
      </c>
      <c r="S1811">
        <f>IFERROR(O1811/N1811,0)</f>
        <v/>
      </c>
      <c r="T1811" t="n">
        <v>0</v>
      </c>
      <c r="V1811" t="n">
        <v>0</v>
      </c>
    </row>
    <row r="1812">
      <c r="A1812">
        <f>Skills!A19</f>
        <v/>
      </c>
      <c r="B1812">
        <f>Skills!B19</f>
        <v/>
      </c>
      <c r="C1812">
        <f>TRUE</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IFERROR(1/(IF(Inputs!$B$38="pvp",15,MAX(0.1,Skills!D19-IF(Skills!E19=TRUE,Inputs!$B$32,0)))*(1-IF(AND(ArtifactsInput!$M$27,Inputs!$B$4="Chapter Hunt"),CHOOSE(ArtifactsInput!$N$27+1,20,24,28,32,36,40),0)/100)),0)</f>
        <v/>
      </c>
      <c r="R1812">
        <f>IF(AND(Inputs!$B$38&lt;&gt;"pvp",Inputs!$B$43&gt;0),IF(Inputs!$B$43&lt;=0,0,(INT(Inputs!$B$43/(IF(Inputs!$B$38="pvp",15,MAX(0.1,Skills!D19-IF(Skills!E19=TRUE,Inputs!$B$32,0)))*(1-IF(AND(ArtifactsInput!$M$27,Inputs!$B$4="Chapter Hunt"),CHOOSE(ArtifactsInput!$N$27+1,20,24,28,32,36,40),0)/100)))+1)),0)</f>
        <v/>
      </c>
      <c r="S1812">
        <f>IFERROR(O1812/N1812,0)</f>
        <v/>
      </c>
      <c r="T1812" t="n">
        <v>0</v>
      </c>
      <c r="V1812" t="n">
        <v>0</v>
      </c>
    </row>
    <row r="1813">
      <c r="A1813">
        <f>Skills!A20</f>
        <v/>
      </c>
      <c r="B1813">
        <f>Skills!B20</f>
        <v/>
      </c>
      <c r="C1813">
        <f>Inputs!$B$3&gt;=33</f>
        <v/>
      </c>
      <c r="D1813">
        <f>IF(Skills!C20=1,60+Inputs!$B$25+Inputs!$B$29,IF(Skills!C20=2,90+Inputs!$B$26+Inputs!$B$29,IF(Skills!C20=3,120+Inputs!$B$27+Inputs!$B$29,MAX(0,(Inputs!$B$3-100)*3)+Inputs!$B$28+Inputs!$B$29)))</f>
        <v/>
      </c>
      <c r="E1813">
        <f>INDEX(FactorTable!$B$2:$Y$301, MATCH(ROUND(MIN(300,MAX(1,D1813)),0), FactorTable!$A$2:$A$301,0), Skills!M20+1)</f>
        <v/>
      </c>
      <c r="F1813">
        <f>IF(Skills!N20=TRUE,(Skills!L20/10)*(E1813/1000),Skills!L20/10)+Skills!O20</f>
        <v/>
      </c>
      <c r="G1813">
        <f>Skills!G20*IF(Skills!H20&gt;0,Skills!I20/Skills!H20,1)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Inputs!$B$3&gt;=38</f>
        <v/>
      </c>
      <c r="D1814">
        <f>IF(Skills!C21=1,60+Inputs!$B$25+Inputs!$B$29,IF(Skills!C21=2,90+Inputs!$B$26+Inputs!$B$29,IF(Skills!C21=3,120+Inputs!$B$27+Inputs!$B$29,MAX(0,(Inputs!$B$3-100)*3)+Inputs!$B$28+Inputs!$B$29)))</f>
        <v/>
      </c>
      <c r="E1814">
        <f>INDEX(FactorTable!$B$2:$Y$301, MATCH(ROUND(MIN(300,MAX(1,D1814)),0), FactorTable!$A$2:$A$301,0), Skills!M21+1)</f>
        <v/>
      </c>
      <c r="F1814">
        <f>IF(Skills!N21=TRUE,(Skills!L21/10)*(E1814/1000),Skills!L21/10)+Skills!O21</f>
        <v/>
      </c>
      <c r="G1814">
        <f>Skills!G21*IF(Skills!H21&gt;0,Skills!I21/Skills!H21,1)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t="n">
        <v>0</v>
      </c>
      <c r="R1814" t="n">
        <v>0</v>
      </c>
      <c r="S1814">
        <f>IFERROR(O1814/N1814,0)</f>
        <v/>
      </c>
      <c r="T1814" t="n">
        <v>0</v>
      </c>
      <c r="V1814" t="n">
        <v>0</v>
      </c>
    </row>
    <row r="1815">
      <c r="A1815">
        <f>Skills!A22</f>
        <v/>
      </c>
      <c r="B1815">
        <f>Skills!B22</f>
        <v/>
      </c>
      <c r="C1815">
        <f>Inputs!$B$3&gt;=43</f>
        <v/>
      </c>
      <c r="D1815">
        <f>IF(Skills!C22=1,60+Inputs!$B$25+Inputs!$B$29,IF(Skills!C22=2,90+Inputs!$B$26+Inputs!$B$29,IF(Skills!C22=3,120+Inputs!$B$27+Inputs!$B$29,MAX(0,(Inputs!$B$3-100)*3)+Inputs!$B$28+Inputs!$B$29)))</f>
        <v/>
      </c>
      <c r="E1815">
        <f>INDEX(FactorTable!$B$2:$Y$301, MATCH(ROUND(MIN(300,MAX(1,D1815)),0), FactorTable!$A$2:$A$301,0), Skills!M22+1)</f>
        <v/>
      </c>
      <c r="F1815">
        <f>IF(Skills!N22=TRUE,(Skills!L22/10)*(E1815/1000),Skills!L22/10)+Skills!O22</f>
        <v/>
      </c>
      <c r="G1815">
        <f>Skills!G22*IF(Skills!H22&gt;0,Skills!I22/Skills!H22,1)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Inputs!$B$3&gt;=120</f>
        <v/>
      </c>
      <c r="D1816">
        <f>IF(Skills!C23=1,60+Inputs!$B$25+Inputs!$B$29,IF(Skills!C23=2,90+Inputs!$B$26+Inputs!$B$29,IF(Skills!C23=3,120+Inputs!$B$27+Inputs!$B$29,MAX(0,(Inputs!$B$3-100)*3)+Inputs!$B$28+Inputs!$B$29)))</f>
        <v/>
      </c>
      <c r="E1816">
        <f>INDEX(FactorTable!$B$2:$Y$301, MATCH(ROUND(MIN(300,MAX(1,D1816)),0), FactorTable!$A$2:$A$301,0), Skills!M23+1)</f>
        <v/>
      </c>
      <c r="F1816">
        <f>IF(Skills!N23=TRUE,(Skills!L23/10)*(E1816/1000),Skills!L23/10)+Skills!O23</f>
        <v/>
      </c>
      <c r="G1816">
        <f>Skills!G23*IF(Skills!H23&gt;0,Skills!I23/Skills!H23,1)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Inputs!$B$3&gt;=120</f>
        <v/>
      </c>
      <c r="D1817">
        <f>IF(Skills!C24=1,60+Inputs!$B$25+Inputs!$B$29,IF(Skills!C24=2,90+Inputs!$B$26+Inputs!$B$29,IF(Skills!C24=3,120+Inputs!$B$27+Inputs!$B$29,MAX(0,(Inputs!$B$3-100)*3)+Inputs!$B$28+Inputs!$B$29)))</f>
        <v/>
      </c>
      <c r="E1817">
        <f>INDEX(FactorTable!$B$2:$Y$301, MATCH(ROUND(MIN(300,MAX(1,D1817)),0), FactorTable!$A$2:$A$301,0), Skills!M24+1)</f>
        <v/>
      </c>
      <c r="F1817">
        <f>IF(Skills!N24=TRUE,(Skills!L24/10)*(E1817/1000),Skills!L24/10)+Skills!O24</f>
        <v/>
      </c>
      <c r="G1817">
        <f>Skills!G24*IF(Skills!H24&gt;0,Skills!I24/Skills!H24,1)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Inputs!$B$3&gt;=125</f>
        <v/>
      </c>
      <c r="D1818">
        <f>IF(Skills!C25=1,60+Inputs!$B$25+Inputs!$B$29,IF(Skills!C25=2,90+Inputs!$B$26+Inputs!$B$29,IF(Skills!C25=3,120+Inputs!$B$27+Inputs!$B$29,MAX(0,(Inputs!$B$3-100)*3)+Inputs!$B$28+Inputs!$B$29)))</f>
        <v/>
      </c>
      <c r="E1818">
        <f>INDEX(FactorTable!$B$2:$Y$301, MATCH(ROUND(MIN(300,MAX(1,D1818)),0), FactorTable!$A$2:$A$301,0), Skills!M25+1)</f>
        <v/>
      </c>
      <c r="F1818">
        <f>IF(Skills!N25=TRUE,(Skills!L25/10)*(E1818/1000),Skills!L25/10)+Skills!O25</f>
        <v/>
      </c>
      <c r="G1818">
        <f>Skills!G25*IF(Skills!H25&gt;0,Skills!I25/Skills!H25,1)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Inputs!$B$3&gt;=72</f>
        <v/>
      </c>
      <c r="D1819">
        <f>IF(Skills!C26=1,60+Inputs!$B$25+Inputs!$B$29,IF(Skills!C26=2,90+Inputs!$B$26+Inputs!$B$29,IF(Skills!C26=3,120+Inputs!$B$27+Inputs!$B$29,MAX(0,(Inputs!$B$3-100)*3)+Inputs!$B$28+Inputs!$B$29)))</f>
        <v/>
      </c>
      <c r="E1819">
        <f>INDEX(FactorTable!$B$2:$Y$301, MATCH(ROUND(MIN(300,MAX(1,D1819)),0), FactorTable!$A$2:$A$301,0), Skills!M26+1)</f>
        <v/>
      </c>
      <c r="F1819">
        <f>IF(Skills!N26=TRUE,(Skills!L26/10)*(E1819/1000),Skills!L26/10)+Skills!O26</f>
        <v/>
      </c>
      <c r="G1819">
        <f>Skills!G26*IF(Skills!H26&gt;0,Skills!I26/Skills!H26,1)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1812=TRUE)*F1812*IF(AND(Inputs!$B$38&lt;&gt;"pvp",Inputs!$B$43&gt;0),(((R1812-1)*(Skills!T19*(1+(Inputs!$B$34+(ArtifactsInput!$M$7-ArtifactsInput!$M$7)*CHOOSE(ArtifactsInput!$N$7+1,6,7.2,8.4,9.6,10.8,12))/100))+MIN((Skills!T19*(1+(Inputs!$B$34+(ArtifactsInput!$M$7-ArtifactsInput!$M$7)*CHOOSE(ArtifactsInput!$N$7+1,6,7.2,8.4,9.6,10.8,12))/100)),MAX(0,Inputs!$B$43-((R1812-1)*Skills!D19))))/Inputs!$B$43),IF(Inputs!$B$38="pvp",MIN((Skills!T19*(1+(Inputs!$B$34+(ArtifactsInput!$M$7-ArtifactsInput!$M$7)*CHOOSE(ArtifactsInput!$N$7+1,6,7.2,8.4,9.6,10.8,12))/100)),15)/15,(Skills!T19*(1+(Inputs!$B$34+(ArtifactsInput!$M$7-ArtifactsInput!$M$7)*CHOOSE(ArtifactsInput!$N$7+1,6,7.2,8.4,9.6,10.8,12))/100))/Skills!D19)))</f>
        <v/>
      </c>
    </row>
    <row r="1824">
      <c r="A1824" t="inlineStr">
        <is>
          <t>Actions Per Second</t>
        </is>
      </c>
      <c r="B1824">
        <f>1+MIN(150,150*(1-(1-(Inputs!$B$11+((C1813=TRUE)*(F1813-Calc!F20)))/150)*(1-B1823/150)))/100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Raging Blow Casts Per Second</t>
        </is>
      </c>
      <c r="B1826">
        <f>MAX(0,B1824-B1825)</f>
        <v/>
      </c>
    </row>
    <row r="1827">
      <c r="A1827" t="inlineStr">
        <is>
          <t>Global Critical Damage Bonus % (Enrage)</t>
        </is>
      </c>
      <c r="B1827">
        <f>((C1811=TRUE)*F1811*IF(AND(Inputs!$B$38&lt;&gt;"pvp",Inputs!$B$43&gt;0),(((R1811-1)*(Skills!T18*(1+(Inputs!$B$34+(ArtifactsInput!$M$7-ArtifactsInput!$M$7)*CHOOSE(ArtifactsInput!$N$7+1,6,7.2,8.4,9.6,10.8,12))/100))+MIN((Skills!T18*(1+(Inputs!$B$34+(ArtifactsInput!$M$7-ArtifactsInput!$M$7)*CHOOSE(ArtifactsInput!$N$7+1,6,7.2,8.4,9.6,10.8,12))/100)),MAX(0,Inputs!$B$43-((R1811-1)*Skills!D18))))/Inputs!$B$43),IF(Inputs!$B$38="pvp",MIN((Skills!T18*(1+(Inputs!$B$34+(ArtifactsInput!$M$7-ArtifactsInput!$M$7)*CHOOSE(ArtifactsInput!$N$7+1,6,7.2,8.4,9.6,10.8,12))/100)),15)/15,(Skills!T18*(1+(Inputs!$B$34+(ArtifactsInput!$M$7-ArtifactsInput!$M$7)*CHOOSE(ArtifactsInput!$N$7+1,6,7.2,8.4,9.6,10.8,12))/100))/Skills!D18)))</f>
        <v/>
      </c>
    </row>
    <row r="1828">
      <c r="A1828" t="inlineStr">
        <is>
          <t>Global Final Damage Bonus % (Enrage + Combo Synergy)</t>
        </is>
      </c>
      <c r="B1828">
        <f>((C1810=TRUE)*F1810*IF(AND(Inputs!$B$38&lt;&gt;"pvp",Inputs!$B$43&gt;0),(((R1810-1)*(Skills!T17*(1+(Inputs!$B$34+(ArtifactsInput!$M$7-ArtifactsInput!$M$7)*CHOOSE(ArtifactsInput!$N$7+1,6,7.2,8.4,9.6,10.8,12))/100))+MIN((Skills!T17*(1+(Inputs!$B$34+(ArtifactsInput!$M$7-ArtifactsInput!$M$7)*CHOOSE(ArtifactsInput!$N$7+1,6,7.2,8.4,9.6,10.8,12))/100)),MAX(0,Inputs!$B$43-((R1810-1)*Skills!D17))))/Inputs!$B$43),IF(Inputs!$B$38="pvp",MIN((Skills!T17*(1+(Inputs!$B$34+(ArtifactsInput!$M$7-ArtifactsInput!$M$7)*CHOOSE(ArtifactsInput!$N$7+1,6,7.2,8.4,9.6,10.8,12))/100)),15)/15,(Skills!T17*(1+(Inputs!$B$34+(ArtifactsInput!$M$7-ArtifactsInput!$M$7)*CHOOSE(ArtifactsInput!$N$7+1,6,7.2,8.4,9.6,10.8,12))/100))/Skills!D17)))+((C1807=TRUE)*F1807*IF(Inputs!$B$3&gt;=110,7,5))</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1837)</f>
        <v/>
      </c>
      <c r="L1837">
        <f>K1837*(MIN(Inputs!$B$22+((C1857=TRUE)*(F1857-Calc!F22)),(Inputs!$B$23+((C1859=TRUE)*(F1859-Calc!F24))+(IF(ArtifactsInput!$M$15,CHOOSE(ArtifactsInput!$N$15+1,25,30,35,40,45,50)/100*(Inputs!$B$11-Inputs!$B$11),0))))/100+(Inputs!$B$23+((C1859=TRUE)*(F1859-Calc!F24))+(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INDEX(FactorTable!$B$2:$Y$301, MATCH(ROUND(MIN(300,MAX(1,D1838)),0),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INDEX(FactorTable!$B$2:$Y$301, MATCH(ROUND(MIN(300,MAX(1,U1837)),0), FactorTable!$A$2:$A$301,0), 22)</f>
        <v/>
      </c>
    </row>
    <row r="1839">
      <c r="A1839">
        <f>Skills!A4</f>
        <v/>
      </c>
      <c r="B1839">
        <f>Skills!B4</f>
        <v/>
      </c>
      <c r="C1839">
        <f>Inputs!$B$3&gt;=105</f>
        <v/>
      </c>
      <c r="D1839">
        <f>IF(Skills!C4=1,60+Inputs!$B$25+Inputs!$B$29,IF(Skills!C4=2,90+Inputs!$B$26+Inputs!$B$29,IF(Skills!C4=3,120+Inputs!$B$27+Inputs!$B$29,MAX(0,(Inputs!$B$3-100)*3)+Inputs!$B$28+Inputs!$B$29)))</f>
        <v/>
      </c>
      <c r="E1839">
        <f>INDEX(FactorTable!$B$2:$Y$301, MATCH(ROUND(MIN(300,MAX(1,D1839)),0), FactorTable!$A$2:$A$301,0), Skills!M4+1)</f>
        <v/>
      </c>
      <c r="F1839">
        <f>IF(Skills!N4=TRUE,(Skills!L4/10)*(E1839/1000),Skills!L4/10)+Skills!O4</f>
        <v/>
      </c>
      <c r="G1839" t="inlineStr"/>
      <c r="H1839" t="inlineStr"/>
      <c r="I1839" t="inlineStr">
        <is>
          <t>1</t>
        </is>
      </c>
      <c r="J1839" t="inlineStr"/>
      <c r="K1839" t="inlineStr"/>
      <c r="L1839" t="inlineStr"/>
      <c r="M1839" t="inlineStr"/>
      <c r="N1839" t="inlineStr"/>
      <c r="O1839" t="inlineStr"/>
      <c r="P1839" t="inlineStr"/>
      <c r="Q1839" t="inlineStr"/>
      <c r="R1839" t="inlineStr"/>
      <c r="S1839" t="inlineStr"/>
      <c r="U1839">
        <f>290*U1838/1000</f>
        <v/>
      </c>
    </row>
    <row r="1840">
      <c r="A1840">
        <f>Skills!A5</f>
        <v/>
      </c>
      <c r="B1840">
        <f>Skills!B5</f>
        <v/>
      </c>
      <c r="C1840">
        <f>Inputs!$B$3&gt;=103</f>
        <v/>
      </c>
      <c r="D1840">
        <f>IF(Skills!C5=1,60+Inputs!$B$25+Inputs!$B$29,IF(Skills!C5=2,90+Inputs!$B$26+Inputs!$B$29,IF(Skills!C5=3,120+Inputs!$B$27+Inputs!$B$29,MAX(0,(Inputs!$B$3-100)*3)+Inputs!$B$28+Inputs!$B$29)))</f>
        <v/>
      </c>
      <c r="E1840">
        <f>INDEX(FactorTable!$B$2:$Y$301, MATCH(ROUND(MIN(300,MAX(1,D1840)),0), FactorTable!$A$2:$A$301,0), Skills!M5+1)</f>
        <v/>
      </c>
      <c r="F1840">
        <f>IF(Skills!N5=TRUE,(Skills!L5/10)*(E1840/1000),Skills!L5/10)+Skills!O5</f>
        <v/>
      </c>
      <c r="G1840">
        <f>Skills!G5*IF(Skills!H5&gt;0,Skills!I5/Skills!H5,1)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1840)</f>
        <v/>
      </c>
      <c r="L1840">
        <f>K1840*(MIN(Inputs!$B$22+((C1857=TRUE)*(F1857-Calc!F22)),(Inputs!$B$23+((C1859=TRUE)*(F1859-Calc!F24))+(IF(ArtifactsInput!$M$15,CHOOSE(ArtifactsInput!$N$15+1,25,30,35,40,45,50)/100*(Inputs!$B$11-Inputs!$B$11),0))))/100+(Inputs!$B$23+((C1859=TRUE)*(F1859-Calc!F24))+(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IFERROR(1/(IF(Inputs!$B$38="pvp",15,MAX(0.1,Skills!D5-IF(Skills!E5=TRUE,Inputs!$B$32,0)))*(1-IF(AND(ArtifactsInput!$M$27,Inputs!$B$4="Chapter Hunt"),CHOOSE(ArtifactsInput!$N$27+1,20,24,28,32,36,40),0)/100)),0)</f>
        <v/>
      </c>
      <c r="R1840">
        <f>IF(AND(Inputs!$B$38&lt;&gt;"pvp",Inputs!$B$43&gt;0),IF(MAX(0,Inputs!$B$43-B1871)&lt;=0,0,(INT(MAX(0,Inputs!$B$43-B1871)/(IF(Inputs!$B$38="pvp",15,MAX(0.1,Skills!D5-IF(Skills!E5=TRUE,Inputs!$B$32,0)))*(1-IF(AND(ArtifactsInput!$M$27,Inputs!$B$4="Chapter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INDEX(FactorTable!$B$2:$Y$301, MATCH(ROUND(MIN(300,MAX(1,D1841)),0), FactorTable!$A$2:$A$301,0), Skills!M6+1)</f>
        <v/>
      </c>
      <c r="F1841">
        <f>IF(Skills!N6=TRUE,(Skills!L6/10)*(E1841/1000),Skills!L6/10)+Skills!O6</f>
        <v/>
      </c>
      <c r="G1841">
        <f>Skills!G6*IF(Skills!H6&gt;0,Skills!I6/Skills!H6,1)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1841)</f>
        <v/>
      </c>
      <c r="L1841">
        <f>K1841*(MIN(Inputs!$B$22+((C1857=TRUE)*(F1857-Calc!F22)),(Inputs!$B$23+((C1859=TRUE)*(F1859-Calc!F24))+(IF(ArtifactsInput!$M$15,CHOOSE(ArtifactsInput!$N$15+1,25,30,35,40,45,50)/100*(Inputs!$B$11-Inputs!$B$11),0))))/100+(Inputs!$B$23+((C1859=TRUE)*(F1859-Calc!F24))+(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IFERROR(1/(IF(Inputs!$B$38="pvp",15,MAX(0.1,Skills!D6-IF(Skills!E6=TRUE,Inputs!$B$32,0)))*(1-IF(AND(ArtifactsInput!$M$27,Inputs!$B$4="Chapter Hunt"),CHOOSE(ArtifactsInput!$N$27+1,20,24,28,32,36,40),0)/100)),0)</f>
        <v/>
      </c>
      <c r="R1841">
        <f>IF(AND(Inputs!$B$38&lt;&gt;"pvp",Inputs!$B$43&gt;0),IF(MAX(0,Inputs!$B$43-B1871)&lt;=0,0,(INT(MAX(0,Inputs!$B$43-B1871)/(IF(Inputs!$B$38="pvp",15,MAX(0.1,Skills!D6-IF(Skills!E6=TRUE,Inputs!$B$32,0)))*(1-IF(AND(ArtifactsInput!$M$27,Inputs!$B$4="Chapter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INDEX(FactorTable!$B$2:$Y$301, MATCH(ROUND(MIN(300,MAX(1,D1842)),0), FactorTable!$A$2:$A$301,0), Skills!M7+1)</f>
        <v/>
      </c>
      <c r="F1842">
        <f>IF(Skills!N7=TRUE,(Skills!L7/10)*(E1842/1000),Skills!L7/10)+Skills!O7</f>
        <v/>
      </c>
      <c r="G1842">
        <f>Skills!G7*IF(Skills!H7&gt;0,Skills!I7/Skills!H7,1)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1842)</f>
        <v/>
      </c>
      <c r="L1842">
        <f>K1842*(MIN(Inputs!$B$22+((C1857=TRUE)*(F1857-Calc!F22)),(Inputs!$B$23+((C1859=TRUE)*(F1859-Calc!F24))+(IF(ArtifactsInput!$M$15,CHOOSE(ArtifactsInput!$N$15+1,25,30,35,40,45,50)/100*(Inputs!$B$11-Inputs!$B$11),0))))/100+(Inputs!$B$23+((C1859=TRUE)*(F1859-Calc!F24))+(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IFERROR(1/(IF(Inputs!$B$38="pvp",15,MAX(0.1,Skills!D7-IF(Skills!E7=TRUE,Inputs!$B$32,0)))*(1-IF(AND(ArtifactsInput!$M$27,Inputs!$B$4="Chapter Hunt"),CHOOSE(ArtifactsInput!$N$27+1,20,24,28,32,36,40),0)/100)),0)</f>
        <v/>
      </c>
      <c r="R1842">
        <f>IF(AND(Inputs!$B$38&lt;&gt;"pvp",Inputs!$B$43&gt;0),IF(MAX(0,Inputs!$B$43-B1871)&lt;=0,0,(INT(MAX(0,Inputs!$B$43-B1871)/(IF(Inputs!$B$38="pvp",15,MAX(0.1,Skills!D7-IF(Skills!E7=TRUE,Inputs!$B$32,0)))*(1-IF(AND(ArtifactsInput!$M$27,Inputs!$B$4="Chapter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Inputs!$B$3&gt;=117</f>
        <v/>
      </c>
      <c r="D1843">
        <f>IF(Skills!C8=1,60+Inputs!$B$25+Inputs!$B$29,IF(Skills!C8=2,90+Inputs!$B$26+Inputs!$B$29,IF(Skills!C8=3,120+Inputs!$B$27+Inputs!$B$29,MAX(0,(Inputs!$B$3-100)*3)+Inputs!$B$28+Inputs!$B$29)))</f>
        <v/>
      </c>
      <c r="E1843">
        <f>INDEX(FactorTable!$B$2:$Y$301, MATCH(ROUND(MIN(300,MAX(1,D1843)),0), FactorTable!$A$2:$A$301,0), Skills!M8+1)</f>
        <v/>
      </c>
      <c r="F1843">
        <f>IF(Skills!N8=TRUE,(Skills!L8/10)*(E1843/1000),Skills!L8/10)+Skills!O8</f>
        <v/>
      </c>
      <c r="G1843">
        <f>Skills!G8*IF(Skills!H8&gt;0,Skills!I8/Skills!H8,1)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1843)</f>
        <v/>
      </c>
      <c r="L1843">
        <f>K1843*(MIN(Inputs!$B$22+((C1857=TRUE)*(F1857-Calc!F22)),(Inputs!$B$23+((C1859=TRUE)*(F1859-Calc!F24))+(IF(ArtifactsInput!$M$15,CHOOSE(ArtifactsInput!$N$15+1,25,30,35,40,45,50)/100*(Inputs!$B$11-Inputs!$B$11),0))))/100+(Inputs!$B$23+((C1859=TRUE)*(F1859-Calc!F24))+(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IFERROR(1/(IF(Inputs!$B$38="pvp",15,MAX(0.1,Skills!D8-IF(Skills!E8=TRUE,Inputs!$B$32,0)))*(1-IF(AND(ArtifactsInput!$M$27,Inputs!$B$4="Chapter Hunt"),CHOOSE(ArtifactsInput!$N$27+1,20,24,28,32,36,40),0)/100)),0)</f>
        <v/>
      </c>
      <c r="R1843">
        <f>IF(AND(Inputs!$B$38&lt;&gt;"pvp",Inputs!$B$43&gt;0),IF(MAX(0,Inputs!$B$43-B1871)&lt;=0,0,(INT(MAX(0,Inputs!$B$43-B1871)/(IF(Inputs!$B$38="pvp",15,MAX(0.1,Skills!D8-IF(Skills!E8=TRUE,Inputs!$B$32,0)))*(1-IF(AND(ArtifactsInput!$M$27,Inputs!$B$4="Chapter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Inputs!$B$3&gt;=69</f>
        <v/>
      </c>
      <c r="D1844">
        <f>IF(Skills!C9=1,60+Inputs!$B$25+Inputs!$B$29,IF(Skills!C9=2,90+Inputs!$B$26+Inputs!$B$29,IF(Skills!C9=3,120+Inputs!$B$27+Inputs!$B$29,MAX(0,(Inputs!$B$3-100)*3)+Inputs!$B$28+Inputs!$B$29)))</f>
        <v/>
      </c>
      <c r="E1844">
        <f>INDEX(FactorTable!$B$2:$Y$301, MATCH(ROUND(MIN(300,MAX(1,D1844)),0), FactorTable!$A$2:$A$301,0), Skills!M9+1)</f>
        <v/>
      </c>
      <c r="F1844">
        <f>IF(Skills!N9=TRUE,(Skills!L9/10)*(E1844/1000),Skills!L9/10)+Skills!O9</f>
        <v/>
      </c>
      <c r="G1844">
        <f>Skills!G9*IF(Skills!H9&gt;0,Skills!I9/Skills!H9,1)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9="ENHANCED_RAGING_BLOW",IF(Inputs!$B$3&gt;=134,MAX(0,IF(Inputs!$B$3&gt;=110,7,5)-5)*50,0),0)/100)*(1+(IF(Skills!A9="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1844)</f>
        <v/>
      </c>
      <c r="L1844">
        <f>K1844*(MIN(Inputs!$B$22+((C1857=TRUE)*(F1857-Calc!F22)),(Inputs!$B$23+((C1859=TRUE)*(F1859-Calc!F24))+(IF(ArtifactsInput!$M$15,CHOOSE(ArtifactsInput!$N$15+1,25,30,35,40,45,50)/100*(Inputs!$B$11-Inputs!$B$11),0))))/100+(Inputs!$B$23+((C1859=TRUE)*(F1859-Calc!F24))+(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IFERROR(1/(IF(Inputs!$B$38="pvp",15,MAX(0.1,Skills!D9-IF(Skills!E9=TRUE,Inputs!$B$32,0)))*(1-IF(AND(ArtifactsInput!$M$27,Inputs!$B$4="Chapter Hunt"),CHOOSE(ArtifactsInput!$N$27+1,20,24,28,32,36,40),0)/100)),0)</f>
        <v/>
      </c>
      <c r="R1844">
        <f>IF(AND(Inputs!$B$38&lt;&gt;"pvp",Inputs!$B$43&gt;0),IF(MAX(0,Inputs!$B$43-B1871)&lt;=0,0,(INT(MAX(0,Inputs!$B$43-B1871)/(IF(Inputs!$B$38="pvp",15,MAX(0.1,Skills!D9-IF(Skills!E9=TRUE,Inputs!$B$32,0)))*(1-IF(AND(ArtifactsInput!$M$27,Inputs!$B$4="Chapter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Inputs!$B$3&gt;=63</f>
        <v/>
      </c>
      <c r="D1845">
        <f>IF(Skills!C10=1,60+Inputs!$B$25+Inputs!$B$29,IF(Skills!C10=2,90+Inputs!$B$26+Inputs!$B$29,IF(Skills!C10=3,120+Inputs!$B$27+Inputs!$B$29,MAX(0,(Inputs!$B$3-100)*3)+Inputs!$B$28+Inputs!$B$29)))</f>
        <v/>
      </c>
      <c r="E1845">
        <f>INDEX(FactorTable!$B$2:$Y$301, MATCH(ROUND(MIN(300,MAX(1,D1845)),0), FactorTable!$A$2:$A$301,0), Skills!M10+1)</f>
        <v/>
      </c>
      <c r="F1845">
        <f>IF(Skills!N10=TRUE,(Skills!L10/10)*(E1845/1000),Skills!L10/10)+Skills!O10</f>
        <v/>
      </c>
      <c r="G1845">
        <f>Skills!G10*IF(Skills!H10&gt;0,Skills!I10/Skills!H10,1)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10="ENHANCED_RAGING_BLOW",IF(Inputs!$B$3&gt;=134,MAX(0,IF(Inputs!$B$3&gt;=110,7,5)-5)*50,0),0)/100)*(1+(IF(Skills!A10="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1845)</f>
        <v/>
      </c>
      <c r="L1845">
        <f>K1845*(MIN(Inputs!$B$22+((C1857=TRUE)*(F1857-Calc!F22)),(Inputs!$B$23+((C1859=TRUE)*(F1859-Calc!F24))+(IF(ArtifactsInput!$M$15,CHOOSE(ArtifactsInput!$N$15+1,25,30,35,40,45,50)/100*(Inputs!$B$11-Inputs!$B$11),0))))/100+(Inputs!$B$23+((C1859=TRUE)*(F1859-Calc!F24))+(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IFERROR(1/(IF(Inputs!$B$38="pvp",15,MAX(0.1,Skills!D10-IF(Skills!E10=TRUE,Inputs!$B$32,0)))*(1-IF(AND(ArtifactsInput!$M$27,Inputs!$B$4="Chapter Hunt"),CHOOSE(ArtifactsInput!$N$27+1,20,24,28,32,36,40),0)/100)),0)</f>
        <v/>
      </c>
      <c r="R1845">
        <f>IF(AND(Inputs!$B$38&lt;&gt;"pvp",Inputs!$B$43&gt;0),IF(MAX(0,Inputs!$B$43-B1871)&lt;=0,0,(INT(MAX(0,Inputs!$B$43-B1871)/(IF(Inputs!$B$38="pvp",15,MAX(0.1,Skills!D10-IF(Skills!E10=TRUE,Inputs!$B$32,0)))*(1-IF(AND(ArtifactsInput!$M$27,Inputs!$B$4="Chapter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Inputs!$B$3&gt;=35</f>
        <v/>
      </c>
      <c r="D1846">
        <f>IF(Skills!C11=1,60+Inputs!$B$25+Inputs!$B$29,IF(Skills!C11=2,90+Inputs!$B$26+Inputs!$B$29,IF(Skills!C11=3,120+Inputs!$B$27+Inputs!$B$29,MAX(0,(Inputs!$B$3-100)*3)+Inputs!$B$28+Inputs!$B$29)))</f>
        <v/>
      </c>
      <c r="E1846">
        <f>INDEX(FactorTable!$B$2:$Y$301, MATCH(ROUND(MIN(300,MAX(1,D1846)),0), FactorTable!$A$2:$A$301,0), Skills!M11+1)</f>
        <v/>
      </c>
      <c r="F1846">
        <f>IF(Skills!N11=TRUE,(Skills!L11/10)*(E1846/1000),Skills!L11/10)+Skills!O11</f>
        <v/>
      </c>
      <c r="G1846">
        <f>Skills!G11*IF(Skills!H11&gt;0,Skills!I11/Skills!H11,1)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11="ENHANCED_RAGING_BLOW",IF(Inputs!$B$3&gt;=134,MAX(0,IF(Inputs!$B$3&gt;=110,7,5)-5)*50,0),0)/100)*(1+(IF(Skills!A11="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1846)</f>
        <v/>
      </c>
      <c r="L1846">
        <f>K1846*(MIN(Inputs!$B$22+((C1857=TRUE)*(F1857-Calc!F22)),(Inputs!$B$23+((C1859=TRUE)*(F1859-Calc!F24))+(IF(ArtifactsInput!$M$15,CHOOSE(ArtifactsInput!$N$15+1,25,30,35,40,45,50)/100*(Inputs!$B$11-Inputs!$B$11),0))))/100+(Inputs!$B$23+((C1859=TRUE)*(F1859-Calc!F24))+(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IFERROR(1/(IF(Inputs!$B$38="pvp",15,MAX(0.1,Skills!D11-IF(Skills!E11=TRUE,Inputs!$B$32,0)))*(1-IF(AND(ArtifactsInput!$M$27,Inputs!$B$4="Chapter Hunt"),CHOOSE(ArtifactsInput!$N$27+1,20,24,28,32,36,40),0)/100)),0)</f>
        <v/>
      </c>
      <c r="R1846">
        <f>IF(AND(Inputs!$B$38&lt;&gt;"pvp",Inputs!$B$43&gt;0),IF(MAX(0,Inputs!$B$43-B1871)&lt;=0,0,(INT(MAX(0,Inputs!$B$43-B1871)/(IF(Inputs!$B$38="pvp",15,MAX(0.1,Skills!D11-IF(Skills!E11=TRUE,Inputs!$B$32,0)))*(1-IF(AND(ArtifactsInput!$M$27,Inputs!$B$4="Chapter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INDEX(FactorTable!$B$2:$Y$301, MATCH(ROUND(MIN(300,MAX(1,D1847)),0),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INDEX(FactorTable!$B$2:$Y$301, MATCH(ROUND(MIN(300,MAX(1,D1848)),0), FactorTable!$A$2:$A$301,0), Skills!M13+1)</f>
        <v/>
      </c>
      <c r="F1848">
        <f>IF(Skills!N13=TRUE,(Skills!L13/10)*(E1848/1000),Skills!L13/10)+Skills!O13</f>
        <v/>
      </c>
      <c r="G1848">
        <f>Skills!G13*IF(Skills!H13&gt;0,Skills!I13/Skills!H13,1)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Inputs!$B$3&gt;=75</f>
        <v/>
      </c>
      <c r="D1849">
        <f>IF(Skills!C14=1,60+Inputs!$B$25+Inputs!$B$29,IF(Skills!C14=2,90+Inputs!$B$26+Inputs!$B$29,IF(Skills!C14=3,120+Inputs!$B$27+Inputs!$B$29,MAX(0,(Inputs!$B$3-100)*3)+Inputs!$B$28+Inputs!$B$29)))</f>
        <v/>
      </c>
      <c r="E1849">
        <f>INDEX(FactorTable!$B$2:$Y$301, MATCH(ROUND(MIN(300,MAX(1,D1849)),0), FactorTable!$A$2:$A$301,0), Skills!M14+1)</f>
        <v/>
      </c>
      <c r="F1849">
        <f>IF(Skills!N14=TRUE,(Skills!L14/10)*(E1849/1000),Skills!L14/10)+Skills!O14</f>
        <v/>
      </c>
      <c r="G1849">
        <f>Skills!G14*IF(Skills!H14&gt;0,Skills!I14/Skills!H14,1)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Inputs!$B$3&gt;=40</f>
        <v/>
      </c>
      <c r="D1850">
        <f>IF(Skills!C15=1,60+Inputs!$B$25+Inputs!$B$29,IF(Skills!C15=2,90+Inputs!$B$26+Inputs!$B$29,IF(Skills!C15=3,120+Inputs!$B$27+Inputs!$B$29,MAX(0,(Inputs!$B$3-100)*3)+Inputs!$B$28+Inputs!$B$29)))</f>
        <v/>
      </c>
      <c r="E1850">
        <f>INDEX(FactorTable!$B$2:$Y$301, MATCH(ROUND(MIN(300,MAX(1,D1850)),0), FactorTable!$A$2:$A$301,0), Skills!M15+1)</f>
        <v/>
      </c>
      <c r="F1850">
        <f>IF(Skills!N15=TRUE,(Skills!L15/10)*(E1850/1000),Skills!L15/10)+Skills!O15</f>
        <v/>
      </c>
      <c r="G1850">
        <f>Skills!G15*IF(Skills!H15&gt;0,Skills!I15/Skills!H15,1)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IFERROR(1/(IF(Inputs!$B$38="pvp",15,MAX(0.1,Skills!D15-IF(Skills!E15=TRUE,Inputs!$B$32,0)))*(1-IF(AND(ArtifactsInput!$M$27,Inputs!$B$4="Chapter Hunt"),CHOOSE(ArtifactsInput!$N$27+1,20,24,28,32,36,40),0)/100)),0)</f>
        <v/>
      </c>
      <c r="R1850">
        <f>IF(AND(Inputs!$B$38&lt;&gt;"pvp",Inputs!$B$43&gt;0),IF(Inputs!$B$43&lt;=0,0,(INT(Inputs!$B$43/(IF(Inputs!$B$38="pvp",15,MAX(0.1,Skills!D15-IF(Skills!E15=TRUE,Inputs!$B$32,0)))*(1-IF(AND(ArtifactsInput!$M$27,Inputs!$B$4="Chapter Hunt"),CHOOSE(ArtifactsInput!$N$27+1,20,24,28,32,36,40),0)/100)))+1)),0)</f>
        <v/>
      </c>
      <c r="S1850">
        <f>IFERROR(O1850/N1850,0)</f>
        <v/>
      </c>
      <c r="T1850" t="n">
        <v>0</v>
      </c>
      <c r="V1850" t="n">
        <v>0</v>
      </c>
    </row>
    <row r="1851">
      <c r="A1851">
        <f>Skills!A16</f>
        <v/>
      </c>
      <c r="B1851">
        <f>Skills!B16</f>
        <v/>
      </c>
      <c r="C1851">
        <f>Inputs!$B$3&gt;=66</f>
        <v/>
      </c>
      <c r="D1851">
        <f>IF(Skills!C16=1,60+Inputs!$B$25+Inputs!$B$29,IF(Skills!C16=2,90+Inputs!$B$26+Inputs!$B$29,IF(Skills!C16=3,120+Inputs!$B$27+Inputs!$B$29,MAX(0,(Inputs!$B$3-100)*3)+Inputs!$B$28+Inputs!$B$29)))</f>
        <v/>
      </c>
      <c r="E1851">
        <f>INDEX(FactorTable!$B$2:$Y$301, MATCH(ROUND(MIN(300,MAX(1,D1851)),0), FactorTable!$A$2:$A$301,0), Skills!M16+1)</f>
        <v/>
      </c>
      <c r="F1851">
        <f>IF(Skills!N16=TRUE,(Skills!L16/10)*(E1851/1000),Skills!L16/10)+Skills!O16</f>
        <v/>
      </c>
      <c r="G1851">
        <f>Skills!G16*IF(Skills!H16&gt;0,Skills!I16/Skills!H16,1)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IFERROR(1/(IF(Inputs!$B$38="pvp",15,MAX(0.1,Skills!D16-IF(Skills!E16=TRUE,Inputs!$B$32,0)))*(1-IF(AND(ArtifactsInput!$M$27,Inputs!$B$4="Chapter Hunt"),CHOOSE(ArtifactsInput!$N$27+1,20,24,28,32,36,40),0)/100)),0)</f>
        <v/>
      </c>
      <c r="R1851">
        <f>IF(AND(Inputs!$B$38&lt;&gt;"pvp",Inputs!$B$43&gt;0),IF(Inputs!$B$43&lt;=0,0,(INT(Inputs!$B$43/(IF(Inputs!$B$38="pvp",15,MAX(0.1,Skills!D16-IF(Skills!E16=TRUE,Inputs!$B$32,0)))*(1-IF(AND(ArtifactsInput!$M$27,Inputs!$B$4="Chapter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INDEX(FactorTable!$B$2:$Y$301, MATCH(ROUND(MIN(300,MAX(1,D1852)),0), FactorTable!$A$2:$A$301,0), Skills!M17+1)</f>
        <v/>
      </c>
      <c r="F1852">
        <f>IF(Skills!N17=TRUE,(Skills!L17/10)*(E1852/1000),Skills!L17/10)+Skills!O17</f>
        <v/>
      </c>
      <c r="G1852">
        <f>Skills!G17*IF(Skills!H17&gt;0,Skills!I17/Skills!H17,1)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IFERROR(1/(IF(Inputs!$B$38="pvp",15,MAX(0.1,Skills!D17-IF(Skills!E17=TRUE,Inputs!$B$32,0)))*(1-IF(AND(ArtifactsInput!$M$27,Inputs!$B$4="Chapter Hunt"),CHOOSE(ArtifactsInput!$N$27+1,20,24,28,32,36,40),0)/100)),0)</f>
        <v/>
      </c>
      <c r="R1852">
        <f>IF(AND(Inputs!$B$38&lt;&gt;"pvp",Inputs!$B$43&gt;0),IF(Inputs!$B$43&lt;=0,0,(INT(Inputs!$B$43/(IF(Inputs!$B$38="pvp",15,MAX(0.1,Skills!D17-IF(Skills!E17=TRUE,Inputs!$B$32,0)))*(1-IF(AND(ArtifactsInput!$M$27,Inputs!$B$4="Chapter Hunt"),CHOOSE(ArtifactsInput!$N$27+1,20,24,28,32,36,40),0)/100)))+1)),0)</f>
        <v/>
      </c>
      <c r="S1852">
        <f>IFERROR(O1852/N1852,0)</f>
        <v/>
      </c>
      <c r="T1852" t="n">
        <v>0</v>
      </c>
      <c r="V1852" t="n">
        <v>0</v>
      </c>
    </row>
    <row r="1853">
      <c r="A1853">
        <f>Skills!A18</f>
        <v/>
      </c>
      <c r="B1853">
        <f>Skills!B18</f>
        <v/>
      </c>
      <c r="C1853">
        <f>Inputs!$B$3&gt;=115</f>
        <v/>
      </c>
      <c r="D1853">
        <f>IF(Skills!C18=1,60+Inputs!$B$25+Inputs!$B$29,IF(Skills!C18=2,90+Inputs!$B$26+Inputs!$B$29,IF(Skills!C18=3,120+Inputs!$B$27+Inputs!$B$29,MAX(0,(Inputs!$B$3-100)*3)+Inputs!$B$28+Inputs!$B$29)))</f>
        <v/>
      </c>
      <c r="E1853">
        <f>INDEX(FactorTable!$B$2:$Y$301, MATCH(ROUND(MIN(300,MAX(1,D1853)),0), FactorTable!$A$2:$A$301,0), Skills!M18+1)</f>
        <v/>
      </c>
      <c r="F1853">
        <f>IF(Skills!N18=TRUE,(Skills!L18/10)*(E1853/1000),Skills!L18/10)+Skills!O18</f>
        <v/>
      </c>
      <c r="G1853">
        <f>Skills!G18*IF(Skills!H18&gt;0,Skills!I18/Skills!H18,1)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IFERROR(1/(IF(Inputs!$B$38="pvp",15,MAX(0.1,Skills!D18-IF(Skills!E18=TRUE,Inputs!$B$32,0)))*(1-IF(AND(ArtifactsInput!$M$27,Inputs!$B$4="Chapter Hunt"),CHOOSE(ArtifactsInput!$N$27+1,20,24,28,32,36,40),0)/100)),0)</f>
        <v/>
      </c>
      <c r="R1853">
        <f>IF(AND(Inputs!$B$38&lt;&gt;"pvp",Inputs!$B$43&gt;0),IF(Inputs!$B$43&lt;=0,0,(INT(Inputs!$B$43/(IF(Inputs!$B$38="pvp",15,MAX(0.1,Skills!D18-IF(Skills!E18=TRUE,Inputs!$B$32,0)))*(1-IF(AND(ArtifactsInput!$M$27,Inputs!$B$4="Chapter Hunt"),CHOOSE(ArtifactsInput!$N$27+1,20,24,28,32,36,40),0)/100)))+1)),0)</f>
        <v/>
      </c>
      <c r="S1853">
        <f>IFERROR(O1853/N1853,0)</f>
        <v/>
      </c>
      <c r="T1853" t="n">
        <v>0</v>
      </c>
      <c r="V1853" t="n">
        <v>0</v>
      </c>
    </row>
    <row r="1854">
      <c r="A1854">
        <f>Skills!A19</f>
        <v/>
      </c>
      <c r="B1854">
        <f>Skills!B19</f>
        <v/>
      </c>
      <c r="C1854">
        <f>TRUE</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IFERROR(1/(IF(Inputs!$B$38="pvp",15,MAX(0.1,Skills!D19-IF(Skills!E19=TRUE,Inputs!$B$32,0)))*(1-IF(AND(ArtifactsInput!$M$27,Inputs!$B$4="Chapter Hunt"),CHOOSE(ArtifactsInput!$N$27+1,20,24,28,32,36,40),0)/100)),0)</f>
        <v/>
      </c>
      <c r="R1854">
        <f>IF(AND(Inputs!$B$38&lt;&gt;"pvp",Inputs!$B$43&gt;0),IF(Inputs!$B$43&lt;=0,0,(INT(Inputs!$B$43/(IF(Inputs!$B$38="pvp",15,MAX(0.1,Skills!D19-IF(Skills!E19=TRUE,Inputs!$B$32,0)))*(1-IF(AND(ArtifactsInput!$M$27,Inputs!$B$4="Chapter Hunt"),CHOOSE(ArtifactsInput!$N$27+1,20,24,28,32,36,40),0)/100)))+1)),0)</f>
        <v/>
      </c>
      <c r="S1854">
        <f>IFERROR(O1854/N1854,0)</f>
        <v/>
      </c>
      <c r="T1854" t="n">
        <v>0</v>
      </c>
      <c r="V1854" t="n">
        <v>0</v>
      </c>
    </row>
    <row r="1855">
      <c r="A1855">
        <f>Skills!A20</f>
        <v/>
      </c>
      <c r="B1855">
        <f>Skills!B20</f>
        <v/>
      </c>
      <c r="C1855">
        <f>Inputs!$B$3&gt;=33</f>
        <v/>
      </c>
      <c r="D1855">
        <f>IF(Skills!C20=1,60+Inputs!$B$25+Inputs!$B$29,IF(Skills!C20=2,90+Inputs!$B$26+Inputs!$B$29,IF(Skills!C20=3,120+Inputs!$B$27+Inputs!$B$29,MAX(0,(Inputs!$B$3-100)*3)+Inputs!$B$28+Inputs!$B$29)))</f>
        <v/>
      </c>
      <c r="E1855">
        <f>INDEX(FactorTable!$B$2:$Y$301, MATCH(ROUND(MIN(300,MAX(1,D1855)),0), FactorTable!$A$2:$A$301,0), Skills!M20+1)</f>
        <v/>
      </c>
      <c r="F1855">
        <f>IF(Skills!N20=TRUE,(Skills!L20/10)*(E1855/1000),Skills!L20/10)+Skills!O20</f>
        <v/>
      </c>
      <c r="G1855">
        <f>Skills!G20*IF(Skills!H20&gt;0,Skills!I20/Skills!H20,1)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Inputs!$B$3&gt;=38</f>
        <v/>
      </c>
      <c r="D1856">
        <f>IF(Skills!C21=1,60+Inputs!$B$25+Inputs!$B$29,IF(Skills!C21=2,90+Inputs!$B$26+Inputs!$B$29,IF(Skills!C21=3,120+Inputs!$B$27+Inputs!$B$29,MAX(0,(Inputs!$B$3-100)*3)+Inputs!$B$28+Inputs!$B$29)))</f>
        <v/>
      </c>
      <c r="E1856">
        <f>INDEX(FactorTable!$B$2:$Y$301, MATCH(ROUND(MIN(300,MAX(1,D1856)),0), FactorTable!$A$2:$A$301,0), Skills!M21+1)</f>
        <v/>
      </c>
      <c r="F1856">
        <f>IF(Skills!N21=TRUE,(Skills!L21/10)*(E1856/1000),Skills!L21/10)+Skills!O21</f>
        <v/>
      </c>
      <c r="G1856">
        <f>Skills!G21*IF(Skills!H21&gt;0,Skills!I21/Skills!H21,1)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Skills!A22</f>
        <v/>
      </c>
      <c r="B1857">
        <f>Skills!B22</f>
        <v/>
      </c>
      <c r="C1857">
        <f>Inputs!$B$3&gt;=43</f>
        <v/>
      </c>
      <c r="D1857">
        <f>IF(Skills!C22=1,60+Inputs!$B$25+Inputs!$B$29,IF(Skills!C22=2,90+Inputs!$B$26+Inputs!$B$29,IF(Skills!C22=3,120+Inputs!$B$27+Inputs!$B$29,MAX(0,(Inputs!$B$3-100)*3)+Inputs!$B$28+Inputs!$B$29)))</f>
        <v/>
      </c>
      <c r="E1857">
        <f>INDEX(FactorTable!$B$2:$Y$301, MATCH(ROUND(MIN(300,MAX(1,D1857)),0), FactorTable!$A$2:$A$301,0), Skills!M22+1)</f>
        <v/>
      </c>
      <c r="F1857">
        <f>IF(Skills!N22=TRUE,(Skills!L22/10)*(E1857/1000),Skills!L22/10)+Skills!O22</f>
        <v/>
      </c>
      <c r="G1857">
        <f>Skills!G22*IF(Skills!H22&gt;0,Skills!I22/Skills!H22,1)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Inputs!$B$3&gt;=120</f>
        <v/>
      </c>
      <c r="D1858">
        <f>IF(Skills!C23=1,60+Inputs!$B$25+Inputs!$B$29,IF(Skills!C23=2,90+Inputs!$B$26+Inputs!$B$29,IF(Skills!C23=3,120+Inputs!$B$27+Inputs!$B$29,MAX(0,(Inputs!$B$3-100)*3)+Inputs!$B$28+Inputs!$B$29)))</f>
        <v/>
      </c>
      <c r="E1858">
        <f>INDEX(FactorTable!$B$2:$Y$301, MATCH(ROUND(MIN(300,MAX(1,D1858)),0), FactorTable!$A$2:$A$301,0), Skills!M23+1)</f>
        <v/>
      </c>
      <c r="F1858">
        <f>IF(Skills!N23=TRUE,(Skills!L23/10)*(E1858/1000),Skills!L23/10)+Skills!O23</f>
        <v/>
      </c>
      <c r="G1858">
        <f>Skills!G23*IF(Skills!H23&gt;0,Skills!I23/Skills!H23,1)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Inputs!$B$3&gt;=120</f>
        <v/>
      </c>
      <c r="D1859">
        <f>IF(Skills!C24=1,60+Inputs!$B$25+Inputs!$B$29,IF(Skills!C24=2,90+Inputs!$B$26+Inputs!$B$29,IF(Skills!C24=3,120+Inputs!$B$27+Inputs!$B$29,MAX(0,(Inputs!$B$3-100)*3)+Inputs!$B$28+Inputs!$B$29)))</f>
        <v/>
      </c>
      <c r="E1859">
        <f>INDEX(FactorTable!$B$2:$Y$301, MATCH(ROUND(MIN(300,MAX(1,D1859)),0), FactorTable!$A$2:$A$301,0), Skills!M24+1)</f>
        <v/>
      </c>
      <c r="F1859">
        <f>IF(Skills!N24=TRUE,(Skills!L24/10)*(E1859/1000),Skills!L24/10)+Skills!O24</f>
        <v/>
      </c>
      <c r="G1859">
        <f>Skills!G24*IF(Skills!H24&gt;0,Skills!I24/Skills!H24,1)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Inputs!$B$3&gt;=125</f>
        <v/>
      </c>
      <c r="D1860">
        <f>IF(Skills!C25=1,60+Inputs!$B$25+Inputs!$B$29,IF(Skills!C25=2,90+Inputs!$B$26+Inputs!$B$29,IF(Skills!C25=3,120+Inputs!$B$27+Inputs!$B$29,MAX(0,(Inputs!$B$3-100)*3)+Inputs!$B$28+Inputs!$B$29)))</f>
        <v/>
      </c>
      <c r="E1860">
        <f>INDEX(FactorTable!$B$2:$Y$301, MATCH(ROUND(MIN(300,MAX(1,D1860)),0), FactorTable!$A$2:$A$301,0), Skills!M25+1)</f>
        <v/>
      </c>
      <c r="F1860">
        <f>IF(Skills!N25=TRUE,(Skills!L25/10)*(E1860/1000),Skills!L25/10)+Skills!O25</f>
        <v/>
      </c>
      <c r="G1860">
        <f>Skills!G25*IF(Skills!H25&gt;0,Skills!I25/Skills!H25,1)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Inputs!$B$3&gt;=72</f>
        <v/>
      </c>
      <c r="D1861">
        <f>IF(Skills!C26=1,60+Inputs!$B$25+Inputs!$B$29,IF(Skills!C26=2,90+Inputs!$B$26+Inputs!$B$29,IF(Skills!C26=3,120+Inputs!$B$27+Inputs!$B$29,MAX(0,(Inputs!$B$3-100)*3)+Inputs!$B$28+Inputs!$B$29)))</f>
        <v/>
      </c>
      <c r="E1861">
        <f>INDEX(FactorTable!$B$2:$Y$301, MATCH(ROUND(MIN(300,MAX(1,D1861)),0), FactorTable!$A$2:$A$301,0), Skills!M26+1)</f>
        <v/>
      </c>
      <c r="F1861">
        <f>IF(Skills!N26=TRUE,(Skills!L26/10)*(E1861/1000),Skills!L26/10)+Skills!O26</f>
        <v/>
      </c>
      <c r="G1861">
        <f>Skills!G26*IF(Skills!H26&gt;0,Skills!I26/Skills!H26,1)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1854=TRUE)*F1854*IF(AND(Inputs!$B$38&lt;&gt;"pvp",Inputs!$B$43&gt;0),(((R1854-1)*(Skills!T19*(1+(Inputs!$B$34+(ArtifactsInput!$M$7-ArtifactsInput!$M$7)*CHOOSE(ArtifactsInput!$N$7+1,6,7.2,8.4,9.6,10.8,12))/100))+MIN((Skills!T19*(1+(Inputs!$B$34+(ArtifactsInput!$M$7-ArtifactsInput!$M$7)*CHOOSE(ArtifactsInput!$N$7+1,6,7.2,8.4,9.6,10.8,12))/100)),MAX(0,Inputs!$B$43-((R1854-1)*Skills!D19))))/Inputs!$B$43),IF(Inputs!$B$38="pvp",MIN((Skills!T19*(1+(Inputs!$B$34+(ArtifactsInput!$M$7-ArtifactsInput!$M$7)*CHOOSE(ArtifactsInput!$N$7+1,6,7.2,8.4,9.6,10.8,12))/100)),15)/15,(Skills!T19*(1+(Inputs!$B$34+(ArtifactsInput!$M$7-ArtifactsInput!$M$7)*CHOOSE(ArtifactsInput!$N$7+1,6,7.2,8.4,9.6,10.8,12))/100))/Skills!D19)))</f>
        <v/>
      </c>
    </row>
    <row r="1866">
      <c r="A1866" t="inlineStr">
        <is>
          <t>Actions Per Second</t>
        </is>
      </c>
      <c r="B1866">
        <f>1+MIN(150,150*(1-(1-(Inputs!$B$11+((C1855=TRUE)*(F1855-Calc!F20)))/150)*(1-B1865/150)))/100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Raging Blow Casts Per Second</t>
        </is>
      </c>
      <c r="B1868">
        <f>MAX(0,B1866-B1867)</f>
        <v/>
      </c>
    </row>
    <row r="1869">
      <c r="A1869" t="inlineStr">
        <is>
          <t>Global Critical Damage Bonus % (Enrage)</t>
        </is>
      </c>
      <c r="B1869">
        <f>((C1853=TRUE)*F1853*IF(AND(Inputs!$B$38&lt;&gt;"pvp",Inputs!$B$43&gt;0),(((R1853-1)*(Skills!T18*(1+(Inputs!$B$34+(ArtifactsInput!$M$7-ArtifactsInput!$M$7)*CHOOSE(ArtifactsInput!$N$7+1,6,7.2,8.4,9.6,10.8,12))/100))+MIN((Skills!T18*(1+(Inputs!$B$34+(ArtifactsInput!$M$7-ArtifactsInput!$M$7)*CHOOSE(ArtifactsInput!$N$7+1,6,7.2,8.4,9.6,10.8,12))/100)),MAX(0,Inputs!$B$43-((R1853-1)*Skills!D18))))/Inputs!$B$43),IF(Inputs!$B$38="pvp",MIN((Skills!T18*(1+(Inputs!$B$34+(ArtifactsInput!$M$7-ArtifactsInput!$M$7)*CHOOSE(ArtifactsInput!$N$7+1,6,7.2,8.4,9.6,10.8,12))/100)),15)/15,(Skills!T18*(1+(Inputs!$B$34+(ArtifactsInput!$M$7-ArtifactsInput!$M$7)*CHOOSE(ArtifactsInput!$N$7+1,6,7.2,8.4,9.6,10.8,12))/100))/Skills!D18)))</f>
        <v/>
      </c>
    </row>
    <row r="1870">
      <c r="A1870" t="inlineStr">
        <is>
          <t>Global Final Damage Bonus % (Enrage + Combo Synergy)</t>
        </is>
      </c>
      <c r="B1870">
        <f>((C1852=TRUE)*F1852*IF(AND(Inputs!$B$38&lt;&gt;"pvp",Inputs!$B$43&gt;0),(((R1852-1)*(Skills!T17*(1+(Inputs!$B$34+(ArtifactsInput!$M$7-ArtifactsInput!$M$7)*CHOOSE(ArtifactsInput!$N$7+1,6,7.2,8.4,9.6,10.8,12))/100))+MIN((Skills!T17*(1+(Inputs!$B$34+(ArtifactsInput!$M$7-ArtifactsInput!$M$7)*CHOOSE(ArtifactsInput!$N$7+1,6,7.2,8.4,9.6,10.8,12))/100)),MAX(0,Inputs!$B$43-((R1852-1)*Skills!D17))))/Inputs!$B$43),IF(Inputs!$B$38="pvp",MIN((Skills!T17*(1+(Inputs!$B$34+(ArtifactsInput!$M$7-ArtifactsInput!$M$7)*CHOOSE(ArtifactsInput!$N$7+1,6,7.2,8.4,9.6,10.8,12))/100)),15)/15,(Skills!T17*(1+(Inputs!$B$34+(ArtifactsInput!$M$7-ArtifactsInput!$M$7)*CHOOSE(ArtifactsInput!$N$7+1,6,7.2,8.4,9.6,10.8,12))/100))/Skills!D17)))+((C1849=TRUE)*F1849*IF(Inputs!$B$3&gt;=110,7,5))</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1879)</f>
        <v/>
      </c>
      <c r="L1879">
        <f>K1879*(MIN(Inputs!$B$22+((C1899=TRUE)*(F1899-Calc!F22)),(Inputs!$B$23+((C1901=TRUE)*(F1901-Calc!F24))+(IF(ArtifactsInput!$M$15,CHOOSE(ArtifactsInput!$N$15+1,25,30,35,40,45,50)/100*(Inputs!$B$11-Inputs!$B$11),0))))/100+(Inputs!$B$23+((C1901=TRUE)*(F1901-Calc!F24))+(IF(ArtifactsInput!$M$15,CHOOSE(ArtifactsInput!$N$15+1,25,30,35,40,45,50)/100*(Inputs!$B$11-Inputs!$B$11),0)))/100)/2</f>
        <v/>
      </c>
      <c r="M1879">
        <f>L1879*(1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79">
        <f>L1879*(1-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INDEX(FactorTable!$B$2:$Y$301, MATCH(ROUND(MIN(300,MAX(1,U1879)),0), FactorTable!$A$2:$A$301,0), 22)</f>
        <v/>
      </c>
    </row>
    <row r="1881">
      <c r="A1881">
        <f>Skills!A4</f>
        <v/>
      </c>
      <c r="B1881">
        <f>Skills!B4</f>
        <v/>
      </c>
      <c r="C1881">
        <f>Inputs!$B$3&gt;=105</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t="inlineStr"/>
      <c r="H1881" t="inlineStr"/>
      <c r="I1881" t="inlineStr">
        <is>
          <t>1</t>
        </is>
      </c>
      <c r="J1881" t="inlineStr"/>
      <c r="K1881" t="inlineStr"/>
      <c r="L1881" t="inlineStr"/>
      <c r="M1881" t="inlineStr"/>
      <c r="N1881" t="inlineStr"/>
      <c r="O1881" t="inlineStr"/>
      <c r="P1881" t="inlineStr"/>
      <c r="Q1881" t="inlineStr"/>
      <c r="R1881" t="inlineStr"/>
      <c r="S1881" t="inlineStr"/>
      <c r="U1881">
        <f>290*U1880/1000</f>
        <v/>
      </c>
    </row>
    <row r="1882">
      <c r="A1882">
        <f>Skills!A5</f>
        <v/>
      </c>
      <c r="B1882">
        <f>Skills!B5</f>
        <v/>
      </c>
      <c r="C1882">
        <f>Inputs!$B$3&gt;=103</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1882)</f>
        <v/>
      </c>
      <c r="L1882">
        <f>K1882*(MIN(Inputs!$B$22+((C1899=TRUE)*(F1899-Calc!F22)),(Inputs!$B$23+((C1901=TRUE)*(F1901-Calc!F24))+(IF(ArtifactsInput!$M$15,CHOOSE(ArtifactsInput!$N$15+1,25,30,35,40,45,50)/100*(Inputs!$B$11-Inputs!$B$11),0))))/100+(Inputs!$B$23+((C1901=TRUE)*(F1901-Calc!F24))+(IF(ArtifactsInput!$M$15,CHOOSE(ArtifactsInput!$N$15+1,25,30,35,40,45,50)/100*(Inputs!$B$11-Inputs!$B$11),0)))/100)/2</f>
        <v/>
      </c>
      <c r="M1882">
        <f>L1882*(1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2">
        <f>L1882*(1-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IFERROR(1/(IF(Inputs!$B$38="pvp",15,MAX(0.1,Skills!D5-IF(Skills!E5=TRUE,Inputs!$B$32,0)))*(1-IF(AND(ArtifactsInput!$M$27,Inputs!$B$4="Chapter Hunt"),CHOOSE(ArtifactsInput!$N$27+1,20,24,28,32,36,40),0)/100)),0)</f>
        <v/>
      </c>
      <c r="R1882">
        <f>IF(AND(Inputs!$B$38&lt;&gt;"pvp",Inputs!$B$43&gt;0),IF(MAX(0,Inputs!$B$43-B1913)&lt;=0,0,(INT(MAX(0,Inputs!$B$43-B1913)/(IF(Inputs!$B$38="pvp",15,MAX(0.1,Skills!D5-IF(Skills!E5=TRUE,Inputs!$B$32,0)))*(1-IF(AND(ArtifactsInput!$M$27,Inputs!$B$4="Chapter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1883)</f>
        <v/>
      </c>
      <c r="L1883">
        <f>K1883*(MIN(Inputs!$B$22+((C1899=TRUE)*(F1899-Calc!F22)),(Inputs!$B$23+((C1901=TRUE)*(F1901-Calc!F24))+(IF(ArtifactsInput!$M$15,CHOOSE(ArtifactsInput!$N$15+1,25,30,35,40,45,50)/100*(Inputs!$B$11-Inputs!$B$11),0))))/100+(Inputs!$B$23+((C1901=TRUE)*(F1901-Calc!F24))+(IF(ArtifactsInput!$M$15,CHOOSE(ArtifactsInput!$N$15+1,25,30,35,40,45,50)/100*(Inputs!$B$11-Inputs!$B$11),0)))/100)/2</f>
        <v/>
      </c>
      <c r="M1883">
        <f>L1883*(1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3">
        <f>L1883*(1-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IFERROR(1/(IF(Inputs!$B$38="pvp",15,MAX(0.1,Skills!D6-IF(Skills!E6=TRUE,Inputs!$B$32,0)))*(1-IF(AND(ArtifactsInput!$M$27,Inputs!$B$4="Chapter Hunt"),CHOOSE(ArtifactsInput!$N$27+1,20,24,28,32,36,40),0)/100)),0)</f>
        <v/>
      </c>
      <c r="R1883">
        <f>IF(AND(Inputs!$B$38&lt;&gt;"pvp",Inputs!$B$43&gt;0),IF(MAX(0,Inputs!$B$43-B1913)&lt;=0,0,(INT(MAX(0,Inputs!$B$43-B1913)/(IF(Inputs!$B$38="pvp",15,MAX(0.1,Skills!D6-IF(Skills!E6=TRUE,Inputs!$B$32,0)))*(1-IF(AND(ArtifactsInput!$M$27,Inputs!$B$4="Chapter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1884)</f>
        <v/>
      </c>
      <c r="L1884">
        <f>K1884*(MIN(Inputs!$B$22+((C1899=TRUE)*(F1899-Calc!F22)),(Inputs!$B$23+((C1901=TRUE)*(F1901-Calc!F24))+(IF(ArtifactsInput!$M$15,CHOOSE(ArtifactsInput!$N$15+1,25,30,35,40,45,50)/100*(Inputs!$B$11-Inputs!$B$11),0))))/100+(Inputs!$B$23+((C1901=TRUE)*(F1901-Calc!F24))+(IF(ArtifactsInput!$M$15,CHOOSE(ArtifactsInput!$N$15+1,25,30,35,40,45,50)/100*(Inputs!$B$11-Inputs!$B$11),0)))/100)/2</f>
        <v/>
      </c>
      <c r="M1884">
        <f>L1884*(1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4">
        <f>L1884*(1-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IFERROR(1/(IF(Inputs!$B$38="pvp",15,MAX(0.1,Skills!D7-IF(Skills!E7=TRUE,Inputs!$B$32,0)))*(1-IF(AND(ArtifactsInput!$M$27,Inputs!$B$4="Chapter Hunt"),CHOOSE(ArtifactsInput!$N$27+1,20,24,28,32,36,40),0)/100)),0)</f>
        <v/>
      </c>
      <c r="R1884">
        <f>IF(AND(Inputs!$B$38&lt;&gt;"pvp",Inputs!$B$43&gt;0),IF(MAX(0,Inputs!$B$43-B1913)&lt;=0,0,(INT(MAX(0,Inputs!$B$43-B1913)/(IF(Inputs!$B$38="pvp",15,MAX(0.1,Skills!D7-IF(Skills!E7=TRUE,Inputs!$B$32,0)))*(1-IF(AND(ArtifactsInput!$M$27,Inputs!$B$4="Chapter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Inputs!$B$3&gt;=117</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1885)</f>
        <v/>
      </c>
      <c r="L1885">
        <f>K1885*(MIN(Inputs!$B$22+((C1899=TRUE)*(F1899-Calc!F22)),(Inputs!$B$23+((C1901=TRUE)*(F1901-Calc!F24))+(IF(ArtifactsInput!$M$15,CHOOSE(ArtifactsInput!$N$15+1,25,30,35,40,45,50)/100*(Inputs!$B$11-Inputs!$B$11),0))))/100+(Inputs!$B$23+((C1901=TRUE)*(F1901-Calc!F24))+(IF(ArtifactsInput!$M$15,CHOOSE(ArtifactsInput!$N$15+1,25,30,35,40,45,50)/100*(Inputs!$B$11-Inputs!$B$11),0)))/100)/2</f>
        <v/>
      </c>
      <c r="M1885">
        <f>L1885*(1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5">
        <f>L1885*(1-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IFERROR(1/(IF(Inputs!$B$38="pvp",15,MAX(0.1,Skills!D8-IF(Skills!E8=TRUE,Inputs!$B$32,0)))*(1-IF(AND(ArtifactsInput!$M$27,Inputs!$B$4="Chapter Hunt"),CHOOSE(ArtifactsInput!$N$27+1,20,24,28,32,36,40),0)/100)),0)</f>
        <v/>
      </c>
      <c r="R1885">
        <f>IF(AND(Inputs!$B$38&lt;&gt;"pvp",Inputs!$B$43&gt;0),IF(MAX(0,Inputs!$B$43-B1913)&lt;=0,0,(INT(MAX(0,Inputs!$B$43-B1913)/(IF(Inputs!$B$38="pvp",15,MAX(0.1,Skills!D8-IF(Skills!E8=TRUE,Inputs!$B$32,0)))*(1-IF(AND(ArtifactsInput!$M$27,Inputs!$B$4="Chapter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Inputs!$B$3&gt;=69</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9="ENHANCED_RAGING_BLOW",IF(Inputs!$B$3&gt;=134,MAX(0,IF(Inputs!$B$3&gt;=110,7,5)-5)*50,0),0)/100)*(1+(IF(Skills!A9="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1886)</f>
        <v/>
      </c>
      <c r="L1886">
        <f>K1886*(MIN(Inputs!$B$22+((C1899=TRUE)*(F1899-Calc!F22)),(Inputs!$B$23+((C1901=TRUE)*(F1901-Calc!F24))+(IF(ArtifactsInput!$M$15,CHOOSE(ArtifactsInput!$N$15+1,25,30,35,40,45,50)/100*(Inputs!$B$11-Inputs!$B$11),0))))/100+(Inputs!$B$23+((C1901=TRUE)*(F1901-Calc!F24))+(IF(ArtifactsInput!$M$15,CHOOSE(ArtifactsInput!$N$15+1,25,30,35,40,45,50)/100*(Inputs!$B$11-Inputs!$B$11),0)))/100)/2</f>
        <v/>
      </c>
      <c r="M1886">
        <f>L1886*(1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6">
        <f>L1886*(1-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IFERROR(1/(IF(Inputs!$B$38="pvp",15,MAX(0.1,Skills!D9-IF(Skills!E9=TRUE,Inputs!$B$32,0)))*(1-IF(AND(ArtifactsInput!$M$27,Inputs!$B$4="Chapter Hunt"),CHOOSE(ArtifactsInput!$N$27+1,20,24,28,32,36,40),0)/100)),0)</f>
        <v/>
      </c>
      <c r="R1886">
        <f>IF(AND(Inputs!$B$38&lt;&gt;"pvp",Inputs!$B$43&gt;0),IF(MAX(0,Inputs!$B$43-B1913)&lt;=0,0,(INT(MAX(0,Inputs!$B$43-B1913)/(IF(Inputs!$B$38="pvp",15,MAX(0.1,Skills!D9-IF(Skills!E9=TRUE,Inputs!$B$32,0)))*(1-IF(AND(ArtifactsInput!$M$27,Inputs!$B$4="Chapter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Inputs!$B$3&gt;=63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10="ENHANCED_RAGING_BLOW",IF(Inputs!$B$3&gt;=134,MAX(0,IF(Inputs!$B$3&gt;=110,7,5)-5)*50,0),0)/100)*(1+(IF(Skills!A10="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1887)</f>
        <v/>
      </c>
      <c r="L1887">
        <f>K1887*(MIN(Inputs!$B$22+((C1899=TRUE)*(F1899-Calc!F22)),(Inputs!$B$23+((C1901=TRUE)*(F1901-Calc!F24))+(IF(ArtifactsInput!$M$15,CHOOSE(ArtifactsInput!$N$15+1,25,30,35,40,45,50)/100*(Inputs!$B$11-Inputs!$B$11),0))))/100+(Inputs!$B$23+((C1901=TRUE)*(F1901-Calc!F24))+(IF(ArtifactsInput!$M$15,CHOOSE(ArtifactsInput!$N$15+1,25,30,35,40,45,50)/100*(Inputs!$B$11-Inputs!$B$11),0)))/100)/2</f>
        <v/>
      </c>
      <c r="M1887">
        <f>L1887*(1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7">
        <f>L1887*(1-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IFERROR(1/(IF(Inputs!$B$38="pvp",15,MAX(0.1,Skills!D10-IF(Skills!E10=TRUE,Inputs!$B$32,0)))*(1-IF(AND(ArtifactsInput!$M$27,Inputs!$B$4="Chapter Hunt"),CHOOSE(ArtifactsInput!$N$27+1,20,24,28,32,36,40),0)/100)),0)</f>
        <v/>
      </c>
      <c r="R1887">
        <f>IF(AND(Inputs!$B$38&lt;&gt;"pvp",Inputs!$B$43&gt;0),IF(MAX(0,Inputs!$B$43-B1913)&lt;=0,0,(INT(MAX(0,Inputs!$B$43-B1913)/(IF(Inputs!$B$38="pvp",15,MAX(0.1,Skills!D10-IF(Skills!E10=TRUE,Inputs!$B$32,0)))*(1-IF(AND(ArtifactsInput!$M$27,Inputs!$B$4="Chapter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Inputs!$B$3&gt;=35</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11="ENHANCED_RAGING_BLOW",IF(Inputs!$B$3&gt;=134,MAX(0,IF(Inputs!$B$3&gt;=110,7,5)-5)*50,0),0)/100)*(1+(IF(Skills!A11="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1888)</f>
        <v/>
      </c>
      <c r="L1888">
        <f>K1888*(MIN(Inputs!$B$22+((C1899=TRUE)*(F1899-Calc!F22)),(Inputs!$B$23+((C1901=TRUE)*(F1901-Calc!F24))+(IF(ArtifactsInput!$M$15,CHOOSE(ArtifactsInput!$N$15+1,25,30,35,40,45,50)/100*(Inputs!$B$11-Inputs!$B$11),0))))/100+(Inputs!$B$23+((C1901=TRUE)*(F1901-Calc!F24))+(IF(ArtifactsInput!$M$15,CHOOSE(ArtifactsInput!$N$15+1,25,30,35,40,45,50)/100*(Inputs!$B$11-Inputs!$B$11),0)))/100)/2</f>
        <v/>
      </c>
      <c r="M1888">
        <f>L1888*(1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8">
        <f>L1888*(1-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IFERROR(1/(IF(Inputs!$B$38="pvp",15,MAX(0.1,Skills!D11-IF(Skills!E11=TRUE,Inputs!$B$32,0)))*(1-IF(AND(ArtifactsInput!$M$27,Inputs!$B$4="Chapter Hunt"),CHOOSE(ArtifactsInput!$N$27+1,20,24,28,32,36,40),0)/100)),0)</f>
        <v/>
      </c>
      <c r="R1888">
        <f>IF(AND(Inputs!$B$38&lt;&gt;"pvp",Inputs!$B$43&gt;0),IF(MAX(0,Inputs!$B$43-B1913)&lt;=0,0,(INT(MAX(0,Inputs!$B$43-B1913)/(IF(Inputs!$B$38="pvp",15,MAX(0.1,Skills!D11-IF(Skills!E11=TRUE,Inputs!$B$32,0)))*(1-IF(AND(ArtifactsInput!$M$27,Inputs!$B$4="Chapter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Inputs!$B$3&gt;=75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Inputs!$B$3&gt;=40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f>Skills!G15*IF(Skills!H15&gt;0,Skills!I15/Skills!H15,1)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IFERROR(1/(IF(Inputs!$B$38="pvp",15,MAX(0.1,Skills!D15-IF(Skills!E15=TRUE,Inputs!$B$32,0)))*(1-IF(AND(ArtifactsInput!$M$27,Inputs!$B$4="Chapter Hunt"),CHOOSE(ArtifactsInput!$N$27+1,20,24,28,32,36,40),0)/100)),0)</f>
        <v/>
      </c>
      <c r="R1892">
        <f>IF(AND(Inputs!$B$38&lt;&gt;"pvp",Inputs!$B$43&gt;0),IF(Inputs!$B$43&lt;=0,0,(INT(Inputs!$B$43/(IF(Inputs!$B$38="pvp",15,MAX(0.1,Skills!D15-IF(Skills!E15=TRUE,Inputs!$B$32,0)))*(1-IF(AND(ArtifactsInput!$M$27,Inputs!$B$4="Chapter Hunt"),CHOOSE(ArtifactsInput!$N$27+1,20,24,28,32,36,40),0)/100)))+1)),0)</f>
        <v/>
      </c>
      <c r="S1892">
        <f>IFERROR(O1892/N1892,0)</f>
        <v/>
      </c>
      <c r="T1892" t="n">
        <v>0</v>
      </c>
      <c r="V1892" t="n">
        <v>0</v>
      </c>
    </row>
    <row r="1893">
      <c r="A1893">
        <f>Skills!A16</f>
        <v/>
      </c>
      <c r="B1893">
        <f>Skills!B16</f>
        <v/>
      </c>
      <c r="C1893">
        <f>Inputs!$B$3&gt;=66</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f>Skills!G16*IF(Skills!H16&gt;0,Skills!I16/Skills!H16,1)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IFERROR(1/(IF(Inputs!$B$38="pvp",15,MAX(0.1,Skills!D16-IF(Skills!E16=TRUE,Inputs!$B$32,0)))*(1-IF(AND(ArtifactsInput!$M$27,Inputs!$B$4="Chapter Hunt"),CHOOSE(ArtifactsInput!$N$27+1,20,24,28,32,36,40),0)/100)),0)</f>
        <v/>
      </c>
      <c r="R1893">
        <f>IF(AND(Inputs!$B$38&lt;&gt;"pvp",Inputs!$B$43&gt;0),IF(Inputs!$B$43&lt;=0,0,(INT(Inputs!$B$43/(IF(Inputs!$B$38="pvp",15,MAX(0.1,Skills!D16-IF(Skills!E16=TRUE,Inputs!$B$32,0)))*(1-IF(AND(ArtifactsInput!$M$27,Inputs!$B$4="Chapter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IFERROR(1/(IF(Inputs!$B$38="pvp",15,MAX(0.1,Skills!D17-IF(Skills!E17=TRUE,Inputs!$B$32,0)))*(1-IF(AND(ArtifactsInput!$M$27,Inputs!$B$4="Chapter Hunt"),CHOOSE(ArtifactsInput!$N$27+1,20,24,28,32,36,40),0)/100)),0)</f>
        <v/>
      </c>
      <c r="R1894">
        <f>IF(AND(Inputs!$B$38&lt;&gt;"pvp",Inputs!$B$43&gt;0),IF(Inputs!$B$43&lt;=0,0,(INT(Inputs!$B$43/(IF(Inputs!$B$38="pvp",15,MAX(0.1,Skills!D17-IF(Skills!E17=TRUE,Inputs!$B$32,0)))*(1-IF(AND(ArtifactsInput!$M$27,Inputs!$B$4="Chapter Hunt"),CHOOSE(ArtifactsInput!$N$27+1,20,24,28,32,36,40),0)/100)))+1)),0)</f>
        <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IFERROR(1/(IF(Inputs!$B$38="pvp",15,MAX(0.1,Skills!D18-IF(Skills!E18=TRUE,Inputs!$B$32,0)))*(1-IF(AND(ArtifactsInput!$M$27,Inputs!$B$4="Chapter Hunt"),CHOOSE(ArtifactsInput!$N$27+1,20,24,28,32,36,40),0)/100)),0)</f>
        <v/>
      </c>
      <c r="R1895">
        <f>IF(AND(Inputs!$B$38&lt;&gt;"pvp",Inputs!$B$43&gt;0),IF(Inputs!$B$43&lt;=0,0,(INT(Inputs!$B$43/(IF(Inputs!$B$38="pvp",15,MAX(0.1,Skills!D18-IF(Skills!E18=TRUE,Inputs!$B$32,0)))*(1-IF(AND(ArtifactsInput!$M$27,Inputs!$B$4="Chapter Hunt"),CHOOSE(ArtifactsInput!$N$27+1,20,24,28,32,36,40),0)/100)))+1)),0)</f>
        <v/>
      </c>
      <c r="S1895">
        <f>IFERROR(O1895/N1895,0)</f>
        <v/>
      </c>
      <c r="T1895" t="n">
        <v>0</v>
      </c>
      <c r="V1895" t="n">
        <v>0</v>
      </c>
    </row>
    <row r="1896">
      <c r="A1896">
        <f>Skills!A19</f>
        <v/>
      </c>
      <c r="B1896">
        <f>Skills!B19</f>
        <v/>
      </c>
      <c r="C1896">
        <f>TRUE</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IFERROR(1/(IF(Inputs!$B$38="pvp",15,MAX(0.1,Skills!D19-IF(Skills!E19=TRUE,Inputs!$B$32,0)))*(1-IF(AND(ArtifactsInput!$M$27,Inputs!$B$4="Chapter Hunt"),CHOOSE(ArtifactsInput!$N$27+1,20,24,28,32,36,40),0)/100)),0)</f>
        <v/>
      </c>
      <c r="R1896">
        <f>IF(AND(Inputs!$B$38&lt;&gt;"pvp",Inputs!$B$43&gt;0),IF(Inputs!$B$43&lt;=0,0,(INT(Inputs!$B$43/(IF(Inputs!$B$38="pvp",15,MAX(0.1,Skills!D19-IF(Skills!E19=TRUE,Inputs!$B$32,0)))*(1-IF(AND(ArtifactsInput!$M$27,Inputs!$B$4="Chapter Hunt"),CHOOSE(ArtifactsInput!$N$27+1,20,24,28,32,36,40),0)/100)))+1)),0)</f>
        <v/>
      </c>
      <c r="S1896">
        <f>IFERROR(O1896/N1896,0)</f>
        <v/>
      </c>
      <c r="T1896" t="n">
        <v>0</v>
      </c>
      <c r="V1896" t="n">
        <v>0</v>
      </c>
    </row>
    <row r="1897">
      <c r="A1897">
        <f>Skills!A20</f>
        <v/>
      </c>
      <c r="B1897">
        <f>Skills!B20</f>
        <v/>
      </c>
      <c r="C1897">
        <f>Inputs!$B$3&gt;=33</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Inputs!$B$3&gt;=38</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Inputs!$B$3&gt;=120</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Inputs!$B$3&gt;=120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Inputs!$B$3&gt;=125</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Inputs!$B$3&gt;=72</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1896=TRUE)*F1896*IF(AND(Inputs!$B$38&lt;&gt;"pvp",Inputs!$B$43&gt;0),(((R1896-1)*(Skills!T19*(1+(Inputs!$B$34+(ArtifactsInput!$M$7-ArtifactsInput!$M$7)*CHOOSE(ArtifactsInput!$N$7+1,6,7.2,8.4,9.6,10.8,12))/100))+MIN((Skills!T19*(1+(Inputs!$B$34+(ArtifactsInput!$M$7-ArtifactsInput!$M$7)*CHOOSE(ArtifactsInput!$N$7+1,6,7.2,8.4,9.6,10.8,12))/100)),MAX(0,Inputs!$B$43-((R1896-1)*Skills!D19))))/Inputs!$B$43),IF(Inputs!$B$38="pvp",MIN((Skills!T19*(1+(Inputs!$B$34+(ArtifactsInput!$M$7-ArtifactsInput!$M$7)*CHOOSE(ArtifactsInput!$N$7+1,6,7.2,8.4,9.6,10.8,12))/100)),15)/15,(Skills!T19*(1+(Inputs!$B$34+(ArtifactsInput!$M$7-ArtifactsInput!$M$7)*CHOOSE(ArtifactsInput!$N$7+1,6,7.2,8.4,9.6,10.8,12))/100))/Skills!D19)))</f>
        <v/>
      </c>
    </row>
    <row r="1908">
      <c r="A1908" t="inlineStr">
        <is>
          <t>Actions Per Second</t>
        </is>
      </c>
      <c r="B1908">
        <f>1+MIN(150,150*(1-(1-(Inputs!$B$11+((C1897=TRUE)*(F1897-Calc!F20)))/150)*(1-B1907/150)))/100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Raging Blow Casts Per Second</t>
        </is>
      </c>
      <c r="B1910">
        <f>MAX(0,B1908-B1909)</f>
        <v/>
      </c>
    </row>
    <row r="1911">
      <c r="A1911" t="inlineStr">
        <is>
          <t>Global Critical Damage Bonus % (Enrage)</t>
        </is>
      </c>
      <c r="B1911">
        <f>((C1895=TRUE)*F1895*IF(AND(Inputs!$B$38&lt;&gt;"pvp",Inputs!$B$43&gt;0),(((R1895-1)*(Skills!T18*(1+(Inputs!$B$34+(ArtifactsInput!$M$7-ArtifactsInput!$M$7)*CHOOSE(ArtifactsInput!$N$7+1,6,7.2,8.4,9.6,10.8,12))/100))+MIN((Skills!T18*(1+(Inputs!$B$34+(ArtifactsInput!$M$7-ArtifactsInput!$M$7)*CHOOSE(ArtifactsInput!$N$7+1,6,7.2,8.4,9.6,10.8,12))/100)),MAX(0,Inputs!$B$43-((R1895-1)*Skills!D18))))/Inputs!$B$43),IF(Inputs!$B$38="pvp",MIN((Skills!T18*(1+(Inputs!$B$34+(ArtifactsInput!$M$7-ArtifactsInput!$M$7)*CHOOSE(ArtifactsInput!$N$7+1,6,7.2,8.4,9.6,10.8,12))/100)),15)/15,(Skills!T18*(1+(Inputs!$B$34+(ArtifactsInput!$M$7-ArtifactsInput!$M$7)*CHOOSE(ArtifactsInput!$N$7+1,6,7.2,8.4,9.6,10.8,12))/100))/Skills!D18)))</f>
        <v/>
      </c>
    </row>
    <row r="1912">
      <c r="A1912" t="inlineStr">
        <is>
          <t>Global Final Damage Bonus % (Enrage + Combo Synergy)</t>
        </is>
      </c>
      <c r="B1912">
        <f>((C1894=TRUE)*F1894*IF(AND(Inputs!$B$38&lt;&gt;"pvp",Inputs!$B$43&gt;0),(((R1894-1)*(Skills!T17*(1+(Inputs!$B$34+(ArtifactsInput!$M$7-ArtifactsInput!$M$7)*CHOOSE(ArtifactsInput!$N$7+1,6,7.2,8.4,9.6,10.8,12))/100))+MIN((Skills!T17*(1+(Inputs!$B$34+(ArtifactsInput!$M$7-ArtifactsInput!$M$7)*CHOOSE(ArtifactsInput!$N$7+1,6,7.2,8.4,9.6,10.8,12))/100)),MAX(0,Inputs!$B$43-((R1894-1)*Skills!D17))))/Inputs!$B$43),IF(Inputs!$B$38="pvp",MIN((Skills!T17*(1+(Inputs!$B$34+(ArtifactsInput!$M$7-ArtifactsInput!$M$7)*CHOOSE(ArtifactsInput!$N$7+1,6,7.2,8.4,9.6,10.8,12))/100)),15)/15,(Skills!T17*(1+(Inputs!$B$34+(ArtifactsInput!$M$7-ArtifactsInput!$M$7)*CHOOSE(ArtifactsInput!$N$7+1,6,7.2,8.4,9.6,10.8,12))/100))/Skills!D17)))+((C1891=TRUE)*F1891*IF(Inputs!$B$3&gt;=110,7,5))</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1921)</f>
        <v/>
      </c>
      <c r="L1921">
        <f>K1921*(MIN(Inputs!$B$22+((C1941=TRUE)*(F1941-Calc!F22)),(Inputs!$B$23+((C1943=TRUE)*(F1943-Calc!F24))+(IF(ArtifactsInput!$M$15,CHOOSE(ArtifactsInput!$N$15+1,25,30,35,40,45,50)/100*(Inputs!$B$11-Inputs!$B$11),0))))/100+(Inputs!$B$23+((C1943=TRUE)*(F1943-Calc!F24))+(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INDEX(FactorTable!$B$2:$Y$301, MATCH(ROUND(MIN(300,MAX(1,U1921)),0), FactorTable!$A$2:$A$301,0), 22)</f>
        <v/>
      </c>
    </row>
    <row r="1923">
      <c r="A1923">
        <f>Skills!A4</f>
        <v/>
      </c>
      <c r="B1923">
        <f>Skills!B4</f>
        <v/>
      </c>
      <c r="C1923">
        <f>Inputs!$B$3&gt;=105</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U1923">
        <f>290*U1922/1000</f>
        <v/>
      </c>
    </row>
    <row r="1924">
      <c r="A1924">
        <f>Skills!A5</f>
        <v/>
      </c>
      <c r="B1924">
        <f>Skills!B5</f>
        <v/>
      </c>
      <c r="C1924">
        <f>Inputs!$B$3&gt;=103</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1924)</f>
        <v/>
      </c>
      <c r="L1924">
        <f>K1924*(MIN(Inputs!$B$22+((C1941=TRUE)*(F1941-Calc!F22)),(Inputs!$B$23+((C1943=TRUE)*(F1943-Calc!F24))+(IF(ArtifactsInput!$M$15,CHOOSE(ArtifactsInput!$N$15+1,25,30,35,40,45,50)/100*(Inputs!$B$11-Inputs!$B$11),0))))/100+(Inputs!$B$23+((C1943=TRUE)*(F1943-Calc!F24))+(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IFERROR(1/(IF(Inputs!$B$38="pvp",15,MAX(0.1,Skills!D5-IF(Skills!E5=TRUE,Inputs!$B$32,0)))*(1-IF(AND(ArtifactsInput!$M$27,Inputs!$B$4="Chapter Hunt"),CHOOSE(ArtifactsInput!$N$27+1,20,24,28,32,36,40),0)/100)),0)</f>
        <v/>
      </c>
      <c r="R1924">
        <f>IF(AND(Inputs!$B$38&lt;&gt;"pvp",Inputs!$B$43&gt;0),IF(MAX(0,Inputs!$B$43-B1955)&lt;=0,0,(INT(MAX(0,Inputs!$B$43-B1955)/(IF(Inputs!$B$38="pvp",15,MAX(0.1,Skills!D5-IF(Skills!E5=TRUE,Inputs!$B$32,0)))*(1-IF(AND(ArtifactsInput!$M$27,Inputs!$B$4="Chapter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1925)</f>
        <v/>
      </c>
      <c r="L1925">
        <f>K1925*(MIN(Inputs!$B$22+((C1941=TRUE)*(F1941-Calc!F22)),(Inputs!$B$23+((C1943=TRUE)*(F1943-Calc!F24))+(IF(ArtifactsInput!$M$15,CHOOSE(ArtifactsInput!$N$15+1,25,30,35,40,45,50)/100*(Inputs!$B$11-Inputs!$B$11),0))))/100+(Inputs!$B$23+((C1943=TRUE)*(F1943-Calc!F24))+(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IFERROR(1/(IF(Inputs!$B$38="pvp",15,MAX(0.1,Skills!D6-IF(Skills!E6=TRUE,Inputs!$B$32,0)))*(1-IF(AND(ArtifactsInput!$M$27,Inputs!$B$4="Chapter Hunt"),CHOOSE(ArtifactsInput!$N$27+1,20,24,28,32,36,40),0)/100)),0)</f>
        <v/>
      </c>
      <c r="R1925">
        <f>IF(AND(Inputs!$B$38&lt;&gt;"pvp",Inputs!$B$43&gt;0),IF(MAX(0,Inputs!$B$43-B1955)&lt;=0,0,(INT(MAX(0,Inputs!$B$43-B1955)/(IF(Inputs!$B$38="pvp",15,MAX(0.1,Skills!D6-IF(Skills!E6=TRUE,Inputs!$B$32,0)))*(1-IF(AND(ArtifactsInput!$M$27,Inputs!$B$4="Chapter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1926)</f>
        <v/>
      </c>
      <c r="L1926">
        <f>K1926*(MIN(Inputs!$B$22+((C1941=TRUE)*(F1941-Calc!F22)),(Inputs!$B$23+((C1943=TRUE)*(F1943-Calc!F24))+(IF(ArtifactsInput!$M$15,CHOOSE(ArtifactsInput!$N$15+1,25,30,35,40,45,50)/100*(Inputs!$B$11-Inputs!$B$11),0))))/100+(Inputs!$B$23+((C1943=TRUE)*(F1943-Calc!F24))+(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IFERROR(1/(IF(Inputs!$B$38="pvp",15,MAX(0.1,Skills!D7-IF(Skills!E7=TRUE,Inputs!$B$32,0)))*(1-IF(AND(ArtifactsInput!$M$27,Inputs!$B$4="Chapter Hunt"),CHOOSE(ArtifactsInput!$N$27+1,20,24,28,32,36,40),0)/100)),0)</f>
        <v/>
      </c>
      <c r="R1926">
        <f>IF(AND(Inputs!$B$38&lt;&gt;"pvp",Inputs!$B$43&gt;0),IF(MAX(0,Inputs!$B$43-B1955)&lt;=0,0,(INT(MAX(0,Inputs!$B$43-B1955)/(IF(Inputs!$B$38="pvp",15,MAX(0.1,Skills!D7-IF(Skills!E7=TRUE,Inputs!$B$32,0)))*(1-IF(AND(ArtifactsInput!$M$27,Inputs!$B$4="Chapter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Inputs!$B$3&gt;=117</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1927)</f>
        <v/>
      </c>
      <c r="L1927">
        <f>K1927*(MIN(Inputs!$B$22+((C1941=TRUE)*(F1941-Calc!F22)),(Inputs!$B$23+((C1943=TRUE)*(F1943-Calc!F24))+(IF(ArtifactsInput!$M$15,CHOOSE(ArtifactsInput!$N$15+1,25,30,35,40,45,50)/100*(Inputs!$B$11-Inputs!$B$11),0))))/100+(Inputs!$B$23+((C1943=TRUE)*(F1943-Calc!F24))+(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IFERROR(1/(IF(Inputs!$B$38="pvp",15,MAX(0.1,Skills!D8-IF(Skills!E8=TRUE,Inputs!$B$32,0)))*(1-IF(AND(ArtifactsInput!$M$27,Inputs!$B$4="Chapter Hunt"),CHOOSE(ArtifactsInput!$N$27+1,20,24,28,32,36,40),0)/100)),0)</f>
        <v/>
      </c>
      <c r="R1927">
        <f>IF(AND(Inputs!$B$38&lt;&gt;"pvp",Inputs!$B$43&gt;0),IF(MAX(0,Inputs!$B$43-B1955)&lt;=0,0,(INT(MAX(0,Inputs!$B$43-B1955)/(IF(Inputs!$B$38="pvp",15,MAX(0.1,Skills!D8-IF(Skills!E8=TRUE,Inputs!$B$32,0)))*(1-IF(AND(ArtifactsInput!$M$27,Inputs!$B$4="Chapter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Inputs!$B$3&gt;=69</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9="ENHANCED_RAGING_BLOW",IF(Inputs!$B$3&gt;=134,MAX(0,IF(Inputs!$B$3&gt;=110,7,5)-5)*50,0),0)/100)*(1+(IF(Skills!A9="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1928)</f>
        <v/>
      </c>
      <c r="L1928">
        <f>K1928*(MIN(Inputs!$B$22+((C1941=TRUE)*(F1941-Calc!F22)),(Inputs!$B$23+((C1943=TRUE)*(F1943-Calc!F24))+(IF(ArtifactsInput!$M$15,CHOOSE(ArtifactsInput!$N$15+1,25,30,35,40,45,50)/100*(Inputs!$B$11-Inputs!$B$11),0))))/100+(Inputs!$B$23+((C1943=TRUE)*(F1943-Calc!F24))+(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IFERROR(1/(IF(Inputs!$B$38="pvp",15,MAX(0.1,Skills!D9-IF(Skills!E9=TRUE,Inputs!$B$32,0)))*(1-IF(AND(ArtifactsInput!$M$27,Inputs!$B$4="Chapter Hunt"),CHOOSE(ArtifactsInput!$N$27+1,20,24,28,32,36,40),0)/100)),0)</f>
        <v/>
      </c>
      <c r="R1928">
        <f>IF(AND(Inputs!$B$38&lt;&gt;"pvp",Inputs!$B$43&gt;0),IF(MAX(0,Inputs!$B$43-B1955)&lt;=0,0,(INT(MAX(0,Inputs!$B$43-B1955)/(IF(Inputs!$B$38="pvp",15,MAX(0.1,Skills!D9-IF(Skills!E9=TRUE,Inputs!$B$32,0)))*(1-IF(AND(ArtifactsInput!$M$27,Inputs!$B$4="Chapter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Inputs!$B$3&gt;=63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10="ENHANCED_RAGING_BLOW",IF(Inputs!$B$3&gt;=134,MAX(0,IF(Inputs!$B$3&gt;=110,7,5)-5)*50,0),0)/100)*(1+(IF(Skills!A10="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1929)</f>
        <v/>
      </c>
      <c r="L1929">
        <f>K1929*(MIN(Inputs!$B$22+((C1941=TRUE)*(F1941-Calc!F22)),(Inputs!$B$23+((C1943=TRUE)*(F1943-Calc!F24))+(IF(ArtifactsInput!$M$15,CHOOSE(ArtifactsInput!$N$15+1,25,30,35,40,45,50)/100*(Inputs!$B$11-Inputs!$B$11),0))))/100+(Inputs!$B$23+((C1943=TRUE)*(F1943-Calc!F24))+(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IFERROR(1/(IF(Inputs!$B$38="pvp",15,MAX(0.1,Skills!D10-IF(Skills!E10=TRUE,Inputs!$B$32,0)))*(1-IF(AND(ArtifactsInput!$M$27,Inputs!$B$4="Chapter Hunt"),CHOOSE(ArtifactsInput!$N$27+1,20,24,28,32,36,40),0)/100)),0)</f>
        <v/>
      </c>
      <c r="R1929">
        <f>IF(AND(Inputs!$B$38&lt;&gt;"pvp",Inputs!$B$43&gt;0),IF(MAX(0,Inputs!$B$43-B1955)&lt;=0,0,(INT(MAX(0,Inputs!$B$43-B1955)/(IF(Inputs!$B$38="pvp",15,MAX(0.1,Skills!D10-IF(Skills!E10=TRUE,Inputs!$B$32,0)))*(1-IF(AND(ArtifactsInput!$M$27,Inputs!$B$4="Chapter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Inputs!$B$3&gt;=35</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11="ENHANCED_RAGING_BLOW",IF(Inputs!$B$3&gt;=134,MAX(0,IF(Inputs!$B$3&gt;=110,7,5)-5)*50,0),0)/100)*(1+(IF(Skills!A11="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1930)</f>
        <v/>
      </c>
      <c r="L1930">
        <f>K1930*(MIN(Inputs!$B$22+((C1941=TRUE)*(F1941-Calc!F22)),(Inputs!$B$23+((C1943=TRUE)*(F1943-Calc!F24))+(IF(ArtifactsInput!$M$15,CHOOSE(ArtifactsInput!$N$15+1,25,30,35,40,45,50)/100*(Inputs!$B$11-Inputs!$B$11),0))))/100+(Inputs!$B$23+((C1943=TRUE)*(F1943-Calc!F24))+(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IFERROR(1/(IF(Inputs!$B$38="pvp",15,MAX(0.1,Skills!D11-IF(Skills!E11=TRUE,Inputs!$B$32,0)))*(1-IF(AND(ArtifactsInput!$M$27,Inputs!$B$4="Chapter Hunt"),CHOOSE(ArtifactsInput!$N$27+1,20,24,28,32,36,40),0)/100)),0)</f>
        <v/>
      </c>
      <c r="R1930">
        <f>IF(AND(Inputs!$B$38&lt;&gt;"pvp",Inputs!$B$43&gt;0),IF(MAX(0,Inputs!$B$43-B1955)&lt;=0,0,(INT(MAX(0,Inputs!$B$43-B1955)/(IF(Inputs!$B$38="pvp",15,MAX(0.1,Skills!D11-IF(Skills!E11=TRUE,Inputs!$B$32,0)))*(1-IF(AND(ArtifactsInput!$M$27,Inputs!$B$4="Chapter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Inputs!$B$3&gt;=75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Inputs!$B$3&gt;=40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f>Skills!G15*IF(Skills!H15&gt;0,Skills!I15/Skills!H15,1)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IFERROR(1/(IF(Inputs!$B$38="pvp",15,MAX(0.1,Skills!D15-IF(Skills!E15=TRUE,Inputs!$B$32,0)))*(1-IF(AND(ArtifactsInput!$M$27,Inputs!$B$4="Chapter Hunt"),CHOOSE(ArtifactsInput!$N$27+1,20,24,28,32,36,40),0)/100)),0)</f>
        <v/>
      </c>
      <c r="R1934">
        <f>IF(AND(Inputs!$B$38&lt;&gt;"pvp",Inputs!$B$43&gt;0),IF(Inputs!$B$43&lt;=0,0,(INT(Inputs!$B$43/(IF(Inputs!$B$38="pvp",15,MAX(0.1,Skills!D15-IF(Skills!E15=TRUE,Inputs!$B$32,0)))*(1-IF(AND(ArtifactsInput!$M$27,Inputs!$B$4="Chapter Hunt"),CHOOSE(ArtifactsInput!$N$27+1,20,24,28,32,36,40),0)/100)))+1)),0)</f>
        <v/>
      </c>
      <c r="S1934">
        <f>IFERROR(O1934/N1934,0)</f>
        <v/>
      </c>
      <c r="T1934" t="n">
        <v>0</v>
      </c>
      <c r="V1934" t="n">
        <v>0</v>
      </c>
    </row>
    <row r="1935">
      <c r="A1935">
        <f>Skills!A16</f>
        <v/>
      </c>
      <c r="B1935">
        <f>Skills!B16</f>
        <v/>
      </c>
      <c r="C1935">
        <f>Inputs!$B$3&gt;=66</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f>Skills!G16*IF(Skills!H16&gt;0,Skills!I16/Skills!H16,1)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IFERROR(1/(IF(Inputs!$B$38="pvp",15,MAX(0.1,Skills!D16-IF(Skills!E16=TRUE,Inputs!$B$32,0)))*(1-IF(AND(ArtifactsInput!$M$27,Inputs!$B$4="Chapter Hunt"),CHOOSE(ArtifactsInput!$N$27+1,20,24,28,32,36,40),0)/100)),0)</f>
        <v/>
      </c>
      <c r="R1935">
        <f>IF(AND(Inputs!$B$38&lt;&gt;"pvp",Inputs!$B$43&gt;0),IF(Inputs!$B$43&lt;=0,0,(INT(Inputs!$B$43/(IF(Inputs!$B$38="pvp",15,MAX(0.1,Skills!D16-IF(Skills!E16=TRUE,Inputs!$B$32,0)))*(1-IF(AND(ArtifactsInput!$M$27,Inputs!$B$4="Chapter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IFERROR(1/(IF(Inputs!$B$38="pvp",15,MAX(0.1,Skills!D17-IF(Skills!E17=TRUE,Inputs!$B$32,0)))*(1-IF(AND(ArtifactsInput!$M$27,Inputs!$B$4="Chapter Hunt"),CHOOSE(ArtifactsInput!$N$27+1,20,24,28,32,36,40),0)/100)),0)</f>
        <v/>
      </c>
      <c r="R1936">
        <f>IF(AND(Inputs!$B$38&lt;&gt;"pvp",Inputs!$B$43&gt;0),IF(Inputs!$B$43&lt;=0,0,(INT(Inputs!$B$43/(IF(Inputs!$B$38="pvp",15,MAX(0.1,Skills!D17-IF(Skills!E17=TRUE,Inputs!$B$32,0)))*(1-IF(AND(ArtifactsInput!$M$27,Inputs!$B$4="Chapter Hunt"),CHOOSE(ArtifactsInput!$N$27+1,20,24,28,32,36,40),0)/100)))+1)),0)</f>
        <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TRUE</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IFERROR(1/(IF(Inputs!$B$38="pvp",15,MAX(0.1,Skills!D19-IF(Skills!E19=TRUE,Inputs!$B$32,0)))*(1-IF(AND(ArtifactsInput!$M$27,Inputs!$B$4="Chapter Hunt"),CHOOSE(ArtifactsInput!$N$27+1,20,24,28,32,36,40),0)/100)),0)</f>
        <v/>
      </c>
      <c r="R1938">
        <f>IF(AND(Inputs!$B$38&lt;&gt;"pvp",Inputs!$B$43&gt;0),IF(Inputs!$B$43&lt;=0,0,(INT(Inputs!$B$43/(IF(Inputs!$B$38="pvp",15,MAX(0.1,Skills!D19-IF(Skills!E19=TRUE,Inputs!$B$32,0)))*(1-IF(AND(ArtifactsInput!$M$27,Inputs!$B$4="Chapter Hunt"),CHOOSE(ArtifactsInput!$N$27+1,20,24,28,32,36,40),0)/100)))+1)),0)</f>
        <v/>
      </c>
      <c r="S1938">
        <f>IFERROR(O1938/N1938,0)</f>
        <v/>
      </c>
      <c r="T1938" t="n">
        <v>0</v>
      </c>
      <c r="V1938" t="n">
        <v>0</v>
      </c>
    </row>
    <row r="1939">
      <c r="A1939">
        <f>Skills!A20</f>
        <v/>
      </c>
      <c r="B1939">
        <f>Skills!B20</f>
        <v/>
      </c>
      <c r="C1939">
        <f>Inputs!$B$3&gt;=33</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Inputs!$B$3&gt;=38</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Inputs!$B$3&gt;=120</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Inputs!$B$3&gt;=120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Inputs!$B$3&gt;=125</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Inputs!$B$3&gt;=72</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1938=TRUE)*F1938*IF(AND(Inputs!$B$38&lt;&gt;"pvp",Inputs!$B$43&gt;0),(((R1938-1)*(Skills!T19*(1+(Inputs!$B$34+(ArtifactsInput!$M$7-ArtifactsInput!$M$7)*CHOOSE(ArtifactsInput!$N$7+1,6,7.2,8.4,9.6,10.8,12))/100))+MIN((Skills!T19*(1+(Inputs!$B$34+(ArtifactsInput!$M$7-ArtifactsInput!$M$7)*CHOOSE(ArtifactsInput!$N$7+1,6,7.2,8.4,9.6,10.8,12))/100)),MAX(0,Inputs!$B$43-((R1938-1)*Skills!D19))))/Inputs!$B$43),IF(Inputs!$B$38="pvp",MIN((Skills!T19*(1+(Inputs!$B$34+(ArtifactsInput!$M$7-ArtifactsInput!$M$7)*CHOOSE(ArtifactsInput!$N$7+1,6,7.2,8.4,9.6,10.8,12))/100)),15)/15,(Skills!T19*(1+(Inputs!$B$34+(ArtifactsInput!$M$7-ArtifactsInput!$M$7)*CHOOSE(ArtifactsInput!$N$7+1,6,7.2,8.4,9.6,10.8,12))/100))/Skills!D19)))</f>
        <v/>
      </c>
    </row>
    <row r="1950">
      <c r="A1950" t="inlineStr">
        <is>
          <t>Actions Per Second</t>
        </is>
      </c>
      <c r="B1950">
        <f>1+MIN(150,150*(1-(1-(Inputs!$B$11+((C1939=TRUE)*(F1939-Calc!F20)))/150)*(1-B1949/150)))/100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Raging Blow Casts Per Second</t>
        </is>
      </c>
      <c r="B1952">
        <f>MAX(0,B1950-B1951)</f>
        <v/>
      </c>
    </row>
    <row r="1953">
      <c r="A1953" t="inlineStr">
        <is>
          <t>Global Critical Damage Bonus % (Enrage)</t>
        </is>
      </c>
      <c r="B1953">
        <f>((C1937=TRUE)*F1937*IF(AND(Inputs!$B$38&lt;&gt;"pvp",Inputs!$B$43&gt;0),(((R1937-1)*(Skills!T18*(1+(Inputs!$B$34+(ArtifactsInput!$M$7-ArtifactsInput!$M$7)*CHOOSE(ArtifactsInput!$N$7+1,6,7.2,8.4,9.6,10.8,12))/100))+MIN((Skills!T18*(1+(Inputs!$B$34+(ArtifactsInput!$M$7-ArtifactsInput!$M$7)*CHOOSE(ArtifactsInput!$N$7+1,6,7.2,8.4,9.6,10.8,12))/100)),MAX(0,Inputs!$B$43-((R1937-1)*Skills!D18))))/Inputs!$B$43),IF(Inputs!$B$38="pvp",MIN((Skills!T18*(1+(Inputs!$B$34+(ArtifactsInput!$M$7-ArtifactsInput!$M$7)*CHOOSE(ArtifactsInput!$N$7+1,6,7.2,8.4,9.6,10.8,12))/100)),15)/15,(Skills!T18*(1+(Inputs!$B$34+(ArtifactsInput!$M$7-ArtifactsInput!$M$7)*CHOOSE(ArtifactsInput!$N$7+1,6,7.2,8.4,9.6,10.8,12))/100))/Skills!D18)))</f>
        <v/>
      </c>
    </row>
    <row r="1954">
      <c r="A1954" t="inlineStr">
        <is>
          <t>Global Final Damage Bonus % (Enrage + Combo Synergy)</t>
        </is>
      </c>
      <c r="B1954">
        <f>((C1936=TRUE)*F1936*IF(AND(Inputs!$B$38&lt;&gt;"pvp",Inputs!$B$43&gt;0),(((R1936-1)*(Skills!T17*(1+(Inputs!$B$34+(ArtifactsInput!$M$7-ArtifactsInput!$M$7)*CHOOSE(ArtifactsInput!$N$7+1,6,7.2,8.4,9.6,10.8,12))/100))+MIN((Skills!T17*(1+(Inputs!$B$34+(ArtifactsInput!$M$7-ArtifactsInput!$M$7)*CHOOSE(ArtifactsInput!$N$7+1,6,7.2,8.4,9.6,10.8,12))/100)),MAX(0,Inputs!$B$43-((R1936-1)*Skills!D17))))/Inputs!$B$43),IF(Inputs!$B$38="pvp",MIN((Skills!T17*(1+(Inputs!$B$34+(ArtifactsInput!$M$7-ArtifactsInput!$M$7)*CHOOSE(ArtifactsInput!$N$7+1,6,7.2,8.4,9.6,10.8,12))/100)),15)/15,(Skills!T17*(1+(Inputs!$B$34+(ArtifactsInput!$M$7-ArtifactsInput!$M$7)*CHOOSE(ArtifactsInput!$N$7+1,6,7.2,8.4,9.6,10.8,12))/100))/Skills!D17)))+((C1933=TRUE)*F1933*IF(Inputs!$B$3&gt;=110,7,5))</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1963)</f>
        <v/>
      </c>
      <c r="L1963">
        <f>K1963*(MIN(Inputs!$B$22+((C1983=TRUE)*(F1983-Calc!F22)),(Inputs!$B$23+((C1985=TRUE)*(F1985-Calc!F24))+(IF(ArtifactsInput!$M$15,CHOOSE(ArtifactsInput!$N$15+1,25,30,35,40,45,50)/100*(Inputs!$B$11-Inputs!$B$11),0))))/100+(Inputs!$B$23+((C1985=TRUE)*(F1985-Calc!F24))+(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INDEX(FactorTable!$B$2:$Y$301, MATCH(ROUND(MIN(300,MAX(1,U1963)),0), FactorTable!$A$2:$A$301,0), 22)</f>
        <v/>
      </c>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U1965">
        <f>290*U1964/1000</f>
        <v/>
      </c>
    </row>
    <row r="1966">
      <c r="A1966">
        <f>Skills!A5</f>
        <v/>
      </c>
      <c r="B1966">
        <f>Skills!B5</f>
        <v/>
      </c>
      <c r="C1966">
        <f>Inputs!$B$3&gt;=103</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1966)</f>
        <v/>
      </c>
      <c r="L1966">
        <f>K1966*(MIN(Inputs!$B$22+((C1983=TRUE)*(F1983-Calc!F22)),(Inputs!$B$23+((C1985=TRUE)*(F1985-Calc!F24))+(IF(ArtifactsInput!$M$15,CHOOSE(ArtifactsInput!$N$15+1,25,30,35,40,45,50)/100*(Inputs!$B$11-Inputs!$B$11),0))))/100+(Inputs!$B$23+((C1985=TRUE)*(F1985-Calc!F24))+(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IFERROR(1/(IF(Inputs!$B$38="pvp",15,MAX(0.1,Skills!D5-IF(Skills!E5=TRUE,Inputs!$B$32,0)))*(1-IF(AND(ArtifactsInput!$M$27,Inputs!$B$4="Chapter Hunt"),CHOOSE(ArtifactsInput!$N$27+1,20,24,28,32,36,40),0)/100)),0)</f>
        <v/>
      </c>
      <c r="R1966">
        <f>IF(AND(Inputs!$B$38&lt;&gt;"pvp",Inputs!$B$43&gt;0),IF(MAX(0,Inputs!$B$43-B1997)&lt;=0,0,(INT(MAX(0,Inputs!$B$43-B1997)/(IF(Inputs!$B$38="pvp",15,MAX(0.1,Skills!D5-IF(Skills!E5=TRUE,Inputs!$B$32,0)))*(1-IF(AND(ArtifactsInput!$M$27,Inputs!$B$4="Chapter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1967)</f>
        <v/>
      </c>
      <c r="L1967">
        <f>K1967*(MIN(Inputs!$B$22+((C1983=TRUE)*(F1983-Calc!F22)),(Inputs!$B$23+((C1985=TRUE)*(F1985-Calc!F24))+(IF(ArtifactsInput!$M$15,CHOOSE(ArtifactsInput!$N$15+1,25,30,35,40,45,50)/100*(Inputs!$B$11-Inputs!$B$11),0))))/100+(Inputs!$B$23+((C1985=TRUE)*(F1985-Calc!F24))+(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IFERROR(1/(IF(Inputs!$B$38="pvp",15,MAX(0.1,Skills!D6-IF(Skills!E6=TRUE,Inputs!$B$32,0)))*(1-IF(AND(ArtifactsInput!$M$27,Inputs!$B$4="Chapter Hunt"),CHOOSE(ArtifactsInput!$N$27+1,20,24,28,32,36,40),0)/100)),0)</f>
        <v/>
      </c>
      <c r="R1967">
        <f>IF(AND(Inputs!$B$38&lt;&gt;"pvp",Inputs!$B$43&gt;0),IF(MAX(0,Inputs!$B$43-B1997)&lt;=0,0,(INT(MAX(0,Inputs!$B$43-B1997)/(IF(Inputs!$B$38="pvp",15,MAX(0.1,Skills!D6-IF(Skills!E6=TRUE,Inputs!$B$32,0)))*(1-IF(AND(ArtifactsInput!$M$27,Inputs!$B$4="Chapter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1968)</f>
        <v/>
      </c>
      <c r="L1968">
        <f>K1968*(MIN(Inputs!$B$22+((C1983=TRUE)*(F1983-Calc!F22)),(Inputs!$B$23+((C1985=TRUE)*(F1985-Calc!F24))+(IF(ArtifactsInput!$M$15,CHOOSE(ArtifactsInput!$N$15+1,25,30,35,40,45,50)/100*(Inputs!$B$11-Inputs!$B$11),0))))/100+(Inputs!$B$23+((C1985=TRUE)*(F1985-Calc!F24))+(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IFERROR(1/(IF(Inputs!$B$38="pvp",15,MAX(0.1,Skills!D7-IF(Skills!E7=TRUE,Inputs!$B$32,0)))*(1-IF(AND(ArtifactsInput!$M$27,Inputs!$B$4="Chapter Hunt"),CHOOSE(ArtifactsInput!$N$27+1,20,24,28,32,36,40),0)/100)),0)</f>
        <v/>
      </c>
      <c r="R1968">
        <f>IF(AND(Inputs!$B$38&lt;&gt;"pvp",Inputs!$B$43&gt;0),IF(MAX(0,Inputs!$B$43-B1997)&lt;=0,0,(INT(MAX(0,Inputs!$B$43-B1997)/(IF(Inputs!$B$38="pvp",15,MAX(0.1,Skills!D7-IF(Skills!E7=TRUE,Inputs!$B$32,0)))*(1-IF(AND(ArtifactsInput!$M$27,Inputs!$B$4="Chapter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1969)</f>
        <v/>
      </c>
      <c r="L1969">
        <f>K1969*(MIN(Inputs!$B$22+((C1983=TRUE)*(F1983-Calc!F22)),(Inputs!$B$23+((C1985=TRUE)*(F1985-Calc!F24))+(IF(ArtifactsInput!$M$15,CHOOSE(ArtifactsInput!$N$15+1,25,30,35,40,45,50)/100*(Inputs!$B$11-Inputs!$B$11),0))))/100+(Inputs!$B$23+((C1985=TRUE)*(F1985-Calc!F24))+(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IFERROR(1/(IF(Inputs!$B$38="pvp",15,MAX(0.1,Skills!D8-IF(Skills!E8=TRUE,Inputs!$B$32,0)))*(1-IF(AND(ArtifactsInput!$M$27,Inputs!$B$4="Chapter Hunt"),CHOOSE(ArtifactsInput!$N$27+1,20,24,28,32,36,40),0)/100)),0)</f>
        <v/>
      </c>
      <c r="R1969">
        <f>IF(AND(Inputs!$B$38&lt;&gt;"pvp",Inputs!$B$43&gt;0),IF(MAX(0,Inputs!$B$43-B1997)&lt;=0,0,(INT(MAX(0,Inputs!$B$43-B1997)/(IF(Inputs!$B$38="pvp",15,MAX(0.1,Skills!D8-IF(Skills!E8=TRUE,Inputs!$B$32,0)))*(1-IF(AND(ArtifactsInput!$M$27,Inputs!$B$4="Chapter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Inputs!$B$3&gt;=69</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9="ENHANCED_RAGING_BLOW",IF(Inputs!$B$3&gt;=134,MAX(0,IF(Inputs!$B$3&gt;=110,7,5)-5)*50,0),0)/100)*(1+(IF(Skills!A9="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1970)</f>
        <v/>
      </c>
      <c r="L1970">
        <f>K1970*(MIN(Inputs!$B$22+((C1983=TRUE)*(F1983-Calc!F22)),(Inputs!$B$23+((C1985=TRUE)*(F1985-Calc!F24))+(IF(ArtifactsInput!$M$15,CHOOSE(ArtifactsInput!$N$15+1,25,30,35,40,45,50)/100*(Inputs!$B$11-Inputs!$B$11),0))))/100+(Inputs!$B$23+((C1985=TRUE)*(F1985-Calc!F24))+(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IFERROR(1/(IF(Inputs!$B$38="pvp",15,MAX(0.1,Skills!D9-IF(Skills!E9=TRUE,Inputs!$B$32,0)))*(1-IF(AND(ArtifactsInput!$M$27,Inputs!$B$4="Chapter Hunt"),CHOOSE(ArtifactsInput!$N$27+1,20,24,28,32,36,40),0)/100)),0)</f>
        <v/>
      </c>
      <c r="R1970">
        <f>IF(AND(Inputs!$B$38&lt;&gt;"pvp",Inputs!$B$43&gt;0),IF(MAX(0,Inputs!$B$43-B1997)&lt;=0,0,(INT(MAX(0,Inputs!$B$43-B1997)/(IF(Inputs!$B$38="pvp",15,MAX(0.1,Skills!D9-IF(Skills!E9=TRUE,Inputs!$B$32,0)))*(1-IF(AND(ArtifactsInput!$M$27,Inputs!$B$4="Chapter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Inputs!$B$3&gt;=63</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10="ENHANCED_RAGING_BLOW",IF(Inputs!$B$3&gt;=134,MAX(0,IF(Inputs!$B$3&gt;=110,7,5)-5)*50,0),0)/100)*(1+(IF(Skills!A10="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1971)</f>
        <v/>
      </c>
      <c r="L1971">
        <f>K1971*(MIN(Inputs!$B$22+((C1983=TRUE)*(F1983-Calc!F22)),(Inputs!$B$23+((C1985=TRUE)*(F1985-Calc!F24))+(IF(ArtifactsInput!$M$15,CHOOSE(ArtifactsInput!$N$15+1,25,30,35,40,45,50)/100*(Inputs!$B$11-Inputs!$B$11),0))))/100+(Inputs!$B$23+((C1985=TRUE)*(F1985-Calc!F24))+(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IFERROR(1/(IF(Inputs!$B$38="pvp",15,MAX(0.1,Skills!D10-IF(Skills!E10=TRUE,Inputs!$B$32,0)))*(1-IF(AND(ArtifactsInput!$M$27,Inputs!$B$4="Chapter Hunt"),CHOOSE(ArtifactsInput!$N$27+1,20,24,28,32,36,40),0)/100)),0)</f>
        <v/>
      </c>
      <c r="R1971">
        <f>IF(AND(Inputs!$B$38&lt;&gt;"pvp",Inputs!$B$43&gt;0),IF(MAX(0,Inputs!$B$43-B1997)&lt;=0,0,(INT(MAX(0,Inputs!$B$43-B1997)/(IF(Inputs!$B$38="pvp",15,MAX(0.1,Skills!D10-IF(Skills!E10=TRUE,Inputs!$B$32,0)))*(1-IF(AND(ArtifactsInput!$M$27,Inputs!$B$4="Chapter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Inputs!$B$3&gt;=35</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11="ENHANCED_RAGING_BLOW",IF(Inputs!$B$3&gt;=134,MAX(0,IF(Inputs!$B$3&gt;=110,7,5)-5)*50,0),0)/100)*(1+(IF(Skills!A11="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1972)</f>
        <v/>
      </c>
      <c r="L1972">
        <f>K1972*(MIN(Inputs!$B$22+((C1983=TRUE)*(F1983-Calc!F22)),(Inputs!$B$23+((C1985=TRUE)*(F1985-Calc!F24))+(IF(ArtifactsInput!$M$15,CHOOSE(ArtifactsInput!$N$15+1,25,30,35,40,45,50)/100*(Inputs!$B$11-Inputs!$B$11),0))))/100+(Inputs!$B$23+((C1985=TRUE)*(F1985-Calc!F24))+(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IFERROR(1/(IF(Inputs!$B$38="pvp",15,MAX(0.1,Skills!D11-IF(Skills!E11=TRUE,Inputs!$B$32,0)))*(1-IF(AND(ArtifactsInput!$M$27,Inputs!$B$4="Chapter Hunt"),CHOOSE(ArtifactsInput!$N$27+1,20,24,28,32,36,40),0)/100)),0)</f>
        <v/>
      </c>
      <c r="R1972">
        <f>IF(AND(Inputs!$B$38&lt;&gt;"pvp",Inputs!$B$43&gt;0),IF(MAX(0,Inputs!$B$43-B1997)&lt;=0,0,(INT(MAX(0,Inputs!$B$43-B1997)/(IF(Inputs!$B$38="pvp",15,MAX(0.1,Skills!D11-IF(Skills!E11=TRUE,Inputs!$B$32,0)))*(1-IF(AND(ArtifactsInput!$M$27,Inputs!$B$4="Chapter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Inputs!$B$3&gt;=75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Inputs!$B$3&gt;=40</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IFERROR(1/(IF(Inputs!$B$38="pvp",15,MAX(0.1,Skills!D15-IF(Skills!E15=TRUE,Inputs!$B$32,0)))*(1-IF(AND(ArtifactsInput!$M$27,Inputs!$B$4="Chapter Hunt"),CHOOSE(ArtifactsInput!$N$27+1,20,24,28,32,36,40),0)/100)),0)</f>
        <v/>
      </c>
      <c r="R1976">
        <f>IF(AND(Inputs!$B$38&lt;&gt;"pvp",Inputs!$B$43&gt;0),IF(Inputs!$B$43&lt;=0,0,(INT(Inputs!$B$43/(IF(Inputs!$B$38="pvp",15,MAX(0.1,Skills!D15-IF(Skills!E15=TRUE,Inputs!$B$32,0)))*(1-IF(AND(ArtifactsInput!$M$27,Inputs!$B$4="Chapter Hunt"),CHOOSE(ArtifactsInput!$N$27+1,20,24,28,32,36,40),0)/100)))+1)),0)</f>
        <v/>
      </c>
      <c r="S1976">
        <f>IFERROR(O1976/N1976,0)</f>
        <v/>
      </c>
      <c r="T1976" t="n">
        <v>0</v>
      </c>
      <c r="V1976" t="n">
        <v>0</v>
      </c>
    </row>
    <row r="1977">
      <c r="A1977">
        <f>Skills!A16</f>
        <v/>
      </c>
      <c r="B1977">
        <f>Skills!B16</f>
        <v/>
      </c>
      <c r="C1977">
        <f>Inputs!$B$3&gt;=66</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IFERROR(1/(IF(Inputs!$B$38="pvp",15,MAX(0.1,Skills!D16-IF(Skills!E16=TRUE,Inputs!$B$32,0)))*(1-IF(AND(ArtifactsInput!$M$27,Inputs!$B$4="Chapter Hunt"),CHOOSE(ArtifactsInput!$N$27+1,20,24,28,32,36,40),0)/100)),0)</f>
        <v/>
      </c>
      <c r="R1977">
        <f>IF(AND(Inputs!$B$38&lt;&gt;"pvp",Inputs!$B$43&gt;0),IF(Inputs!$B$43&lt;=0,0,(INT(Inputs!$B$43/(IF(Inputs!$B$38="pvp",15,MAX(0.1,Skills!D16-IF(Skills!E16=TRUE,Inputs!$B$32,0)))*(1-IF(AND(ArtifactsInput!$M$27,Inputs!$B$4="Chapter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IFERROR(1/(IF(Inputs!$B$38="pvp",15,MAX(0.1,Skills!D17-IF(Skills!E17=TRUE,Inputs!$B$32,0)))*(1-IF(AND(ArtifactsInput!$M$27,Inputs!$B$4="Chapter Hunt"),CHOOSE(ArtifactsInput!$N$27+1,20,24,28,32,36,40),0)/100)),0)</f>
        <v/>
      </c>
      <c r="R1978">
        <f>IF(AND(Inputs!$B$38&lt;&gt;"pvp",Inputs!$B$43&gt;0),IF(Inputs!$B$43&lt;=0,0,(INT(Inputs!$B$43/(IF(Inputs!$B$38="pvp",15,MAX(0.1,Skills!D17-IF(Skills!E17=TRUE,Inputs!$B$32,0)))*(1-IF(AND(ArtifactsInput!$M$27,Inputs!$B$4="Chapter Hunt"),CHOOSE(ArtifactsInput!$N$27+1,20,24,28,32,36,40),0)/100)))+1)),0)</f>
        <v/>
      </c>
      <c r="S1978">
        <f>IFERROR(O1978/N1978,0)</f>
        <v/>
      </c>
      <c r="T1978" t="n">
        <v>0</v>
      </c>
      <c r="V1978" t="n">
        <v>0</v>
      </c>
    </row>
    <row r="1979">
      <c r="A1979">
        <f>Skills!A18</f>
        <v/>
      </c>
      <c r="B1979">
        <f>Skills!B18</f>
        <v/>
      </c>
      <c r="C1979">
        <f>Inputs!$B$3&gt;=115</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IFERROR(1/(IF(Inputs!$B$38="pvp",15,MAX(0.1,Skills!D18-IF(Skills!E18=TRUE,Inputs!$B$32,0)))*(1-IF(AND(ArtifactsInput!$M$27,Inputs!$B$4="Chapter Hunt"),CHOOSE(ArtifactsInput!$N$27+1,20,24,28,32,36,40),0)/100)),0)</f>
        <v/>
      </c>
      <c r="R1979">
        <f>IF(AND(Inputs!$B$38&lt;&gt;"pvp",Inputs!$B$43&gt;0),IF(Inputs!$B$43&lt;=0,0,(INT(Inputs!$B$43/(IF(Inputs!$B$38="pvp",15,MAX(0.1,Skills!D18-IF(Skills!E18=TRUE,Inputs!$B$32,0)))*(1-IF(AND(ArtifactsInput!$M$27,Inputs!$B$4="Chapter Hunt"),CHOOSE(ArtifactsInput!$N$27+1,20,24,28,32,36,40),0)/100)))+1)),0)</f>
        <v/>
      </c>
      <c r="S1979">
        <f>IFERROR(O1979/N1979,0)</f>
        <v/>
      </c>
      <c r="T1979" t="n">
        <v>0</v>
      </c>
      <c r="V1979" t="n">
        <v>0</v>
      </c>
    </row>
    <row r="1980">
      <c r="A1980">
        <f>Skills!A19</f>
        <v/>
      </c>
      <c r="B1980">
        <f>Skills!B19</f>
        <v/>
      </c>
      <c r="C1980">
        <f>TRUE</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IFERROR(1/(IF(Inputs!$B$38="pvp",15,MAX(0.1,Skills!D19-IF(Skills!E19=TRUE,Inputs!$B$32,0)))*(1-IF(AND(ArtifactsInput!$M$27,Inputs!$B$4="Chapter Hunt"),CHOOSE(ArtifactsInput!$N$27+1,20,24,28,32,36,40),0)/100)),0)</f>
        <v/>
      </c>
      <c r="R1980">
        <f>IF(AND(Inputs!$B$38&lt;&gt;"pvp",Inputs!$B$43&gt;0),IF(Inputs!$B$43&lt;=0,0,(INT(Inputs!$B$43/(IF(Inputs!$B$38="pvp",15,MAX(0.1,Skills!D19-IF(Skills!E19=TRUE,Inputs!$B$32,0)))*(1-IF(AND(ArtifactsInput!$M$27,Inputs!$B$4="Chapter Hunt"),CHOOSE(ArtifactsInput!$N$27+1,20,24,28,32,36,40),0)/100)))+1)),0)</f>
        <v/>
      </c>
      <c r="S1980">
        <f>IFERROR(O1980/N1980,0)</f>
        <v/>
      </c>
      <c r="T1980" t="n">
        <v>0</v>
      </c>
      <c r="V1980" t="n">
        <v>0</v>
      </c>
    </row>
    <row r="1981">
      <c r="A1981">
        <f>Skills!A20</f>
        <v/>
      </c>
      <c r="B1981">
        <f>Skills!B20</f>
        <v/>
      </c>
      <c r="C1981">
        <f>Inputs!$B$3&gt;=33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Inputs!$B$3&gt;=43</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Inputs!$B$3&gt;=120</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Inputs!$B$3&gt;=120</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Inputs!$B$3&gt;=72</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1980=TRUE)*F1980*IF(AND(Inputs!$B$38&lt;&gt;"pvp",Inputs!$B$43&gt;0),(((R1980-1)*(Skills!T19*(1+(Inputs!$B$34+(ArtifactsInput!$M$7-ArtifactsInput!$M$7)*CHOOSE(ArtifactsInput!$N$7+1,6,7.2,8.4,9.6,10.8,12))/100))+MIN((Skills!T19*(1+(Inputs!$B$34+(ArtifactsInput!$M$7-ArtifactsInput!$M$7)*CHOOSE(ArtifactsInput!$N$7+1,6,7.2,8.4,9.6,10.8,12))/100)),MAX(0,Inputs!$B$43-((R1980-1)*Skills!D19))))/Inputs!$B$43),IF(Inputs!$B$38="pvp",MIN((Skills!T19*(1+(Inputs!$B$34+(ArtifactsInput!$M$7-ArtifactsInput!$M$7)*CHOOSE(ArtifactsInput!$N$7+1,6,7.2,8.4,9.6,10.8,12))/100)),15)/15,(Skills!T19*(1+(Inputs!$B$34+(ArtifactsInput!$M$7-ArtifactsInput!$M$7)*CHOOSE(ArtifactsInput!$N$7+1,6,7.2,8.4,9.6,10.8,12))/100))/Skills!D19)))</f>
        <v/>
      </c>
    </row>
    <row r="1992">
      <c r="A1992" t="inlineStr">
        <is>
          <t>Actions Per Second</t>
        </is>
      </c>
      <c r="B1992">
        <f>1+MIN(150,150*(1-(1-(Inputs!$B$11+((C1981=TRUE)*(F1981-Calc!F20)))/150)*(1-B1991/150)))/100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Raging Blow Casts Per Second</t>
        </is>
      </c>
      <c r="B1994">
        <f>MAX(0,B1992-B1993)</f>
        <v/>
      </c>
    </row>
    <row r="1995">
      <c r="A1995" t="inlineStr">
        <is>
          <t>Global Critical Damage Bonus % (Enrage)</t>
        </is>
      </c>
      <c r="B1995">
        <f>((C1979=TRUE)*F1979*IF(AND(Inputs!$B$38&lt;&gt;"pvp",Inputs!$B$43&gt;0),(((R1979-1)*(Skills!T18*(1+(Inputs!$B$34+(ArtifactsInput!$M$7-ArtifactsInput!$M$7)*CHOOSE(ArtifactsInput!$N$7+1,6,7.2,8.4,9.6,10.8,12))/100))+MIN((Skills!T18*(1+(Inputs!$B$34+(ArtifactsInput!$M$7-ArtifactsInput!$M$7)*CHOOSE(ArtifactsInput!$N$7+1,6,7.2,8.4,9.6,10.8,12))/100)),MAX(0,Inputs!$B$43-((R1979-1)*Skills!D18))))/Inputs!$B$43),IF(Inputs!$B$38="pvp",MIN((Skills!T18*(1+(Inputs!$B$34+(ArtifactsInput!$M$7-ArtifactsInput!$M$7)*CHOOSE(ArtifactsInput!$N$7+1,6,7.2,8.4,9.6,10.8,12))/100)),15)/15,(Skills!T18*(1+(Inputs!$B$34+(ArtifactsInput!$M$7-ArtifactsInput!$M$7)*CHOOSE(ArtifactsInput!$N$7+1,6,7.2,8.4,9.6,10.8,12))/100))/Skills!D18)))</f>
        <v/>
      </c>
    </row>
    <row r="1996">
      <c r="A1996" t="inlineStr">
        <is>
          <t>Global Final Damage Bonus % (Enrage + Combo Synergy)</t>
        </is>
      </c>
      <c r="B1996">
        <f>((C1978=TRUE)*F1978*IF(AND(Inputs!$B$38&lt;&gt;"pvp",Inputs!$B$43&gt;0),(((R1978-1)*(Skills!T17*(1+(Inputs!$B$34+(ArtifactsInput!$M$7-ArtifactsInput!$M$7)*CHOOSE(ArtifactsInput!$N$7+1,6,7.2,8.4,9.6,10.8,12))/100))+MIN((Skills!T17*(1+(Inputs!$B$34+(ArtifactsInput!$M$7-ArtifactsInput!$M$7)*CHOOSE(ArtifactsInput!$N$7+1,6,7.2,8.4,9.6,10.8,12))/100)),MAX(0,Inputs!$B$43-((R1978-1)*Skills!D17))))/Inputs!$B$43),IF(Inputs!$B$38="pvp",MIN((Skills!T17*(1+(Inputs!$B$34+(ArtifactsInput!$M$7-ArtifactsInput!$M$7)*CHOOSE(ArtifactsInput!$N$7+1,6,7.2,8.4,9.6,10.8,12))/100)),15)/15,(Skills!T17*(1+(Inputs!$B$34+(ArtifactsInput!$M$7-ArtifactsInput!$M$7)*CHOOSE(ArtifactsInput!$N$7+1,6,7.2,8.4,9.6,10.8,12))/100))/Skills!D17)))+((C1975=TRUE)*F1975*IF(Inputs!$B$3&gt;=110,7,5))</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2005)</f>
        <v/>
      </c>
      <c r="L2005">
        <f>K2005*(MIN(Inputs!$B$22+((C2025=TRUE)*(F2025-Calc!F22)),(Inputs!$B$23+((C2027=TRUE)*(F2027-Calc!F24))+(IF(ArtifactsInput!$M$15,CHOOSE(ArtifactsInput!$N$15+1,25,30,35,40,45,50)/100*(Inputs!$B$11-Inputs!$B$11),0))))/100+(Inputs!$B$23+((C2027=TRUE)*(F2027-Calc!F24))+(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INDEX(FactorTable!$B$2:$Y$301, MATCH(ROUND(MIN(300,MAX(1,U2005)),0), FactorTable!$A$2:$A$301,0), 22)</f>
        <v/>
      </c>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U2007">
        <f>290*U2006/1000</f>
        <v/>
      </c>
    </row>
    <row r="2008">
      <c r="A2008">
        <f>Skills!A5</f>
        <v/>
      </c>
      <c r="B2008">
        <f>Skills!B5</f>
        <v/>
      </c>
      <c r="C2008">
        <f>Inputs!$B$3&gt;=103</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2008)</f>
        <v/>
      </c>
      <c r="L2008">
        <f>K2008*(MIN(Inputs!$B$22+((C2025=TRUE)*(F2025-Calc!F22)),(Inputs!$B$23+((C2027=TRUE)*(F2027-Calc!F24))+(IF(ArtifactsInput!$M$15,CHOOSE(ArtifactsInput!$N$15+1,25,30,35,40,45,50)/100*(Inputs!$B$11-Inputs!$B$11),0))))/100+(Inputs!$B$23+((C2027=TRUE)*(F2027-Calc!F24))+(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IFERROR(1/(IF(Inputs!$B$38="pvp",15,MAX(0.1,Skills!D5-IF(Skills!E5=TRUE,Inputs!$B$32,0)))*(1-IF(AND(IF(ArtifactsInput!$M$27,FALSE,TRUE),Inputs!$B$4="Chapter Hunt"),CHOOSE(ArtifactsInput!$N$27+1,20,24,28,32,36,40),0)/100)),0)</f>
        <v/>
      </c>
      <c r="R2008">
        <f>IF(AND(Inputs!$B$38&lt;&gt;"pvp",Inputs!$B$43&gt;0),IF(MAX(0,Inputs!$B$43-B2039)&lt;=0,0,(INT(MAX(0,Inputs!$B$43-B2039)/(IF(Inputs!$B$38="pvp",15,MAX(0.1,Skills!D5-IF(Skills!E5=TRUE,Inputs!$B$32,0)))*(1-IF(AND(IF(ArtifactsInput!$M$27,FALSE,TRUE),Inputs!$B$4="Chapter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2009)</f>
        <v/>
      </c>
      <c r="L2009">
        <f>K2009*(MIN(Inputs!$B$22+((C2025=TRUE)*(F2025-Calc!F22)),(Inputs!$B$23+((C2027=TRUE)*(F2027-Calc!F24))+(IF(ArtifactsInput!$M$15,CHOOSE(ArtifactsInput!$N$15+1,25,30,35,40,45,50)/100*(Inputs!$B$11-Inputs!$B$11),0))))/100+(Inputs!$B$23+((C2027=TRUE)*(F2027-Calc!F24))+(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IFERROR(1/(IF(Inputs!$B$38="pvp",15,MAX(0.1,Skills!D6-IF(Skills!E6=TRUE,Inputs!$B$32,0)))*(1-IF(AND(IF(ArtifactsInput!$M$27,FALSE,TRUE),Inputs!$B$4="Chapter Hunt"),CHOOSE(ArtifactsInput!$N$27+1,20,24,28,32,36,40),0)/100)),0)</f>
        <v/>
      </c>
      <c r="R2009">
        <f>IF(AND(Inputs!$B$38&lt;&gt;"pvp",Inputs!$B$43&gt;0),IF(MAX(0,Inputs!$B$43-B2039)&lt;=0,0,(INT(MAX(0,Inputs!$B$43-B2039)/(IF(Inputs!$B$38="pvp",15,MAX(0.1,Skills!D6-IF(Skills!E6=TRUE,Inputs!$B$32,0)))*(1-IF(AND(IF(ArtifactsInput!$M$27,FALSE,TRUE),Inputs!$B$4="Chapter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2010)</f>
        <v/>
      </c>
      <c r="L2010">
        <f>K2010*(MIN(Inputs!$B$22+((C2025=TRUE)*(F2025-Calc!F22)),(Inputs!$B$23+((C2027=TRUE)*(F2027-Calc!F24))+(IF(ArtifactsInput!$M$15,CHOOSE(ArtifactsInput!$N$15+1,25,30,35,40,45,50)/100*(Inputs!$B$11-Inputs!$B$11),0))))/100+(Inputs!$B$23+((C2027=TRUE)*(F2027-Calc!F24))+(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IFERROR(1/(IF(Inputs!$B$38="pvp",15,MAX(0.1,Skills!D7-IF(Skills!E7=TRUE,Inputs!$B$32,0)))*(1-IF(AND(IF(ArtifactsInput!$M$27,FALSE,TRUE),Inputs!$B$4="Chapter Hunt"),CHOOSE(ArtifactsInput!$N$27+1,20,24,28,32,36,40),0)/100)),0)</f>
        <v/>
      </c>
      <c r="R2010">
        <f>IF(AND(Inputs!$B$38&lt;&gt;"pvp",Inputs!$B$43&gt;0),IF(MAX(0,Inputs!$B$43-B2039)&lt;=0,0,(INT(MAX(0,Inputs!$B$43-B2039)/(IF(Inputs!$B$38="pvp",15,MAX(0.1,Skills!D7-IF(Skills!E7=TRUE,Inputs!$B$32,0)))*(1-IF(AND(IF(ArtifactsInput!$M$27,FALSE,TRUE),Inputs!$B$4="Chapter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Inputs!$B$3&gt;=117</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2011)</f>
        <v/>
      </c>
      <c r="L2011">
        <f>K2011*(MIN(Inputs!$B$22+((C2025=TRUE)*(F2025-Calc!F22)),(Inputs!$B$23+((C2027=TRUE)*(F2027-Calc!F24))+(IF(ArtifactsInput!$M$15,CHOOSE(ArtifactsInput!$N$15+1,25,30,35,40,45,50)/100*(Inputs!$B$11-Inputs!$B$11),0))))/100+(Inputs!$B$23+((C2027=TRUE)*(F2027-Calc!F24))+(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IFERROR(1/(IF(Inputs!$B$38="pvp",15,MAX(0.1,Skills!D8-IF(Skills!E8=TRUE,Inputs!$B$32,0)))*(1-IF(AND(IF(ArtifactsInput!$M$27,FALSE,TRUE),Inputs!$B$4="Chapter Hunt"),CHOOSE(ArtifactsInput!$N$27+1,20,24,28,32,36,40),0)/100)),0)</f>
        <v/>
      </c>
      <c r="R2011">
        <f>IF(AND(Inputs!$B$38&lt;&gt;"pvp",Inputs!$B$43&gt;0),IF(MAX(0,Inputs!$B$43-B2039)&lt;=0,0,(INT(MAX(0,Inputs!$B$43-B2039)/(IF(Inputs!$B$38="pvp",15,MAX(0.1,Skills!D8-IF(Skills!E8=TRUE,Inputs!$B$32,0)))*(1-IF(AND(IF(ArtifactsInput!$M$27,FALSE,TRUE),Inputs!$B$4="Chapter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Inputs!$B$3&gt;=69</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9="ENHANCED_RAGING_BLOW",IF(Inputs!$B$3&gt;=134,MAX(0,IF(Inputs!$B$3&gt;=110,7,5)-5)*50,0),0)/100)*(1+(IF(Skills!A9="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2012)</f>
        <v/>
      </c>
      <c r="L2012">
        <f>K2012*(MIN(Inputs!$B$22+((C2025=TRUE)*(F2025-Calc!F22)),(Inputs!$B$23+((C2027=TRUE)*(F2027-Calc!F24))+(IF(ArtifactsInput!$M$15,CHOOSE(ArtifactsInput!$N$15+1,25,30,35,40,45,50)/100*(Inputs!$B$11-Inputs!$B$11),0))))/100+(Inputs!$B$23+((C2027=TRUE)*(F2027-Calc!F24))+(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IFERROR(1/(IF(Inputs!$B$38="pvp",15,MAX(0.1,Skills!D9-IF(Skills!E9=TRUE,Inputs!$B$32,0)))*(1-IF(AND(IF(ArtifactsInput!$M$27,FALSE,TRUE),Inputs!$B$4="Chapter Hunt"),CHOOSE(ArtifactsInput!$N$27+1,20,24,28,32,36,40),0)/100)),0)</f>
        <v/>
      </c>
      <c r="R2012">
        <f>IF(AND(Inputs!$B$38&lt;&gt;"pvp",Inputs!$B$43&gt;0),IF(MAX(0,Inputs!$B$43-B2039)&lt;=0,0,(INT(MAX(0,Inputs!$B$43-B2039)/(IF(Inputs!$B$38="pvp",15,MAX(0.1,Skills!D9-IF(Skills!E9=TRUE,Inputs!$B$32,0)))*(1-IF(AND(IF(ArtifactsInput!$M$27,FALSE,TRUE),Inputs!$B$4="Chapter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Inputs!$B$3&gt;=63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10="ENHANCED_RAGING_BLOW",IF(Inputs!$B$3&gt;=134,MAX(0,IF(Inputs!$B$3&gt;=110,7,5)-5)*50,0),0)/100)*(1+(IF(Skills!A10="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2013)</f>
        <v/>
      </c>
      <c r="L2013">
        <f>K2013*(MIN(Inputs!$B$22+((C2025=TRUE)*(F2025-Calc!F22)),(Inputs!$B$23+((C2027=TRUE)*(F2027-Calc!F24))+(IF(ArtifactsInput!$M$15,CHOOSE(ArtifactsInput!$N$15+1,25,30,35,40,45,50)/100*(Inputs!$B$11-Inputs!$B$11),0))))/100+(Inputs!$B$23+((C2027=TRUE)*(F2027-Calc!F24))+(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IFERROR(1/(IF(Inputs!$B$38="pvp",15,MAX(0.1,Skills!D10-IF(Skills!E10=TRUE,Inputs!$B$32,0)))*(1-IF(AND(IF(ArtifactsInput!$M$27,FALSE,TRUE),Inputs!$B$4="Chapter Hunt"),CHOOSE(ArtifactsInput!$N$27+1,20,24,28,32,36,40),0)/100)),0)</f>
        <v/>
      </c>
      <c r="R2013">
        <f>IF(AND(Inputs!$B$38&lt;&gt;"pvp",Inputs!$B$43&gt;0),IF(MAX(0,Inputs!$B$43-B2039)&lt;=0,0,(INT(MAX(0,Inputs!$B$43-B2039)/(IF(Inputs!$B$38="pvp",15,MAX(0.1,Skills!D10-IF(Skills!E10=TRUE,Inputs!$B$32,0)))*(1-IF(AND(IF(ArtifactsInput!$M$27,FALSE,TRUE),Inputs!$B$4="Chapter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Inputs!$B$3&gt;=35</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11="ENHANCED_RAGING_BLOW",IF(Inputs!$B$3&gt;=134,MAX(0,IF(Inputs!$B$3&gt;=110,7,5)-5)*50,0),0)/100)*(1+(IF(Skills!A11="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2014)</f>
        <v/>
      </c>
      <c r="L2014">
        <f>K2014*(MIN(Inputs!$B$22+((C2025=TRUE)*(F2025-Calc!F22)),(Inputs!$B$23+((C2027=TRUE)*(F2027-Calc!F24))+(IF(ArtifactsInput!$M$15,CHOOSE(ArtifactsInput!$N$15+1,25,30,35,40,45,50)/100*(Inputs!$B$11-Inputs!$B$11),0))))/100+(Inputs!$B$23+((C2027=TRUE)*(F2027-Calc!F24))+(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IFERROR(1/(IF(Inputs!$B$38="pvp",15,MAX(0.1,Skills!D11-IF(Skills!E11=TRUE,Inputs!$B$32,0)))*(1-IF(AND(IF(ArtifactsInput!$M$27,FALSE,TRUE),Inputs!$B$4="Chapter Hunt"),CHOOSE(ArtifactsInput!$N$27+1,20,24,28,32,36,40),0)/100)),0)</f>
        <v/>
      </c>
      <c r="R2014">
        <f>IF(AND(Inputs!$B$38&lt;&gt;"pvp",Inputs!$B$43&gt;0),IF(MAX(0,Inputs!$B$43-B2039)&lt;=0,0,(INT(MAX(0,Inputs!$B$43-B2039)/(IF(Inputs!$B$38="pvp",15,MAX(0.1,Skills!D11-IF(Skills!E11=TRUE,Inputs!$B$32,0)))*(1-IF(AND(IF(ArtifactsInput!$M$27,FALSE,TRUE),Inputs!$B$4="Chapter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Inputs!$B$3&gt;=75</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Inputs!$B$3&gt;=40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IFERROR(1/(IF(Inputs!$B$38="pvp",15,MAX(0.1,Skills!D15-IF(Skills!E15=TRUE,Inputs!$B$32,0)))*(1-IF(AND(IF(ArtifactsInput!$M$27,FALSE,TRUE),Inputs!$B$4="Chapter Hunt"),CHOOSE(ArtifactsInput!$N$27+1,20,24,28,32,36,40),0)/100)),0)</f>
        <v/>
      </c>
      <c r="R2018">
        <f>IF(AND(Inputs!$B$38&lt;&gt;"pvp",Inputs!$B$43&gt;0),IF(Inputs!$B$43&lt;=0,0,(INT(Inputs!$B$43/(IF(Inputs!$B$38="pvp",15,MAX(0.1,Skills!D15-IF(Skills!E15=TRUE,Inputs!$B$32,0)))*(1-IF(AND(IF(ArtifactsInput!$M$27,FALSE,TRUE),Inputs!$B$4="Chapter Hunt"),CHOOSE(ArtifactsInput!$N$27+1,20,24,28,32,36,40),0)/100)))+1)),0)</f>
        <v/>
      </c>
      <c r="S2018">
        <f>IFERROR(O2018/N2018,0)</f>
        <v/>
      </c>
      <c r="T2018" t="n">
        <v>0</v>
      </c>
      <c r="V2018" t="n">
        <v>0</v>
      </c>
    </row>
    <row r="2019">
      <c r="A2019">
        <f>Skills!A16</f>
        <v/>
      </c>
      <c r="B2019">
        <f>Skills!B16</f>
        <v/>
      </c>
      <c r="C2019">
        <f>Inputs!$B$3&gt;=66</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IFERROR(1/(IF(Inputs!$B$38="pvp",15,MAX(0.1,Skills!D16-IF(Skills!E16=TRUE,Inputs!$B$32,0)))*(1-IF(AND(IF(ArtifactsInput!$M$27,FALSE,TRUE),Inputs!$B$4="Chapter Hunt"),CHOOSE(ArtifactsInput!$N$27+1,20,24,28,32,36,40),0)/100)),0)</f>
        <v/>
      </c>
      <c r="R2019">
        <f>IF(AND(Inputs!$B$38&lt;&gt;"pvp",Inputs!$B$43&gt;0),IF(Inputs!$B$43&lt;=0,0,(INT(Inputs!$B$43/(IF(Inputs!$B$38="pvp",15,MAX(0.1,Skills!D16-IF(Skills!E16=TRUE,Inputs!$B$32,0)))*(1-IF(AND(IF(ArtifactsInput!$M$27,FALSE,TRUE),Inputs!$B$4="Chapter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IFERROR(1/(IF(Inputs!$B$38="pvp",15,MAX(0.1,Skills!D17-IF(Skills!E17=TRUE,Inputs!$B$32,0)))*(1-IF(AND(IF(ArtifactsInput!$M$27,FALSE,TRUE),Inputs!$B$4="Chapter Hunt"),CHOOSE(ArtifactsInput!$N$27+1,20,24,28,32,36,40),0)/100)),0)</f>
        <v/>
      </c>
      <c r="R2020">
        <f>IF(AND(Inputs!$B$38&lt;&gt;"pvp",Inputs!$B$43&gt;0),IF(Inputs!$B$43&lt;=0,0,(INT(Inputs!$B$43/(IF(Inputs!$B$38="pvp",15,MAX(0.1,Skills!D17-IF(Skills!E17=TRUE,Inputs!$B$32,0)))*(1-IF(AND(IF(ArtifactsInput!$M$27,FALSE,TRUE),Inputs!$B$4="Chapter Hunt"),CHOOSE(ArtifactsInput!$N$27+1,20,24,28,32,36,40),0)/100)))+1)),0)</f>
        <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IFERROR(1/(IF(Inputs!$B$38="pvp",15,MAX(0.1,Skills!D18-IF(Skills!E18=TRUE,Inputs!$B$32,0)))*(1-IF(AND(IF(ArtifactsInput!$M$27,FALSE,TRUE),Inputs!$B$4="Chapter Hunt"),CHOOSE(ArtifactsInput!$N$27+1,20,24,28,32,36,40),0)/100)),0)</f>
        <v/>
      </c>
      <c r="R2021">
        <f>IF(AND(Inputs!$B$38&lt;&gt;"pvp",Inputs!$B$43&gt;0),IF(Inputs!$B$43&lt;=0,0,(INT(Inputs!$B$43/(IF(Inputs!$B$38="pvp",15,MAX(0.1,Skills!D18-IF(Skills!E18=TRUE,Inputs!$B$32,0)))*(1-IF(AND(IF(ArtifactsInput!$M$27,FALSE,TRUE),Inputs!$B$4="Chapter Hunt"),CHOOSE(ArtifactsInput!$N$27+1,20,24,28,32,36,40),0)/100)))+1)),0)</f>
        <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IFERROR(1/(IF(Inputs!$B$38="pvp",15,MAX(0.1,Skills!D19-IF(Skills!E19=TRUE,Inputs!$B$32,0)))*(1-IF(AND(IF(ArtifactsInput!$M$27,FALSE,TRUE),Inputs!$B$4="Chapter Hunt"),CHOOSE(ArtifactsInput!$N$27+1,20,24,28,32,36,40),0)/100)),0)</f>
        <v/>
      </c>
      <c r="R2022">
        <f>IF(AND(Inputs!$B$38&lt;&gt;"pvp",Inputs!$B$43&gt;0),IF(Inputs!$B$43&lt;=0,0,(INT(Inputs!$B$43/(IF(Inputs!$B$38="pvp",15,MAX(0.1,Skills!D19-IF(Skills!E19=TRUE,Inputs!$B$32,0)))*(1-IF(AND(IF(ArtifactsInput!$M$27,FALSE,TRUE),Inputs!$B$4="Chapter Hunt"),CHOOSE(ArtifactsInput!$N$27+1,20,24,28,32,36,40),0)/100)))+1)),0)</f>
        <v/>
      </c>
      <c r="S2022">
        <f>IFERROR(O2022/N2022,0)</f>
        <v/>
      </c>
      <c r="T2022" t="n">
        <v>0</v>
      </c>
      <c r="V2022" t="n">
        <v>0</v>
      </c>
    </row>
    <row r="2023">
      <c r="A2023">
        <f>Skills!A20</f>
        <v/>
      </c>
      <c r="B2023">
        <f>Skills!B20</f>
        <v/>
      </c>
      <c r="C2023">
        <f>Inputs!$B$3&gt;=33</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Inputs!$B$3&gt;=38</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Inputs!$B$3&gt;=120</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Inputs!$B$3&gt;=120</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Inputs!$B$3&gt;=72</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2022=TRUE)*F2022*IF(AND(Inputs!$B$38&lt;&gt;"pvp",Inputs!$B$43&gt;0),(((R2022-1)*(Skills!T19*(1+(Inputs!$B$34+(ArtifactsInput!$M$7-ArtifactsInput!$M$7)*CHOOSE(ArtifactsInput!$N$7+1,6,7.2,8.4,9.6,10.8,12))/100))+MIN((Skills!T19*(1+(Inputs!$B$34+(ArtifactsInput!$M$7-ArtifactsInput!$M$7)*CHOOSE(ArtifactsInput!$N$7+1,6,7.2,8.4,9.6,10.8,12))/100)),MAX(0,Inputs!$B$43-((R2022-1)*Skills!D19))))/Inputs!$B$43),IF(Inputs!$B$38="pvp",MIN((Skills!T19*(1+(Inputs!$B$34+(ArtifactsInput!$M$7-ArtifactsInput!$M$7)*CHOOSE(ArtifactsInput!$N$7+1,6,7.2,8.4,9.6,10.8,12))/100)),15)/15,(Skills!T19*(1+(Inputs!$B$34+(ArtifactsInput!$M$7-ArtifactsInput!$M$7)*CHOOSE(ArtifactsInput!$N$7+1,6,7.2,8.4,9.6,10.8,12))/100))/Skills!D19)))</f>
        <v/>
      </c>
    </row>
    <row r="2034">
      <c r="A2034" t="inlineStr">
        <is>
          <t>Actions Per Second</t>
        </is>
      </c>
      <c r="B2034">
        <f>1+MIN(150,150*(1-(1-(Inputs!$B$11+((C2023=TRUE)*(F2023-Calc!F20)))/150)*(1-B2033/150)))/100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Raging Blow Casts Per Second</t>
        </is>
      </c>
      <c r="B2036">
        <f>MAX(0,B2034-B2035)</f>
        <v/>
      </c>
    </row>
    <row r="2037">
      <c r="A2037" t="inlineStr">
        <is>
          <t>Global Critical Damage Bonus % (Enrage)</t>
        </is>
      </c>
      <c r="B2037">
        <f>((C2021=TRUE)*F2021*IF(AND(Inputs!$B$38&lt;&gt;"pvp",Inputs!$B$43&gt;0),(((R2021-1)*(Skills!T18*(1+(Inputs!$B$34+(ArtifactsInput!$M$7-ArtifactsInput!$M$7)*CHOOSE(ArtifactsInput!$N$7+1,6,7.2,8.4,9.6,10.8,12))/100))+MIN((Skills!T18*(1+(Inputs!$B$34+(ArtifactsInput!$M$7-ArtifactsInput!$M$7)*CHOOSE(ArtifactsInput!$N$7+1,6,7.2,8.4,9.6,10.8,12))/100)),MAX(0,Inputs!$B$43-((R2021-1)*Skills!D18))))/Inputs!$B$43),IF(Inputs!$B$38="pvp",MIN((Skills!T18*(1+(Inputs!$B$34+(ArtifactsInput!$M$7-ArtifactsInput!$M$7)*CHOOSE(ArtifactsInput!$N$7+1,6,7.2,8.4,9.6,10.8,12))/100)),15)/15,(Skills!T18*(1+(Inputs!$B$34+(ArtifactsInput!$M$7-ArtifactsInput!$M$7)*CHOOSE(ArtifactsInput!$N$7+1,6,7.2,8.4,9.6,10.8,12))/100))/Skills!D18)))</f>
        <v/>
      </c>
    </row>
    <row r="2038">
      <c r="A2038" t="inlineStr">
        <is>
          <t>Global Final Damage Bonus % (Enrage + Combo Synergy)</t>
        </is>
      </c>
      <c r="B2038">
        <f>((C2020=TRUE)*F2020*IF(AND(Inputs!$B$38&lt;&gt;"pvp",Inputs!$B$43&gt;0),(((R2020-1)*(Skills!T17*(1+(Inputs!$B$34+(ArtifactsInput!$M$7-ArtifactsInput!$M$7)*CHOOSE(ArtifactsInput!$N$7+1,6,7.2,8.4,9.6,10.8,12))/100))+MIN((Skills!T17*(1+(Inputs!$B$34+(ArtifactsInput!$M$7-ArtifactsInput!$M$7)*CHOOSE(ArtifactsInput!$N$7+1,6,7.2,8.4,9.6,10.8,12))/100)),MAX(0,Inputs!$B$43-((R2020-1)*Skills!D17))))/Inputs!$B$43),IF(Inputs!$B$38="pvp",MIN((Skills!T17*(1+(Inputs!$B$34+(ArtifactsInput!$M$7-ArtifactsInput!$M$7)*CHOOSE(ArtifactsInput!$N$7+1,6,7.2,8.4,9.6,10.8,12))/100)),15)/15,(Skills!T17*(1+(Inputs!$B$34+(ArtifactsInput!$M$7-ArtifactsInput!$M$7)*CHOOSE(ArtifactsInput!$N$7+1,6,7.2,8.4,9.6,10.8,12))/100))/Skills!D17)))+((C2017=TRUE)*F2017*IF(Inputs!$B$3&gt;=110,7,5))</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2047)</f>
        <v/>
      </c>
      <c r="L2047">
        <f>K2047*(MIN(Inputs!$B$22+((C2067=TRUE)*(F2067-Calc!F22)),(Inputs!$B$23+((C2069=TRUE)*(F2069-Calc!F24))+(IF(ArtifactsInput!$M$15,CHOOSE(ArtifactsInput!$N$15+1,25,30,35,40,45,50)/100*(Inputs!$B$11-Inputs!$B$11),0))))/100+(Inputs!$B$23+((C2069=TRUE)*(F2069-Calc!F24))+(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INDEX(FactorTable!$B$2:$Y$301, MATCH(ROUND(MIN(300,MAX(1,U2047)),0), FactorTable!$A$2:$A$301,0), 22)</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U2049">
        <f>290*U2048/1000</f>
        <v/>
      </c>
    </row>
    <row r="2050">
      <c r="A2050">
        <f>Skills!A5</f>
        <v/>
      </c>
      <c r="B2050">
        <f>Skills!B5</f>
        <v/>
      </c>
      <c r="C2050">
        <f>Inputs!$B$3&gt;=103</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2050)</f>
        <v/>
      </c>
      <c r="L2050">
        <f>K2050*(MIN(Inputs!$B$22+((C2067=TRUE)*(F2067-Calc!F22)),(Inputs!$B$23+((C2069=TRUE)*(F2069-Calc!F24))+(IF(ArtifactsInput!$M$15,CHOOSE(ArtifactsInput!$N$15+1,25,30,35,40,45,50)/100*(Inputs!$B$11-Inputs!$B$11),0))))/100+(Inputs!$B$23+((C2069=TRUE)*(F2069-Calc!F24))+(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IFERROR(1/(IF(Inputs!$B$38="pvp",15,MAX(0.1,Skills!D5-IF(Skills!E5=TRUE,Inputs!$B$32,0)))*(1-IF(AND(ArtifactsInput!$M$27,Inputs!$B$4="Chapter Hunt"),CHOOSE(ArtifactsInput!$N$27+1,20,24,28,32,36,40),0)/100)),0)</f>
        <v/>
      </c>
      <c r="R2050">
        <f>IF(AND(Inputs!$B$38&lt;&gt;"pvp",Inputs!$B$43&gt;0),IF(MAX(0,Inputs!$B$43-B2081)&lt;=0,0,(INT(MAX(0,Inputs!$B$43-B2081)/(IF(Inputs!$B$38="pvp",15,MAX(0.1,Skills!D5-IF(Skills!E5=TRUE,Inputs!$B$32,0)))*(1-IF(AND(ArtifactsInput!$M$27,Inputs!$B$4="Chapter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2051)</f>
        <v/>
      </c>
      <c r="L2051">
        <f>K2051*(MIN(Inputs!$B$22+((C2067=TRUE)*(F2067-Calc!F22)),(Inputs!$B$23+((C2069=TRUE)*(F2069-Calc!F24))+(IF(ArtifactsInput!$M$15,CHOOSE(ArtifactsInput!$N$15+1,25,30,35,40,45,50)/100*(Inputs!$B$11-Inputs!$B$11),0))))/100+(Inputs!$B$23+((C2069=TRUE)*(F2069-Calc!F24))+(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IFERROR(1/(IF(Inputs!$B$38="pvp",15,MAX(0.1,Skills!D6-IF(Skills!E6=TRUE,Inputs!$B$32,0)))*(1-IF(AND(ArtifactsInput!$M$27,Inputs!$B$4="Chapter Hunt"),CHOOSE(ArtifactsInput!$N$27+1,20,24,28,32,36,40),0)/100)),0)</f>
        <v/>
      </c>
      <c r="R2051">
        <f>IF(AND(Inputs!$B$38&lt;&gt;"pvp",Inputs!$B$43&gt;0),IF(MAX(0,Inputs!$B$43-B2081)&lt;=0,0,(INT(MAX(0,Inputs!$B$43-B2081)/(IF(Inputs!$B$38="pvp",15,MAX(0.1,Skills!D6-IF(Skills!E6=TRUE,Inputs!$B$32,0)))*(1-IF(AND(ArtifactsInput!$M$27,Inputs!$B$4="Chapter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f>Skills!G7*IF(Skills!H7&gt;0,Skills!I7/Skills!H7,1)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2052)</f>
        <v/>
      </c>
      <c r="L2052">
        <f>K2052*(MIN(Inputs!$B$22+((C2067=TRUE)*(F2067-Calc!F22)),(Inputs!$B$23+((C2069=TRUE)*(F2069-Calc!F24))+(IF(ArtifactsInput!$M$15,CHOOSE(ArtifactsInput!$N$15+1,25,30,35,40,45,50)/100*(Inputs!$B$11-Inputs!$B$11),0))))/100+(Inputs!$B$23+((C2069=TRUE)*(F2069-Calc!F24))+(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IFERROR(1/(IF(Inputs!$B$38="pvp",15,MAX(0.1,Skills!D7-IF(Skills!E7=TRUE,Inputs!$B$32,0)))*(1-IF(AND(ArtifactsInput!$M$27,Inputs!$B$4="Chapter Hunt"),CHOOSE(ArtifactsInput!$N$27+1,20,24,28,32,36,40),0)/100)),0)</f>
        <v/>
      </c>
      <c r="R2052">
        <f>IF(AND(Inputs!$B$38&lt;&gt;"pvp",Inputs!$B$43&gt;0),IF(MAX(0,Inputs!$B$43-B2081)&lt;=0,0,(INT(MAX(0,Inputs!$B$43-B2081)/(IF(Inputs!$B$38="pvp",15,MAX(0.1,Skills!D7-IF(Skills!E7=TRUE,Inputs!$B$32,0)))*(1-IF(AND(ArtifactsInput!$M$27,Inputs!$B$4="Chapter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Inputs!$B$3&gt;=117</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2053)</f>
        <v/>
      </c>
      <c r="L2053">
        <f>K2053*(MIN(Inputs!$B$22+((C2067=TRUE)*(F2067-Calc!F22)),(Inputs!$B$23+((C2069=TRUE)*(F2069-Calc!F24))+(IF(ArtifactsInput!$M$15,CHOOSE(ArtifactsInput!$N$15+1,25,30,35,40,45,50)/100*(Inputs!$B$11-Inputs!$B$11),0))))/100+(Inputs!$B$23+((C2069=TRUE)*(F2069-Calc!F24))+(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IFERROR(1/(IF(Inputs!$B$38="pvp",15,MAX(0.1,Skills!D8-IF(Skills!E8=TRUE,Inputs!$B$32,0)))*(1-IF(AND(ArtifactsInput!$M$27,Inputs!$B$4="Chapter Hunt"),CHOOSE(ArtifactsInput!$N$27+1,20,24,28,32,36,40),0)/100)),0)</f>
        <v/>
      </c>
      <c r="R2053">
        <f>IF(AND(Inputs!$B$38&lt;&gt;"pvp",Inputs!$B$43&gt;0),IF(MAX(0,Inputs!$B$43-B2081)&lt;=0,0,(INT(MAX(0,Inputs!$B$43-B2081)/(IF(Inputs!$B$38="pvp",15,MAX(0.1,Skills!D8-IF(Skills!E8=TRUE,Inputs!$B$32,0)))*(1-IF(AND(ArtifactsInput!$M$27,Inputs!$B$4="Chapter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Inputs!$B$3&gt;=69</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9="ENHANCED_RAGING_BLOW",IF(Inputs!$B$3&gt;=134,MAX(0,IF(Inputs!$B$3&gt;=110,7,5)-5)*50,0),0)/100)*(1+(IF(Skills!A9="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2054)</f>
        <v/>
      </c>
      <c r="L2054">
        <f>K2054*(MIN(Inputs!$B$22+((C2067=TRUE)*(F2067-Calc!F22)),(Inputs!$B$23+((C2069=TRUE)*(F2069-Calc!F24))+(IF(ArtifactsInput!$M$15,CHOOSE(ArtifactsInput!$N$15+1,25,30,35,40,45,50)/100*(Inputs!$B$11-Inputs!$B$11),0))))/100+(Inputs!$B$23+((C2069=TRUE)*(F2069-Calc!F24))+(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IFERROR(1/(IF(Inputs!$B$38="pvp",15,MAX(0.1,Skills!D9-IF(Skills!E9=TRUE,Inputs!$B$32,0)))*(1-IF(AND(ArtifactsInput!$M$27,Inputs!$B$4="Chapter Hunt"),CHOOSE(ArtifactsInput!$N$27+1,20,24,28,32,36,40),0)/100)),0)</f>
        <v/>
      </c>
      <c r="R2054">
        <f>IF(AND(Inputs!$B$38&lt;&gt;"pvp",Inputs!$B$43&gt;0),IF(MAX(0,Inputs!$B$43-B2081)&lt;=0,0,(INT(MAX(0,Inputs!$B$43-B2081)/(IF(Inputs!$B$38="pvp",15,MAX(0.1,Skills!D9-IF(Skills!E9=TRUE,Inputs!$B$32,0)))*(1-IF(AND(ArtifactsInput!$M$27,Inputs!$B$4="Chapter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Inputs!$B$3&gt;=63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10="ENHANCED_RAGING_BLOW",IF(Inputs!$B$3&gt;=134,MAX(0,IF(Inputs!$B$3&gt;=110,7,5)-5)*50,0),0)/100)*(1+(IF(Skills!A10="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2055)</f>
        <v/>
      </c>
      <c r="L2055">
        <f>K2055*(MIN(Inputs!$B$22+((C2067=TRUE)*(F2067-Calc!F22)),(Inputs!$B$23+((C2069=TRUE)*(F2069-Calc!F24))+(IF(ArtifactsInput!$M$15,CHOOSE(ArtifactsInput!$N$15+1,25,30,35,40,45,50)/100*(Inputs!$B$11-Inputs!$B$11),0))))/100+(Inputs!$B$23+((C2069=TRUE)*(F2069-Calc!F24))+(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IFERROR(1/(IF(Inputs!$B$38="pvp",15,MAX(0.1,Skills!D10-IF(Skills!E10=TRUE,Inputs!$B$32,0)))*(1-IF(AND(ArtifactsInput!$M$27,Inputs!$B$4="Chapter Hunt"),CHOOSE(ArtifactsInput!$N$27+1,20,24,28,32,36,40),0)/100)),0)</f>
        <v/>
      </c>
      <c r="R2055">
        <f>IF(AND(Inputs!$B$38&lt;&gt;"pvp",Inputs!$B$43&gt;0),IF(MAX(0,Inputs!$B$43-B2081)&lt;=0,0,(INT(MAX(0,Inputs!$B$43-B2081)/(IF(Inputs!$B$38="pvp",15,MAX(0.1,Skills!D10-IF(Skills!E10=TRUE,Inputs!$B$32,0)))*(1-IF(AND(ArtifactsInput!$M$27,Inputs!$B$4="Chapter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Inputs!$B$3&gt;=35</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f>Skills!G11*IF(Skills!H11&gt;0,Skills!I11/Skills!H11,1)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11="ENHANCED_RAGING_BLOW",IF(Inputs!$B$3&gt;=134,MAX(0,IF(Inputs!$B$3&gt;=110,7,5)-5)*50,0),0)/100)*(1+(IF(Skills!A11="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2056)</f>
        <v/>
      </c>
      <c r="L2056">
        <f>K2056*(MIN(Inputs!$B$22+((C2067=TRUE)*(F2067-Calc!F22)),(Inputs!$B$23+((C2069=TRUE)*(F2069-Calc!F24))+(IF(ArtifactsInput!$M$15,CHOOSE(ArtifactsInput!$N$15+1,25,30,35,40,45,50)/100*(Inputs!$B$11-Inputs!$B$11),0))))/100+(Inputs!$B$23+((C2069=TRUE)*(F2069-Calc!F24))+(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IFERROR(1/(IF(Inputs!$B$38="pvp",15,MAX(0.1,Skills!D11-IF(Skills!E11=TRUE,Inputs!$B$32,0)))*(1-IF(AND(ArtifactsInput!$M$27,Inputs!$B$4="Chapter Hunt"),CHOOSE(ArtifactsInput!$N$27+1,20,24,28,32,36,40),0)/100)),0)</f>
        <v/>
      </c>
      <c r="R2056">
        <f>IF(AND(Inputs!$B$38&lt;&gt;"pvp",Inputs!$B$43&gt;0),IF(MAX(0,Inputs!$B$43-B2081)&lt;=0,0,(INT(MAX(0,Inputs!$B$43-B2081)/(IF(Inputs!$B$38="pvp",15,MAX(0.1,Skills!D11-IF(Skills!E11=TRUE,Inputs!$B$32,0)))*(1-IF(AND(ArtifactsInput!$M$27,Inputs!$B$4="Chapter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f>Skills!G13*IF(Skills!H13&gt;0,Skills!I13/Skills!H13,1)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Inputs!$B$3&gt;=75</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Inputs!$B$3&gt;=40</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IFERROR(1/(IF(Inputs!$B$38="pvp",15,MAX(0.1,Skills!D15-IF(Skills!E15=TRUE,Inputs!$B$32,0)))*(1-IF(AND(ArtifactsInput!$M$27,Inputs!$B$4="Chapter Hunt"),CHOOSE(ArtifactsInput!$N$27+1,20,24,28,32,36,40),0)/100)),0)</f>
        <v/>
      </c>
      <c r="R2060">
        <f>IF(AND(Inputs!$B$38&lt;&gt;"pvp",Inputs!$B$43&gt;0),IF(Inputs!$B$43&lt;=0,0,(INT(Inputs!$B$43/(IF(Inputs!$B$38="pvp",15,MAX(0.1,Skills!D15-IF(Skills!E15=TRUE,Inputs!$B$32,0)))*(1-IF(AND(ArtifactsInput!$M$27,Inputs!$B$4="Chapter Hunt"),CHOOSE(ArtifactsInput!$N$27+1,20,24,28,32,36,40),0)/100)))+1)),0)</f>
        <v/>
      </c>
      <c r="S2060">
        <f>IFERROR(O2060/N2060,0)</f>
        <v/>
      </c>
      <c r="T2060" t="n">
        <v>0</v>
      </c>
      <c r="V2060" t="n">
        <v>0</v>
      </c>
    </row>
    <row r="2061">
      <c r="A2061">
        <f>Skills!A16</f>
        <v/>
      </c>
      <c r="B2061">
        <f>Skills!B16</f>
        <v/>
      </c>
      <c r="C2061">
        <f>Inputs!$B$3&gt;=66</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Inputs!$B$3&gt;=115</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IFERROR(1/(IF(Inputs!$B$38="pvp",15,MAX(0.1,Skills!D18-IF(Skills!E18=TRUE,Inputs!$B$32,0)))*(1-IF(AND(ArtifactsInput!$M$27,Inputs!$B$4="Chapter Hunt"),CHOOSE(ArtifactsInput!$N$27+1,20,24,28,32,36,40),0)/100)),0)</f>
        <v/>
      </c>
      <c r="R2063">
        <f>IF(AND(Inputs!$B$38&lt;&gt;"pvp",Inputs!$B$43&gt;0),IF(Inputs!$B$43&lt;=0,0,(INT(Inputs!$B$43/(IF(Inputs!$B$38="pvp",15,MAX(0.1,Skills!D18-IF(Skills!E18=TRUE,Inputs!$B$32,0)))*(1-IF(AND(ArtifactsInput!$M$27,Inputs!$B$4="Chapter Hunt"),CHOOSE(ArtifactsInput!$N$27+1,20,24,28,32,36,40),0)/100)))+1)),0)</f>
        <v/>
      </c>
      <c r="S2063">
        <f>IFERROR(O2063/N2063,0)</f>
        <v/>
      </c>
      <c r="T2063" t="n">
        <v>0</v>
      </c>
      <c r="V2063" t="n">
        <v>0</v>
      </c>
    </row>
    <row r="2064">
      <c r="A2064">
        <f>Skills!A19</f>
        <v/>
      </c>
      <c r="B2064">
        <f>Skills!B19</f>
        <v/>
      </c>
      <c r="C2064">
        <f>TRUE</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IFERROR(1/(IF(Inputs!$B$38="pvp",15,MAX(0.1,Skills!D19-IF(Skills!E19=TRUE,Inputs!$B$32,0)))*(1-IF(AND(ArtifactsInput!$M$27,Inputs!$B$4="Chapter Hunt"),CHOOSE(ArtifactsInput!$N$27+1,20,24,28,32,36,40),0)/100)),0)</f>
        <v/>
      </c>
      <c r="R2064">
        <f>IF(AND(Inputs!$B$38&lt;&gt;"pvp",Inputs!$B$43&gt;0),IF(Inputs!$B$43&lt;=0,0,(INT(Inputs!$B$43/(IF(Inputs!$B$38="pvp",15,MAX(0.1,Skills!D19-IF(Skills!E19=TRUE,Inputs!$B$32,0)))*(1-IF(AND(ArtifactsInput!$M$27,Inputs!$B$4="Chapter Hunt"),CHOOSE(ArtifactsInput!$N$27+1,20,24,28,32,36,40),0)/100)))+1)),0)</f>
        <v/>
      </c>
      <c r="S2064">
        <f>IFERROR(O2064/N2064,0)</f>
        <v/>
      </c>
      <c r="T2064" t="n">
        <v>0</v>
      </c>
      <c r="V2064" t="n">
        <v>0</v>
      </c>
    </row>
    <row r="2065">
      <c r="A2065">
        <f>Skills!A20</f>
        <v/>
      </c>
      <c r="B2065">
        <f>Skills!B20</f>
        <v/>
      </c>
      <c r="C2065">
        <f>Inputs!$B$3&gt;=33</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Inputs!$B$3&gt;=38</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Skills!A22</f>
        <v/>
      </c>
      <c r="B2067">
        <f>Skills!B22</f>
        <v/>
      </c>
      <c r="C2067">
        <f>Inputs!$B$3&gt;=43</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Inputs!$B$3&gt;=120</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Inputs!$B$3&gt;=120</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Inputs!$B$3&gt;=125</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Inputs!$B$3&gt;=72</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2064=TRUE)*F2064*IF(AND(Inputs!$B$38&lt;&gt;"pvp",Inputs!$B$43&gt;0),(((R2064-1)*(Skills!T19*(1+(Inputs!$B$34+(ArtifactsInput!$M$7-ArtifactsInput!$M$7)*CHOOSE(ArtifactsInput!$N$7+1,6,7.2,8.4,9.6,10.8,12))/100))+MIN((Skills!T19*(1+(Inputs!$B$34+(ArtifactsInput!$M$7-ArtifactsInput!$M$7)*CHOOSE(ArtifactsInput!$N$7+1,6,7.2,8.4,9.6,10.8,12))/100)),MAX(0,Inputs!$B$43-((R2064-1)*Skills!D19))))/Inputs!$B$43),IF(Inputs!$B$38="pvp",MIN((Skills!T19*(1+(Inputs!$B$34+(ArtifactsInput!$M$7-ArtifactsInput!$M$7)*CHOOSE(ArtifactsInput!$N$7+1,6,7.2,8.4,9.6,10.8,12))/100)),15)/15,(Skills!T19*(1+(Inputs!$B$34+(ArtifactsInput!$M$7-ArtifactsInput!$M$7)*CHOOSE(ArtifactsInput!$N$7+1,6,7.2,8.4,9.6,10.8,12))/100))/Skills!D19)))</f>
        <v/>
      </c>
    </row>
    <row r="2076">
      <c r="A2076" t="inlineStr">
        <is>
          <t>Actions Per Second</t>
        </is>
      </c>
      <c r="B2076">
        <f>1+MIN(150,150*(1-(1-(Inputs!$B$11+((C2065=TRUE)*(F2065-Calc!F20)))/150)*(1-B2075/150)))/100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Raging Blow Casts Per Second</t>
        </is>
      </c>
      <c r="B2078">
        <f>MAX(0,B2076-B2077)</f>
        <v/>
      </c>
    </row>
    <row r="2079">
      <c r="A2079" t="inlineStr">
        <is>
          <t>Global Critical Damage Bonus % (Enrage)</t>
        </is>
      </c>
      <c r="B2079">
        <f>((C2063=TRUE)*F2063*IF(AND(Inputs!$B$38&lt;&gt;"pvp",Inputs!$B$43&gt;0),(((R2063-1)*(Skills!T18*(1+(Inputs!$B$34+(ArtifactsInput!$M$7-ArtifactsInput!$M$7)*CHOOSE(ArtifactsInput!$N$7+1,6,7.2,8.4,9.6,10.8,12))/100))+MIN((Skills!T18*(1+(Inputs!$B$34+(ArtifactsInput!$M$7-ArtifactsInput!$M$7)*CHOOSE(ArtifactsInput!$N$7+1,6,7.2,8.4,9.6,10.8,12))/100)),MAX(0,Inputs!$B$43-((R2063-1)*Skills!D18))))/Inputs!$B$43),IF(Inputs!$B$38="pvp",MIN((Skills!T18*(1+(Inputs!$B$34+(ArtifactsInput!$M$7-ArtifactsInput!$M$7)*CHOOSE(ArtifactsInput!$N$7+1,6,7.2,8.4,9.6,10.8,12))/100)),15)/15,(Skills!T18*(1+(Inputs!$B$34+(ArtifactsInput!$M$7-ArtifactsInput!$M$7)*CHOOSE(ArtifactsInput!$N$7+1,6,7.2,8.4,9.6,10.8,12))/100))/Skills!D18)))</f>
        <v/>
      </c>
    </row>
    <row r="2080">
      <c r="A2080" t="inlineStr">
        <is>
          <t>Global Final Damage Bonus % (Enrage + Combo Synergy)</t>
        </is>
      </c>
      <c r="B2080">
        <f>((C2062=TRUE)*F2062*IF(AND(Inputs!$B$38&lt;&gt;"pvp",Inputs!$B$43&gt;0),(((R2062-1)*(Skills!T17*(1+(Inputs!$B$34+(ArtifactsInput!$M$7-ArtifactsInput!$M$7)*CHOOSE(ArtifactsInput!$N$7+1,6,7.2,8.4,9.6,10.8,12))/100))+MIN((Skills!T17*(1+(Inputs!$B$34+(ArtifactsInput!$M$7-ArtifactsInput!$M$7)*CHOOSE(ArtifactsInput!$N$7+1,6,7.2,8.4,9.6,10.8,12))/100)),MAX(0,Inputs!$B$43-((R2062-1)*Skills!D17))))/Inputs!$B$43),IF(Inputs!$B$38="pvp",MIN((Skills!T17*(1+(Inputs!$B$34+(ArtifactsInput!$M$7-ArtifactsInput!$M$7)*CHOOSE(ArtifactsInput!$N$7+1,6,7.2,8.4,9.6,10.8,12))/100)),15)/15,(Skills!T17*(1+(Inputs!$B$34+(ArtifactsInput!$M$7-ArtifactsInput!$M$7)*CHOOSE(ArtifactsInput!$N$7+1,6,7.2,8.4,9.6,10.8,12))/100))/Skills!D17)))+((C2059=TRUE)*F2059*IF(Inputs!$B$3&gt;=110,7,5))</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2089)</f>
        <v/>
      </c>
      <c r="L2089">
        <f>K2089*(MIN(Inputs!$B$22+((C2109=TRUE)*(F2109-Calc!F22)),(Inputs!$B$23+((C2111=TRUE)*(F2111-Calc!F24))+(IF(ArtifactsInput!$M$15,CHOOSE(ArtifactsInput!$N$15+1,25,30,35,40,45,50)/100*(Inputs!$B$11-Inputs!$B$11),0))))/100+(Inputs!$B$23+((C2111=TRUE)*(F2111-Calc!F24))+(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INDEX(FactorTable!$B$2:$Y$301, MATCH(ROUND(MIN(300,MAX(1,U2089)),0), FactorTable!$A$2:$A$301,0), 22)</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U2091">
        <f>290*U2090/1000</f>
        <v/>
      </c>
    </row>
    <row r="2092">
      <c r="A2092">
        <f>Skills!A5</f>
        <v/>
      </c>
      <c r="B2092">
        <f>Skills!B5</f>
        <v/>
      </c>
      <c r="C2092">
        <f>Inputs!$B$3&gt;=103</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2092)</f>
        <v/>
      </c>
      <c r="L2092">
        <f>K2092*(MIN(Inputs!$B$22+((C2109=TRUE)*(F2109-Calc!F22)),(Inputs!$B$23+((C2111=TRUE)*(F2111-Calc!F24))+(IF(ArtifactsInput!$M$15,CHOOSE(ArtifactsInput!$N$15+1,25,30,35,40,45,50)/100*(Inputs!$B$11-Inputs!$B$11),0))))/100+(Inputs!$B$23+((C2111=TRUE)*(F2111-Calc!F24))+(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IFERROR(1/(IF(Inputs!$B$38="pvp",15,MAX(0.1,Skills!D5-IF(Skills!E5=TRUE,Inputs!$B$32,0)))*(1-IF(AND(ArtifactsInput!$M$27,Inputs!$B$4="Chapter Hunt"),CHOOSE(ArtifactsInput!$N$27+1,20,24,28,32,36,40),0)/100)),0)</f>
        <v/>
      </c>
      <c r="R2092">
        <f>IF(AND(Inputs!$B$38&lt;&gt;"pvp",Inputs!$B$43&gt;0),IF(MAX(0,Inputs!$B$43-B2123)&lt;=0,0,(INT(MAX(0,Inputs!$B$43-B2123)/(IF(Inputs!$B$38="pvp",15,MAX(0.1,Skills!D5-IF(Skills!E5=TRUE,Inputs!$B$32,0)))*(1-IF(AND(ArtifactsInput!$M$27,Inputs!$B$4="Chapter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2093)</f>
        <v/>
      </c>
      <c r="L2093">
        <f>K2093*(MIN(Inputs!$B$22+((C2109=TRUE)*(F2109-Calc!F22)),(Inputs!$B$23+((C2111=TRUE)*(F2111-Calc!F24))+(IF(ArtifactsInput!$M$15,CHOOSE(ArtifactsInput!$N$15+1,25,30,35,40,45,50)/100*(Inputs!$B$11-Inputs!$B$11),0))))/100+(Inputs!$B$23+((C2111=TRUE)*(F2111-Calc!F24))+(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IFERROR(1/(IF(Inputs!$B$38="pvp",15,MAX(0.1,Skills!D6-IF(Skills!E6=TRUE,Inputs!$B$32,0)))*(1-IF(AND(ArtifactsInput!$M$27,Inputs!$B$4="Chapter Hunt"),CHOOSE(ArtifactsInput!$N$27+1,20,24,28,32,36,40),0)/100)),0)</f>
        <v/>
      </c>
      <c r="R2093">
        <f>IF(AND(Inputs!$B$38&lt;&gt;"pvp",Inputs!$B$43&gt;0),IF(MAX(0,Inputs!$B$43-B2123)&lt;=0,0,(INT(MAX(0,Inputs!$B$43-B2123)/(IF(Inputs!$B$38="pvp",15,MAX(0.1,Skills!D6-IF(Skills!E6=TRUE,Inputs!$B$32,0)))*(1-IF(AND(ArtifactsInput!$M$27,Inputs!$B$4="Chapter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f>Skills!G7*IF(Skills!H7&gt;0,Skills!I7/Skills!H7,1)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2094)</f>
        <v/>
      </c>
      <c r="L2094">
        <f>K2094*(MIN(Inputs!$B$22+((C2109=TRUE)*(F2109-Calc!F22)),(Inputs!$B$23+((C2111=TRUE)*(F2111-Calc!F24))+(IF(ArtifactsInput!$M$15,CHOOSE(ArtifactsInput!$N$15+1,25,30,35,40,45,50)/100*(Inputs!$B$11-Inputs!$B$11),0))))/100+(Inputs!$B$23+((C2111=TRUE)*(F2111-Calc!F24))+(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IFERROR(1/(IF(Inputs!$B$38="pvp",15,MAX(0.1,Skills!D7-IF(Skills!E7=TRUE,Inputs!$B$32,0)))*(1-IF(AND(ArtifactsInput!$M$27,Inputs!$B$4="Chapter Hunt"),CHOOSE(ArtifactsInput!$N$27+1,20,24,28,32,36,40),0)/100)),0)</f>
        <v/>
      </c>
      <c r="R2094">
        <f>IF(AND(Inputs!$B$38&lt;&gt;"pvp",Inputs!$B$43&gt;0),IF(MAX(0,Inputs!$B$43-B2123)&lt;=0,0,(INT(MAX(0,Inputs!$B$43-B2123)/(IF(Inputs!$B$38="pvp",15,MAX(0.1,Skills!D7-IF(Skills!E7=TRUE,Inputs!$B$32,0)))*(1-IF(AND(ArtifactsInput!$M$27,Inputs!$B$4="Chapter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Inputs!$B$3&gt;=117</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2095)</f>
        <v/>
      </c>
      <c r="L2095">
        <f>K2095*(MIN(Inputs!$B$22+((C2109=TRUE)*(F2109-Calc!F22)),(Inputs!$B$23+((C2111=TRUE)*(F2111-Calc!F24))+(IF(ArtifactsInput!$M$15,CHOOSE(ArtifactsInput!$N$15+1,25,30,35,40,45,50)/100*(Inputs!$B$11-Inputs!$B$11),0))))/100+(Inputs!$B$23+((C2111=TRUE)*(F2111-Calc!F24))+(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IFERROR(1/(IF(Inputs!$B$38="pvp",15,MAX(0.1,Skills!D8-IF(Skills!E8=TRUE,Inputs!$B$32,0)))*(1-IF(AND(ArtifactsInput!$M$27,Inputs!$B$4="Chapter Hunt"),CHOOSE(ArtifactsInput!$N$27+1,20,24,28,32,36,40),0)/100)),0)</f>
        <v/>
      </c>
      <c r="R2095">
        <f>IF(AND(Inputs!$B$38&lt;&gt;"pvp",Inputs!$B$43&gt;0),IF(MAX(0,Inputs!$B$43-B2123)&lt;=0,0,(INT(MAX(0,Inputs!$B$43-B2123)/(IF(Inputs!$B$38="pvp",15,MAX(0.1,Skills!D8-IF(Skills!E8=TRUE,Inputs!$B$32,0)))*(1-IF(AND(ArtifactsInput!$M$27,Inputs!$B$4="Chapter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9="ENHANCED_RAGING_BLOW",IF(Inputs!$B$3&gt;=134,MAX(0,IF(Inputs!$B$3&gt;=110,7,5)-5)*50,0),0)/100)*(1+(IF(Skills!A9="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2096)</f>
        <v/>
      </c>
      <c r="L2096">
        <f>K2096*(MIN(Inputs!$B$22+((C2109=TRUE)*(F2109-Calc!F22)),(Inputs!$B$23+((C2111=TRUE)*(F2111-Calc!F24))+(IF(ArtifactsInput!$M$15,CHOOSE(ArtifactsInput!$N$15+1,25,30,35,40,45,50)/100*(Inputs!$B$11-Inputs!$B$11),0))))/100+(Inputs!$B$23+((C2111=TRUE)*(F2111-Calc!F24))+(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IFERROR(1/(IF(Inputs!$B$38="pvp",15,MAX(0.1,Skills!D9-IF(Skills!E9=TRUE,Inputs!$B$32,0)))*(1-IF(AND(ArtifactsInput!$M$27,Inputs!$B$4="Chapter Hunt"),CHOOSE(ArtifactsInput!$N$27+1,20,24,28,32,36,40),0)/100)),0)</f>
        <v/>
      </c>
      <c r="R2096">
        <f>IF(AND(Inputs!$B$38&lt;&gt;"pvp",Inputs!$B$43&gt;0),IF(MAX(0,Inputs!$B$43-B2123)&lt;=0,0,(INT(MAX(0,Inputs!$B$43-B2123)/(IF(Inputs!$B$38="pvp",15,MAX(0.1,Skills!D9-IF(Skills!E9=TRUE,Inputs!$B$32,0)))*(1-IF(AND(ArtifactsInput!$M$27,Inputs!$B$4="Chapter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10="ENHANCED_RAGING_BLOW",IF(Inputs!$B$3&gt;=134,MAX(0,IF(Inputs!$B$3&gt;=110,7,5)-5)*50,0),0)/100)*(1+(IF(Skills!A10="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2097)</f>
        <v/>
      </c>
      <c r="L2097">
        <f>K2097*(MIN(Inputs!$B$22+((C2109=TRUE)*(F2109-Calc!F22)),(Inputs!$B$23+((C2111=TRUE)*(F2111-Calc!F24))+(IF(ArtifactsInput!$M$15,CHOOSE(ArtifactsInput!$N$15+1,25,30,35,40,45,50)/100*(Inputs!$B$11-Inputs!$B$11),0))))/100+(Inputs!$B$23+((C2111=TRUE)*(F2111-Calc!F24))+(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IFERROR(1/(IF(Inputs!$B$38="pvp",15,MAX(0.1,Skills!D10-IF(Skills!E10=TRUE,Inputs!$B$32,0)))*(1-IF(AND(ArtifactsInput!$M$27,Inputs!$B$4="Chapter Hunt"),CHOOSE(ArtifactsInput!$N$27+1,20,24,28,32,36,40),0)/100)),0)</f>
        <v/>
      </c>
      <c r="R2097">
        <f>IF(AND(Inputs!$B$38&lt;&gt;"pvp",Inputs!$B$43&gt;0),IF(MAX(0,Inputs!$B$43-B2123)&lt;=0,0,(INT(MAX(0,Inputs!$B$43-B2123)/(IF(Inputs!$B$38="pvp",15,MAX(0.1,Skills!D10-IF(Skills!E10=TRUE,Inputs!$B$32,0)))*(1-IF(AND(ArtifactsInput!$M$27,Inputs!$B$4="Chapter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Inputs!$B$3&gt;=35</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11="ENHANCED_RAGING_BLOW",IF(Inputs!$B$3&gt;=134,MAX(0,IF(Inputs!$B$3&gt;=110,7,5)-5)*50,0),0)/100)*(1+(IF(Skills!A11="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2098)</f>
        <v/>
      </c>
      <c r="L2098">
        <f>K2098*(MIN(Inputs!$B$22+((C2109=TRUE)*(F2109-Calc!F22)),(Inputs!$B$23+((C2111=TRUE)*(F2111-Calc!F24))+(IF(ArtifactsInput!$M$15,CHOOSE(ArtifactsInput!$N$15+1,25,30,35,40,45,50)/100*(Inputs!$B$11-Inputs!$B$11),0))))/100+(Inputs!$B$23+((C2111=TRUE)*(F2111-Calc!F24))+(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IFERROR(1/(IF(Inputs!$B$38="pvp",15,MAX(0.1,Skills!D11-IF(Skills!E11=TRUE,Inputs!$B$32,0)))*(1-IF(AND(ArtifactsInput!$M$27,Inputs!$B$4="Chapter Hunt"),CHOOSE(ArtifactsInput!$N$27+1,20,24,28,32,36,40),0)/100)),0)</f>
        <v/>
      </c>
      <c r="R2098">
        <f>IF(AND(Inputs!$B$38&lt;&gt;"pvp",Inputs!$B$43&gt;0),IF(MAX(0,Inputs!$B$43-B2123)&lt;=0,0,(INT(MAX(0,Inputs!$B$43-B2123)/(IF(Inputs!$B$38="pvp",15,MAX(0.1,Skills!D11-IF(Skills!E11=TRUE,Inputs!$B$32,0)))*(1-IF(AND(ArtifactsInput!$M$27,Inputs!$B$4="Chapter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Inputs!$B$3&gt;=75</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f>Skills!G14*IF(Skills!H14&gt;0,Skills!I14/Skills!H14,1)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Inputs!$B$3&gt;=40</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IFERROR(1/(IF(Inputs!$B$38="pvp",15,MAX(0.1,Skills!D15-IF(Skills!E15=TRUE,Inputs!$B$32,0)))*(1-IF(AND(ArtifactsInput!$M$27,Inputs!$B$4="Chapter Hunt"),CHOOSE(ArtifactsInput!$N$27+1,20,24,28,32,36,40),0)/100)),0)</f>
        <v/>
      </c>
      <c r="R2102">
        <f>IF(AND(Inputs!$B$38&lt;&gt;"pvp",Inputs!$B$43&gt;0),IF(Inputs!$B$43&lt;=0,0,(INT(Inputs!$B$43/(IF(Inputs!$B$38="pvp",15,MAX(0.1,Skills!D15-IF(Skills!E15=TRUE,Inputs!$B$32,0)))*(1-IF(AND(ArtifactsInput!$M$27,Inputs!$B$4="Chapter Hunt"),CHOOSE(ArtifactsInput!$N$27+1,20,24,28,32,36,40),0)/100)))+1)),0)</f>
        <v/>
      </c>
      <c r="S2102">
        <f>IFERROR(O2102/N2102,0)</f>
        <v/>
      </c>
      <c r="T2102" t="n">
        <v>0</v>
      </c>
      <c r="V2102" t="n">
        <v>0</v>
      </c>
    </row>
    <row r="2103">
      <c r="A2103">
        <f>Skills!A16</f>
        <v/>
      </c>
      <c r="B2103">
        <f>Skills!B16</f>
        <v/>
      </c>
      <c r="C2103">
        <f>Inputs!$B$3&gt;=66</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IFERROR(1/(IF(Inputs!$B$38="pvp",15,MAX(0.1,Skills!D16-IF(Skills!E16=TRUE,Inputs!$B$32,0)))*(1-IF(AND(ArtifactsInput!$M$27,Inputs!$B$4="Chapter Hunt"),CHOOSE(ArtifactsInput!$N$27+1,20,24,28,32,36,40),0)/100)),0)</f>
        <v/>
      </c>
      <c r="R2103">
        <f>IF(AND(Inputs!$B$38&lt;&gt;"pvp",Inputs!$B$43&gt;0),IF(Inputs!$B$43&lt;=0,0,(INT(Inputs!$B$43/(IF(Inputs!$B$38="pvp",15,MAX(0.1,Skills!D16-IF(Skills!E16=TRUE,Inputs!$B$32,0)))*(1-IF(AND(ArtifactsInput!$M$27,Inputs!$B$4="Chapter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IFERROR(1/(IF(Inputs!$B$38="pvp",15,MAX(0.1,Skills!D17-IF(Skills!E17=TRUE,Inputs!$B$32,0)))*(1-IF(AND(ArtifactsInput!$M$27,Inputs!$B$4="Chapter Hunt"),CHOOSE(ArtifactsInput!$N$27+1,20,24,28,32,36,40),0)/100)),0)</f>
        <v/>
      </c>
      <c r="R2104">
        <f>IF(AND(Inputs!$B$38&lt;&gt;"pvp",Inputs!$B$43&gt;0),IF(Inputs!$B$43&lt;=0,0,(INT(Inputs!$B$43/(IF(Inputs!$B$38="pvp",15,MAX(0.1,Skills!D17-IF(Skills!E17=TRUE,Inputs!$B$32,0)))*(1-IF(AND(ArtifactsInput!$M$27,Inputs!$B$4="Chapter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IFERROR(1/(IF(Inputs!$B$38="pvp",15,MAX(0.1,Skills!D18-IF(Skills!E18=TRUE,Inputs!$B$32,0)))*(1-IF(AND(ArtifactsInput!$M$27,Inputs!$B$4="Chapter Hunt"),CHOOSE(ArtifactsInput!$N$27+1,20,24,28,32,36,40),0)/100)),0)</f>
        <v/>
      </c>
      <c r="R2105">
        <f>IF(AND(Inputs!$B$38&lt;&gt;"pvp",Inputs!$B$43&gt;0),IF(Inputs!$B$43&lt;=0,0,(INT(Inputs!$B$43/(IF(Inputs!$B$38="pvp",15,MAX(0.1,Skills!D18-IF(Skills!E18=TRUE,Inputs!$B$32,0)))*(1-IF(AND(ArtifactsInput!$M$27,Inputs!$B$4="Chapter Hunt"),CHOOSE(ArtifactsInput!$N$27+1,20,24,28,32,36,40),0)/100)))+1)),0)</f>
        <v/>
      </c>
      <c r="S2105">
        <f>IFERROR(O2105/N2105,0)</f>
        <v/>
      </c>
      <c r="T2105" t="n">
        <v>0</v>
      </c>
      <c r="V2105" t="n">
        <v>0</v>
      </c>
    </row>
    <row r="2106">
      <c r="A2106">
        <f>Skills!A19</f>
        <v/>
      </c>
      <c r="B2106">
        <f>Skills!B19</f>
        <v/>
      </c>
      <c r="C2106">
        <f>TRUE</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IFERROR(1/(IF(Inputs!$B$38="pvp",15,MAX(0.1,Skills!D19-IF(Skills!E19=TRUE,Inputs!$B$32,0)))*(1-IF(AND(ArtifactsInput!$M$27,Inputs!$B$4="Chapter Hunt"),CHOOSE(ArtifactsInput!$N$27+1,20,24,28,32,36,40),0)/100)),0)</f>
        <v/>
      </c>
      <c r="R2106">
        <f>IF(AND(Inputs!$B$38&lt;&gt;"pvp",Inputs!$B$43&gt;0),IF(Inputs!$B$43&lt;=0,0,(INT(Inputs!$B$43/(IF(Inputs!$B$38="pvp",15,MAX(0.1,Skills!D19-IF(Skills!E19=TRUE,Inputs!$B$32,0)))*(1-IF(AND(ArtifactsInput!$M$27,Inputs!$B$4="Chapter Hunt"),CHOOSE(ArtifactsInput!$N$27+1,20,24,28,32,36,40),0)/100)))+1)),0)</f>
        <v/>
      </c>
      <c r="S2106">
        <f>IFERROR(O2106/N2106,0)</f>
        <v/>
      </c>
      <c r="T2106" t="n">
        <v>0</v>
      </c>
      <c r="V2106" t="n">
        <v>0</v>
      </c>
    </row>
    <row r="2107">
      <c r="A2107">
        <f>Skills!A20</f>
        <v/>
      </c>
      <c r="B2107">
        <f>Skills!B20</f>
        <v/>
      </c>
      <c r="C2107">
        <f>Inputs!$B$3&gt;=33</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Inputs!$B$3&gt;=38</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t="n">
        <v>0</v>
      </c>
      <c r="R2108" t="n">
        <v>0</v>
      </c>
      <c r="S2108">
        <f>IFERROR(O2108/N2108,0)</f>
        <v/>
      </c>
      <c r="T2108" t="n">
        <v>0</v>
      </c>
      <c r="V2108" t="n">
        <v>0</v>
      </c>
    </row>
    <row r="2109">
      <c r="A2109">
        <f>Skills!A22</f>
        <v/>
      </c>
      <c r="B2109">
        <f>Skills!B22</f>
        <v/>
      </c>
      <c r="C2109">
        <f>Inputs!$B$3&gt;=43</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Inputs!$B$3&gt;=120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Inputs!$B$3&gt;=120</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Inputs!$B$3&gt;=125</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Inputs!$B$3&gt;=72</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2106=TRUE)*F2106*IF(AND(Inputs!$B$38&lt;&gt;"pvp",Inputs!$B$43&gt;0),(((R2106-1)*(Skills!T19*(1+(Inputs!$B$34+(ArtifactsInput!$M$7-ArtifactsInput!$M$7)*CHOOSE(ArtifactsInput!$N$7+1,6,7.2,8.4,9.6,10.8,12))/100))+MIN((Skills!T19*(1+(Inputs!$B$34+(ArtifactsInput!$M$7-ArtifactsInput!$M$7)*CHOOSE(ArtifactsInput!$N$7+1,6,7.2,8.4,9.6,10.8,12))/100)),MAX(0,Inputs!$B$43-((R2106-1)*Skills!D19))))/Inputs!$B$43),IF(Inputs!$B$38="pvp",MIN((Skills!T19*(1+(Inputs!$B$34+(ArtifactsInput!$M$7-ArtifactsInput!$M$7)*CHOOSE(ArtifactsInput!$N$7+1,6,7.2,8.4,9.6,10.8,12))/100)),15)/15,(Skills!T19*(1+(Inputs!$B$34+(ArtifactsInput!$M$7-ArtifactsInput!$M$7)*CHOOSE(ArtifactsInput!$N$7+1,6,7.2,8.4,9.6,10.8,12))/100))/Skills!D19)))</f>
        <v/>
      </c>
    </row>
    <row r="2118">
      <c r="A2118" t="inlineStr">
        <is>
          <t>Actions Per Second</t>
        </is>
      </c>
      <c r="B2118">
        <f>1+MIN(150,150*(1-(1-(Inputs!$B$11+((C2107=TRUE)*(F2107-Calc!F20)))/150)*(1-B2117/150)))/100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Raging Blow Casts Per Second</t>
        </is>
      </c>
      <c r="B2120">
        <f>MAX(0,B2118-B2119)</f>
        <v/>
      </c>
    </row>
    <row r="2121">
      <c r="A2121" t="inlineStr">
        <is>
          <t>Global Critical Damage Bonus % (Enrage)</t>
        </is>
      </c>
      <c r="B2121">
        <f>((C2105=TRUE)*F2105*IF(AND(Inputs!$B$38&lt;&gt;"pvp",Inputs!$B$43&gt;0),(((R2105-1)*(Skills!T18*(1+(Inputs!$B$34+(ArtifactsInput!$M$7-ArtifactsInput!$M$7)*CHOOSE(ArtifactsInput!$N$7+1,6,7.2,8.4,9.6,10.8,12))/100))+MIN((Skills!T18*(1+(Inputs!$B$34+(ArtifactsInput!$M$7-ArtifactsInput!$M$7)*CHOOSE(ArtifactsInput!$N$7+1,6,7.2,8.4,9.6,10.8,12))/100)),MAX(0,Inputs!$B$43-((R2105-1)*Skills!D18))))/Inputs!$B$43),IF(Inputs!$B$38="pvp",MIN((Skills!T18*(1+(Inputs!$B$34+(ArtifactsInput!$M$7-ArtifactsInput!$M$7)*CHOOSE(ArtifactsInput!$N$7+1,6,7.2,8.4,9.6,10.8,12))/100)),15)/15,(Skills!T18*(1+(Inputs!$B$34+(ArtifactsInput!$M$7-ArtifactsInput!$M$7)*CHOOSE(ArtifactsInput!$N$7+1,6,7.2,8.4,9.6,10.8,12))/100))/Skills!D18)))</f>
        <v/>
      </c>
    </row>
    <row r="2122">
      <c r="A2122" t="inlineStr">
        <is>
          <t>Global Final Damage Bonus % (Enrage + Combo Synergy)</t>
        </is>
      </c>
      <c r="B2122">
        <f>((C2104=TRUE)*F2104*IF(AND(Inputs!$B$38&lt;&gt;"pvp",Inputs!$B$43&gt;0),(((R2104-1)*(Skills!T17*(1+(Inputs!$B$34+(ArtifactsInput!$M$7-ArtifactsInput!$M$7)*CHOOSE(ArtifactsInput!$N$7+1,6,7.2,8.4,9.6,10.8,12))/100))+MIN((Skills!T17*(1+(Inputs!$B$34+(ArtifactsInput!$M$7-ArtifactsInput!$M$7)*CHOOSE(ArtifactsInput!$N$7+1,6,7.2,8.4,9.6,10.8,12))/100)),MAX(0,Inputs!$B$43-((R2104-1)*Skills!D17))))/Inputs!$B$43),IF(Inputs!$B$38="pvp",MIN((Skills!T17*(1+(Inputs!$B$34+(ArtifactsInput!$M$7-ArtifactsInput!$M$7)*CHOOSE(ArtifactsInput!$N$7+1,6,7.2,8.4,9.6,10.8,12))/100)),15)/15,(Skills!T17*(1+(Inputs!$B$34+(ArtifactsInput!$M$7-ArtifactsInput!$M$7)*CHOOSE(ArtifactsInput!$N$7+1,6,7.2,8.4,9.6,10.8,12))/100))/Skills!D17)))+((C2101=TRUE)*F2101*IF(Inputs!$B$3&gt;=110,7,5))</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2131)</f>
        <v/>
      </c>
      <c r="L2131">
        <f>K2131*(MIN(Inputs!$B$22+((C2151=TRUE)*(F2151-Calc!F22)),(Inputs!$B$23+((C2153=TRUE)*(F2153-Calc!F24))+(IF(ArtifactsInput!$M$15,CHOOSE(ArtifactsInput!$N$15+1,25,30,35,40,45,50)/100*(Inputs!$B$11-Inputs!$B$11),0))))/100+(Inputs!$B$23+((C2153=TRUE)*(F2153-Calc!F24))+(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INDEX(FactorTable!$B$2:$Y$301, MATCH(ROUND(MIN(300,MAX(1,D2132)),0),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INDEX(FactorTable!$B$2:$Y$301, MATCH(ROUND(MIN(300,MAX(1,U2131)),0), FactorTable!$A$2:$A$301,0), 22)</f>
        <v/>
      </c>
    </row>
    <row r="2133">
      <c r="A2133">
        <f>Skills!A4</f>
        <v/>
      </c>
      <c r="B2133">
        <f>Skills!B4</f>
        <v/>
      </c>
      <c r="C2133">
        <f>Inputs!$B$3&gt;=105</f>
        <v/>
      </c>
      <c r="D2133">
        <f>IF(Skills!C4=1,60+Inputs!$B$25+Inputs!$B$29,IF(Skills!C4=2,90+Inputs!$B$26+Inputs!$B$29,IF(Skills!C4=3,120+Inputs!$B$27+Inputs!$B$29,MAX(0,(Inputs!$B$3-100)*3)+Inputs!$B$28+Inputs!$B$29)))</f>
        <v/>
      </c>
      <c r="E2133">
        <f>INDEX(FactorTable!$B$2:$Y$301, MATCH(ROUND(MIN(300,MAX(1,D2133)),0), FactorTable!$A$2:$A$301,0), Skills!M4+1)</f>
        <v/>
      </c>
      <c r="F2133">
        <f>IF(Skills!N4=TRUE,(Skills!L4/10)*(E2133/1000),Skills!L4/10)+Skills!O4</f>
        <v/>
      </c>
      <c r="G2133" t="inlineStr"/>
      <c r="H2133" t="inlineStr"/>
      <c r="I2133" t="inlineStr">
        <is>
          <t>1</t>
        </is>
      </c>
      <c r="J2133" t="inlineStr"/>
      <c r="K2133" t="inlineStr"/>
      <c r="L2133" t="inlineStr"/>
      <c r="M2133" t="inlineStr"/>
      <c r="N2133" t="inlineStr"/>
      <c r="O2133" t="inlineStr"/>
      <c r="P2133" t="inlineStr"/>
      <c r="Q2133" t="inlineStr"/>
      <c r="R2133" t="inlineStr"/>
      <c r="S2133" t="inlineStr"/>
      <c r="U2133">
        <f>290*U2132/1000</f>
        <v/>
      </c>
    </row>
    <row r="2134">
      <c r="A2134">
        <f>Skills!A5</f>
        <v/>
      </c>
      <c r="B2134">
        <f>Skills!B5</f>
        <v/>
      </c>
      <c r="C2134">
        <f>Inputs!$B$3&gt;=103</f>
        <v/>
      </c>
      <c r="D2134">
        <f>IF(Skills!C5=1,60+Inputs!$B$25+Inputs!$B$29,IF(Skills!C5=2,90+Inputs!$B$26+Inputs!$B$29,IF(Skills!C5=3,120+Inputs!$B$27+Inputs!$B$29,MAX(0,(Inputs!$B$3-100)*3)+Inputs!$B$28+Inputs!$B$29)))</f>
        <v/>
      </c>
      <c r="E2134">
        <f>INDEX(FactorTable!$B$2:$Y$301, MATCH(ROUND(MIN(300,MAX(1,D2134)),0), FactorTable!$A$2:$A$301,0), Skills!M5+1)</f>
        <v/>
      </c>
      <c r="F2134">
        <f>IF(Skills!N5=TRUE,(Skills!L5/10)*(E2134/1000),Skills!L5/10)+Skills!O5</f>
        <v/>
      </c>
      <c r="G2134">
        <f>Skills!G5*IF(Skills!H5&gt;0,Skills!I5/Skills!H5,1)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2134)</f>
        <v/>
      </c>
      <c r="L2134">
        <f>K2134*(MIN(Inputs!$B$22+((C2151=TRUE)*(F2151-Calc!F22)),(Inputs!$B$23+((C2153=TRUE)*(F2153-Calc!F24))+(IF(ArtifactsInput!$M$15,CHOOSE(ArtifactsInput!$N$15+1,25,30,35,40,45,50)/100*(Inputs!$B$11-Inputs!$B$11),0))))/100+(Inputs!$B$23+((C2153=TRUE)*(F2153-Calc!F24))+(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IFERROR(1/(IF(Inputs!$B$38="pvp",15,MAX(0.1,Skills!D5-IF(Skills!E5=TRUE,Inputs!$B$32,0)))*(1-IF(AND(ArtifactsInput!$M$27,Inputs!$B$4="Chapter Hunt"),CHOOSE(ArtifactsInput!$N$27+1,20,24,28,32,36,40),0)/100)),0)</f>
        <v/>
      </c>
      <c r="R2134">
        <f>IF(AND(Inputs!$B$38&lt;&gt;"pvp",Inputs!$B$43&gt;0),IF(MAX(0,Inputs!$B$43-B2165)&lt;=0,0,(INT(MAX(0,Inputs!$B$43-B2165)/(IF(Inputs!$B$38="pvp",15,MAX(0.1,Skills!D5-IF(Skills!E5=TRUE,Inputs!$B$32,0)))*(1-IF(AND(ArtifactsInput!$M$27,Inputs!$B$4="Chapter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INDEX(FactorTable!$B$2:$Y$301, MATCH(ROUND(MIN(300,MAX(1,D2135)),0), FactorTable!$A$2:$A$301,0), Skills!M6+1)</f>
        <v/>
      </c>
      <c r="F2135">
        <f>IF(Skills!N6=TRUE,(Skills!L6/10)*(E2135/1000),Skills!L6/10)+Skills!O6</f>
        <v/>
      </c>
      <c r="G2135">
        <f>Skills!G6*IF(Skills!H6&gt;0,Skills!I6/Skills!H6,1)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2135)</f>
        <v/>
      </c>
      <c r="L2135">
        <f>K2135*(MIN(Inputs!$B$22+((C2151=TRUE)*(F2151-Calc!F22)),(Inputs!$B$23+((C2153=TRUE)*(F2153-Calc!F24))+(IF(ArtifactsInput!$M$15,CHOOSE(ArtifactsInput!$N$15+1,25,30,35,40,45,50)/100*(Inputs!$B$11-Inputs!$B$11),0))))/100+(Inputs!$B$23+((C2153=TRUE)*(F2153-Calc!F24))+(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IFERROR(1/(IF(Inputs!$B$38="pvp",15,MAX(0.1,Skills!D6-IF(Skills!E6=TRUE,Inputs!$B$32,0)))*(1-IF(AND(ArtifactsInput!$M$27,Inputs!$B$4="Chapter Hunt"),CHOOSE(ArtifactsInput!$N$27+1,20,24,28,32,36,40),0)/100)),0)</f>
        <v/>
      </c>
      <c r="R2135">
        <f>IF(AND(Inputs!$B$38&lt;&gt;"pvp",Inputs!$B$43&gt;0),IF(MAX(0,Inputs!$B$43-B2165)&lt;=0,0,(INT(MAX(0,Inputs!$B$43-B2165)/(IF(Inputs!$B$38="pvp",15,MAX(0.1,Skills!D6-IF(Skills!E6=TRUE,Inputs!$B$32,0)))*(1-IF(AND(ArtifactsInput!$M$27,Inputs!$B$4="Chapter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INDEX(FactorTable!$B$2:$Y$301, MATCH(ROUND(MIN(300,MAX(1,D2136)),0), FactorTable!$A$2:$A$301,0), Skills!M7+1)</f>
        <v/>
      </c>
      <c r="F2136">
        <f>IF(Skills!N7=TRUE,(Skills!L7/10)*(E2136/1000),Skills!L7/10)+Skills!O7</f>
        <v/>
      </c>
      <c r="G2136">
        <f>Skills!G7*IF(Skills!H7&gt;0,Skills!I7/Skills!H7,1)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2136)</f>
        <v/>
      </c>
      <c r="L2136">
        <f>K2136*(MIN(Inputs!$B$22+((C2151=TRUE)*(F2151-Calc!F22)),(Inputs!$B$23+((C2153=TRUE)*(F2153-Calc!F24))+(IF(ArtifactsInput!$M$15,CHOOSE(ArtifactsInput!$N$15+1,25,30,35,40,45,50)/100*(Inputs!$B$11-Inputs!$B$11),0))))/100+(Inputs!$B$23+((C2153=TRUE)*(F2153-Calc!F24))+(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IFERROR(1/(IF(Inputs!$B$38="pvp",15,MAX(0.1,Skills!D7-IF(Skills!E7=TRUE,Inputs!$B$32,0)))*(1-IF(AND(ArtifactsInput!$M$27,Inputs!$B$4="Chapter Hunt"),CHOOSE(ArtifactsInput!$N$27+1,20,24,28,32,36,40),0)/100)),0)</f>
        <v/>
      </c>
      <c r="R2136">
        <f>IF(AND(Inputs!$B$38&lt;&gt;"pvp",Inputs!$B$43&gt;0),IF(MAX(0,Inputs!$B$43-B2165)&lt;=0,0,(INT(MAX(0,Inputs!$B$43-B2165)/(IF(Inputs!$B$38="pvp",15,MAX(0.1,Skills!D7-IF(Skills!E7=TRUE,Inputs!$B$32,0)))*(1-IF(AND(ArtifactsInput!$M$27,Inputs!$B$4="Chapter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Inputs!$B$3&gt;=117</f>
        <v/>
      </c>
      <c r="D2137">
        <f>IF(Skills!C8=1,60+Inputs!$B$25+Inputs!$B$29,IF(Skills!C8=2,90+Inputs!$B$26+Inputs!$B$29,IF(Skills!C8=3,120+Inputs!$B$27+Inputs!$B$29,MAX(0,(Inputs!$B$3-100)*3)+Inputs!$B$28+Inputs!$B$29)))</f>
        <v/>
      </c>
      <c r="E2137">
        <f>INDEX(FactorTable!$B$2:$Y$301, MATCH(ROUND(MIN(300,MAX(1,D2137)),0), FactorTable!$A$2:$A$301,0), Skills!M8+1)</f>
        <v/>
      </c>
      <c r="F2137">
        <f>IF(Skills!N8=TRUE,(Skills!L8/10)*(E2137/1000),Skills!L8/10)+Skills!O8</f>
        <v/>
      </c>
      <c r="G2137">
        <f>Skills!G8*IF(Skills!H8&gt;0,Skills!I8/Skills!H8,1)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2137)</f>
        <v/>
      </c>
      <c r="L2137">
        <f>K2137*(MIN(Inputs!$B$22+((C2151=TRUE)*(F2151-Calc!F22)),(Inputs!$B$23+((C2153=TRUE)*(F2153-Calc!F24))+(IF(ArtifactsInput!$M$15,CHOOSE(ArtifactsInput!$N$15+1,25,30,35,40,45,50)/100*(Inputs!$B$11-Inputs!$B$11),0))))/100+(Inputs!$B$23+((C2153=TRUE)*(F2153-Calc!F24))+(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IFERROR(1/(IF(Inputs!$B$38="pvp",15,MAX(0.1,Skills!D8-IF(Skills!E8=TRUE,Inputs!$B$32,0)))*(1-IF(AND(ArtifactsInput!$M$27,Inputs!$B$4="Chapter Hunt"),CHOOSE(ArtifactsInput!$N$27+1,20,24,28,32,36,40),0)/100)),0)</f>
        <v/>
      </c>
      <c r="R2137">
        <f>IF(AND(Inputs!$B$38&lt;&gt;"pvp",Inputs!$B$43&gt;0),IF(MAX(0,Inputs!$B$43-B2165)&lt;=0,0,(INT(MAX(0,Inputs!$B$43-B2165)/(IF(Inputs!$B$38="pvp",15,MAX(0.1,Skills!D8-IF(Skills!E8=TRUE,Inputs!$B$32,0)))*(1-IF(AND(ArtifactsInput!$M$27,Inputs!$B$4="Chapter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Inputs!$B$3&gt;=69</f>
        <v/>
      </c>
      <c r="D2138">
        <f>IF(Skills!C9=1,60+Inputs!$B$25+Inputs!$B$29,IF(Skills!C9=2,90+Inputs!$B$26+Inputs!$B$29,IF(Skills!C9=3,120+Inputs!$B$27+Inputs!$B$29,MAX(0,(Inputs!$B$3-100)*3)+Inputs!$B$28+Inputs!$B$29)))</f>
        <v/>
      </c>
      <c r="E2138">
        <f>INDEX(FactorTable!$B$2:$Y$301, MATCH(ROUND(MIN(300,MAX(1,D2138)),0), FactorTable!$A$2:$A$301,0), Skills!M9+1)</f>
        <v/>
      </c>
      <c r="F2138">
        <f>IF(Skills!N9=TRUE,(Skills!L9/10)*(E2138/1000),Skills!L9/10)+Skills!O9</f>
        <v/>
      </c>
      <c r="G2138">
        <f>Skills!G9*IF(Skills!H9&gt;0,Skills!I9/Skills!H9,1)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9="ENHANCED_RAGING_BLOW",IF(Inputs!$B$3&gt;=134,MAX(0,IF(Inputs!$B$3&gt;=110,7,5)-5)*50,0),0)/100)*(1+(IF(Skills!A9="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2138)</f>
        <v/>
      </c>
      <c r="L2138">
        <f>K2138*(MIN(Inputs!$B$22+((C2151=TRUE)*(F2151-Calc!F22)),(Inputs!$B$23+((C2153=TRUE)*(F2153-Calc!F24))+(IF(ArtifactsInput!$M$15,CHOOSE(ArtifactsInput!$N$15+1,25,30,35,40,45,50)/100*(Inputs!$B$11-Inputs!$B$11),0))))/100+(Inputs!$B$23+((C2153=TRUE)*(F2153-Calc!F24))+(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IFERROR(1/(IF(Inputs!$B$38="pvp",15,MAX(0.1,Skills!D9-IF(Skills!E9=TRUE,Inputs!$B$32,0)))*(1-IF(AND(ArtifactsInput!$M$27,Inputs!$B$4="Chapter Hunt"),CHOOSE(ArtifactsInput!$N$27+1,20,24,28,32,36,40),0)/100)),0)</f>
        <v/>
      </c>
      <c r="R2138">
        <f>IF(AND(Inputs!$B$38&lt;&gt;"pvp",Inputs!$B$43&gt;0),IF(MAX(0,Inputs!$B$43-B2165)&lt;=0,0,(INT(MAX(0,Inputs!$B$43-B2165)/(IF(Inputs!$B$38="pvp",15,MAX(0.1,Skills!D9-IF(Skills!E9=TRUE,Inputs!$B$32,0)))*(1-IF(AND(ArtifactsInput!$M$27,Inputs!$B$4="Chapter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Inputs!$B$3&gt;=63</f>
        <v/>
      </c>
      <c r="D2139">
        <f>IF(Skills!C10=1,60+Inputs!$B$25+Inputs!$B$29,IF(Skills!C10=2,90+Inputs!$B$26+Inputs!$B$29,IF(Skills!C10=3,120+Inputs!$B$27+Inputs!$B$29,MAX(0,(Inputs!$B$3-100)*3)+Inputs!$B$28+Inputs!$B$29)))</f>
        <v/>
      </c>
      <c r="E2139">
        <f>INDEX(FactorTable!$B$2:$Y$301, MATCH(ROUND(MIN(300,MAX(1,D2139)),0), FactorTable!$A$2:$A$301,0), Skills!M10+1)</f>
        <v/>
      </c>
      <c r="F2139">
        <f>IF(Skills!N10=TRUE,(Skills!L10/10)*(E2139/1000),Skills!L10/10)+Skills!O10</f>
        <v/>
      </c>
      <c r="G2139">
        <f>Skills!G10*IF(Skills!H10&gt;0,Skills!I10/Skills!H10,1)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10="ENHANCED_RAGING_BLOW",IF(Inputs!$B$3&gt;=134,MAX(0,IF(Inputs!$B$3&gt;=110,7,5)-5)*50,0),0)/100)*(1+(IF(Skills!A10="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2139)</f>
        <v/>
      </c>
      <c r="L2139">
        <f>K2139*(MIN(Inputs!$B$22+((C2151=TRUE)*(F2151-Calc!F22)),(Inputs!$B$23+((C2153=TRUE)*(F2153-Calc!F24))+(IF(ArtifactsInput!$M$15,CHOOSE(ArtifactsInput!$N$15+1,25,30,35,40,45,50)/100*(Inputs!$B$11-Inputs!$B$11),0))))/100+(Inputs!$B$23+((C2153=TRUE)*(F2153-Calc!F24))+(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IFERROR(1/(IF(Inputs!$B$38="pvp",15,MAX(0.1,Skills!D10-IF(Skills!E10=TRUE,Inputs!$B$32,0)))*(1-IF(AND(ArtifactsInput!$M$27,Inputs!$B$4="Chapter Hunt"),CHOOSE(ArtifactsInput!$N$27+1,20,24,28,32,36,40),0)/100)),0)</f>
        <v/>
      </c>
      <c r="R2139">
        <f>IF(AND(Inputs!$B$38&lt;&gt;"pvp",Inputs!$B$43&gt;0),IF(MAX(0,Inputs!$B$43-B2165)&lt;=0,0,(INT(MAX(0,Inputs!$B$43-B2165)/(IF(Inputs!$B$38="pvp",15,MAX(0.1,Skills!D10-IF(Skills!E10=TRUE,Inputs!$B$32,0)))*(1-IF(AND(ArtifactsInput!$M$27,Inputs!$B$4="Chapter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Inputs!$B$3&gt;=35</f>
        <v/>
      </c>
      <c r="D2140">
        <f>IF(Skills!C11=1,60+Inputs!$B$25+Inputs!$B$29,IF(Skills!C11=2,90+Inputs!$B$26+Inputs!$B$29,IF(Skills!C11=3,120+Inputs!$B$27+Inputs!$B$29,MAX(0,(Inputs!$B$3-100)*3)+Inputs!$B$28+Inputs!$B$29)))</f>
        <v/>
      </c>
      <c r="E2140">
        <f>INDEX(FactorTable!$B$2:$Y$301, MATCH(ROUND(MIN(300,MAX(1,D2140)),0), FactorTable!$A$2:$A$301,0), Skills!M11+1)</f>
        <v/>
      </c>
      <c r="F2140">
        <f>IF(Skills!N11=TRUE,(Skills!L11/10)*(E2140/1000),Skills!L11/10)+Skills!O11</f>
        <v/>
      </c>
      <c r="G2140">
        <f>Skills!G11*IF(Skills!H11&gt;0,Skills!I11/Skills!H11,1)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11="ENHANCED_RAGING_BLOW",IF(Inputs!$B$3&gt;=134,MAX(0,IF(Inputs!$B$3&gt;=110,7,5)-5)*50,0),0)/100)*(1+(IF(Skills!A11="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2140)</f>
        <v/>
      </c>
      <c r="L2140">
        <f>K2140*(MIN(Inputs!$B$22+((C2151=TRUE)*(F2151-Calc!F22)),(Inputs!$B$23+((C2153=TRUE)*(F2153-Calc!F24))+(IF(ArtifactsInput!$M$15,CHOOSE(ArtifactsInput!$N$15+1,25,30,35,40,45,50)/100*(Inputs!$B$11-Inputs!$B$11),0))))/100+(Inputs!$B$23+((C2153=TRUE)*(F2153-Calc!F24))+(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IFERROR(1/(IF(Inputs!$B$38="pvp",15,MAX(0.1,Skills!D11-IF(Skills!E11=TRUE,Inputs!$B$32,0)))*(1-IF(AND(ArtifactsInput!$M$27,Inputs!$B$4="Chapter Hunt"),CHOOSE(ArtifactsInput!$N$27+1,20,24,28,32,36,40),0)/100)),0)</f>
        <v/>
      </c>
      <c r="R2140">
        <f>IF(AND(Inputs!$B$38&lt;&gt;"pvp",Inputs!$B$43&gt;0),IF(MAX(0,Inputs!$B$43-B2165)&lt;=0,0,(INT(MAX(0,Inputs!$B$43-B2165)/(IF(Inputs!$B$38="pvp",15,MAX(0.1,Skills!D11-IF(Skills!E11=TRUE,Inputs!$B$32,0)))*(1-IF(AND(ArtifactsInput!$M$27,Inputs!$B$4="Chapter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INDEX(FactorTable!$B$2:$Y$301, MATCH(ROUND(MIN(300,MAX(1,D2141)),0),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INDEX(FactorTable!$B$2:$Y$301, MATCH(ROUND(MIN(300,MAX(1,D2142)),0), FactorTable!$A$2:$A$301,0), Skills!M13+1)</f>
        <v/>
      </c>
      <c r="F2142">
        <f>IF(Skills!N13=TRUE,(Skills!L13/10)*(E2142/1000),Skills!L13/10)+Skills!O13</f>
        <v/>
      </c>
      <c r="G2142">
        <f>Skills!G13*IF(Skills!H13&gt;0,Skills!I13/Skills!H13,1)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Inputs!$B$3&gt;=75</f>
        <v/>
      </c>
      <c r="D2143">
        <f>IF(Skills!C14=1,60+Inputs!$B$25+Inputs!$B$29,IF(Skills!C14=2,90+Inputs!$B$26+Inputs!$B$29,IF(Skills!C14=3,120+Inputs!$B$27+Inputs!$B$29,MAX(0,(Inputs!$B$3-100)*3)+Inputs!$B$28+Inputs!$B$29)))</f>
        <v/>
      </c>
      <c r="E2143">
        <f>INDEX(FactorTable!$B$2:$Y$301, MATCH(ROUND(MIN(300,MAX(1,D2143)),0), FactorTable!$A$2:$A$301,0), Skills!M14+1)</f>
        <v/>
      </c>
      <c r="F2143">
        <f>IF(Skills!N14=TRUE,(Skills!L14/10)*(E2143/1000),Skills!L14/10)+Skills!O14</f>
        <v/>
      </c>
      <c r="G2143">
        <f>Skills!G14*IF(Skills!H14&gt;0,Skills!I14/Skills!H14,1)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Inputs!$B$3&gt;=40</f>
        <v/>
      </c>
      <c r="D2144">
        <f>IF(Skills!C15=1,60+Inputs!$B$25+Inputs!$B$29,IF(Skills!C15=2,90+Inputs!$B$26+Inputs!$B$29,IF(Skills!C15=3,120+Inputs!$B$27+Inputs!$B$29,MAX(0,(Inputs!$B$3-100)*3)+Inputs!$B$28+Inputs!$B$29)))</f>
        <v/>
      </c>
      <c r="E2144">
        <f>INDEX(FactorTable!$B$2:$Y$301, MATCH(ROUND(MIN(300,MAX(1,D2144)),0), FactorTable!$A$2:$A$301,0), Skills!M15+1)</f>
        <v/>
      </c>
      <c r="F2144">
        <f>IF(Skills!N15=TRUE,(Skills!L15/10)*(E2144/1000),Skills!L15/10)+Skills!O15</f>
        <v/>
      </c>
      <c r="G2144">
        <f>Skills!G15*IF(Skills!H15&gt;0,Skills!I15/Skills!H15,1)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IFERROR(1/(IF(Inputs!$B$38="pvp",15,MAX(0.1,Skills!D15-IF(Skills!E15=TRUE,Inputs!$B$32,0)))*(1-IF(AND(ArtifactsInput!$M$27,Inputs!$B$4="Chapter Hunt"),CHOOSE(ArtifactsInput!$N$27+1,20,24,28,32,36,40),0)/100)),0)</f>
        <v/>
      </c>
      <c r="R2144">
        <f>IF(AND(Inputs!$B$38&lt;&gt;"pvp",Inputs!$B$43&gt;0),IF(Inputs!$B$43&lt;=0,0,(INT(Inputs!$B$43/(IF(Inputs!$B$38="pvp",15,MAX(0.1,Skills!D15-IF(Skills!E15=TRUE,Inputs!$B$32,0)))*(1-IF(AND(ArtifactsInput!$M$27,Inputs!$B$4="Chapter Hunt"),CHOOSE(ArtifactsInput!$N$27+1,20,24,28,32,36,40),0)/100)))+1)),0)</f>
        <v/>
      </c>
      <c r="S2144">
        <f>IFERROR(O2144/N2144,0)</f>
        <v/>
      </c>
      <c r="T2144" t="n">
        <v>0</v>
      </c>
      <c r="V2144" t="n">
        <v>0</v>
      </c>
    </row>
    <row r="2145">
      <c r="A2145">
        <f>Skills!A16</f>
        <v/>
      </c>
      <c r="B2145">
        <f>Skills!B16</f>
        <v/>
      </c>
      <c r="C2145">
        <f>Inputs!$B$3&gt;=66</f>
        <v/>
      </c>
      <c r="D2145">
        <f>IF(Skills!C16=1,60+Inputs!$B$25+Inputs!$B$29,IF(Skills!C16=2,90+Inputs!$B$26+Inputs!$B$29,IF(Skills!C16=3,120+Inputs!$B$27+Inputs!$B$29,MAX(0,(Inputs!$B$3-100)*3)+Inputs!$B$28+Inputs!$B$29)))</f>
        <v/>
      </c>
      <c r="E2145">
        <f>INDEX(FactorTable!$B$2:$Y$301, MATCH(ROUND(MIN(300,MAX(1,D2145)),0), FactorTable!$A$2:$A$301,0), Skills!M16+1)</f>
        <v/>
      </c>
      <c r="F2145">
        <f>IF(Skills!N16=TRUE,(Skills!L16/10)*(E2145/1000),Skills!L16/10)+Skills!O16</f>
        <v/>
      </c>
      <c r="G2145">
        <f>Skills!G16*IF(Skills!H16&gt;0,Skills!I16/Skills!H16,1)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IFERROR(1/(IF(Inputs!$B$38="pvp",15,MAX(0.1,Skills!D16-IF(Skills!E16=TRUE,Inputs!$B$32,0)))*(1-IF(AND(ArtifactsInput!$M$27,Inputs!$B$4="Chapter Hunt"),CHOOSE(ArtifactsInput!$N$27+1,20,24,28,32,36,40),0)/100)),0)</f>
        <v/>
      </c>
      <c r="R2145">
        <f>IF(AND(Inputs!$B$38&lt;&gt;"pvp",Inputs!$B$43&gt;0),IF(Inputs!$B$43&lt;=0,0,(INT(Inputs!$B$43/(IF(Inputs!$B$38="pvp",15,MAX(0.1,Skills!D16-IF(Skills!E16=TRUE,Inputs!$B$32,0)))*(1-IF(AND(ArtifactsInput!$M$27,Inputs!$B$4="Chapter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INDEX(FactorTable!$B$2:$Y$301, MATCH(ROUND(MIN(300,MAX(1,D2146)),0), FactorTable!$A$2:$A$301,0), Skills!M17+1)</f>
        <v/>
      </c>
      <c r="F2146">
        <f>IF(Skills!N17=TRUE,(Skills!L17/10)*(E2146/1000),Skills!L17/10)+Skills!O17</f>
        <v/>
      </c>
      <c r="G2146">
        <f>Skills!G17*IF(Skills!H17&gt;0,Skills!I17/Skills!H17,1)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IFERROR(1/(IF(Inputs!$B$38="pvp",15,MAX(0.1,Skills!D17-IF(Skills!E17=TRUE,Inputs!$B$32,0)))*(1-IF(AND(ArtifactsInput!$M$27,Inputs!$B$4="Chapter Hunt"),CHOOSE(ArtifactsInput!$N$27+1,20,24,28,32,36,40),0)/100)),0)</f>
        <v/>
      </c>
      <c r="R2146">
        <f>IF(AND(Inputs!$B$38&lt;&gt;"pvp",Inputs!$B$43&gt;0),IF(Inputs!$B$43&lt;=0,0,(INT(Inputs!$B$43/(IF(Inputs!$B$38="pvp",15,MAX(0.1,Skills!D17-IF(Skills!E17=TRUE,Inputs!$B$32,0)))*(1-IF(AND(ArtifactsInput!$M$27,Inputs!$B$4="Chapter Hunt"),CHOOSE(ArtifactsInput!$N$27+1,20,24,28,32,36,40),0)/100)))+1)),0)</f>
        <v/>
      </c>
      <c r="S2146">
        <f>IFERROR(O2146/N2146,0)</f>
        <v/>
      </c>
      <c r="T2146" t="n">
        <v>0</v>
      </c>
      <c r="V2146" t="n">
        <v>0</v>
      </c>
    </row>
    <row r="2147">
      <c r="A2147">
        <f>Skills!A18</f>
        <v/>
      </c>
      <c r="B2147">
        <f>Skills!B18</f>
        <v/>
      </c>
      <c r="C2147">
        <f>Inputs!$B$3&gt;=115</f>
        <v/>
      </c>
      <c r="D2147">
        <f>IF(Skills!C18=1,60+Inputs!$B$25+Inputs!$B$29,IF(Skills!C18=2,90+Inputs!$B$26+Inputs!$B$29,IF(Skills!C18=3,120+Inputs!$B$27+Inputs!$B$29,MAX(0,(Inputs!$B$3-100)*3)+Inputs!$B$28+Inputs!$B$29)))</f>
        <v/>
      </c>
      <c r="E2147">
        <f>INDEX(FactorTable!$B$2:$Y$301, MATCH(ROUND(MIN(300,MAX(1,D2147)),0), FactorTable!$A$2:$A$301,0), Skills!M18+1)</f>
        <v/>
      </c>
      <c r="F2147">
        <f>IF(Skills!N18=TRUE,(Skills!L18/10)*(E2147/1000),Skills!L18/10)+Skills!O18</f>
        <v/>
      </c>
      <c r="G2147">
        <f>Skills!G18*IF(Skills!H18&gt;0,Skills!I18/Skills!H18,1)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IFERROR(1/(IF(Inputs!$B$38="pvp",15,MAX(0.1,Skills!D18-IF(Skills!E18=TRUE,Inputs!$B$32,0)))*(1-IF(AND(ArtifactsInput!$M$27,Inputs!$B$4="Chapter Hunt"),CHOOSE(ArtifactsInput!$N$27+1,20,24,28,32,36,40),0)/100)),0)</f>
        <v/>
      </c>
      <c r="R2147">
        <f>IF(AND(Inputs!$B$38&lt;&gt;"pvp",Inputs!$B$43&gt;0),IF(Inputs!$B$43&lt;=0,0,(INT(Inputs!$B$43/(IF(Inputs!$B$38="pvp",15,MAX(0.1,Skills!D18-IF(Skills!E18=TRUE,Inputs!$B$32,0)))*(1-IF(AND(ArtifactsInput!$M$27,Inputs!$B$4="Chapter Hunt"),CHOOSE(ArtifactsInput!$N$27+1,20,24,28,32,36,40),0)/100)))+1)),0)</f>
        <v/>
      </c>
      <c r="S2147">
        <f>IFERROR(O2147/N2147,0)</f>
        <v/>
      </c>
      <c r="T2147" t="n">
        <v>0</v>
      </c>
      <c r="V2147" t="n">
        <v>0</v>
      </c>
    </row>
    <row r="2148">
      <c r="A2148">
        <f>Skills!A19</f>
        <v/>
      </c>
      <c r="B2148">
        <f>Skills!B19</f>
        <v/>
      </c>
      <c r="C2148">
        <f>TRUE</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IFERROR(1/(IF(Inputs!$B$38="pvp",15,MAX(0.1,Skills!D19-IF(Skills!E19=TRUE,Inputs!$B$32,0)))*(1-IF(AND(ArtifactsInput!$M$27,Inputs!$B$4="Chapter Hunt"),CHOOSE(ArtifactsInput!$N$27+1,20,24,28,32,36,40),0)/100)),0)</f>
        <v/>
      </c>
      <c r="R2148">
        <f>IF(AND(Inputs!$B$38&lt;&gt;"pvp",Inputs!$B$43&gt;0),IF(Inputs!$B$43&lt;=0,0,(INT(Inputs!$B$43/(IF(Inputs!$B$38="pvp",15,MAX(0.1,Skills!D19-IF(Skills!E19=TRUE,Inputs!$B$32,0)))*(1-IF(AND(ArtifactsInput!$M$27,Inputs!$B$4="Chapter Hunt"),CHOOSE(ArtifactsInput!$N$27+1,20,24,28,32,36,40),0)/100)))+1)),0)</f>
        <v/>
      </c>
      <c r="S2148">
        <f>IFERROR(O2148/N2148,0)</f>
        <v/>
      </c>
      <c r="T2148" t="n">
        <v>0</v>
      </c>
      <c r="V2148" t="n">
        <v>0</v>
      </c>
    </row>
    <row r="2149">
      <c r="A2149">
        <f>Skills!A20</f>
        <v/>
      </c>
      <c r="B2149">
        <f>Skills!B20</f>
        <v/>
      </c>
      <c r="C2149">
        <f>Inputs!$B$3&gt;=33</f>
        <v/>
      </c>
      <c r="D2149">
        <f>IF(Skills!C20=1,60+Inputs!$B$25+Inputs!$B$29,IF(Skills!C20=2,90+Inputs!$B$26+Inputs!$B$29,IF(Skills!C20=3,120+Inputs!$B$27+Inputs!$B$29,MAX(0,(Inputs!$B$3-100)*3)+Inputs!$B$28+Inputs!$B$29)))</f>
        <v/>
      </c>
      <c r="E2149">
        <f>INDEX(FactorTable!$B$2:$Y$301, MATCH(ROUND(MIN(300,MAX(1,D2149)),0), FactorTable!$A$2:$A$301,0), Skills!M20+1)</f>
        <v/>
      </c>
      <c r="F2149">
        <f>IF(Skills!N20=TRUE,(Skills!L20/10)*(E2149/1000),Skills!L20/10)+Skills!O20</f>
        <v/>
      </c>
      <c r="G2149">
        <f>Skills!G20*IF(Skills!H20&gt;0,Skills!I20/Skills!H20,1)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Inputs!$B$3&gt;=38</f>
        <v/>
      </c>
      <c r="D2150">
        <f>IF(Skills!C21=1,60+Inputs!$B$25+Inputs!$B$29,IF(Skills!C21=2,90+Inputs!$B$26+Inputs!$B$29,IF(Skills!C21=3,120+Inputs!$B$27+Inputs!$B$29,MAX(0,(Inputs!$B$3-100)*3)+Inputs!$B$28+Inputs!$B$29)))</f>
        <v/>
      </c>
      <c r="E2150">
        <f>INDEX(FactorTable!$B$2:$Y$301, MATCH(ROUND(MIN(300,MAX(1,D2150)),0), FactorTable!$A$2:$A$301,0), Skills!M21+1)</f>
        <v/>
      </c>
      <c r="F2150">
        <f>IF(Skills!N21=TRUE,(Skills!L21/10)*(E2150/1000),Skills!L21/10)+Skills!O21</f>
        <v/>
      </c>
      <c r="G2150">
        <f>Skills!G21*IF(Skills!H21&gt;0,Skills!I21/Skills!H21,1)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t="n">
        <v>0</v>
      </c>
      <c r="R2150" t="n">
        <v>0</v>
      </c>
      <c r="S2150">
        <f>IFERROR(O2150/N2150,0)</f>
        <v/>
      </c>
      <c r="T2150" t="n">
        <v>0</v>
      </c>
      <c r="V2150" t="n">
        <v>0</v>
      </c>
    </row>
    <row r="2151">
      <c r="A2151">
        <f>Skills!A22</f>
        <v/>
      </c>
      <c r="B2151">
        <f>Skills!B22</f>
        <v/>
      </c>
      <c r="C2151">
        <f>Inputs!$B$3&gt;=43</f>
        <v/>
      </c>
      <c r="D2151">
        <f>IF(Skills!C22=1,60+Inputs!$B$25+Inputs!$B$29,IF(Skills!C22=2,90+Inputs!$B$26+Inputs!$B$29,IF(Skills!C22=3,120+Inputs!$B$27+Inputs!$B$29,MAX(0,(Inputs!$B$3-100)*3)+Inputs!$B$28+Inputs!$B$29)))</f>
        <v/>
      </c>
      <c r="E2151">
        <f>INDEX(FactorTable!$B$2:$Y$301, MATCH(ROUND(MIN(300,MAX(1,D2151)),0), FactorTable!$A$2:$A$301,0), Skills!M22+1)</f>
        <v/>
      </c>
      <c r="F2151">
        <f>IF(Skills!N22=TRUE,(Skills!L22/10)*(E2151/1000),Skills!L22/10)+Skills!O22</f>
        <v/>
      </c>
      <c r="G2151">
        <f>Skills!G22*IF(Skills!H22&gt;0,Skills!I22/Skills!H22,1)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Inputs!$B$3&gt;=120</f>
        <v/>
      </c>
      <c r="D2152">
        <f>IF(Skills!C23=1,60+Inputs!$B$25+Inputs!$B$29,IF(Skills!C23=2,90+Inputs!$B$26+Inputs!$B$29,IF(Skills!C23=3,120+Inputs!$B$27+Inputs!$B$29,MAX(0,(Inputs!$B$3-100)*3)+Inputs!$B$28+Inputs!$B$29)))</f>
        <v/>
      </c>
      <c r="E2152">
        <f>INDEX(FactorTable!$B$2:$Y$301, MATCH(ROUND(MIN(300,MAX(1,D2152)),0), FactorTable!$A$2:$A$301,0), Skills!M23+1)</f>
        <v/>
      </c>
      <c r="F2152">
        <f>IF(Skills!N23=TRUE,(Skills!L23/10)*(E2152/1000),Skills!L23/10)+Skills!O23</f>
        <v/>
      </c>
      <c r="G2152">
        <f>Skills!G23*IF(Skills!H23&gt;0,Skills!I23/Skills!H23,1)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Inputs!$B$3&gt;=120</f>
        <v/>
      </c>
      <c r="D2153">
        <f>IF(Skills!C24=1,60+Inputs!$B$25+Inputs!$B$29,IF(Skills!C24=2,90+Inputs!$B$26+Inputs!$B$29,IF(Skills!C24=3,120+Inputs!$B$27+Inputs!$B$29,MAX(0,(Inputs!$B$3-100)*3)+Inputs!$B$28+Inputs!$B$29)))</f>
        <v/>
      </c>
      <c r="E2153">
        <f>INDEX(FactorTable!$B$2:$Y$301, MATCH(ROUND(MIN(300,MAX(1,D2153)),0), FactorTable!$A$2:$A$301,0), Skills!M24+1)</f>
        <v/>
      </c>
      <c r="F2153">
        <f>IF(Skills!N24=TRUE,(Skills!L24/10)*(E2153/1000),Skills!L24/10)+Skills!O24</f>
        <v/>
      </c>
      <c r="G2153">
        <f>Skills!G24*IF(Skills!H24&gt;0,Skills!I24/Skills!H24,1)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Inputs!$B$3&gt;=125</f>
        <v/>
      </c>
      <c r="D2154">
        <f>IF(Skills!C25=1,60+Inputs!$B$25+Inputs!$B$29,IF(Skills!C25=2,90+Inputs!$B$26+Inputs!$B$29,IF(Skills!C25=3,120+Inputs!$B$27+Inputs!$B$29,MAX(0,(Inputs!$B$3-100)*3)+Inputs!$B$28+Inputs!$B$29)))</f>
        <v/>
      </c>
      <c r="E2154">
        <f>INDEX(FactorTable!$B$2:$Y$301, MATCH(ROUND(MIN(300,MAX(1,D2154)),0), FactorTable!$A$2:$A$301,0), Skills!M25+1)</f>
        <v/>
      </c>
      <c r="F2154">
        <f>IF(Skills!N25=TRUE,(Skills!L25/10)*(E2154/1000),Skills!L25/10)+Skills!O25</f>
        <v/>
      </c>
      <c r="G2154">
        <f>Skills!G25*IF(Skills!H25&gt;0,Skills!I25/Skills!H25,1)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Inputs!$B$3&gt;=72</f>
        <v/>
      </c>
      <c r="D2155">
        <f>IF(Skills!C26=1,60+Inputs!$B$25+Inputs!$B$29,IF(Skills!C26=2,90+Inputs!$B$26+Inputs!$B$29,IF(Skills!C26=3,120+Inputs!$B$27+Inputs!$B$29,MAX(0,(Inputs!$B$3-100)*3)+Inputs!$B$28+Inputs!$B$29)))</f>
        <v/>
      </c>
      <c r="E2155">
        <f>INDEX(FactorTable!$B$2:$Y$301, MATCH(ROUND(MIN(300,MAX(1,D2155)),0), FactorTable!$A$2:$A$301,0), Skills!M26+1)</f>
        <v/>
      </c>
      <c r="F2155">
        <f>IF(Skills!N26=TRUE,(Skills!L26/10)*(E2155/1000),Skills!L26/10)+Skills!O26</f>
        <v/>
      </c>
      <c r="G2155">
        <f>Skills!G26*IF(Skills!H26&gt;0,Skills!I26/Skills!H26,1)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2148=TRUE)*F2148*IF(AND(Inputs!$B$38&lt;&gt;"pvp",Inputs!$B$43&gt;0),(((R2148-1)*(Skills!T19*(1+(Inputs!$B$34+(ArtifactsInput!$M$7-ArtifactsInput!$M$7)*CHOOSE(ArtifactsInput!$N$7+1,6,7.2,8.4,9.6,10.8,12))/100))+MIN((Skills!T19*(1+(Inputs!$B$34+(ArtifactsInput!$M$7-ArtifactsInput!$M$7)*CHOOSE(ArtifactsInput!$N$7+1,6,7.2,8.4,9.6,10.8,12))/100)),MAX(0,Inputs!$B$43-((R2148-1)*Skills!D19))))/Inputs!$B$43),IF(Inputs!$B$38="pvp",MIN((Skills!T19*(1+(Inputs!$B$34+(ArtifactsInput!$M$7-ArtifactsInput!$M$7)*CHOOSE(ArtifactsInput!$N$7+1,6,7.2,8.4,9.6,10.8,12))/100)),15)/15,(Skills!T19*(1+(Inputs!$B$34+(ArtifactsInput!$M$7-ArtifactsInput!$M$7)*CHOOSE(ArtifactsInput!$N$7+1,6,7.2,8.4,9.6,10.8,12))/100))/Skills!D19)))</f>
        <v/>
      </c>
    </row>
    <row r="2160">
      <c r="A2160" t="inlineStr">
        <is>
          <t>Actions Per Second</t>
        </is>
      </c>
      <c r="B2160">
        <f>1+MIN(150,150*(1-(1-(Inputs!$B$11+((C2149=TRUE)*(F2149-Calc!F20)))/150)*(1-B2159/150)))/100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Raging Blow Casts Per Second</t>
        </is>
      </c>
      <c r="B2162">
        <f>MAX(0,B2160-B2161)</f>
        <v/>
      </c>
    </row>
    <row r="2163">
      <c r="A2163" t="inlineStr">
        <is>
          <t>Global Critical Damage Bonus % (Enrage)</t>
        </is>
      </c>
      <c r="B2163">
        <f>((C2147=TRUE)*F2147*IF(AND(Inputs!$B$38&lt;&gt;"pvp",Inputs!$B$43&gt;0),(((R2147-1)*(Skills!T18*(1+(Inputs!$B$34+(ArtifactsInput!$M$7-ArtifactsInput!$M$7)*CHOOSE(ArtifactsInput!$N$7+1,6,7.2,8.4,9.6,10.8,12))/100))+MIN((Skills!T18*(1+(Inputs!$B$34+(ArtifactsInput!$M$7-ArtifactsInput!$M$7)*CHOOSE(ArtifactsInput!$N$7+1,6,7.2,8.4,9.6,10.8,12))/100)),MAX(0,Inputs!$B$43-((R2147-1)*Skills!D18))))/Inputs!$B$43),IF(Inputs!$B$38="pvp",MIN((Skills!T18*(1+(Inputs!$B$34+(ArtifactsInput!$M$7-ArtifactsInput!$M$7)*CHOOSE(ArtifactsInput!$N$7+1,6,7.2,8.4,9.6,10.8,12))/100)),15)/15,(Skills!T18*(1+(Inputs!$B$34+(ArtifactsInput!$M$7-ArtifactsInput!$M$7)*CHOOSE(ArtifactsInput!$N$7+1,6,7.2,8.4,9.6,10.8,12))/100))/Skills!D18)))</f>
        <v/>
      </c>
    </row>
    <row r="2164">
      <c r="A2164" t="inlineStr">
        <is>
          <t>Global Final Damage Bonus % (Enrage + Combo Synergy)</t>
        </is>
      </c>
      <c r="B2164">
        <f>((C2146=TRUE)*F2146*IF(AND(Inputs!$B$38&lt;&gt;"pvp",Inputs!$B$43&gt;0),(((R2146-1)*(Skills!T17*(1+(Inputs!$B$34+(ArtifactsInput!$M$7-ArtifactsInput!$M$7)*CHOOSE(ArtifactsInput!$N$7+1,6,7.2,8.4,9.6,10.8,12))/100))+MIN((Skills!T17*(1+(Inputs!$B$34+(ArtifactsInput!$M$7-ArtifactsInput!$M$7)*CHOOSE(ArtifactsInput!$N$7+1,6,7.2,8.4,9.6,10.8,12))/100)),MAX(0,Inputs!$B$43-((R2146-1)*Skills!D17))))/Inputs!$B$43),IF(Inputs!$B$38="pvp",MIN((Skills!T17*(1+(Inputs!$B$34+(ArtifactsInput!$M$7-ArtifactsInput!$M$7)*CHOOSE(ArtifactsInput!$N$7+1,6,7.2,8.4,9.6,10.8,12))/100)),15)/15,(Skills!T17*(1+(Inputs!$B$34+(ArtifactsInput!$M$7-ArtifactsInput!$M$7)*CHOOSE(ArtifactsInput!$N$7+1,6,7.2,8.4,9.6,10.8,12))/100))/Skills!D17)))+((C2143=TRUE)*F2143*IF(Inputs!$B$3&gt;=110,7,5))</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2173)</f>
        <v/>
      </c>
      <c r="L2173">
        <f>K2173*(MIN(Inputs!$B$22+((C2193=TRUE)*(F2193-Calc!F22)),(Inputs!$B$23+((C2195=TRUE)*(F2195-Calc!F24))+(IF(ArtifactsInput!$M$15,CHOOSE(ArtifactsInput!$N$15+1,25,30,35,40,45,50)/100*(Inputs!$B$11-Inputs!$B$11),0))))/100+(Inputs!$B$23+((C2195=TRUE)*(F2195-Calc!F24))+(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INDEX(FactorTable!$B$2:$Y$301, MATCH(ROUND(MIN(300,MAX(1,D2174)),0),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INDEX(FactorTable!$B$2:$Y$301, MATCH(ROUND(MIN(300,MAX(1,U2173)),0), FactorTable!$A$2:$A$301,0), 22)</f>
        <v/>
      </c>
    </row>
    <row r="2175">
      <c r="A2175">
        <f>Skills!A4</f>
        <v/>
      </c>
      <c r="B2175">
        <f>Skills!B4</f>
        <v/>
      </c>
      <c r="C2175">
        <f>Inputs!$B$3&gt;=105</f>
        <v/>
      </c>
      <c r="D2175">
        <f>IF(Skills!C4=1,60+Inputs!$B$25+Inputs!$B$29,IF(Skills!C4=2,90+Inputs!$B$26+Inputs!$B$29,IF(Skills!C4=3,120+Inputs!$B$27+Inputs!$B$29,MAX(0,(Inputs!$B$3-100)*3)+Inputs!$B$28+Inputs!$B$29)))</f>
        <v/>
      </c>
      <c r="E2175">
        <f>INDEX(FactorTable!$B$2:$Y$301, MATCH(ROUND(MIN(300,MAX(1,D2175)),0), FactorTable!$A$2:$A$301,0), Skills!M4+1)</f>
        <v/>
      </c>
      <c r="F2175">
        <f>IF(Skills!N4=TRUE,(Skills!L4/10)*(E2175/1000),Skills!L4/10)+Skills!O4</f>
        <v/>
      </c>
      <c r="G2175" t="inlineStr"/>
      <c r="H2175" t="inlineStr"/>
      <c r="I2175" t="inlineStr">
        <is>
          <t>1</t>
        </is>
      </c>
      <c r="J2175" t="inlineStr"/>
      <c r="K2175" t="inlineStr"/>
      <c r="L2175" t="inlineStr"/>
      <c r="M2175" t="inlineStr"/>
      <c r="N2175" t="inlineStr"/>
      <c r="O2175" t="inlineStr"/>
      <c r="P2175" t="inlineStr"/>
      <c r="Q2175" t="inlineStr"/>
      <c r="R2175" t="inlineStr"/>
      <c r="S2175" t="inlineStr"/>
      <c r="U2175">
        <f>290*U2174/1000</f>
        <v/>
      </c>
    </row>
    <row r="2176">
      <c r="A2176">
        <f>Skills!A5</f>
        <v/>
      </c>
      <c r="B2176">
        <f>Skills!B5</f>
        <v/>
      </c>
      <c r="C2176">
        <f>Inputs!$B$3&gt;=103</f>
        <v/>
      </c>
      <c r="D2176">
        <f>IF(Skills!C5=1,60+Inputs!$B$25+Inputs!$B$29,IF(Skills!C5=2,90+Inputs!$B$26+Inputs!$B$29,IF(Skills!C5=3,120+Inputs!$B$27+Inputs!$B$29,MAX(0,(Inputs!$B$3-100)*3)+Inputs!$B$28+Inputs!$B$29)))</f>
        <v/>
      </c>
      <c r="E2176">
        <f>INDEX(FactorTable!$B$2:$Y$301, MATCH(ROUND(MIN(300,MAX(1,D2176)),0), FactorTable!$A$2:$A$301,0), Skills!M5+1)</f>
        <v/>
      </c>
      <c r="F2176">
        <f>IF(Skills!N5=TRUE,(Skills!L5/10)*(E2176/1000),Skills!L5/10)+Skills!O5</f>
        <v/>
      </c>
      <c r="G2176">
        <f>Skills!G5*IF(Skills!H5&gt;0,Skills!I5/Skills!H5,1)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2176)</f>
        <v/>
      </c>
      <c r="L2176">
        <f>K2176*(MIN(Inputs!$B$22+((C2193=TRUE)*(F2193-Calc!F22)),(Inputs!$B$23+((C2195=TRUE)*(F2195-Calc!F24))+(IF(ArtifactsInput!$M$15,CHOOSE(ArtifactsInput!$N$15+1,25,30,35,40,45,50)/100*(Inputs!$B$11-Inputs!$B$11),0))))/100+(Inputs!$B$23+((C2195=TRUE)*(F2195-Calc!F24))+(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IFERROR(1/(IF(Inputs!$B$38="pvp",15,MAX(0.1,Skills!D5-IF(Skills!E5=TRUE,Inputs!$B$32,0)))*(1-IF(AND(ArtifactsInput!$M$27,Inputs!$B$4="Chapter Hunt"),CHOOSE(ArtifactsInput!$N$27+1,20,24,28,32,36,40),0)/100)),0)</f>
        <v/>
      </c>
      <c r="R2176">
        <f>IF(AND(Inputs!$B$38&lt;&gt;"pvp",Inputs!$B$43&gt;0),IF(MAX(0,Inputs!$B$43-B2207)&lt;=0,0,(INT(MAX(0,Inputs!$B$43-B2207)/(IF(Inputs!$B$38="pvp",15,MAX(0.1,Skills!D5-IF(Skills!E5=TRUE,Inputs!$B$32,0)))*(1-IF(AND(ArtifactsInput!$M$27,Inputs!$B$4="Chapter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INDEX(FactorTable!$B$2:$Y$301, MATCH(ROUND(MIN(300,MAX(1,D2177)),0), FactorTable!$A$2:$A$301,0), Skills!M6+1)</f>
        <v/>
      </c>
      <c r="F2177">
        <f>IF(Skills!N6=TRUE,(Skills!L6/10)*(E2177/1000),Skills!L6/10)+Skills!O6</f>
        <v/>
      </c>
      <c r="G2177">
        <f>Skills!G6*IF(Skills!H6&gt;0,Skills!I6/Skills!H6,1)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2177)</f>
        <v/>
      </c>
      <c r="L2177">
        <f>K2177*(MIN(Inputs!$B$22+((C2193=TRUE)*(F2193-Calc!F22)),(Inputs!$B$23+((C2195=TRUE)*(F2195-Calc!F24))+(IF(ArtifactsInput!$M$15,CHOOSE(ArtifactsInput!$N$15+1,25,30,35,40,45,50)/100*(Inputs!$B$11-Inputs!$B$11),0))))/100+(Inputs!$B$23+((C2195=TRUE)*(F2195-Calc!F24))+(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IFERROR(1/(IF(Inputs!$B$38="pvp",15,MAX(0.1,Skills!D6-IF(Skills!E6=TRUE,Inputs!$B$32,0)))*(1-IF(AND(ArtifactsInput!$M$27,Inputs!$B$4="Chapter Hunt"),CHOOSE(ArtifactsInput!$N$27+1,20,24,28,32,36,40),0)/100)),0)</f>
        <v/>
      </c>
      <c r="R2177">
        <f>IF(AND(Inputs!$B$38&lt;&gt;"pvp",Inputs!$B$43&gt;0),IF(MAX(0,Inputs!$B$43-B2207)&lt;=0,0,(INT(MAX(0,Inputs!$B$43-B2207)/(IF(Inputs!$B$38="pvp",15,MAX(0.1,Skills!D6-IF(Skills!E6=TRUE,Inputs!$B$32,0)))*(1-IF(AND(ArtifactsInput!$M$27,Inputs!$B$4="Chapter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INDEX(FactorTable!$B$2:$Y$301, MATCH(ROUND(MIN(300,MAX(1,D2178)),0), FactorTable!$A$2:$A$301,0), Skills!M7+1)</f>
        <v/>
      </c>
      <c r="F2178">
        <f>IF(Skills!N7=TRUE,(Skills!L7/10)*(E2178/1000),Skills!L7/10)+Skills!O7</f>
        <v/>
      </c>
      <c r="G2178">
        <f>Skills!G7*IF(Skills!H7&gt;0,Skills!I7/Skills!H7,1)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2178)</f>
        <v/>
      </c>
      <c r="L2178">
        <f>K2178*(MIN(Inputs!$B$22+((C2193=TRUE)*(F2193-Calc!F22)),(Inputs!$B$23+((C2195=TRUE)*(F2195-Calc!F24))+(IF(ArtifactsInput!$M$15,CHOOSE(ArtifactsInput!$N$15+1,25,30,35,40,45,50)/100*(Inputs!$B$11-Inputs!$B$11),0))))/100+(Inputs!$B$23+((C2195=TRUE)*(F2195-Calc!F24))+(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IFERROR(1/(IF(Inputs!$B$38="pvp",15,MAX(0.1,Skills!D7-IF(Skills!E7=TRUE,Inputs!$B$32,0)))*(1-IF(AND(ArtifactsInput!$M$27,Inputs!$B$4="Chapter Hunt"),CHOOSE(ArtifactsInput!$N$27+1,20,24,28,32,36,40),0)/100)),0)</f>
        <v/>
      </c>
      <c r="R2178">
        <f>IF(AND(Inputs!$B$38&lt;&gt;"pvp",Inputs!$B$43&gt;0),IF(MAX(0,Inputs!$B$43-B2207)&lt;=0,0,(INT(MAX(0,Inputs!$B$43-B2207)/(IF(Inputs!$B$38="pvp",15,MAX(0.1,Skills!D7-IF(Skills!E7=TRUE,Inputs!$B$32,0)))*(1-IF(AND(ArtifactsInput!$M$27,Inputs!$B$4="Chapter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Inputs!$B$3&gt;=117</f>
        <v/>
      </c>
      <c r="D2179">
        <f>IF(Skills!C8=1,60+Inputs!$B$25+Inputs!$B$29,IF(Skills!C8=2,90+Inputs!$B$26+Inputs!$B$29,IF(Skills!C8=3,120+Inputs!$B$27+Inputs!$B$29,MAX(0,(Inputs!$B$3-100)*3)+Inputs!$B$28+Inputs!$B$29)))</f>
        <v/>
      </c>
      <c r="E2179">
        <f>INDEX(FactorTable!$B$2:$Y$301, MATCH(ROUND(MIN(300,MAX(1,D2179)),0), FactorTable!$A$2:$A$301,0), Skills!M8+1)</f>
        <v/>
      </c>
      <c r="F2179">
        <f>IF(Skills!N8=TRUE,(Skills!L8/10)*(E2179/1000),Skills!L8/10)+Skills!O8</f>
        <v/>
      </c>
      <c r="G2179">
        <f>Skills!G8*IF(Skills!H8&gt;0,Skills!I8/Skills!H8,1)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2179)</f>
        <v/>
      </c>
      <c r="L2179">
        <f>K2179*(MIN(Inputs!$B$22+((C2193=TRUE)*(F2193-Calc!F22)),(Inputs!$B$23+((C2195=TRUE)*(F2195-Calc!F24))+(IF(ArtifactsInput!$M$15,CHOOSE(ArtifactsInput!$N$15+1,25,30,35,40,45,50)/100*(Inputs!$B$11-Inputs!$B$11),0))))/100+(Inputs!$B$23+((C2195=TRUE)*(F2195-Calc!F24))+(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IFERROR(1/(IF(Inputs!$B$38="pvp",15,MAX(0.1,Skills!D8-IF(Skills!E8=TRUE,Inputs!$B$32,0)))*(1-IF(AND(ArtifactsInput!$M$27,Inputs!$B$4="Chapter Hunt"),CHOOSE(ArtifactsInput!$N$27+1,20,24,28,32,36,40),0)/100)),0)</f>
        <v/>
      </c>
      <c r="R2179">
        <f>IF(AND(Inputs!$B$38&lt;&gt;"pvp",Inputs!$B$43&gt;0),IF(MAX(0,Inputs!$B$43-B2207)&lt;=0,0,(INT(MAX(0,Inputs!$B$43-B2207)/(IF(Inputs!$B$38="pvp",15,MAX(0.1,Skills!D8-IF(Skills!E8=TRUE,Inputs!$B$32,0)))*(1-IF(AND(ArtifactsInput!$M$27,Inputs!$B$4="Chapter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Inputs!$B$3&gt;=69</f>
        <v/>
      </c>
      <c r="D2180">
        <f>IF(Skills!C9=1,60+Inputs!$B$25+Inputs!$B$29,IF(Skills!C9=2,90+Inputs!$B$26+Inputs!$B$29,IF(Skills!C9=3,120+Inputs!$B$27+Inputs!$B$29,MAX(0,(Inputs!$B$3-100)*3)+Inputs!$B$28+Inputs!$B$29)))</f>
        <v/>
      </c>
      <c r="E2180">
        <f>INDEX(FactorTable!$B$2:$Y$301, MATCH(ROUND(MIN(300,MAX(1,D2180)),0), FactorTable!$A$2:$A$301,0), Skills!M9+1)</f>
        <v/>
      </c>
      <c r="F2180">
        <f>IF(Skills!N9=TRUE,(Skills!L9/10)*(E2180/1000),Skills!L9/10)+Skills!O9</f>
        <v/>
      </c>
      <c r="G2180">
        <f>Skills!G9*IF(Skills!H9&gt;0,Skills!I9/Skills!H9,1)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9="ENHANCED_RAGING_BLOW",IF(Inputs!$B$3&gt;=134,MAX(0,IF(Inputs!$B$3&gt;=110,7,5)-5)*50,0),0)/100)*(1+(IF(Skills!A9="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2180)</f>
        <v/>
      </c>
      <c r="L2180">
        <f>K2180*(MIN(Inputs!$B$22+((C2193=TRUE)*(F2193-Calc!F22)),(Inputs!$B$23+((C2195=TRUE)*(F2195-Calc!F24))+(IF(ArtifactsInput!$M$15,CHOOSE(ArtifactsInput!$N$15+1,25,30,35,40,45,50)/100*(Inputs!$B$11-Inputs!$B$11),0))))/100+(Inputs!$B$23+((C2195=TRUE)*(F2195-Calc!F24))+(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IFERROR(1/(IF(Inputs!$B$38="pvp",15,MAX(0.1,Skills!D9-IF(Skills!E9=TRUE,Inputs!$B$32,0)))*(1-IF(AND(ArtifactsInput!$M$27,Inputs!$B$4="Chapter Hunt"),CHOOSE(ArtifactsInput!$N$27+1,20,24,28,32,36,40),0)/100)),0)</f>
        <v/>
      </c>
      <c r="R2180">
        <f>IF(AND(Inputs!$B$38&lt;&gt;"pvp",Inputs!$B$43&gt;0),IF(MAX(0,Inputs!$B$43-B2207)&lt;=0,0,(INT(MAX(0,Inputs!$B$43-B2207)/(IF(Inputs!$B$38="pvp",15,MAX(0.1,Skills!D9-IF(Skills!E9=TRUE,Inputs!$B$32,0)))*(1-IF(AND(ArtifactsInput!$M$27,Inputs!$B$4="Chapter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Inputs!$B$3&gt;=63</f>
        <v/>
      </c>
      <c r="D2181">
        <f>IF(Skills!C10=1,60+Inputs!$B$25+Inputs!$B$29,IF(Skills!C10=2,90+Inputs!$B$26+Inputs!$B$29,IF(Skills!C10=3,120+Inputs!$B$27+Inputs!$B$29,MAX(0,(Inputs!$B$3-100)*3)+Inputs!$B$28+Inputs!$B$29)))</f>
        <v/>
      </c>
      <c r="E2181">
        <f>INDEX(FactorTable!$B$2:$Y$301, MATCH(ROUND(MIN(300,MAX(1,D2181)),0), FactorTable!$A$2:$A$301,0), Skills!M10+1)</f>
        <v/>
      </c>
      <c r="F2181">
        <f>IF(Skills!N10=TRUE,(Skills!L10/10)*(E2181/1000),Skills!L10/10)+Skills!O10</f>
        <v/>
      </c>
      <c r="G2181">
        <f>Skills!G10*IF(Skills!H10&gt;0,Skills!I10/Skills!H10,1)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10="ENHANCED_RAGING_BLOW",IF(Inputs!$B$3&gt;=134,MAX(0,IF(Inputs!$B$3&gt;=110,7,5)-5)*50,0),0)/100)*(1+(IF(Skills!A10="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2181)</f>
        <v/>
      </c>
      <c r="L2181">
        <f>K2181*(MIN(Inputs!$B$22+((C2193=TRUE)*(F2193-Calc!F22)),(Inputs!$B$23+((C2195=TRUE)*(F2195-Calc!F24))+(IF(ArtifactsInput!$M$15,CHOOSE(ArtifactsInput!$N$15+1,25,30,35,40,45,50)/100*(Inputs!$B$11-Inputs!$B$11),0))))/100+(Inputs!$B$23+((C2195=TRUE)*(F2195-Calc!F24))+(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IFERROR(1/(IF(Inputs!$B$38="pvp",15,MAX(0.1,Skills!D10-IF(Skills!E10=TRUE,Inputs!$B$32,0)))*(1-IF(AND(ArtifactsInput!$M$27,Inputs!$B$4="Chapter Hunt"),CHOOSE(ArtifactsInput!$N$27+1,20,24,28,32,36,40),0)/100)),0)</f>
        <v/>
      </c>
      <c r="R2181">
        <f>IF(AND(Inputs!$B$38&lt;&gt;"pvp",Inputs!$B$43&gt;0),IF(MAX(0,Inputs!$B$43-B2207)&lt;=0,0,(INT(MAX(0,Inputs!$B$43-B2207)/(IF(Inputs!$B$38="pvp",15,MAX(0.1,Skills!D10-IF(Skills!E10=TRUE,Inputs!$B$32,0)))*(1-IF(AND(ArtifactsInput!$M$27,Inputs!$B$4="Chapter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Inputs!$B$3&gt;=35</f>
        <v/>
      </c>
      <c r="D2182">
        <f>IF(Skills!C11=1,60+Inputs!$B$25+Inputs!$B$29,IF(Skills!C11=2,90+Inputs!$B$26+Inputs!$B$29,IF(Skills!C11=3,120+Inputs!$B$27+Inputs!$B$29,MAX(0,(Inputs!$B$3-100)*3)+Inputs!$B$28+Inputs!$B$29)))</f>
        <v/>
      </c>
      <c r="E2182">
        <f>INDEX(FactorTable!$B$2:$Y$301, MATCH(ROUND(MIN(300,MAX(1,D2182)),0), FactorTable!$A$2:$A$301,0), Skills!M11+1)</f>
        <v/>
      </c>
      <c r="F2182">
        <f>IF(Skills!N11=TRUE,(Skills!L11/10)*(E2182/1000),Skills!L11/10)+Skills!O11</f>
        <v/>
      </c>
      <c r="G2182">
        <f>Skills!G11*IF(Skills!H11&gt;0,Skills!I11/Skills!H11,1)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11="ENHANCED_RAGING_BLOW",IF(Inputs!$B$3&gt;=134,MAX(0,IF(Inputs!$B$3&gt;=110,7,5)-5)*50,0),0)/100)*(1+(IF(Skills!A11="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2182)</f>
        <v/>
      </c>
      <c r="L2182">
        <f>K2182*(MIN(Inputs!$B$22+((C2193=TRUE)*(F2193-Calc!F22)),(Inputs!$B$23+((C2195=TRUE)*(F2195-Calc!F24))+(IF(ArtifactsInput!$M$15,CHOOSE(ArtifactsInput!$N$15+1,25,30,35,40,45,50)/100*(Inputs!$B$11-Inputs!$B$11),0))))/100+(Inputs!$B$23+((C2195=TRUE)*(F2195-Calc!F24))+(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IFERROR(1/(IF(Inputs!$B$38="pvp",15,MAX(0.1,Skills!D11-IF(Skills!E11=TRUE,Inputs!$B$32,0)))*(1-IF(AND(ArtifactsInput!$M$27,Inputs!$B$4="Chapter Hunt"),CHOOSE(ArtifactsInput!$N$27+1,20,24,28,32,36,40),0)/100)),0)</f>
        <v/>
      </c>
      <c r="R2182">
        <f>IF(AND(Inputs!$B$38&lt;&gt;"pvp",Inputs!$B$43&gt;0),IF(MAX(0,Inputs!$B$43-B2207)&lt;=0,0,(INT(MAX(0,Inputs!$B$43-B2207)/(IF(Inputs!$B$38="pvp",15,MAX(0.1,Skills!D11-IF(Skills!E11=TRUE,Inputs!$B$32,0)))*(1-IF(AND(ArtifactsInput!$M$27,Inputs!$B$4="Chapter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INDEX(FactorTable!$B$2:$Y$301, MATCH(ROUND(MIN(300,MAX(1,D2183)),0),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INDEX(FactorTable!$B$2:$Y$301, MATCH(ROUND(MIN(300,MAX(1,D2184)),0), FactorTable!$A$2:$A$301,0), Skills!M13+1)</f>
        <v/>
      </c>
      <c r="F2184">
        <f>IF(Skills!N13=TRUE,(Skills!L13/10)*(E2184/1000),Skills!L13/10)+Skills!O13</f>
        <v/>
      </c>
      <c r="G2184">
        <f>Skills!G13*IF(Skills!H13&gt;0,Skills!I13/Skills!H13,1)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Inputs!$B$3&gt;=75</f>
        <v/>
      </c>
      <c r="D2185">
        <f>IF(Skills!C14=1,60+Inputs!$B$25+Inputs!$B$29,IF(Skills!C14=2,90+Inputs!$B$26+Inputs!$B$29,IF(Skills!C14=3,120+Inputs!$B$27+Inputs!$B$29,MAX(0,(Inputs!$B$3-100)*3)+Inputs!$B$28+Inputs!$B$29)))</f>
        <v/>
      </c>
      <c r="E2185">
        <f>INDEX(FactorTable!$B$2:$Y$301, MATCH(ROUND(MIN(300,MAX(1,D2185)),0), FactorTable!$A$2:$A$301,0), Skills!M14+1)</f>
        <v/>
      </c>
      <c r="F2185">
        <f>IF(Skills!N14=TRUE,(Skills!L14/10)*(E2185/1000),Skills!L14/10)+Skills!O14</f>
        <v/>
      </c>
      <c r="G2185">
        <f>Skills!G14*IF(Skills!H14&gt;0,Skills!I14/Skills!H14,1)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Inputs!$B$3&gt;=40</f>
        <v/>
      </c>
      <c r="D2186">
        <f>IF(Skills!C15=1,60+Inputs!$B$25+Inputs!$B$29,IF(Skills!C15=2,90+Inputs!$B$26+Inputs!$B$29,IF(Skills!C15=3,120+Inputs!$B$27+Inputs!$B$29,MAX(0,(Inputs!$B$3-100)*3)+Inputs!$B$28+Inputs!$B$29)))</f>
        <v/>
      </c>
      <c r="E2186">
        <f>INDEX(FactorTable!$B$2:$Y$301, MATCH(ROUND(MIN(300,MAX(1,D2186)),0), FactorTable!$A$2:$A$301,0), Skills!M15+1)</f>
        <v/>
      </c>
      <c r="F2186">
        <f>IF(Skills!N15=TRUE,(Skills!L15/10)*(E2186/1000),Skills!L15/10)+Skills!O15</f>
        <v/>
      </c>
      <c r="G2186">
        <f>Skills!G15*IF(Skills!H15&gt;0,Skills!I15/Skills!H15,1)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IFERROR(1/(IF(Inputs!$B$38="pvp",15,MAX(0.1,Skills!D15-IF(Skills!E15=TRUE,Inputs!$B$32,0)))*(1-IF(AND(ArtifactsInput!$M$27,Inputs!$B$4="Chapter Hunt"),CHOOSE(ArtifactsInput!$N$27+1,20,24,28,32,36,40),0)/100)),0)</f>
        <v/>
      </c>
      <c r="R2186">
        <f>IF(AND(Inputs!$B$38&lt;&gt;"pvp",Inputs!$B$43&gt;0),IF(Inputs!$B$43&lt;=0,0,(INT(Inputs!$B$43/(IF(Inputs!$B$38="pvp",15,MAX(0.1,Skills!D15-IF(Skills!E15=TRUE,Inputs!$B$32,0)))*(1-IF(AND(ArtifactsInput!$M$27,Inputs!$B$4="Chapter Hunt"),CHOOSE(ArtifactsInput!$N$27+1,20,24,28,32,36,40),0)/100)))+1)),0)</f>
        <v/>
      </c>
      <c r="S2186">
        <f>IFERROR(O2186/N2186,0)</f>
        <v/>
      </c>
      <c r="T2186" t="n">
        <v>0</v>
      </c>
      <c r="V2186" t="n">
        <v>0</v>
      </c>
    </row>
    <row r="2187">
      <c r="A2187">
        <f>Skills!A16</f>
        <v/>
      </c>
      <c r="B2187">
        <f>Skills!B16</f>
        <v/>
      </c>
      <c r="C2187">
        <f>Inputs!$B$3&gt;=66</f>
        <v/>
      </c>
      <c r="D2187">
        <f>IF(Skills!C16=1,60+Inputs!$B$25+Inputs!$B$29,IF(Skills!C16=2,90+Inputs!$B$26+Inputs!$B$29,IF(Skills!C16=3,120+Inputs!$B$27+Inputs!$B$29,MAX(0,(Inputs!$B$3-100)*3)+Inputs!$B$28+Inputs!$B$29)))</f>
        <v/>
      </c>
      <c r="E2187">
        <f>INDEX(FactorTable!$B$2:$Y$301, MATCH(ROUND(MIN(300,MAX(1,D2187)),0), FactorTable!$A$2:$A$301,0), Skills!M16+1)</f>
        <v/>
      </c>
      <c r="F2187">
        <f>IF(Skills!N16=TRUE,(Skills!L16/10)*(E2187/1000),Skills!L16/10)+Skills!O16</f>
        <v/>
      </c>
      <c r="G2187">
        <f>Skills!G16*IF(Skills!H16&gt;0,Skills!I16/Skills!H16,1)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IFERROR(1/(IF(Inputs!$B$38="pvp",15,MAX(0.1,Skills!D16-IF(Skills!E16=TRUE,Inputs!$B$32,0)))*(1-IF(AND(ArtifactsInput!$M$27,Inputs!$B$4="Chapter Hunt"),CHOOSE(ArtifactsInput!$N$27+1,20,24,28,32,36,40),0)/100)),0)</f>
        <v/>
      </c>
      <c r="R2187">
        <f>IF(AND(Inputs!$B$38&lt;&gt;"pvp",Inputs!$B$43&gt;0),IF(Inputs!$B$43&lt;=0,0,(INT(Inputs!$B$43/(IF(Inputs!$B$38="pvp",15,MAX(0.1,Skills!D16-IF(Skills!E16=TRUE,Inputs!$B$32,0)))*(1-IF(AND(ArtifactsInput!$M$27,Inputs!$B$4="Chapter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INDEX(FactorTable!$B$2:$Y$301, MATCH(ROUND(MIN(300,MAX(1,D2188)),0), FactorTable!$A$2:$A$301,0), Skills!M17+1)</f>
        <v/>
      </c>
      <c r="F2188">
        <f>IF(Skills!N17=TRUE,(Skills!L17/10)*(E2188/1000),Skills!L17/10)+Skills!O17</f>
        <v/>
      </c>
      <c r="G2188">
        <f>Skills!G17*IF(Skills!H17&gt;0,Skills!I17/Skills!H17,1)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IFERROR(1/(IF(Inputs!$B$38="pvp",15,MAX(0.1,Skills!D17-IF(Skills!E17=TRUE,Inputs!$B$32,0)))*(1-IF(AND(ArtifactsInput!$M$27,Inputs!$B$4="Chapter Hunt"),CHOOSE(ArtifactsInput!$N$27+1,20,24,28,32,36,40),0)/100)),0)</f>
        <v/>
      </c>
      <c r="R2188">
        <f>IF(AND(Inputs!$B$38&lt;&gt;"pvp",Inputs!$B$43&gt;0),IF(Inputs!$B$43&lt;=0,0,(INT(Inputs!$B$43/(IF(Inputs!$B$38="pvp",15,MAX(0.1,Skills!D17-IF(Skills!E17=TRUE,Inputs!$B$32,0)))*(1-IF(AND(ArtifactsInput!$M$27,Inputs!$B$4="Chapter Hunt"),CHOOSE(ArtifactsInput!$N$27+1,20,24,28,32,36,40),0)/100)))+1)),0)</f>
        <v/>
      </c>
      <c r="S2188">
        <f>IFERROR(O2188/N2188,0)</f>
        <v/>
      </c>
      <c r="T2188" t="n">
        <v>0</v>
      </c>
      <c r="V2188" t="n">
        <v>0</v>
      </c>
    </row>
    <row r="2189">
      <c r="A2189">
        <f>Skills!A18</f>
        <v/>
      </c>
      <c r="B2189">
        <f>Skills!B18</f>
        <v/>
      </c>
      <c r="C2189">
        <f>Inputs!$B$3&gt;=115</f>
        <v/>
      </c>
      <c r="D2189">
        <f>IF(Skills!C18=1,60+Inputs!$B$25+Inputs!$B$29,IF(Skills!C18=2,90+Inputs!$B$26+Inputs!$B$29,IF(Skills!C18=3,120+Inputs!$B$27+Inputs!$B$29,MAX(0,(Inputs!$B$3-100)*3)+Inputs!$B$28+Inputs!$B$29)))</f>
        <v/>
      </c>
      <c r="E2189">
        <f>INDEX(FactorTable!$B$2:$Y$301, MATCH(ROUND(MIN(300,MAX(1,D2189)),0), FactorTable!$A$2:$A$301,0), Skills!M18+1)</f>
        <v/>
      </c>
      <c r="F2189">
        <f>IF(Skills!N18=TRUE,(Skills!L18/10)*(E2189/1000),Skills!L18/10)+Skills!O18</f>
        <v/>
      </c>
      <c r="G2189">
        <f>Skills!G18*IF(Skills!H18&gt;0,Skills!I18/Skills!H18,1)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IFERROR(1/(IF(Inputs!$B$38="pvp",15,MAX(0.1,Skills!D18-IF(Skills!E18=TRUE,Inputs!$B$32,0)))*(1-IF(AND(ArtifactsInput!$M$27,Inputs!$B$4="Chapter Hunt"),CHOOSE(ArtifactsInput!$N$27+1,20,24,28,32,36,40),0)/100)),0)</f>
        <v/>
      </c>
      <c r="R2189">
        <f>IF(AND(Inputs!$B$38&lt;&gt;"pvp",Inputs!$B$43&gt;0),IF(Inputs!$B$43&lt;=0,0,(INT(Inputs!$B$43/(IF(Inputs!$B$38="pvp",15,MAX(0.1,Skills!D18-IF(Skills!E18=TRUE,Inputs!$B$32,0)))*(1-IF(AND(ArtifactsInput!$M$27,Inputs!$B$4="Chapter Hunt"),CHOOSE(ArtifactsInput!$N$27+1,20,24,28,32,36,40),0)/100)))+1)),0)</f>
        <v/>
      </c>
      <c r="S2189">
        <f>IFERROR(O2189/N2189,0)</f>
        <v/>
      </c>
      <c r="T2189" t="n">
        <v>0</v>
      </c>
      <c r="V2189" t="n">
        <v>0</v>
      </c>
    </row>
    <row r="2190">
      <c r="A2190">
        <f>Skills!A19</f>
        <v/>
      </c>
      <c r="B2190">
        <f>Skills!B19</f>
        <v/>
      </c>
      <c r="C2190">
        <f>TRUE</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IFERROR(1/(IF(Inputs!$B$38="pvp",15,MAX(0.1,Skills!D19-IF(Skills!E19=TRUE,Inputs!$B$32,0)))*(1-IF(AND(ArtifactsInput!$M$27,Inputs!$B$4="Chapter Hunt"),CHOOSE(ArtifactsInput!$N$27+1,20,24,28,32,36,40),0)/100)),0)</f>
        <v/>
      </c>
      <c r="R2190">
        <f>IF(AND(Inputs!$B$38&lt;&gt;"pvp",Inputs!$B$43&gt;0),IF(Inputs!$B$43&lt;=0,0,(INT(Inputs!$B$43/(IF(Inputs!$B$38="pvp",15,MAX(0.1,Skills!D19-IF(Skills!E19=TRUE,Inputs!$B$32,0)))*(1-IF(AND(ArtifactsInput!$M$27,Inputs!$B$4="Chapter Hunt"),CHOOSE(ArtifactsInput!$N$27+1,20,24,28,32,36,40),0)/100)))+1)),0)</f>
        <v/>
      </c>
      <c r="S2190">
        <f>IFERROR(O2190/N2190,0)</f>
        <v/>
      </c>
      <c r="T2190" t="n">
        <v>0</v>
      </c>
      <c r="V2190" t="n">
        <v>0</v>
      </c>
    </row>
    <row r="2191">
      <c r="A2191">
        <f>Skills!A20</f>
        <v/>
      </c>
      <c r="B2191">
        <f>Skills!B20</f>
        <v/>
      </c>
      <c r="C2191">
        <f>Inputs!$B$3&gt;=33</f>
        <v/>
      </c>
      <c r="D2191">
        <f>IF(Skills!C20=1,60+Inputs!$B$25+Inputs!$B$29,IF(Skills!C20=2,90+Inputs!$B$26+Inputs!$B$29,IF(Skills!C20=3,120+Inputs!$B$27+Inputs!$B$29,MAX(0,(Inputs!$B$3-100)*3)+Inputs!$B$28+Inputs!$B$29)))</f>
        <v/>
      </c>
      <c r="E2191">
        <f>INDEX(FactorTable!$B$2:$Y$301, MATCH(ROUND(MIN(300,MAX(1,D2191)),0), FactorTable!$A$2:$A$301,0), Skills!M20+1)</f>
        <v/>
      </c>
      <c r="F2191">
        <f>IF(Skills!N20=TRUE,(Skills!L20/10)*(E2191/1000),Skills!L20/10)+Skills!O20</f>
        <v/>
      </c>
      <c r="G2191">
        <f>Skills!G20*IF(Skills!H20&gt;0,Skills!I20/Skills!H20,1)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Inputs!$B$3&gt;=38</f>
        <v/>
      </c>
      <c r="D2192">
        <f>IF(Skills!C21=1,60+Inputs!$B$25+Inputs!$B$29,IF(Skills!C21=2,90+Inputs!$B$26+Inputs!$B$29,IF(Skills!C21=3,120+Inputs!$B$27+Inputs!$B$29,MAX(0,(Inputs!$B$3-100)*3)+Inputs!$B$28+Inputs!$B$29)))</f>
        <v/>
      </c>
      <c r="E2192">
        <f>INDEX(FactorTable!$B$2:$Y$301, MATCH(ROUND(MIN(300,MAX(1,D2192)),0), FactorTable!$A$2:$A$301,0), Skills!M21+1)</f>
        <v/>
      </c>
      <c r="F2192">
        <f>IF(Skills!N21=TRUE,(Skills!L21/10)*(E2192/1000),Skills!L21/10)+Skills!O21</f>
        <v/>
      </c>
      <c r="G2192">
        <f>Skills!G21*IF(Skills!H21&gt;0,Skills!I21/Skills!H21,1)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t="n">
        <v>0</v>
      </c>
      <c r="R2192" t="n">
        <v>0</v>
      </c>
      <c r="S2192">
        <f>IFERROR(O2192/N2192,0)</f>
        <v/>
      </c>
      <c r="T2192" t="n">
        <v>0</v>
      </c>
      <c r="V2192" t="n">
        <v>0</v>
      </c>
    </row>
    <row r="2193">
      <c r="A2193">
        <f>Skills!A22</f>
        <v/>
      </c>
      <c r="B2193">
        <f>Skills!B22</f>
        <v/>
      </c>
      <c r="C2193">
        <f>Inputs!$B$3&gt;=43</f>
        <v/>
      </c>
      <c r="D2193">
        <f>IF(Skills!C22=1,60+Inputs!$B$25+Inputs!$B$29,IF(Skills!C22=2,90+Inputs!$B$26+Inputs!$B$29,IF(Skills!C22=3,120+Inputs!$B$27+Inputs!$B$29,MAX(0,(Inputs!$B$3-100)*3)+Inputs!$B$28+Inputs!$B$29)))</f>
        <v/>
      </c>
      <c r="E2193">
        <f>INDEX(FactorTable!$B$2:$Y$301, MATCH(ROUND(MIN(300,MAX(1,D2193)),0), FactorTable!$A$2:$A$301,0), Skills!M22+1)</f>
        <v/>
      </c>
      <c r="F2193">
        <f>IF(Skills!N22=TRUE,(Skills!L22/10)*(E2193/1000),Skills!L22/10)+Skills!O22</f>
        <v/>
      </c>
      <c r="G2193">
        <f>Skills!G22*IF(Skills!H22&gt;0,Skills!I22/Skills!H22,1)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Inputs!$B$3&gt;=120</f>
        <v/>
      </c>
      <c r="D2194">
        <f>IF(Skills!C23=1,60+Inputs!$B$25+Inputs!$B$29,IF(Skills!C23=2,90+Inputs!$B$26+Inputs!$B$29,IF(Skills!C23=3,120+Inputs!$B$27+Inputs!$B$29,MAX(0,(Inputs!$B$3-100)*3)+Inputs!$B$28+Inputs!$B$29)))</f>
        <v/>
      </c>
      <c r="E2194">
        <f>INDEX(FactorTable!$B$2:$Y$301, MATCH(ROUND(MIN(300,MAX(1,D2194)),0), FactorTable!$A$2:$A$301,0), Skills!M23+1)</f>
        <v/>
      </c>
      <c r="F2194">
        <f>IF(Skills!N23=TRUE,(Skills!L23/10)*(E2194/1000),Skills!L23/10)+Skills!O23</f>
        <v/>
      </c>
      <c r="G2194">
        <f>Skills!G23*IF(Skills!H23&gt;0,Skills!I23/Skills!H23,1)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Inputs!$B$3&gt;=120</f>
        <v/>
      </c>
      <c r="D2195">
        <f>IF(Skills!C24=1,60+Inputs!$B$25+Inputs!$B$29,IF(Skills!C24=2,90+Inputs!$B$26+Inputs!$B$29,IF(Skills!C24=3,120+Inputs!$B$27+Inputs!$B$29,MAX(0,(Inputs!$B$3-100)*3)+Inputs!$B$28+Inputs!$B$29)))</f>
        <v/>
      </c>
      <c r="E2195">
        <f>INDEX(FactorTable!$B$2:$Y$301, MATCH(ROUND(MIN(300,MAX(1,D2195)),0), FactorTable!$A$2:$A$301,0), Skills!M24+1)</f>
        <v/>
      </c>
      <c r="F2195">
        <f>IF(Skills!N24=TRUE,(Skills!L24/10)*(E2195/1000),Skills!L24/10)+Skills!O24</f>
        <v/>
      </c>
      <c r="G2195">
        <f>Skills!G24*IF(Skills!H24&gt;0,Skills!I24/Skills!H24,1)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Inputs!$B$3&gt;=125</f>
        <v/>
      </c>
      <c r="D2196">
        <f>IF(Skills!C25=1,60+Inputs!$B$25+Inputs!$B$29,IF(Skills!C25=2,90+Inputs!$B$26+Inputs!$B$29,IF(Skills!C25=3,120+Inputs!$B$27+Inputs!$B$29,MAX(0,(Inputs!$B$3-100)*3)+Inputs!$B$28+Inputs!$B$29)))</f>
        <v/>
      </c>
      <c r="E2196">
        <f>INDEX(FactorTable!$B$2:$Y$301, MATCH(ROUND(MIN(300,MAX(1,D2196)),0), FactorTable!$A$2:$A$301,0), Skills!M25+1)</f>
        <v/>
      </c>
      <c r="F2196">
        <f>IF(Skills!N25=TRUE,(Skills!L25/10)*(E2196/1000),Skills!L25/10)+Skills!O25</f>
        <v/>
      </c>
      <c r="G2196">
        <f>Skills!G25*IF(Skills!H25&gt;0,Skills!I25/Skills!H25,1)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Inputs!$B$3&gt;=72</f>
        <v/>
      </c>
      <c r="D2197">
        <f>IF(Skills!C26=1,60+Inputs!$B$25+Inputs!$B$29,IF(Skills!C26=2,90+Inputs!$B$26+Inputs!$B$29,IF(Skills!C26=3,120+Inputs!$B$27+Inputs!$B$29,MAX(0,(Inputs!$B$3-100)*3)+Inputs!$B$28+Inputs!$B$29)))</f>
        <v/>
      </c>
      <c r="E2197">
        <f>INDEX(FactorTable!$B$2:$Y$301, MATCH(ROUND(MIN(300,MAX(1,D2197)),0), FactorTable!$A$2:$A$301,0), Skills!M26+1)</f>
        <v/>
      </c>
      <c r="F2197">
        <f>IF(Skills!N26=TRUE,(Skills!L26/10)*(E2197/1000),Skills!L26/10)+Skills!O26</f>
        <v/>
      </c>
      <c r="G2197">
        <f>Skills!G26*IF(Skills!H26&gt;0,Skills!I26/Skills!H26,1)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2190=TRUE)*F2190*IF(AND(Inputs!$B$38&lt;&gt;"pvp",Inputs!$B$43&gt;0),(((R2190-1)*(Skills!T19*(1+(Inputs!$B$34+(ArtifactsInput!$M$7-ArtifactsInput!$M$7)*CHOOSE(ArtifactsInput!$N$7+1,6,7.2,8.4,9.6,10.8,12))/100))+MIN((Skills!T19*(1+(Inputs!$B$34+(ArtifactsInput!$M$7-ArtifactsInput!$M$7)*CHOOSE(ArtifactsInput!$N$7+1,6,7.2,8.4,9.6,10.8,12))/100)),MAX(0,Inputs!$B$43-((R2190-1)*Skills!D19))))/Inputs!$B$43),IF(Inputs!$B$38="pvp",MIN((Skills!T19*(1+(Inputs!$B$34+(ArtifactsInput!$M$7-ArtifactsInput!$M$7)*CHOOSE(ArtifactsInput!$N$7+1,6,7.2,8.4,9.6,10.8,12))/100)),15)/15,(Skills!T19*(1+(Inputs!$B$34+(ArtifactsInput!$M$7-ArtifactsInput!$M$7)*CHOOSE(ArtifactsInput!$N$7+1,6,7.2,8.4,9.6,10.8,12))/100))/Skills!D19)))</f>
        <v/>
      </c>
    </row>
    <row r="2202">
      <c r="A2202" t="inlineStr">
        <is>
          <t>Actions Per Second</t>
        </is>
      </c>
      <c r="B2202">
        <f>1+MIN(150,150*(1-(1-(Inputs!$B$11+((C2191=TRUE)*(F2191-Calc!F20)))/150)*(1-B2201/150)))/100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Raging Blow Casts Per Second</t>
        </is>
      </c>
      <c r="B2204">
        <f>MAX(0,B2202-B2203)</f>
        <v/>
      </c>
    </row>
    <row r="2205">
      <c r="A2205" t="inlineStr">
        <is>
          <t>Global Critical Damage Bonus % (Enrage)</t>
        </is>
      </c>
      <c r="B2205">
        <f>((C2189=TRUE)*F2189*IF(AND(Inputs!$B$38&lt;&gt;"pvp",Inputs!$B$43&gt;0),(((R2189-1)*(Skills!T18*(1+(Inputs!$B$34+(ArtifactsInput!$M$7-ArtifactsInput!$M$7)*CHOOSE(ArtifactsInput!$N$7+1,6,7.2,8.4,9.6,10.8,12))/100))+MIN((Skills!T18*(1+(Inputs!$B$34+(ArtifactsInput!$M$7-ArtifactsInput!$M$7)*CHOOSE(ArtifactsInput!$N$7+1,6,7.2,8.4,9.6,10.8,12))/100)),MAX(0,Inputs!$B$43-((R2189-1)*Skills!D18))))/Inputs!$B$43),IF(Inputs!$B$38="pvp",MIN((Skills!T18*(1+(Inputs!$B$34+(ArtifactsInput!$M$7-ArtifactsInput!$M$7)*CHOOSE(ArtifactsInput!$N$7+1,6,7.2,8.4,9.6,10.8,12))/100)),15)/15,(Skills!T18*(1+(Inputs!$B$34+(ArtifactsInput!$M$7-ArtifactsInput!$M$7)*CHOOSE(ArtifactsInput!$N$7+1,6,7.2,8.4,9.6,10.8,12))/100))/Skills!D18)))</f>
        <v/>
      </c>
    </row>
    <row r="2206">
      <c r="A2206" t="inlineStr">
        <is>
          <t>Global Final Damage Bonus % (Enrage + Combo Synergy)</t>
        </is>
      </c>
      <c r="B2206">
        <f>((C2188=TRUE)*F2188*IF(AND(Inputs!$B$38&lt;&gt;"pvp",Inputs!$B$43&gt;0),(((R2188-1)*(Skills!T17*(1+(Inputs!$B$34+(ArtifactsInput!$M$7-ArtifactsInput!$M$7)*CHOOSE(ArtifactsInput!$N$7+1,6,7.2,8.4,9.6,10.8,12))/100))+MIN((Skills!T17*(1+(Inputs!$B$34+(ArtifactsInput!$M$7-ArtifactsInput!$M$7)*CHOOSE(ArtifactsInput!$N$7+1,6,7.2,8.4,9.6,10.8,12))/100)),MAX(0,Inputs!$B$43-((R2188-1)*Skills!D17))))/Inputs!$B$43),IF(Inputs!$B$38="pvp",MIN((Skills!T17*(1+(Inputs!$B$34+(ArtifactsInput!$M$7-ArtifactsInput!$M$7)*CHOOSE(ArtifactsInput!$N$7+1,6,7.2,8.4,9.6,10.8,12))/100)),15)/15,(Skills!T17*(1+(Inputs!$B$34+(ArtifactsInput!$M$7-ArtifactsInput!$M$7)*CHOOSE(ArtifactsInput!$N$7+1,6,7.2,8.4,9.6,10.8,12))/100))/Skills!D17)))+((C2185=TRUE)*F2185*IF(Inputs!$B$3&gt;=110,7,5))</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2215)</f>
        <v/>
      </c>
      <c r="L2215">
        <f>K2215*(MIN(Inputs!$B$22+((C2235=TRUE)*(F2235-Calc!F22)),(Inputs!$B$23+((C2237=TRUE)*(F2237-Calc!F24))+(IF(ArtifactsInput!$M$15,CHOOSE(ArtifactsInput!$N$15+1,25,30,35,40,45,50)/100*(Inputs!$B$11-Inputs!$B$11),0))))/100+(Inputs!$B$23+((C2237=TRUE)*(F2237-Calc!F24))+(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INDEX(FactorTable!$B$2:$Y$301, MATCH(ROUND(MIN(300,MAX(1,D2216)),0),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INDEX(FactorTable!$B$2:$Y$301, MATCH(ROUND(MIN(300,MAX(1,U2215)),0), FactorTable!$A$2:$A$301,0), 22)</f>
        <v/>
      </c>
    </row>
    <row r="2217">
      <c r="A2217">
        <f>Skills!A4</f>
        <v/>
      </c>
      <c r="B2217">
        <f>Skills!B4</f>
        <v/>
      </c>
      <c r="C2217">
        <f>Inputs!$B$3&gt;=105</f>
        <v/>
      </c>
      <c r="D2217">
        <f>IF(Skills!C4=1,60+Inputs!$B$25+Inputs!$B$29,IF(Skills!C4=2,90+Inputs!$B$26+Inputs!$B$29,IF(Skills!C4=3,120+Inputs!$B$27+Inputs!$B$29,MAX(0,(Inputs!$B$3-100)*3)+Inputs!$B$28+Inputs!$B$29)))</f>
        <v/>
      </c>
      <c r="E2217">
        <f>INDEX(FactorTable!$B$2:$Y$301, MATCH(ROUND(MIN(300,MAX(1,D2217)),0), FactorTable!$A$2:$A$301,0), Skills!M4+1)</f>
        <v/>
      </c>
      <c r="F2217">
        <f>IF(Skills!N4=TRUE,(Skills!L4/10)*(E2217/1000),Skills!L4/10)+Skills!O4</f>
        <v/>
      </c>
      <c r="G2217" t="inlineStr"/>
      <c r="H2217" t="inlineStr"/>
      <c r="I2217" t="inlineStr">
        <is>
          <t>1</t>
        </is>
      </c>
      <c r="J2217" t="inlineStr"/>
      <c r="K2217" t="inlineStr"/>
      <c r="L2217" t="inlineStr"/>
      <c r="M2217" t="inlineStr"/>
      <c r="N2217" t="inlineStr"/>
      <c r="O2217" t="inlineStr"/>
      <c r="P2217" t="inlineStr"/>
      <c r="Q2217" t="inlineStr"/>
      <c r="R2217" t="inlineStr"/>
      <c r="S2217" t="inlineStr"/>
      <c r="U2217">
        <f>290*U2216/1000</f>
        <v/>
      </c>
    </row>
    <row r="2218">
      <c r="A2218">
        <f>Skills!A5</f>
        <v/>
      </c>
      <c r="B2218">
        <f>Skills!B5</f>
        <v/>
      </c>
      <c r="C2218">
        <f>Inputs!$B$3&gt;=103</f>
        <v/>
      </c>
      <c r="D2218">
        <f>IF(Skills!C5=1,60+Inputs!$B$25+Inputs!$B$29,IF(Skills!C5=2,90+Inputs!$B$26+Inputs!$B$29,IF(Skills!C5=3,120+Inputs!$B$27+Inputs!$B$29,MAX(0,(Inputs!$B$3-100)*3)+Inputs!$B$28+Inputs!$B$29)))</f>
        <v/>
      </c>
      <c r="E2218">
        <f>INDEX(FactorTable!$B$2:$Y$301, MATCH(ROUND(MIN(300,MAX(1,D2218)),0), FactorTable!$A$2:$A$301,0), Skills!M5+1)</f>
        <v/>
      </c>
      <c r="F2218">
        <f>IF(Skills!N5=TRUE,(Skills!L5/10)*(E2218/1000),Skills!L5/10)+Skills!O5</f>
        <v/>
      </c>
      <c r="G2218">
        <f>Skills!G5*IF(Skills!H5&gt;0,Skills!I5/Skills!H5,1)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2218)</f>
        <v/>
      </c>
      <c r="L2218">
        <f>K2218*(MIN(Inputs!$B$22+((C2235=TRUE)*(F2235-Calc!F22)),(Inputs!$B$23+((C2237=TRUE)*(F2237-Calc!F24))+(IF(ArtifactsInput!$M$15,CHOOSE(ArtifactsInput!$N$15+1,25,30,35,40,45,50)/100*(Inputs!$B$11-Inputs!$B$11),0))))/100+(Inputs!$B$23+((C2237=TRUE)*(F2237-Calc!F24))+(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IFERROR(1/(IF(Inputs!$B$38="pvp",15,MAX(0.1,Skills!D5-IF(Skills!E5=TRUE,Inputs!$B$32,0)))*(1-IF(AND(ArtifactsInput!$M$27,Inputs!$B$4="Chapter Hunt"),CHOOSE(ArtifactsInput!$N$27+1,20,24,28,32,36,40),0)/100)),0)</f>
        <v/>
      </c>
      <c r="R2218">
        <f>IF(AND(Inputs!$B$38&lt;&gt;"pvp",Inputs!$B$43&gt;0),IF(MAX(0,Inputs!$B$43-B2249)&lt;=0,0,(INT(MAX(0,Inputs!$B$43-B2249)/(IF(Inputs!$B$38="pvp",15,MAX(0.1,Skills!D5-IF(Skills!E5=TRUE,Inputs!$B$32,0)))*(1-IF(AND(ArtifactsInput!$M$27,Inputs!$B$4="Chapter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INDEX(FactorTable!$B$2:$Y$301, MATCH(ROUND(MIN(300,MAX(1,D2219)),0), FactorTable!$A$2:$A$301,0), Skills!M6+1)</f>
        <v/>
      </c>
      <c r="F2219">
        <f>IF(Skills!N6=TRUE,(Skills!L6/10)*(E2219/1000),Skills!L6/10)+Skills!O6</f>
        <v/>
      </c>
      <c r="G2219">
        <f>Skills!G6*IF(Skills!H6&gt;0,Skills!I6/Skills!H6,1)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2219)</f>
        <v/>
      </c>
      <c r="L2219">
        <f>K2219*(MIN(Inputs!$B$22+((C2235=TRUE)*(F2235-Calc!F22)),(Inputs!$B$23+((C2237=TRUE)*(F2237-Calc!F24))+(IF(ArtifactsInput!$M$15,CHOOSE(ArtifactsInput!$N$15+1,25,30,35,40,45,50)/100*(Inputs!$B$11-Inputs!$B$11),0))))/100+(Inputs!$B$23+((C2237=TRUE)*(F2237-Calc!F24))+(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IFERROR(1/(IF(Inputs!$B$38="pvp",15,MAX(0.1,Skills!D6-IF(Skills!E6=TRUE,Inputs!$B$32,0)))*(1-IF(AND(ArtifactsInput!$M$27,Inputs!$B$4="Chapter Hunt"),CHOOSE(ArtifactsInput!$N$27+1,20,24,28,32,36,40),0)/100)),0)</f>
        <v/>
      </c>
      <c r="R2219">
        <f>IF(AND(Inputs!$B$38&lt;&gt;"pvp",Inputs!$B$43&gt;0),IF(MAX(0,Inputs!$B$43-B2249)&lt;=0,0,(INT(MAX(0,Inputs!$B$43-B2249)/(IF(Inputs!$B$38="pvp",15,MAX(0.1,Skills!D6-IF(Skills!E6=TRUE,Inputs!$B$32,0)))*(1-IF(AND(ArtifactsInput!$M$27,Inputs!$B$4="Chapter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INDEX(FactorTable!$B$2:$Y$301, MATCH(ROUND(MIN(300,MAX(1,D2220)),0), FactorTable!$A$2:$A$301,0), Skills!M7+1)</f>
        <v/>
      </c>
      <c r="F2220">
        <f>IF(Skills!N7=TRUE,(Skills!L7/10)*(E2220/1000),Skills!L7/10)+Skills!O7</f>
        <v/>
      </c>
      <c r="G2220">
        <f>Skills!G7*IF(Skills!H7&gt;0,Skills!I7/Skills!H7,1)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2220)</f>
        <v/>
      </c>
      <c r="L2220">
        <f>K2220*(MIN(Inputs!$B$22+((C2235=TRUE)*(F2235-Calc!F22)),(Inputs!$B$23+((C2237=TRUE)*(F2237-Calc!F24))+(IF(ArtifactsInput!$M$15,CHOOSE(ArtifactsInput!$N$15+1,25,30,35,40,45,50)/100*(Inputs!$B$11-Inputs!$B$11),0))))/100+(Inputs!$B$23+((C2237=TRUE)*(F2237-Calc!F24))+(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IFERROR(1/(IF(Inputs!$B$38="pvp",15,MAX(0.1,Skills!D7-IF(Skills!E7=TRUE,Inputs!$B$32,0)))*(1-IF(AND(ArtifactsInput!$M$27,Inputs!$B$4="Chapter Hunt"),CHOOSE(ArtifactsInput!$N$27+1,20,24,28,32,36,40),0)/100)),0)</f>
        <v/>
      </c>
      <c r="R2220">
        <f>IF(AND(Inputs!$B$38&lt;&gt;"pvp",Inputs!$B$43&gt;0),IF(MAX(0,Inputs!$B$43-B2249)&lt;=0,0,(INT(MAX(0,Inputs!$B$43-B2249)/(IF(Inputs!$B$38="pvp",15,MAX(0.1,Skills!D7-IF(Skills!E7=TRUE,Inputs!$B$32,0)))*(1-IF(AND(ArtifactsInput!$M$27,Inputs!$B$4="Chapter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Inputs!$B$3&gt;=117</f>
        <v/>
      </c>
      <c r="D2221">
        <f>IF(Skills!C8=1,60+Inputs!$B$25+Inputs!$B$29,IF(Skills!C8=2,90+Inputs!$B$26+Inputs!$B$29,IF(Skills!C8=3,120+Inputs!$B$27+Inputs!$B$29,MAX(0,(Inputs!$B$3-100)*3)+Inputs!$B$28+Inputs!$B$29)))</f>
        <v/>
      </c>
      <c r="E2221">
        <f>INDEX(FactorTable!$B$2:$Y$301, MATCH(ROUND(MIN(300,MAX(1,D2221)),0), FactorTable!$A$2:$A$301,0), Skills!M8+1)</f>
        <v/>
      </c>
      <c r="F2221">
        <f>IF(Skills!N8=TRUE,(Skills!L8/10)*(E2221/1000),Skills!L8/10)+Skills!O8</f>
        <v/>
      </c>
      <c r="G2221">
        <f>Skills!G8*IF(Skills!H8&gt;0,Skills!I8/Skills!H8,1)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2221)</f>
        <v/>
      </c>
      <c r="L2221">
        <f>K2221*(MIN(Inputs!$B$22+((C2235=TRUE)*(F2235-Calc!F22)),(Inputs!$B$23+((C2237=TRUE)*(F2237-Calc!F24))+(IF(ArtifactsInput!$M$15,CHOOSE(ArtifactsInput!$N$15+1,25,30,35,40,45,50)/100*(Inputs!$B$11-Inputs!$B$11),0))))/100+(Inputs!$B$23+((C2237=TRUE)*(F2237-Calc!F24))+(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IFERROR(1/(IF(Inputs!$B$38="pvp",15,MAX(0.1,Skills!D8-IF(Skills!E8=TRUE,Inputs!$B$32,0)))*(1-IF(AND(ArtifactsInput!$M$27,Inputs!$B$4="Chapter Hunt"),CHOOSE(ArtifactsInput!$N$27+1,20,24,28,32,36,40),0)/100)),0)</f>
        <v/>
      </c>
      <c r="R2221">
        <f>IF(AND(Inputs!$B$38&lt;&gt;"pvp",Inputs!$B$43&gt;0),IF(MAX(0,Inputs!$B$43-B2249)&lt;=0,0,(INT(MAX(0,Inputs!$B$43-B2249)/(IF(Inputs!$B$38="pvp",15,MAX(0.1,Skills!D8-IF(Skills!E8=TRUE,Inputs!$B$32,0)))*(1-IF(AND(ArtifactsInput!$M$27,Inputs!$B$4="Chapter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Inputs!$B$3&gt;=69</f>
        <v/>
      </c>
      <c r="D2222">
        <f>IF(Skills!C9=1,60+Inputs!$B$25+Inputs!$B$29,IF(Skills!C9=2,90+Inputs!$B$26+Inputs!$B$29,IF(Skills!C9=3,120+Inputs!$B$27+Inputs!$B$29,MAX(0,(Inputs!$B$3-100)*3)+Inputs!$B$28+Inputs!$B$29)))</f>
        <v/>
      </c>
      <c r="E2222">
        <f>INDEX(FactorTable!$B$2:$Y$301, MATCH(ROUND(MIN(300,MAX(1,D2222)),0), FactorTable!$A$2:$A$301,0), Skills!M9+1)</f>
        <v/>
      </c>
      <c r="F2222">
        <f>IF(Skills!N9=TRUE,(Skills!L9/10)*(E2222/1000),Skills!L9/10)+Skills!O9</f>
        <v/>
      </c>
      <c r="G2222">
        <f>Skills!G9*IF(Skills!H9&gt;0,Skills!I9/Skills!H9,1)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9="ENHANCED_RAGING_BLOW",IF(Inputs!$B$3&gt;=134,MAX(0,IF(Inputs!$B$3&gt;=110,7,5)-5)*50,0),0)/100)*(1+(IF(Skills!A9="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2222)</f>
        <v/>
      </c>
      <c r="L2222">
        <f>K2222*(MIN(Inputs!$B$22+((C2235=TRUE)*(F2235-Calc!F22)),(Inputs!$B$23+((C2237=TRUE)*(F2237-Calc!F24))+(IF(ArtifactsInput!$M$15,CHOOSE(ArtifactsInput!$N$15+1,25,30,35,40,45,50)/100*(Inputs!$B$11-Inputs!$B$11),0))))/100+(Inputs!$B$23+((C2237=TRUE)*(F2237-Calc!F24))+(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IFERROR(1/(IF(Inputs!$B$38="pvp",15,MAX(0.1,Skills!D9-IF(Skills!E9=TRUE,Inputs!$B$32,0)))*(1-IF(AND(ArtifactsInput!$M$27,Inputs!$B$4="Chapter Hunt"),CHOOSE(ArtifactsInput!$N$27+1,20,24,28,32,36,40),0)/100)),0)</f>
        <v/>
      </c>
      <c r="R2222">
        <f>IF(AND(Inputs!$B$38&lt;&gt;"pvp",Inputs!$B$43&gt;0),IF(MAX(0,Inputs!$B$43-B2249)&lt;=0,0,(INT(MAX(0,Inputs!$B$43-B2249)/(IF(Inputs!$B$38="pvp",15,MAX(0.1,Skills!D9-IF(Skills!E9=TRUE,Inputs!$B$32,0)))*(1-IF(AND(ArtifactsInput!$M$27,Inputs!$B$4="Chapter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Inputs!$B$3&gt;=63</f>
        <v/>
      </c>
      <c r="D2223">
        <f>IF(Skills!C10=1,60+Inputs!$B$25+Inputs!$B$29,IF(Skills!C10=2,90+Inputs!$B$26+Inputs!$B$29,IF(Skills!C10=3,120+Inputs!$B$27+Inputs!$B$29,MAX(0,(Inputs!$B$3-100)*3)+Inputs!$B$28+Inputs!$B$29)))</f>
        <v/>
      </c>
      <c r="E2223">
        <f>INDEX(FactorTable!$B$2:$Y$301, MATCH(ROUND(MIN(300,MAX(1,D2223)),0), FactorTable!$A$2:$A$301,0), Skills!M10+1)</f>
        <v/>
      </c>
      <c r="F2223">
        <f>IF(Skills!N10=TRUE,(Skills!L10/10)*(E2223/1000),Skills!L10/10)+Skills!O10</f>
        <v/>
      </c>
      <c r="G2223">
        <f>Skills!G10*IF(Skills!H10&gt;0,Skills!I10/Skills!H10,1)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10="ENHANCED_RAGING_BLOW",IF(Inputs!$B$3&gt;=134,MAX(0,IF(Inputs!$B$3&gt;=110,7,5)-5)*50,0),0)/100)*(1+(IF(Skills!A10="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2223)</f>
        <v/>
      </c>
      <c r="L2223">
        <f>K2223*(MIN(Inputs!$B$22+((C2235=TRUE)*(F2235-Calc!F22)),(Inputs!$B$23+((C2237=TRUE)*(F2237-Calc!F24))+(IF(ArtifactsInput!$M$15,CHOOSE(ArtifactsInput!$N$15+1,25,30,35,40,45,50)/100*(Inputs!$B$11-Inputs!$B$11),0))))/100+(Inputs!$B$23+((C2237=TRUE)*(F2237-Calc!F24))+(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IFERROR(1/(IF(Inputs!$B$38="pvp",15,MAX(0.1,Skills!D10-IF(Skills!E10=TRUE,Inputs!$B$32,0)))*(1-IF(AND(ArtifactsInput!$M$27,Inputs!$B$4="Chapter Hunt"),CHOOSE(ArtifactsInput!$N$27+1,20,24,28,32,36,40),0)/100)),0)</f>
        <v/>
      </c>
      <c r="R2223">
        <f>IF(AND(Inputs!$B$38&lt;&gt;"pvp",Inputs!$B$43&gt;0),IF(MAX(0,Inputs!$B$43-B2249)&lt;=0,0,(INT(MAX(0,Inputs!$B$43-B2249)/(IF(Inputs!$B$38="pvp",15,MAX(0.1,Skills!D10-IF(Skills!E10=TRUE,Inputs!$B$32,0)))*(1-IF(AND(ArtifactsInput!$M$27,Inputs!$B$4="Chapter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Inputs!$B$3&gt;=35</f>
        <v/>
      </c>
      <c r="D2224">
        <f>IF(Skills!C11=1,60+Inputs!$B$25+Inputs!$B$29,IF(Skills!C11=2,90+Inputs!$B$26+Inputs!$B$29,IF(Skills!C11=3,120+Inputs!$B$27+Inputs!$B$29,MAX(0,(Inputs!$B$3-100)*3)+Inputs!$B$28+Inputs!$B$29)))</f>
        <v/>
      </c>
      <c r="E2224">
        <f>INDEX(FactorTable!$B$2:$Y$301, MATCH(ROUND(MIN(300,MAX(1,D2224)),0), FactorTable!$A$2:$A$301,0), Skills!M11+1)</f>
        <v/>
      </c>
      <c r="F2224">
        <f>IF(Skills!N11=TRUE,(Skills!L11/10)*(E2224/1000),Skills!L11/10)+Skills!O11</f>
        <v/>
      </c>
      <c r="G2224">
        <f>Skills!G11*IF(Skills!H11&gt;0,Skills!I11/Skills!H11,1)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11="ENHANCED_RAGING_BLOW",IF(Inputs!$B$3&gt;=134,MAX(0,IF(Inputs!$B$3&gt;=110,7,5)-5)*50,0),0)/100)*(1+(IF(Skills!A11="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2224)</f>
        <v/>
      </c>
      <c r="L2224">
        <f>K2224*(MIN(Inputs!$B$22+((C2235=TRUE)*(F2235-Calc!F22)),(Inputs!$B$23+((C2237=TRUE)*(F2237-Calc!F24))+(IF(ArtifactsInput!$M$15,CHOOSE(ArtifactsInput!$N$15+1,25,30,35,40,45,50)/100*(Inputs!$B$11-Inputs!$B$11),0))))/100+(Inputs!$B$23+((C2237=TRUE)*(F2237-Calc!F24))+(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IFERROR(1/(IF(Inputs!$B$38="pvp",15,MAX(0.1,Skills!D11-IF(Skills!E11=TRUE,Inputs!$B$32,0)))*(1-IF(AND(ArtifactsInput!$M$27,Inputs!$B$4="Chapter Hunt"),CHOOSE(ArtifactsInput!$N$27+1,20,24,28,32,36,40),0)/100)),0)</f>
        <v/>
      </c>
      <c r="R2224">
        <f>IF(AND(Inputs!$B$38&lt;&gt;"pvp",Inputs!$B$43&gt;0),IF(MAX(0,Inputs!$B$43-B2249)&lt;=0,0,(INT(MAX(0,Inputs!$B$43-B2249)/(IF(Inputs!$B$38="pvp",15,MAX(0.1,Skills!D11-IF(Skills!E11=TRUE,Inputs!$B$32,0)))*(1-IF(AND(ArtifactsInput!$M$27,Inputs!$B$4="Chapter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INDEX(FactorTable!$B$2:$Y$301, MATCH(ROUND(MIN(300,MAX(1,D2225)),0),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INDEX(FactorTable!$B$2:$Y$301, MATCH(ROUND(MIN(300,MAX(1,D2226)),0), FactorTable!$A$2:$A$301,0), Skills!M13+1)</f>
        <v/>
      </c>
      <c r="F2226">
        <f>IF(Skills!N13=TRUE,(Skills!L13/10)*(E2226/1000),Skills!L13/10)+Skills!O13</f>
        <v/>
      </c>
      <c r="G2226">
        <f>Skills!G13*IF(Skills!H13&gt;0,Skills!I13/Skills!H13,1)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Inputs!$B$3&gt;=75</f>
        <v/>
      </c>
      <c r="D2227">
        <f>IF(Skills!C14=1,60+Inputs!$B$25+Inputs!$B$29,IF(Skills!C14=2,90+Inputs!$B$26+Inputs!$B$29,IF(Skills!C14=3,120+Inputs!$B$27+Inputs!$B$29,MAX(0,(Inputs!$B$3-100)*3)+Inputs!$B$28+Inputs!$B$29)))</f>
        <v/>
      </c>
      <c r="E2227">
        <f>INDEX(FactorTable!$B$2:$Y$301, MATCH(ROUND(MIN(300,MAX(1,D2227)),0), FactorTable!$A$2:$A$301,0), Skills!M14+1)</f>
        <v/>
      </c>
      <c r="F2227">
        <f>IF(Skills!N14=TRUE,(Skills!L14/10)*(E2227/1000),Skills!L14/10)+Skills!O14</f>
        <v/>
      </c>
      <c r="G2227">
        <f>Skills!G14*IF(Skills!H14&gt;0,Skills!I14/Skills!H14,1)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Inputs!$B$3&gt;=40</f>
        <v/>
      </c>
      <c r="D2228">
        <f>IF(Skills!C15=1,60+Inputs!$B$25+Inputs!$B$29,IF(Skills!C15=2,90+Inputs!$B$26+Inputs!$B$29,IF(Skills!C15=3,120+Inputs!$B$27+Inputs!$B$29,MAX(0,(Inputs!$B$3-100)*3)+Inputs!$B$28+Inputs!$B$29)))</f>
        <v/>
      </c>
      <c r="E2228">
        <f>INDEX(FactorTable!$B$2:$Y$301, MATCH(ROUND(MIN(300,MAX(1,D2228)),0), FactorTable!$A$2:$A$301,0), Skills!M15+1)</f>
        <v/>
      </c>
      <c r="F2228">
        <f>IF(Skills!N15=TRUE,(Skills!L15/10)*(E2228/1000),Skills!L15/10)+Skills!O15</f>
        <v/>
      </c>
      <c r="G2228">
        <f>Skills!G15*IF(Skills!H15&gt;0,Skills!I15/Skills!H15,1)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IFERROR(1/(IF(Inputs!$B$38="pvp",15,MAX(0.1,Skills!D15-IF(Skills!E15=TRUE,Inputs!$B$32,0)))*(1-IF(AND(ArtifactsInput!$M$27,Inputs!$B$4="Chapter Hunt"),CHOOSE(ArtifactsInput!$N$27+1,20,24,28,32,36,40),0)/100)),0)</f>
        <v/>
      </c>
      <c r="R2228">
        <f>IF(AND(Inputs!$B$38&lt;&gt;"pvp",Inputs!$B$43&gt;0),IF(Inputs!$B$43&lt;=0,0,(INT(Inputs!$B$43/(IF(Inputs!$B$38="pvp",15,MAX(0.1,Skills!D15-IF(Skills!E15=TRUE,Inputs!$B$32,0)))*(1-IF(AND(ArtifactsInput!$M$27,Inputs!$B$4="Chapter Hunt"),CHOOSE(ArtifactsInput!$N$27+1,20,24,28,32,36,40),0)/100)))+1)),0)</f>
        <v/>
      </c>
      <c r="S2228">
        <f>IFERROR(O2228/N2228,0)</f>
        <v/>
      </c>
      <c r="T2228" t="n">
        <v>0</v>
      </c>
      <c r="V2228" t="n">
        <v>0</v>
      </c>
    </row>
    <row r="2229">
      <c r="A2229">
        <f>Skills!A16</f>
        <v/>
      </c>
      <c r="B2229">
        <f>Skills!B16</f>
        <v/>
      </c>
      <c r="C2229">
        <f>Inputs!$B$3&gt;=66</f>
        <v/>
      </c>
      <c r="D2229">
        <f>IF(Skills!C16=1,60+Inputs!$B$25+Inputs!$B$29,IF(Skills!C16=2,90+Inputs!$B$26+Inputs!$B$29,IF(Skills!C16=3,120+Inputs!$B$27+Inputs!$B$29,MAX(0,(Inputs!$B$3-100)*3)+Inputs!$B$28+Inputs!$B$29)))</f>
        <v/>
      </c>
      <c r="E2229">
        <f>INDEX(FactorTable!$B$2:$Y$301, MATCH(ROUND(MIN(300,MAX(1,D2229)),0), FactorTable!$A$2:$A$301,0), Skills!M16+1)</f>
        <v/>
      </c>
      <c r="F2229">
        <f>IF(Skills!N16=TRUE,(Skills!L16/10)*(E2229/1000),Skills!L16/10)+Skills!O16</f>
        <v/>
      </c>
      <c r="G2229">
        <f>Skills!G16*IF(Skills!H16&gt;0,Skills!I16/Skills!H16,1)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IFERROR(1/(IF(Inputs!$B$38="pvp",15,MAX(0.1,Skills!D16-IF(Skills!E16=TRUE,Inputs!$B$32,0)))*(1-IF(AND(ArtifactsInput!$M$27,Inputs!$B$4="Chapter Hunt"),CHOOSE(ArtifactsInput!$N$27+1,20,24,28,32,36,40),0)/100)),0)</f>
        <v/>
      </c>
      <c r="R2229">
        <f>IF(AND(Inputs!$B$38&lt;&gt;"pvp",Inputs!$B$43&gt;0),IF(Inputs!$B$43&lt;=0,0,(INT(Inputs!$B$43/(IF(Inputs!$B$38="pvp",15,MAX(0.1,Skills!D16-IF(Skills!E16=TRUE,Inputs!$B$32,0)))*(1-IF(AND(ArtifactsInput!$M$27,Inputs!$B$4="Chapter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INDEX(FactorTable!$B$2:$Y$301, MATCH(ROUND(MIN(300,MAX(1,D2230)),0), FactorTable!$A$2:$A$301,0), Skills!M17+1)</f>
        <v/>
      </c>
      <c r="F2230">
        <f>IF(Skills!N17=TRUE,(Skills!L17/10)*(E2230/1000),Skills!L17/10)+Skills!O17</f>
        <v/>
      </c>
      <c r="G2230">
        <f>Skills!G17*IF(Skills!H17&gt;0,Skills!I17/Skills!H17,1)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IFERROR(1/(IF(Inputs!$B$38="pvp",15,MAX(0.1,Skills!D17-IF(Skills!E17=TRUE,Inputs!$B$32,0)))*(1-IF(AND(ArtifactsInput!$M$27,Inputs!$B$4="Chapter Hunt"),CHOOSE(ArtifactsInput!$N$27+1,20,24,28,32,36,40),0)/100)),0)</f>
        <v/>
      </c>
      <c r="R2230">
        <f>IF(AND(Inputs!$B$38&lt;&gt;"pvp",Inputs!$B$43&gt;0),IF(Inputs!$B$43&lt;=0,0,(INT(Inputs!$B$43/(IF(Inputs!$B$38="pvp",15,MAX(0.1,Skills!D17-IF(Skills!E17=TRUE,Inputs!$B$32,0)))*(1-IF(AND(ArtifactsInput!$M$27,Inputs!$B$4="Chapter Hunt"),CHOOSE(ArtifactsInput!$N$27+1,20,24,28,32,36,40),0)/100)))+1)),0)</f>
        <v/>
      </c>
      <c r="S2230">
        <f>IFERROR(O2230/N2230,0)</f>
        <v/>
      </c>
      <c r="T2230" t="n">
        <v>0</v>
      </c>
      <c r="V2230" t="n">
        <v>0</v>
      </c>
    </row>
    <row r="2231">
      <c r="A2231">
        <f>Skills!A18</f>
        <v/>
      </c>
      <c r="B2231">
        <f>Skills!B18</f>
        <v/>
      </c>
      <c r="C2231">
        <f>Inputs!$B$3&gt;=115</f>
        <v/>
      </c>
      <c r="D2231">
        <f>IF(Skills!C18=1,60+Inputs!$B$25+Inputs!$B$29,IF(Skills!C18=2,90+Inputs!$B$26+Inputs!$B$29,IF(Skills!C18=3,120+Inputs!$B$27+Inputs!$B$29,MAX(0,(Inputs!$B$3-100)*3)+Inputs!$B$28+Inputs!$B$29)))</f>
        <v/>
      </c>
      <c r="E2231">
        <f>INDEX(FactorTable!$B$2:$Y$301, MATCH(ROUND(MIN(300,MAX(1,D2231)),0), FactorTable!$A$2:$A$301,0), Skills!M18+1)</f>
        <v/>
      </c>
      <c r="F2231">
        <f>IF(Skills!N18=TRUE,(Skills!L18/10)*(E2231/1000),Skills!L18/10)+Skills!O18</f>
        <v/>
      </c>
      <c r="G2231">
        <f>Skills!G18*IF(Skills!H18&gt;0,Skills!I18/Skills!H18,1)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IFERROR(1/(IF(Inputs!$B$38="pvp",15,MAX(0.1,Skills!D18-IF(Skills!E18=TRUE,Inputs!$B$32,0)))*(1-IF(AND(ArtifactsInput!$M$27,Inputs!$B$4="Chapter Hunt"),CHOOSE(ArtifactsInput!$N$27+1,20,24,28,32,36,40),0)/100)),0)</f>
        <v/>
      </c>
      <c r="R2231">
        <f>IF(AND(Inputs!$B$38&lt;&gt;"pvp",Inputs!$B$43&gt;0),IF(Inputs!$B$43&lt;=0,0,(INT(Inputs!$B$43/(IF(Inputs!$B$38="pvp",15,MAX(0.1,Skills!D18-IF(Skills!E18=TRUE,Inputs!$B$32,0)))*(1-IF(AND(ArtifactsInput!$M$27,Inputs!$B$4="Chapter Hunt"),CHOOSE(ArtifactsInput!$N$27+1,20,24,28,32,36,40),0)/100)))+1)),0)</f>
        <v/>
      </c>
      <c r="S2231">
        <f>IFERROR(O2231/N2231,0)</f>
        <v/>
      </c>
      <c r="T2231" t="n">
        <v>0</v>
      </c>
      <c r="V2231" t="n">
        <v>0</v>
      </c>
    </row>
    <row r="2232">
      <c r="A2232">
        <f>Skills!A19</f>
        <v/>
      </c>
      <c r="B2232">
        <f>Skills!B19</f>
        <v/>
      </c>
      <c r="C2232">
        <f>TRUE</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IFERROR(1/(IF(Inputs!$B$38="pvp",15,MAX(0.1,Skills!D19-IF(Skills!E19=TRUE,Inputs!$B$32,0)))*(1-IF(AND(ArtifactsInput!$M$27,Inputs!$B$4="Chapter Hunt"),CHOOSE(ArtifactsInput!$N$27+1,20,24,28,32,36,40),0)/100)),0)</f>
        <v/>
      </c>
      <c r="R2232">
        <f>IF(AND(Inputs!$B$38&lt;&gt;"pvp",Inputs!$B$43&gt;0),IF(Inputs!$B$43&lt;=0,0,(INT(Inputs!$B$43/(IF(Inputs!$B$38="pvp",15,MAX(0.1,Skills!D19-IF(Skills!E19=TRUE,Inputs!$B$32,0)))*(1-IF(AND(ArtifactsInput!$M$27,Inputs!$B$4="Chapter Hunt"),CHOOSE(ArtifactsInput!$N$27+1,20,24,28,32,36,40),0)/100)))+1)),0)</f>
        <v/>
      </c>
      <c r="S2232">
        <f>IFERROR(O2232/N2232,0)</f>
        <v/>
      </c>
      <c r="T2232" t="n">
        <v>0</v>
      </c>
      <c r="V2232" t="n">
        <v>0</v>
      </c>
    </row>
    <row r="2233">
      <c r="A2233">
        <f>Skills!A20</f>
        <v/>
      </c>
      <c r="B2233">
        <f>Skills!B20</f>
        <v/>
      </c>
      <c r="C2233">
        <f>Inputs!$B$3&gt;=33</f>
        <v/>
      </c>
      <c r="D2233">
        <f>IF(Skills!C20=1,60+Inputs!$B$25+Inputs!$B$29,IF(Skills!C20=2,90+Inputs!$B$26+Inputs!$B$29,IF(Skills!C20=3,120+Inputs!$B$27+Inputs!$B$29,MAX(0,(Inputs!$B$3-100)*3)+Inputs!$B$28+Inputs!$B$29)))</f>
        <v/>
      </c>
      <c r="E2233">
        <f>INDEX(FactorTable!$B$2:$Y$301, MATCH(ROUND(MIN(300,MAX(1,D2233)),0), FactorTable!$A$2:$A$301,0), Skills!M20+1)</f>
        <v/>
      </c>
      <c r="F2233">
        <f>IF(Skills!N20=TRUE,(Skills!L20/10)*(E2233/1000),Skills!L20/10)+Skills!O20</f>
        <v/>
      </c>
      <c r="G2233">
        <f>Skills!G20*IF(Skills!H20&gt;0,Skills!I20/Skills!H20,1)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Inputs!$B$3&gt;=38</f>
        <v/>
      </c>
      <c r="D2234">
        <f>IF(Skills!C21=1,60+Inputs!$B$25+Inputs!$B$29,IF(Skills!C21=2,90+Inputs!$B$26+Inputs!$B$29,IF(Skills!C21=3,120+Inputs!$B$27+Inputs!$B$29,MAX(0,(Inputs!$B$3-100)*3)+Inputs!$B$28+Inputs!$B$29)))</f>
        <v/>
      </c>
      <c r="E2234">
        <f>INDEX(FactorTable!$B$2:$Y$301, MATCH(ROUND(MIN(300,MAX(1,D2234)),0), FactorTable!$A$2:$A$301,0), Skills!M21+1)</f>
        <v/>
      </c>
      <c r="F2234">
        <f>IF(Skills!N21=TRUE,(Skills!L21/10)*(E2234/1000),Skills!L21/10)+Skills!O21</f>
        <v/>
      </c>
      <c r="G2234">
        <f>Skills!G21*IF(Skills!H21&gt;0,Skills!I21/Skills!H21,1)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Skills!A22</f>
        <v/>
      </c>
      <c r="B2235">
        <f>Skills!B22</f>
        <v/>
      </c>
      <c r="C2235">
        <f>Inputs!$B$3&gt;=43</f>
        <v/>
      </c>
      <c r="D2235">
        <f>IF(Skills!C22=1,60+Inputs!$B$25+Inputs!$B$29,IF(Skills!C22=2,90+Inputs!$B$26+Inputs!$B$29,IF(Skills!C22=3,120+Inputs!$B$27+Inputs!$B$29,MAX(0,(Inputs!$B$3-100)*3)+Inputs!$B$28+Inputs!$B$29)))</f>
        <v/>
      </c>
      <c r="E2235">
        <f>INDEX(FactorTable!$B$2:$Y$301, MATCH(ROUND(MIN(300,MAX(1,D2235)),0), FactorTable!$A$2:$A$301,0), Skills!M22+1)</f>
        <v/>
      </c>
      <c r="F2235">
        <f>IF(Skills!N22=TRUE,(Skills!L22/10)*(E2235/1000),Skills!L22/10)+Skills!O22</f>
        <v/>
      </c>
      <c r="G2235">
        <f>Skills!G22*IF(Skills!H22&gt;0,Skills!I22/Skills!H22,1)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Inputs!$B$3&gt;=120</f>
        <v/>
      </c>
      <c r="D2236">
        <f>IF(Skills!C23=1,60+Inputs!$B$25+Inputs!$B$29,IF(Skills!C23=2,90+Inputs!$B$26+Inputs!$B$29,IF(Skills!C23=3,120+Inputs!$B$27+Inputs!$B$29,MAX(0,(Inputs!$B$3-100)*3)+Inputs!$B$28+Inputs!$B$29)))</f>
        <v/>
      </c>
      <c r="E2236">
        <f>INDEX(FactorTable!$B$2:$Y$301, MATCH(ROUND(MIN(300,MAX(1,D2236)),0), FactorTable!$A$2:$A$301,0), Skills!M23+1)</f>
        <v/>
      </c>
      <c r="F2236">
        <f>IF(Skills!N23=TRUE,(Skills!L23/10)*(E2236/1000),Skills!L23/10)+Skills!O23</f>
        <v/>
      </c>
      <c r="G2236">
        <f>Skills!G23*IF(Skills!H23&gt;0,Skills!I23/Skills!H23,1)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Inputs!$B$3&gt;=120</f>
        <v/>
      </c>
      <c r="D2237">
        <f>IF(Skills!C24=1,60+Inputs!$B$25+Inputs!$B$29,IF(Skills!C24=2,90+Inputs!$B$26+Inputs!$B$29,IF(Skills!C24=3,120+Inputs!$B$27+Inputs!$B$29,MAX(0,(Inputs!$B$3-100)*3)+Inputs!$B$28+Inputs!$B$29)))</f>
        <v/>
      </c>
      <c r="E2237">
        <f>INDEX(FactorTable!$B$2:$Y$301, MATCH(ROUND(MIN(300,MAX(1,D2237)),0), FactorTable!$A$2:$A$301,0), Skills!M24+1)</f>
        <v/>
      </c>
      <c r="F2237">
        <f>IF(Skills!N24=TRUE,(Skills!L24/10)*(E2237/1000),Skills!L24/10)+Skills!O24</f>
        <v/>
      </c>
      <c r="G2237">
        <f>Skills!G24*IF(Skills!H24&gt;0,Skills!I24/Skills!H24,1)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Inputs!$B$3&gt;=125</f>
        <v/>
      </c>
      <c r="D2238">
        <f>IF(Skills!C25=1,60+Inputs!$B$25+Inputs!$B$29,IF(Skills!C25=2,90+Inputs!$B$26+Inputs!$B$29,IF(Skills!C25=3,120+Inputs!$B$27+Inputs!$B$29,MAX(0,(Inputs!$B$3-100)*3)+Inputs!$B$28+Inputs!$B$29)))</f>
        <v/>
      </c>
      <c r="E2238">
        <f>INDEX(FactorTable!$B$2:$Y$301, MATCH(ROUND(MIN(300,MAX(1,D2238)),0), FactorTable!$A$2:$A$301,0), Skills!M25+1)</f>
        <v/>
      </c>
      <c r="F2238">
        <f>IF(Skills!N25=TRUE,(Skills!L25/10)*(E2238/1000),Skills!L25/10)+Skills!O25</f>
        <v/>
      </c>
      <c r="G2238">
        <f>Skills!G25*IF(Skills!H25&gt;0,Skills!I25/Skills!H25,1)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Inputs!$B$3&gt;=72</f>
        <v/>
      </c>
      <c r="D2239">
        <f>IF(Skills!C26=1,60+Inputs!$B$25+Inputs!$B$29,IF(Skills!C26=2,90+Inputs!$B$26+Inputs!$B$29,IF(Skills!C26=3,120+Inputs!$B$27+Inputs!$B$29,MAX(0,(Inputs!$B$3-100)*3)+Inputs!$B$28+Inputs!$B$29)))</f>
        <v/>
      </c>
      <c r="E2239">
        <f>INDEX(FactorTable!$B$2:$Y$301, MATCH(ROUND(MIN(300,MAX(1,D2239)),0), FactorTable!$A$2:$A$301,0), Skills!M26+1)</f>
        <v/>
      </c>
      <c r="F2239">
        <f>IF(Skills!N26=TRUE,(Skills!L26/10)*(E2239/1000),Skills!L26/10)+Skills!O26</f>
        <v/>
      </c>
      <c r="G2239">
        <f>Skills!G26*IF(Skills!H26&gt;0,Skills!I26/Skills!H26,1)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2232=TRUE)*F2232*IF(AND(Inputs!$B$38&lt;&gt;"pvp",Inputs!$B$43&gt;0),(((R2232-1)*(Skills!T19*(1+(Inputs!$B$34+(ArtifactsInput!$M$7-ArtifactsInput!$M$7)*CHOOSE(ArtifactsInput!$N$7+1,6,7.2,8.4,9.6,10.8,12))/100))+MIN((Skills!T19*(1+(Inputs!$B$34+(ArtifactsInput!$M$7-ArtifactsInput!$M$7)*CHOOSE(ArtifactsInput!$N$7+1,6,7.2,8.4,9.6,10.8,12))/100)),MAX(0,Inputs!$B$43-((R2232-1)*Skills!D19))))/Inputs!$B$43),IF(Inputs!$B$38="pvp",MIN((Skills!T19*(1+(Inputs!$B$34+(ArtifactsInput!$M$7-ArtifactsInput!$M$7)*CHOOSE(ArtifactsInput!$N$7+1,6,7.2,8.4,9.6,10.8,12))/100)),15)/15,(Skills!T19*(1+(Inputs!$B$34+(ArtifactsInput!$M$7-ArtifactsInput!$M$7)*CHOOSE(ArtifactsInput!$N$7+1,6,7.2,8.4,9.6,10.8,12))/100))/Skills!D19)))</f>
        <v/>
      </c>
    </row>
    <row r="2244">
      <c r="A2244" t="inlineStr">
        <is>
          <t>Actions Per Second</t>
        </is>
      </c>
      <c r="B2244">
        <f>1+MIN(150,150*(1-(1-(Inputs!$B$11+((C2233=TRUE)*(F2233-Calc!F20)))/150)*(1-B2243/150)))/100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Raging Blow Casts Per Second</t>
        </is>
      </c>
      <c r="B2246">
        <f>MAX(0,B2244-B2245)</f>
        <v/>
      </c>
    </row>
    <row r="2247">
      <c r="A2247" t="inlineStr">
        <is>
          <t>Global Critical Damage Bonus % (Enrage)</t>
        </is>
      </c>
      <c r="B2247">
        <f>((C2231=TRUE)*F2231*IF(AND(Inputs!$B$38&lt;&gt;"pvp",Inputs!$B$43&gt;0),(((R2231-1)*(Skills!T18*(1+(Inputs!$B$34+(ArtifactsInput!$M$7-ArtifactsInput!$M$7)*CHOOSE(ArtifactsInput!$N$7+1,6,7.2,8.4,9.6,10.8,12))/100))+MIN((Skills!T18*(1+(Inputs!$B$34+(ArtifactsInput!$M$7-ArtifactsInput!$M$7)*CHOOSE(ArtifactsInput!$N$7+1,6,7.2,8.4,9.6,10.8,12))/100)),MAX(0,Inputs!$B$43-((R2231-1)*Skills!D18))))/Inputs!$B$43),IF(Inputs!$B$38="pvp",MIN((Skills!T18*(1+(Inputs!$B$34+(ArtifactsInput!$M$7-ArtifactsInput!$M$7)*CHOOSE(ArtifactsInput!$N$7+1,6,7.2,8.4,9.6,10.8,12))/100)),15)/15,(Skills!T18*(1+(Inputs!$B$34+(ArtifactsInput!$M$7-ArtifactsInput!$M$7)*CHOOSE(ArtifactsInput!$N$7+1,6,7.2,8.4,9.6,10.8,12))/100))/Skills!D18)))</f>
        <v/>
      </c>
    </row>
    <row r="2248">
      <c r="A2248" t="inlineStr">
        <is>
          <t>Global Final Damage Bonus % (Enrage + Combo Synergy)</t>
        </is>
      </c>
      <c r="B2248">
        <f>((C2230=TRUE)*F2230*IF(AND(Inputs!$B$38&lt;&gt;"pvp",Inputs!$B$43&gt;0),(((R2230-1)*(Skills!T17*(1+(Inputs!$B$34+(ArtifactsInput!$M$7-ArtifactsInput!$M$7)*CHOOSE(ArtifactsInput!$N$7+1,6,7.2,8.4,9.6,10.8,12))/100))+MIN((Skills!T17*(1+(Inputs!$B$34+(ArtifactsInput!$M$7-ArtifactsInput!$M$7)*CHOOSE(ArtifactsInput!$N$7+1,6,7.2,8.4,9.6,10.8,12))/100)),MAX(0,Inputs!$B$43-((R2230-1)*Skills!D17))))/Inputs!$B$43),IF(Inputs!$B$38="pvp",MIN((Skills!T17*(1+(Inputs!$B$34+(ArtifactsInput!$M$7-ArtifactsInput!$M$7)*CHOOSE(ArtifactsInput!$N$7+1,6,7.2,8.4,9.6,10.8,12))/100)),15)/15,(Skills!T17*(1+(Inputs!$B$34+(ArtifactsInput!$M$7-ArtifactsInput!$M$7)*CHOOSE(ArtifactsInput!$N$7+1,6,7.2,8.4,9.6,10.8,12))/100))/Skills!D17)))+((C2227=TRUE)*F2227*IF(Inputs!$B$3&gt;=110,7,5))</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2257)</f>
        <v/>
      </c>
      <c r="L2257">
        <f>K2257*(MIN(Inputs!$B$22+((C2277=TRUE)*(F2277-Calc!F22)),(Inputs!$B$23+((C2279=TRUE)*(F2279-Calc!F24))+(IF(ArtifactsInput!$M$15,CHOOSE(ArtifactsInput!$N$15+1,25,30,35,40,45,50)/100*(Inputs!$B$11-Inputs!$B$11),0))))/100+(Inputs!$B$23+((C2279=TRUE)*(F2279-Calc!F24))+(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Summary!$B$15+(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INDEX(FactorTable!$B$2:$Y$301, MATCH(ROUND(MIN(300,MAX(1,U2257)),0), FactorTable!$A$2:$A$301,0), 22)</f>
        <v/>
      </c>
    </row>
    <row r="2259">
      <c r="A2259">
        <f>Skills!A4</f>
        <v/>
      </c>
      <c r="B2259">
        <f>Skills!B4</f>
        <v/>
      </c>
      <c r="C2259">
        <f>Inputs!$B$3&gt;=105</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t="inlineStr"/>
      <c r="H2259" t="inlineStr"/>
      <c r="I2259" t="inlineStr">
        <is>
          <t>1</t>
        </is>
      </c>
      <c r="J2259" t="inlineStr"/>
      <c r="K2259" t="inlineStr"/>
      <c r="L2259" t="inlineStr"/>
      <c r="M2259" t="inlineStr"/>
      <c r="N2259" t="inlineStr"/>
      <c r="O2259" t="inlineStr"/>
      <c r="P2259" t="inlineStr"/>
      <c r="Q2259" t="inlineStr"/>
      <c r="R2259" t="inlineStr"/>
      <c r="S2259" t="inlineStr"/>
      <c r="U2259">
        <f>290*U2258/1000</f>
        <v/>
      </c>
    </row>
    <row r="2260">
      <c r="A2260">
        <f>Skills!A5</f>
        <v/>
      </c>
      <c r="B2260">
        <f>Skills!B5</f>
        <v/>
      </c>
      <c r="C2260">
        <f>Inputs!$B$3&gt;=103</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2260)</f>
        <v/>
      </c>
      <c r="L2260">
        <f>K2260*(MIN(Inputs!$B$22+((C2277=TRUE)*(F2277-Calc!F22)),(Inputs!$B$23+((C2279=TRUE)*(F2279-Calc!F24))+(IF(ArtifactsInput!$M$15,CHOOSE(ArtifactsInput!$N$15+1,25,30,35,40,45,50)/100*(Inputs!$B$11-Inputs!$B$11),0))))/100+(Inputs!$B$23+((C2279=TRUE)*(F2279-Calc!F24))+(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IFERROR(1/(IF(Inputs!$B$38="pvp",15,MAX(0.1,Skills!D5-IF(Skills!E5=TRUE,Inputs!$B$32,0)))*(1-IF(AND(ArtifactsInput!$M$27,Inputs!$B$4="Chapter Hunt"),CHOOSE(ArtifactsInput!$N$27+1,20,24,28,32,36,40),0)/100)),0)</f>
        <v/>
      </c>
      <c r="R2260">
        <f>IF(AND(Inputs!$B$38&lt;&gt;"pvp",Inputs!$B$43&gt;0),IF(MAX(0,Inputs!$B$43-B2291)&lt;=0,0,(INT(MAX(0,Inputs!$B$43-B2291)/(IF(Inputs!$B$38="pvp",15,MAX(0.1,Skills!D5-IF(Skills!E5=TRUE,Inputs!$B$32,0)))*(1-IF(AND(ArtifactsInput!$M$27,Inputs!$B$4="Chapter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$21+Skills!Q5+Summary!$B$15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2261)</f>
        <v/>
      </c>
      <c r="L2261">
        <f>K2261*(MIN(Inputs!$B$22+((C2277=TRUE)*(F2277-Calc!F22)),(Inputs!$B$23+((C2279=TRUE)*(F2279-Calc!F24))+(IF(ArtifactsInput!$M$15,CHOOSE(ArtifactsInput!$N$15+1,25,30,35,40,45,50)/100*(Inputs!$B$11-Inputs!$B$11),0))))/100+(Inputs!$B$23+((C2279=TRUE)*(F2279-Calc!F24))+(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IFERROR(1/(IF(Inputs!$B$38="pvp",15,MAX(0.1,Skills!D6-IF(Skills!E6=TRUE,Inputs!$B$32,0)))*(1-IF(AND(ArtifactsInput!$M$27,Inputs!$B$4="Chapter Hunt"),CHOOSE(ArtifactsInput!$N$27+1,20,24,28,32,36,40),0)/100)),0)</f>
        <v/>
      </c>
      <c r="R2261">
        <f>IF(AND(Inputs!$B$38&lt;&gt;"pvp",Inputs!$B$43&gt;0),IF(MAX(0,Inputs!$B$43-B2291)&lt;=0,0,(INT(MAX(0,Inputs!$B$43-B2291)/(IF(Inputs!$B$38="pvp",15,MAX(0.1,Skills!D6-IF(Skills!E6=TRUE,Inputs!$B$32,0)))*(1-IF(AND(ArtifactsInput!$M$27,Inputs!$B$4="Chapter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$21+Skills!Q6+Summary!$B$15+(IF(IF(ArtifactsInput!$M$33,FALSE,TRUE),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2262)</f>
        <v/>
      </c>
      <c r="L2262">
        <f>K2262*(MIN(Inputs!$B$22+((C2277=TRUE)*(F2277-Calc!F22)),(Inputs!$B$23+((C2279=TRUE)*(F2279-Calc!F24))+(IF(ArtifactsInput!$M$15,CHOOSE(ArtifactsInput!$N$15+1,25,30,35,40,45,50)/100*(Inputs!$B$11-Inputs!$B$11),0))))/100+(Inputs!$B$23+((C2279=TRUE)*(F2279-Calc!F24))+(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IFERROR(1/(IF(Inputs!$B$38="pvp",15,MAX(0.1,Skills!D7-IF(Skills!E7=TRUE,Inputs!$B$32,0)))*(1-IF(AND(ArtifactsInput!$M$27,Inputs!$B$4="Chapter Hunt"),CHOOSE(ArtifactsInput!$N$27+1,20,24,28,32,36,40),0)/100)),0)</f>
        <v/>
      </c>
      <c r="R2262">
        <f>IF(AND(Inputs!$B$38&lt;&gt;"pvp",Inputs!$B$43&gt;0),IF(MAX(0,Inputs!$B$43-B2291)&lt;=0,0,(INT(MAX(0,Inputs!$B$43-B2291)/(IF(Inputs!$B$38="pvp",15,MAX(0.1,Skills!D7-IF(Skills!E7=TRUE,Inputs!$B$32,0)))*(1-IF(AND(ArtifactsInput!$M$27,Inputs!$B$4="Chapter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$21+Skills!Q7+Summary!$B$15+(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Inputs!$B$3&gt;=117</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2263)</f>
        <v/>
      </c>
      <c r="L2263">
        <f>K2263*(MIN(Inputs!$B$22+((C2277=TRUE)*(F2277-Calc!F22)),(Inputs!$B$23+((C2279=TRUE)*(F2279-Calc!F24))+(IF(ArtifactsInput!$M$15,CHOOSE(ArtifactsInput!$N$15+1,25,30,35,40,45,50)/100*(Inputs!$B$11-Inputs!$B$11),0))))/100+(Inputs!$B$23+((C2279=TRUE)*(F2279-Calc!F24))+(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IFERROR(1/(IF(Inputs!$B$38="pvp",15,MAX(0.1,Skills!D8-IF(Skills!E8=TRUE,Inputs!$B$32,0)))*(1-IF(AND(ArtifactsInput!$M$27,Inputs!$B$4="Chapter Hunt"),CHOOSE(ArtifactsInput!$N$27+1,20,24,28,32,36,40),0)/100)),0)</f>
        <v/>
      </c>
      <c r="R2263">
        <f>IF(AND(Inputs!$B$38&lt;&gt;"pvp",Inputs!$B$43&gt;0),IF(MAX(0,Inputs!$B$43-B2291)&lt;=0,0,(INT(MAX(0,Inputs!$B$43-B2291)/(IF(Inputs!$B$38="pvp",15,MAX(0.1,Skills!D8-IF(Skills!E8=TRUE,Inputs!$B$32,0)))*(1-IF(AND(ArtifactsInput!$M$27,Inputs!$B$4="Chapter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$21+Skills!Q8+Summary!$B$15+(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Inputs!$B$3&gt;=69</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9="ENHANCED_RAGING_BLOW",IF(Inputs!$B$3&gt;=134,MAX(0,IF(Inputs!$B$3&gt;=110,7,5)-5)*50,0),0)/100)*(1+(IF(Skills!A9="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2264)</f>
        <v/>
      </c>
      <c r="L2264">
        <f>K2264*(MIN(Inputs!$B$22+((C2277=TRUE)*(F2277-Calc!F22)),(Inputs!$B$23+((C2279=TRUE)*(F2279-Calc!F24))+(IF(ArtifactsInput!$M$15,CHOOSE(ArtifactsInput!$N$15+1,25,30,35,40,45,50)/100*(Inputs!$B$11-Inputs!$B$11),0))))/100+(Inputs!$B$23+((C2279=TRUE)*(F2279-Calc!F24))+(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IFERROR(1/(IF(Inputs!$B$38="pvp",15,MAX(0.1,Skills!D9-IF(Skills!E9=TRUE,Inputs!$B$32,0)))*(1-IF(AND(ArtifactsInput!$M$27,Inputs!$B$4="Chapter Hunt"),CHOOSE(ArtifactsInput!$N$27+1,20,24,28,32,36,40),0)/100)),0)</f>
        <v/>
      </c>
      <c r="R2264">
        <f>IF(AND(Inputs!$B$38&lt;&gt;"pvp",Inputs!$B$43&gt;0),IF(MAX(0,Inputs!$B$43-B2291)&lt;=0,0,(INT(MAX(0,Inputs!$B$43-B2291)/(IF(Inputs!$B$38="pvp",15,MAX(0.1,Skills!D9-IF(Skills!E9=TRUE,Inputs!$B$32,0)))*(1-IF(AND(ArtifactsInput!$M$27,Inputs!$B$4="Chapter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$21+Skills!Q9+Summary!$B$15+(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Inputs!$B$3&gt;=63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10="ENHANCED_RAGING_BLOW",IF(Inputs!$B$3&gt;=134,MAX(0,IF(Inputs!$B$3&gt;=110,7,5)-5)*50,0),0)/100)*(1+(IF(Skills!A10="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2265)</f>
        <v/>
      </c>
      <c r="L2265">
        <f>K2265*(MIN(Inputs!$B$22+((C2277=TRUE)*(F2277-Calc!F22)),(Inputs!$B$23+((C2279=TRUE)*(F2279-Calc!F24))+(IF(ArtifactsInput!$M$15,CHOOSE(ArtifactsInput!$N$15+1,25,30,35,40,45,50)/100*(Inputs!$B$11-Inputs!$B$11),0))))/100+(Inputs!$B$23+((C2279=TRUE)*(F2279-Calc!F24))+(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IFERROR(1/(IF(Inputs!$B$38="pvp",15,MAX(0.1,Skills!D10-IF(Skills!E10=TRUE,Inputs!$B$32,0)))*(1-IF(AND(ArtifactsInput!$M$27,Inputs!$B$4="Chapter Hunt"),CHOOSE(ArtifactsInput!$N$27+1,20,24,28,32,36,40),0)/100)),0)</f>
        <v/>
      </c>
      <c r="R2265">
        <f>IF(AND(Inputs!$B$38&lt;&gt;"pvp",Inputs!$B$43&gt;0),IF(MAX(0,Inputs!$B$43-B2291)&lt;=0,0,(INT(MAX(0,Inputs!$B$43-B2291)/(IF(Inputs!$B$38="pvp",15,MAX(0.1,Skills!D10-IF(Skills!E10=TRUE,Inputs!$B$32,0)))*(1-IF(AND(ArtifactsInput!$M$27,Inputs!$B$4="Chapter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$21+Skills!Q10+Summary!$B$15+(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Inputs!$B$3&gt;=35</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11="ENHANCED_RAGING_BLOW",IF(Inputs!$B$3&gt;=134,MAX(0,IF(Inputs!$B$3&gt;=110,7,5)-5)*50,0),0)/100)*(1+(IF(Skills!A11="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2266)</f>
        <v/>
      </c>
      <c r="L2266">
        <f>K2266*(MIN(Inputs!$B$22+((C2277=TRUE)*(F2277-Calc!F22)),(Inputs!$B$23+((C2279=TRUE)*(F2279-Calc!F24))+(IF(ArtifactsInput!$M$15,CHOOSE(ArtifactsInput!$N$15+1,25,30,35,40,45,50)/100*(Inputs!$B$11-Inputs!$B$11),0))))/100+(Inputs!$B$23+((C2279=TRUE)*(F2279-Calc!F24))+(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IFERROR(1/(IF(Inputs!$B$38="pvp",15,MAX(0.1,Skills!D11-IF(Skills!E11=TRUE,Inputs!$B$32,0)))*(1-IF(AND(ArtifactsInput!$M$27,Inputs!$B$4="Chapter Hunt"),CHOOSE(ArtifactsInput!$N$27+1,20,24,28,32,36,40),0)/100)),0)</f>
        <v/>
      </c>
      <c r="R2266">
        <f>IF(AND(Inputs!$B$38&lt;&gt;"pvp",Inputs!$B$43&gt;0),IF(MAX(0,Inputs!$B$43-B2291)&lt;=0,0,(INT(MAX(0,Inputs!$B$43-B2291)/(IF(Inputs!$B$38="pvp",15,MAX(0.1,Skills!D11-IF(Skills!E11=TRUE,Inputs!$B$32,0)))*(1-IF(AND(ArtifactsInput!$M$27,Inputs!$B$4="Chapter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$21+Skills!Q11+Summary!$B$15+(IF(IF(ArtifactsInput!$M$33,FALSE,TRUE),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Inputs!$B$3&gt;=75</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Inputs!$B$3&gt;=40</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Inputs!$B$3&gt;=66</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IFERROR(1/(IF(Inputs!$B$38="pvp",15,MAX(0.1,Skills!D16-IF(Skills!E16=TRUE,Inputs!$B$32,0)))*(1-IF(AND(ArtifactsInput!$M$27,Inputs!$B$4="Chapter Hunt"),CHOOSE(ArtifactsInput!$N$27+1,20,24,28,32,36,40),0)/100)),0)</f>
        <v/>
      </c>
      <c r="R2271">
        <f>IF(AND(Inputs!$B$38&lt;&gt;"pvp",Inputs!$B$43&gt;0),IF(Inputs!$B$43&lt;=0,0,(INT(Inputs!$B$43/(IF(Inputs!$B$38="pvp",15,MAX(0.1,Skills!D16-IF(Skills!E16=TRUE,Inputs!$B$32,0)))*(1-IF(AND(ArtifactsInput!$M$27,Inputs!$B$4="Chapter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IFERROR(1/(IF(Inputs!$B$38="pvp",15,MAX(0.1,Skills!D17-IF(Skills!E17=TRUE,Inputs!$B$32,0)))*(1-IF(AND(ArtifactsInput!$M$27,Inputs!$B$4="Chapter Hunt"),CHOOSE(ArtifactsInput!$N$27+1,20,24,28,32,36,40),0)/100)),0)</f>
        <v/>
      </c>
      <c r="R2272">
        <f>IF(AND(Inputs!$B$38&lt;&gt;"pvp",Inputs!$B$43&gt;0),IF(Inputs!$B$43&lt;=0,0,(INT(Inputs!$B$43/(IF(Inputs!$B$38="pvp",15,MAX(0.1,Skills!D17-IF(Skills!E17=TRUE,Inputs!$B$32,0)))*(1-IF(AND(ArtifactsInput!$M$27,Inputs!$B$4="Chapter Hunt"),CHOOSE(ArtifactsInput!$N$27+1,20,24,28,32,36,40),0)/100)))+1)),0)</f>
        <v/>
      </c>
      <c r="S2272">
        <f>IFERROR(O2272/N2272,0)</f>
        <v/>
      </c>
      <c r="T2272" t="n">
        <v>0</v>
      </c>
      <c r="V2272" t="n">
        <v>0</v>
      </c>
    </row>
    <row r="2273">
      <c r="A2273">
        <f>Skills!A18</f>
        <v/>
      </c>
      <c r="B2273">
        <f>Skills!B18</f>
        <v/>
      </c>
      <c r="C2273">
        <f>Inputs!$B$3&gt;=115</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IFERROR(1/(IF(Inputs!$B$38="pvp",15,MAX(0.1,Skills!D18-IF(Skills!E18=TRUE,Inputs!$B$32,0)))*(1-IF(AND(ArtifactsInput!$M$27,Inputs!$B$4="Chapter Hunt"),CHOOSE(ArtifactsInput!$N$27+1,20,24,28,32,36,40),0)/100)),0)</f>
        <v/>
      </c>
      <c r="R2273">
        <f>IF(AND(Inputs!$B$38&lt;&gt;"pvp",Inputs!$B$43&gt;0),IF(Inputs!$B$43&lt;=0,0,(INT(Inputs!$B$43/(IF(Inputs!$B$38="pvp",15,MAX(0.1,Skills!D18-IF(Skills!E18=TRUE,Inputs!$B$32,0)))*(1-IF(AND(ArtifactsInput!$M$27,Inputs!$B$4="Chapter Hunt"),CHOOSE(ArtifactsInput!$N$27+1,20,24,28,32,36,40),0)/100)))+1)),0)</f>
        <v/>
      </c>
      <c r="S2273">
        <f>IFERROR(O2273/N2273,0)</f>
        <v/>
      </c>
      <c r="T2273" t="n">
        <v>0</v>
      </c>
      <c r="V2273" t="n">
        <v>0</v>
      </c>
    </row>
    <row r="2274">
      <c r="A2274">
        <f>Skills!A19</f>
        <v/>
      </c>
      <c r="B2274">
        <f>Skills!B19</f>
        <v/>
      </c>
      <c r="C2274">
        <f>TRUE</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IFERROR(1/(IF(Inputs!$B$38="pvp",15,MAX(0.1,Skills!D19-IF(Skills!E19=TRUE,Inputs!$B$32,0)))*(1-IF(AND(ArtifactsInput!$M$27,Inputs!$B$4="Chapter Hunt"),CHOOSE(ArtifactsInput!$N$27+1,20,24,28,32,36,40),0)/100)),0)</f>
        <v/>
      </c>
      <c r="R2274">
        <f>IF(AND(Inputs!$B$38&lt;&gt;"pvp",Inputs!$B$43&gt;0),IF(Inputs!$B$43&lt;=0,0,(INT(Inputs!$B$43/(IF(Inputs!$B$38="pvp",15,MAX(0.1,Skills!D19-IF(Skills!E19=TRUE,Inputs!$B$32,0)))*(1-IF(AND(ArtifactsInput!$M$27,Inputs!$B$4="Chapter Hunt"),CHOOSE(ArtifactsInput!$N$27+1,20,24,28,32,36,40),0)/100)))+1)),0)</f>
        <v/>
      </c>
      <c r="S2274">
        <f>IFERROR(O2274/N2274,0)</f>
        <v/>
      </c>
      <c r="T2274" t="n">
        <v>0</v>
      </c>
      <c r="V2274" t="n">
        <v>0</v>
      </c>
    </row>
    <row r="2275">
      <c r="A2275">
        <f>Skills!A20</f>
        <v/>
      </c>
      <c r="B2275">
        <f>Skills!B20</f>
        <v/>
      </c>
      <c r="C2275">
        <f>Inputs!$B$3&gt;=33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t="n">
        <v>0</v>
      </c>
      <c r="R2276" t="n">
        <v>0</v>
      </c>
      <c r="S2276">
        <f>IFERROR(O2276/N2276,0)</f>
        <v/>
      </c>
      <c r="T2276" t="n">
        <v>0</v>
      </c>
      <c r="V2276" t="n">
        <v>0</v>
      </c>
    </row>
    <row r="2277">
      <c r="A2277">
        <f>Skills!A22</f>
        <v/>
      </c>
      <c r="B2277">
        <f>Skills!B22</f>
        <v/>
      </c>
      <c r="C2277">
        <f>Inputs!$B$3&gt;=43</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Inputs!$B$3&gt;=120</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Inputs!$B$3&gt;=120</f>
        <v/>
      </c>
      <c r="D2279">
        <f>IF(Skills!C24=1,60+Inputs!$B$25+Inputs!$B$29,IF(Skills!C24=2,90+Inputs!$B$26+Inputs!$B$29,IF(Skills!C24=3,120+Inputs!$B$27+Inputs!$B$29,MAX(0,(Inputs!$B$3-100)*3)+Inputs!$B$28+Inputs!$B$29)))</f>
        <v/>
      </c>
      <c r="E2279">
        <f>INDEX(FactorTable!$B$2:$Y$301, MATCH(ROUND(MIN(300,MAX(1,D2279)),0), FactorTable!$A$2:$A$301,0), Skills!M24+1)</f>
        <v/>
      </c>
      <c r="F2279">
        <f>IF(Skills!N24=TRUE,(Skills!L24/10)*(E2279/1000),Skills!L24/10)+Skills!O24</f>
        <v/>
      </c>
      <c r="G2279">
        <f>Skills!G24*IF(Skills!H24&gt;0,Skills!I24/Skills!H24,1)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Inputs!$B$3&gt;=125</f>
        <v/>
      </c>
      <c r="D2280">
        <f>IF(Skills!C25=1,60+Inputs!$B$25+Inputs!$B$29,IF(Skills!C25=2,90+Inputs!$B$26+Inputs!$B$29,IF(Skills!C25=3,120+Inputs!$B$27+Inputs!$B$29,MAX(0,(Inputs!$B$3-100)*3)+Inputs!$B$28+Inputs!$B$29)))</f>
        <v/>
      </c>
      <c r="E2280">
        <f>INDEX(FactorTable!$B$2:$Y$301, MATCH(ROUND(MIN(300,MAX(1,D2280)),0), FactorTable!$A$2:$A$301,0), Skills!M25+1)</f>
        <v/>
      </c>
      <c r="F2280">
        <f>IF(Skills!N25=TRUE,(Skills!L25/10)*(E2280/1000),Skills!L25/10)+Skills!O25</f>
        <v/>
      </c>
      <c r="G2280">
        <f>Skills!G25*IF(Skills!H25&gt;0,Skills!I25/Skills!H25,1)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Inputs!$B$3&gt;=72</f>
        <v/>
      </c>
      <c r="D2281">
        <f>IF(Skills!C26=1,60+Inputs!$B$25+Inputs!$B$29,IF(Skills!C26=2,90+Inputs!$B$26+Inputs!$B$29,IF(Skills!C26=3,120+Inputs!$B$27+Inputs!$B$29,MAX(0,(Inputs!$B$3-100)*3)+Inputs!$B$28+Inputs!$B$29)))</f>
        <v/>
      </c>
      <c r="E2281">
        <f>INDEX(FactorTable!$B$2:$Y$301, MATCH(ROUND(MIN(300,MAX(1,D2281)),0), FactorTable!$A$2:$A$301,0), Skills!M26+1)</f>
        <v/>
      </c>
      <c r="F2281">
        <f>IF(Skills!N26=TRUE,(Skills!L26/10)*(E2281/1000),Skills!L26/10)+Skills!O26</f>
        <v/>
      </c>
      <c r="G2281">
        <f>Skills!G26*IF(Skills!H26&gt;0,Skills!I26/Skills!H26,1)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2274=TRUE)*F2274*IF(AND(Inputs!$B$38&lt;&gt;"pvp",Inputs!$B$43&gt;0),(((R2274-1)*(Skills!T19*(1+(Inputs!$B$34+(ArtifactsInput!$M$7-ArtifactsInput!$M$7)*CHOOSE(ArtifactsInput!$N$7+1,6,7.2,8.4,9.6,10.8,12))/100))+MIN((Skills!T19*(1+(Inputs!$B$34+(ArtifactsInput!$M$7-ArtifactsInput!$M$7)*CHOOSE(ArtifactsInput!$N$7+1,6,7.2,8.4,9.6,10.8,12))/100)),MAX(0,Inputs!$B$43-((R2274-1)*Skills!D19))))/Inputs!$B$43),IF(Inputs!$B$38="pvp",MIN((Skills!T19*(1+(Inputs!$B$34+(ArtifactsInput!$M$7-ArtifactsInput!$M$7)*CHOOSE(ArtifactsInput!$N$7+1,6,7.2,8.4,9.6,10.8,12))/100)),15)/15,(Skills!T19*(1+(Inputs!$B$34+(ArtifactsInput!$M$7-ArtifactsInput!$M$7)*CHOOSE(ArtifactsInput!$N$7+1,6,7.2,8.4,9.6,10.8,12))/100))/Skills!D19)))</f>
        <v/>
      </c>
    </row>
    <row r="2286">
      <c r="A2286" t="inlineStr">
        <is>
          <t>Actions Per Second</t>
        </is>
      </c>
      <c r="B2286">
        <f>1+MIN(150,150*(1-(1-(Inputs!$B$11+((C2275=TRUE)*(F2275-Calc!F20)))/150)*(1-B2285/150)))/100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Raging Blow Casts Per Second</t>
        </is>
      </c>
      <c r="B2288">
        <f>MAX(0,B2286-B2287)</f>
        <v/>
      </c>
    </row>
    <row r="2289">
      <c r="A2289" t="inlineStr">
        <is>
          <t>Global Critical Damage Bonus % (Enrage)</t>
        </is>
      </c>
      <c r="B2289">
        <f>((C2273=TRUE)*F2273*IF(AND(Inputs!$B$38&lt;&gt;"pvp",Inputs!$B$43&gt;0),(((R2273-1)*(Skills!T18*(1+(Inputs!$B$34+(ArtifactsInput!$M$7-ArtifactsInput!$M$7)*CHOOSE(ArtifactsInput!$N$7+1,6,7.2,8.4,9.6,10.8,12))/100))+MIN((Skills!T18*(1+(Inputs!$B$34+(ArtifactsInput!$M$7-ArtifactsInput!$M$7)*CHOOSE(ArtifactsInput!$N$7+1,6,7.2,8.4,9.6,10.8,12))/100)),MAX(0,Inputs!$B$43-((R2273-1)*Skills!D18))))/Inputs!$B$43),IF(Inputs!$B$38="pvp",MIN((Skills!T18*(1+(Inputs!$B$34+(ArtifactsInput!$M$7-ArtifactsInput!$M$7)*CHOOSE(ArtifactsInput!$N$7+1,6,7.2,8.4,9.6,10.8,12))/100)),15)/15,(Skills!T18*(1+(Inputs!$B$34+(ArtifactsInput!$M$7-ArtifactsInput!$M$7)*CHOOSE(ArtifactsInput!$N$7+1,6,7.2,8.4,9.6,10.8,12))/100))/Skills!D18)))</f>
        <v/>
      </c>
    </row>
    <row r="2290">
      <c r="A2290" t="inlineStr">
        <is>
          <t>Global Final Damage Bonus % (Enrage + Combo Synergy)</t>
        </is>
      </c>
      <c r="B2290">
        <f>((C2272=TRUE)*F2272*IF(AND(Inputs!$B$38&lt;&gt;"pvp",Inputs!$B$43&gt;0),(((R2272-1)*(Skills!T17*(1+(Inputs!$B$34+(ArtifactsInput!$M$7-ArtifactsInput!$M$7)*CHOOSE(ArtifactsInput!$N$7+1,6,7.2,8.4,9.6,10.8,12))/100))+MIN((Skills!T17*(1+(Inputs!$B$34+(ArtifactsInput!$M$7-ArtifactsInput!$M$7)*CHOOSE(ArtifactsInput!$N$7+1,6,7.2,8.4,9.6,10.8,12))/100)),MAX(0,Inputs!$B$43-((R2272-1)*Skills!D17))))/Inputs!$B$43),IF(Inputs!$B$38="pvp",MIN((Skills!T17*(1+(Inputs!$B$34+(ArtifactsInput!$M$7-ArtifactsInput!$M$7)*CHOOSE(ArtifactsInput!$N$7+1,6,7.2,8.4,9.6,10.8,12))/100)),15)/15,(Skills!T17*(1+(Inputs!$B$34+(ArtifactsInput!$M$7-ArtifactsInput!$M$7)*CHOOSE(ArtifactsInput!$N$7+1,6,7.2,8.4,9.6,10.8,12))/100))/Skills!D17)))+((C2269=TRUE)*F2269*IF(Inputs!$B$3&gt;=110,7,5))</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NHANCED_RAGING_BLOW",IF(Inputs!$B$3&gt;=134,MAX(0,IF(Inputs!$B$3&gt;=110,7,5)-5)*50,0),0)/100)*(1+(IF(Skills!A2="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2299)</f>
        <v/>
      </c>
      <c r="L2299">
        <f>K2299*(MIN(Inputs!$B$22+((C2319=TRUE)*(F2319-Calc!F22)),(Inputs!$B$23+((C2321=TRUE)*(F2321-Calc!F24))+(IF(ArtifactsInput!$M$15,CHOOSE(ArtifactsInput!$N$15+1,25,30,35,40,45,50)/100*(Inputs!$B$11-Inputs!$B$11),0))))/100+(Inputs!$B$23+((C2321=TRUE)*(F2321-Calc!F24))+(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INDEX(FactorTable!$B$2:$Y$301, MATCH(ROUND(MIN(300,MAX(1,D2300)),0),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INDEX(FactorTable!$B$2:$Y$301, MATCH(ROUND(MIN(300,MAX(1,U2299)),0), FactorTable!$A$2:$A$301,0), 22)</f>
        <v/>
      </c>
    </row>
    <row r="2301">
      <c r="A2301">
        <f>Skills!A4</f>
        <v/>
      </c>
      <c r="B2301">
        <f>Skills!B4</f>
        <v/>
      </c>
      <c r="C2301">
        <f>Inputs!$B$3&gt;=105</f>
        <v/>
      </c>
      <c r="D2301">
        <f>IF(Skills!C4=1,60+Inputs!$B$25+Inputs!$B$29,IF(Skills!C4=2,90+Inputs!$B$26+Inputs!$B$29,IF(Skills!C4=3,120+Inputs!$B$27+Inputs!$B$29,MAX(0,(Inputs!$B$3-100)*3)+Inputs!$B$28+Inputs!$B$29)))</f>
        <v/>
      </c>
      <c r="E2301">
        <f>INDEX(FactorTable!$B$2:$Y$301, MATCH(ROUND(MIN(300,MAX(1,D2301)),0), FactorTable!$A$2:$A$301,0), Skills!M4+1)</f>
        <v/>
      </c>
      <c r="F2301">
        <f>IF(Skills!N4=TRUE,(Skills!L4/10)*(E2301/1000),Skills!L4/10)+Skills!O4</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U2301">
        <f>290*U2300/1000</f>
        <v/>
      </c>
    </row>
    <row r="2302">
      <c r="A2302">
        <f>Skills!A5</f>
        <v/>
      </c>
      <c r="B2302">
        <f>Skills!B5</f>
        <v/>
      </c>
      <c r="C2302">
        <f>Inputs!$B$3&gt;=103</f>
        <v/>
      </c>
      <c r="D2302">
        <f>IF(Skills!C5=1,60+Inputs!$B$25+Inputs!$B$29,IF(Skills!C5=2,90+Inputs!$B$26+Inputs!$B$29,IF(Skills!C5=3,120+Inputs!$B$27+Inputs!$B$29,MAX(0,(Inputs!$B$3-100)*3)+Inputs!$B$28+Inputs!$B$29)))</f>
        <v/>
      </c>
      <c r="E2302">
        <f>INDEX(FactorTable!$B$2:$Y$301, MATCH(ROUND(MIN(300,MAX(1,D2302)),0), FactorTable!$A$2:$A$301,0), Skills!M5+1)</f>
        <v/>
      </c>
      <c r="F2302">
        <f>IF(Skills!N5=TRUE,(Skills!L5/10)*(E2302/1000),Skills!L5/10)+Skills!O5</f>
        <v/>
      </c>
      <c r="G2302">
        <f>Skills!G5*IF(Skills!H5&gt;0,Skills!I5/Skills!H5,1)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ENHANCED_RAGING_BLOW",IF(Inputs!$B$3&gt;=134,MAX(0,IF(Inputs!$B$3&gt;=110,7,5)-5)*50,0),0)/100)*(1+(IF(Skills!A5="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2302)</f>
        <v/>
      </c>
      <c r="L2302">
        <f>K2302*(MIN(Inputs!$B$22+((C2319=TRUE)*(F2319-Calc!F22)),(Inputs!$B$23+((C2321=TRUE)*(F2321-Calc!F24))+(IF(ArtifactsInput!$M$15,CHOOSE(ArtifactsInput!$N$15+1,25,30,35,40,45,50)/100*(Inputs!$B$11-Inputs!$B$11),0))))/100+(Inputs!$B$23+((C2321=TRUE)*(F2321-Calc!F24))+(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IFERROR(1/(IF(Inputs!$B$38="pvp",15,MAX(0.1,Skills!D5-IF(Skills!E5=TRUE,Inputs!$B$32,0)))*(1-IF(AND(ArtifactsInput!$M$27,Inputs!$B$4="Chapter Hunt"),CHOOSE(ArtifactsInput!$N$27+1,20,24,28,32,36,40),0)/100)),0)</f>
        <v/>
      </c>
      <c r="R2302">
        <f>IF(AND(Inputs!$B$38&lt;&gt;"pvp",Inputs!$B$43&gt;0),IF(MAX(0,Inputs!$B$43-B2333)&lt;=0,0,(INT(MAX(0,Inputs!$B$43-B2333)/(IF(Inputs!$B$38="pvp",15,MAX(0.1,Skills!D5-IF(Skills!E5=TRUE,Inputs!$B$32,0)))*(1-IF(AND(ArtifactsInput!$M$27,Inputs!$B$4="Chapter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INDEX(FactorTable!$B$2:$Y$301, MATCH(ROUND(MIN(300,MAX(1,D2303)),0), FactorTable!$A$2:$A$301,0), Skills!M6+1)</f>
        <v/>
      </c>
      <c r="F2303">
        <f>IF(Skills!N6=TRUE,(Skills!L6/10)*(E2303/1000),Skills!L6/10)+Skills!O6</f>
        <v/>
      </c>
      <c r="G2303">
        <f>Skills!G6*IF(Skills!H6&gt;0,Skills!I6/Skills!H6,1)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ENHANCED_RAGING_BLOW",IF(Inputs!$B$3&gt;=134,MAX(0,IF(Inputs!$B$3&gt;=110,7,5)-5)*50,0),0)/100)*(1+(IF(Skills!A6="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2303)</f>
        <v/>
      </c>
      <c r="L2303">
        <f>K2303*(MIN(Inputs!$B$22+((C2319=TRUE)*(F2319-Calc!F22)),(Inputs!$B$23+((C2321=TRUE)*(F2321-Calc!F24))+(IF(ArtifactsInput!$M$15,CHOOSE(ArtifactsInput!$N$15+1,25,30,35,40,45,50)/100*(Inputs!$B$11-Inputs!$B$11),0))))/100+(Inputs!$B$23+((C2321=TRUE)*(F2321-Calc!F24))+(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IFERROR(1/(IF(Inputs!$B$38="pvp",15,MAX(0.1,Skills!D6-IF(Skills!E6=TRUE,Inputs!$B$32,0)))*(1-IF(AND(ArtifactsInput!$M$27,Inputs!$B$4="Chapter Hunt"),CHOOSE(ArtifactsInput!$N$27+1,20,24,28,32,36,40),0)/100)),0)</f>
        <v/>
      </c>
      <c r="R2303">
        <f>IF(AND(Inputs!$B$38&lt;&gt;"pvp",Inputs!$B$43&gt;0),IF(MAX(0,Inputs!$B$43-B2333)&lt;=0,0,(INT(MAX(0,Inputs!$B$43-B2333)/(IF(Inputs!$B$38="pvp",15,MAX(0.1,Skills!D6-IF(Skills!E6=TRUE,Inputs!$B$32,0)))*(1-IF(AND(ArtifactsInput!$M$27,Inputs!$B$4="Chapter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INDEX(FactorTable!$B$2:$Y$301, MATCH(ROUND(MIN(300,MAX(1,D2304)),0), FactorTable!$A$2:$A$301,0), Skills!M7+1)</f>
        <v/>
      </c>
      <c r="F2304">
        <f>IF(Skills!N7=TRUE,(Skills!L7/10)*(E2304/1000),Skills!L7/10)+Skills!O7</f>
        <v/>
      </c>
      <c r="G2304">
        <f>Skills!G7*IF(Skills!H7&gt;0,Skills!I7/Skills!H7,1)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ENHANCED_RAGING_BLOW",IF(Inputs!$B$3&gt;=134,MAX(0,IF(Inputs!$B$3&gt;=110,7,5)-5)*50,0),0)/100)*(1+(IF(Skills!A7="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2304)</f>
        <v/>
      </c>
      <c r="L2304">
        <f>K2304*(MIN(Inputs!$B$22+((C2319=TRUE)*(F2319-Calc!F22)),(Inputs!$B$23+((C2321=TRUE)*(F2321-Calc!F24))+(IF(ArtifactsInput!$M$15,CHOOSE(ArtifactsInput!$N$15+1,25,30,35,40,45,50)/100*(Inputs!$B$11-Inputs!$B$11),0))))/100+(Inputs!$B$23+((C2321=TRUE)*(F2321-Calc!F24))+(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IFERROR(1/(IF(Inputs!$B$38="pvp",15,MAX(0.1,Skills!D7-IF(Skills!E7=TRUE,Inputs!$B$32,0)))*(1-IF(AND(ArtifactsInput!$M$27,Inputs!$B$4="Chapter Hunt"),CHOOSE(ArtifactsInput!$N$27+1,20,24,28,32,36,40),0)/100)),0)</f>
        <v/>
      </c>
      <c r="R2304">
        <f>IF(AND(Inputs!$B$38&lt;&gt;"pvp",Inputs!$B$43&gt;0),IF(MAX(0,Inputs!$B$43-B2333)&lt;=0,0,(INT(MAX(0,Inputs!$B$43-B2333)/(IF(Inputs!$B$38="pvp",15,MAX(0.1,Skills!D7-IF(Skills!E7=TRUE,Inputs!$B$32,0)))*(1-IF(AND(ArtifactsInput!$M$27,Inputs!$B$4="Chapter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Inputs!$B$3&gt;=117</f>
        <v/>
      </c>
      <c r="D2305">
        <f>IF(Skills!C8=1,60+Inputs!$B$25+Inputs!$B$29,IF(Skills!C8=2,90+Inputs!$B$26+Inputs!$B$29,IF(Skills!C8=3,120+Inputs!$B$27+Inputs!$B$29,MAX(0,(Inputs!$B$3-100)*3)+Inputs!$B$28+Inputs!$B$29)))</f>
        <v/>
      </c>
      <c r="E2305">
        <f>INDEX(FactorTable!$B$2:$Y$301, MATCH(ROUND(MIN(300,MAX(1,D2305)),0), FactorTable!$A$2:$A$301,0), Skills!M8+1)</f>
        <v/>
      </c>
      <c r="F2305">
        <f>IF(Skills!N8=TRUE,(Skills!L8/10)*(E2305/1000),Skills!L8/10)+Skills!O8</f>
        <v/>
      </c>
      <c r="G2305">
        <f>Skills!G8*IF(Skills!H8&gt;0,Skills!I8/Skills!H8,1)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NHANCED_RAGING_BLOW",IF(Inputs!$B$3&gt;=134,MAX(0,IF(Inputs!$B$3&gt;=110,7,5)-5)*50,0),0)/100)*(1+(IF(Skills!A8="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2305)</f>
        <v/>
      </c>
      <c r="L2305">
        <f>K2305*(MIN(Inputs!$B$22+((C2319=TRUE)*(F2319-Calc!F22)),(Inputs!$B$23+((C2321=TRUE)*(F2321-Calc!F24))+(IF(ArtifactsInput!$M$15,CHOOSE(ArtifactsInput!$N$15+1,25,30,35,40,45,50)/100*(Inputs!$B$11-Inputs!$B$11),0))))/100+(Inputs!$B$23+((C2321=TRUE)*(F2321-Calc!F24))+(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IFERROR(1/(IF(Inputs!$B$38="pvp",15,MAX(0.1,Skills!D8-IF(Skills!E8=TRUE,Inputs!$B$32,0)))*(1-IF(AND(ArtifactsInput!$M$27,Inputs!$B$4="Chapter Hunt"),CHOOSE(ArtifactsInput!$N$27+1,20,24,28,32,36,40),0)/100)),0)</f>
        <v/>
      </c>
      <c r="R2305">
        <f>IF(AND(Inputs!$B$38&lt;&gt;"pvp",Inputs!$B$43&gt;0),IF(MAX(0,Inputs!$B$43-B2333)&lt;=0,0,(INT(MAX(0,Inputs!$B$43-B2333)/(IF(Inputs!$B$38="pvp",15,MAX(0.1,Skills!D8-IF(Skills!E8=TRUE,Inputs!$B$32,0)))*(1-IF(AND(ArtifactsInput!$M$27,Inputs!$B$4="Chapter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Inputs!$B$3&gt;=69</f>
        <v/>
      </c>
      <c r="D2306">
        <f>IF(Skills!C9=1,60+Inputs!$B$25+Inputs!$B$29,IF(Skills!C9=2,90+Inputs!$B$26+Inputs!$B$29,IF(Skills!C9=3,120+Inputs!$B$27+Inputs!$B$29,MAX(0,(Inputs!$B$3-100)*3)+Inputs!$B$28+Inputs!$B$29)))</f>
        <v/>
      </c>
      <c r="E2306">
        <f>INDEX(FactorTable!$B$2:$Y$301, MATCH(ROUND(MIN(300,MAX(1,D2306)),0), FactorTable!$A$2:$A$301,0), Skills!M9+1)</f>
        <v/>
      </c>
      <c r="F2306">
        <f>IF(Skills!N9=TRUE,(Skills!L9/10)*(E2306/1000),Skills!L9/10)+Skills!O9</f>
        <v/>
      </c>
      <c r="G2306">
        <f>Skills!G9*IF(Skills!H9&gt;0,Skills!I9/Skills!H9,1)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9="ENHANCED_RAGING_BLOW",IF(Inputs!$B$3&gt;=134,MAX(0,IF(Inputs!$B$3&gt;=110,7,5)-5)*50,0),0)/100)*(1+(IF(Skills!A9="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2306)</f>
        <v/>
      </c>
      <c r="L2306">
        <f>K2306*(MIN(Inputs!$B$22+((C2319=TRUE)*(F2319-Calc!F22)),(Inputs!$B$23+((C2321=TRUE)*(F2321-Calc!F24))+(IF(ArtifactsInput!$M$15,CHOOSE(ArtifactsInput!$N$15+1,25,30,35,40,45,50)/100*(Inputs!$B$11-Inputs!$B$11),0))))/100+(Inputs!$B$23+((C2321=TRUE)*(F2321-Calc!F24))+(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IFERROR(1/(IF(Inputs!$B$38="pvp",15,MAX(0.1,Skills!D9-IF(Skills!E9=TRUE,Inputs!$B$32,0)))*(1-IF(AND(ArtifactsInput!$M$27,Inputs!$B$4="Chapter Hunt"),CHOOSE(ArtifactsInput!$N$27+1,20,24,28,32,36,40),0)/100)),0)</f>
        <v/>
      </c>
      <c r="R2306">
        <f>IF(AND(Inputs!$B$38&lt;&gt;"pvp",Inputs!$B$43&gt;0),IF(MAX(0,Inputs!$B$43-B2333)&lt;=0,0,(INT(MAX(0,Inputs!$B$43-B2333)/(IF(Inputs!$B$38="pvp",15,MAX(0.1,Skills!D9-IF(Skills!E9=TRUE,Inputs!$B$32,0)))*(1-IF(AND(ArtifactsInput!$M$27,Inputs!$B$4="Chapter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Inputs!$B$3&gt;=63</f>
        <v/>
      </c>
      <c r="D2307">
        <f>IF(Skills!C10=1,60+Inputs!$B$25+Inputs!$B$29,IF(Skills!C10=2,90+Inputs!$B$26+Inputs!$B$29,IF(Skills!C10=3,120+Inputs!$B$27+Inputs!$B$29,MAX(0,(Inputs!$B$3-100)*3)+Inputs!$B$28+Inputs!$B$29)))</f>
        <v/>
      </c>
      <c r="E2307">
        <f>INDEX(FactorTable!$B$2:$Y$301, MATCH(ROUND(MIN(300,MAX(1,D2307)),0), FactorTable!$A$2:$A$301,0), Skills!M10+1)</f>
        <v/>
      </c>
      <c r="F2307">
        <f>IF(Skills!N10=TRUE,(Skills!L10/10)*(E2307/1000),Skills!L10/10)+Skills!O10</f>
        <v/>
      </c>
      <c r="G2307">
        <f>Skills!G10*IF(Skills!H10&gt;0,Skills!I10/Skills!H10,1)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10="ENHANCED_RAGING_BLOW",IF(Inputs!$B$3&gt;=134,MAX(0,IF(Inputs!$B$3&gt;=110,7,5)-5)*50,0),0)/100)*(1+(IF(Skills!A10="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2307)</f>
        <v/>
      </c>
      <c r="L2307">
        <f>K2307*(MIN(Inputs!$B$22+((C2319=TRUE)*(F2319-Calc!F22)),(Inputs!$B$23+((C2321=TRUE)*(F2321-Calc!F24))+(IF(ArtifactsInput!$M$15,CHOOSE(ArtifactsInput!$N$15+1,25,30,35,40,45,50)/100*(Inputs!$B$11-Inputs!$B$11),0))))/100+(Inputs!$B$23+((C2321=TRUE)*(F2321-Calc!F24))+(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IFERROR(1/(IF(Inputs!$B$38="pvp",15,MAX(0.1,Skills!D10-IF(Skills!E10=TRUE,Inputs!$B$32,0)))*(1-IF(AND(ArtifactsInput!$M$27,Inputs!$B$4="Chapter Hunt"),CHOOSE(ArtifactsInput!$N$27+1,20,24,28,32,36,40),0)/100)),0)</f>
        <v/>
      </c>
      <c r="R2307">
        <f>IF(AND(Inputs!$B$38&lt;&gt;"pvp",Inputs!$B$43&gt;0),IF(MAX(0,Inputs!$B$43-B2333)&lt;=0,0,(INT(MAX(0,Inputs!$B$43-B2333)/(IF(Inputs!$B$38="pvp",15,MAX(0.1,Skills!D10-IF(Skills!E10=TRUE,Inputs!$B$32,0)))*(1-IF(AND(ArtifactsInput!$M$27,Inputs!$B$4="Chapter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Inputs!$B$3&gt;=35</f>
        <v/>
      </c>
      <c r="D2308">
        <f>IF(Skills!C11=1,60+Inputs!$B$25+Inputs!$B$29,IF(Skills!C11=2,90+Inputs!$B$26+Inputs!$B$29,IF(Skills!C11=3,120+Inputs!$B$27+Inputs!$B$29,MAX(0,(Inputs!$B$3-100)*3)+Inputs!$B$28+Inputs!$B$29)))</f>
        <v/>
      </c>
      <c r="E2308">
        <f>INDEX(FactorTable!$B$2:$Y$301, MATCH(ROUND(MIN(300,MAX(1,D2308)),0), FactorTable!$A$2:$A$301,0), Skills!M11+1)</f>
        <v/>
      </c>
      <c r="F2308">
        <f>IF(Skills!N11=TRUE,(Skills!L11/10)*(E2308/1000),Skills!L11/10)+Skills!O11</f>
        <v/>
      </c>
      <c r="G2308">
        <f>Skills!G11*IF(Skills!H11&gt;0,Skills!I11/Skills!H11,1)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11="ENHANCED_RAGING_BLOW",IF(Inputs!$B$3&gt;=134,MAX(0,IF(Inputs!$B$3&gt;=110,7,5)-5)*50,0),0)/100)*(1+(IF(Skills!A11="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2308)</f>
        <v/>
      </c>
      <c r="L2308">
        <f>K2308*(MIN(Inputs!$B$22+((C2319=TRUE)*(F2319-Calc!F22)),(Inputs!$B$23+((C2321=TRUE)*(F2321-Calc!F24))+(IF(ArtifactsInput!$M$15,CHOOSE(ArtifactsInput!$N$15+1,25,30,35,40,45,50)/100*(Inputs!$B$11-Inputs!$B$11),0))))/100+(Inputs!$B$23+((C2321=TRUE)*(F2321-Calc!F24))+(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IFERROR(1/(IF(Inputs!$B$38="pvp",15,MAX(0.1,Skills!D11-IF(Skills!E11=TRUE,Inputs!$B$32,0)))*(1-IF(AND(ArtifactsInput!$M$27,Inputs!$B$4="Chapter Hunt"),CHOOSE(ArtifactsInput!$N$27+1,20,24,28,32,36,40),0)/100)),0)</f>
        <v/>
      </c>
      <c r="R2308">
        <f>IF(AND(Inputs!$B$38&lt;&gt;"pvp",Inputs!$B$43&gt;0),IF(MAX(0,Inputs!$B$43-B2333)&lt;=0,0,(INT(MAX(0,Inputs!$B$43-B2333)/(IF(Inputs!$B$38="pvp",15,MAX(0.1,Skills!D11-IF(Skills!E11=TRUE,Inputs!$B$32,0)))*(1-IF(AND(ArtifactsInput!$M$27,Inputs!$B$4="Chapter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INDEX(FactorTable!$B$2:$Y$301, MATCH(ROUND(MIN(300,MAX(1,D2309)),0),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INDEX(FactorTable!$B$2:$Y$301, MATCH(ROUND(MIN(300,MAX(1,D2310)),0), FactorTable!$A$2:$A$301,0), Skills!M13+1)</f>
        <v/>
      </c>
      <c r="F2310">
        <f>IF(Skills!N13=TRUE,(Skills!L13/10)*(E2310/1000),Skills!L13/10)+Skills!O13</f>
        <v/>
      </c>
      <c r="G2310">
        <f>Skills!G13*IF(Skills!H13&gt;0,Skills!I13/Skills!H13,1)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Inputs!$B$3&gt;=75</f>
        <v/>
      </c>
      <c r="D2311">
        <f>IF(Skills!C14=1,60+Inputs!$B$25+Inputs!$B$29,IF(Skills!C14=2,90+Inputs!$B$26+Inputs!$B$29,IF(Skills!C14=3,120+Inputs!$B$27+Inputs!$B$29,MAX(0,(Inputs!$B$3-100)*3)+Inputs!$B$28+Inputs!$B$29)))</f>
        <v/>
      </c>
      <c r="E2311">
        <f>INDEX(FactorTable!$B$2:$Y$301, MATCH(ROUND(MIN(300,MAX(1,D2311)),0), FactorTable!$A$2:$A$301,0), Skills!M14+1)</f>
        <v/>
      </c>
      <c r="F2311">
        <f>IF(Skills!N14=TRUE,(Skills!L14/10)*(E2311/1000),Skills!L14/10)+Skills!O14</f>
        <v/>
      </c>
      <c r="G2311">
        <f>Skills!G14*IF(Skills!H14&gt;0,Skills!I14/Skills!H14,1)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Inputs!$B$3&gt;=40</f>
        <v/>
      </c>
      <c r="D2312">
        <f>IF(Skills!C15=1,60+Inputs!$B$25+Inputs!$B$29,IF(Skills!C15=2,90+Inputs!$B$26+Inputs!$B$29,IF(Skills!C15=3,120+Inputs!$B$27+Inputs!$B$29,MAX(0,(Inputs!$B$3-100)*3)+Inputs!$B$28+Inputs!$B$29)))</f>
        <v/>
      </c>
      <c r="E2312">
        <f>INDEX(FactorTable!$B$2:$Y$301, MATCH(ROUND(MIN(300,MAX(1,D2312)),0), FactorTable!$A$2:$A$301,0), Skills!M15+1)</f>
        <v/>
      </c>
      <c r="F2312">
        <f>IF(Skills!N15=TRUE,(Skills!L15/10)*(E2312/1000),Skills!L15/10)+Skills!O15</f>
        <v/>
      </c>
      <c r="G2312">
        <f>Skills!G15*IF(Skills!H15&gt;0,Skills!I15/Skills!H15,1)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IFERROR(1/(IF(Inputs!$B$38="pvp",15,MAX(0.1,Skills!D15-IF(Skills!E15=TRUE,Inputs!$B$32,0)))*(1-IF(AND(ArtifactsInput!$M$27,Inputs!$B$4="Chapter Hunt"),CHOOSE(ArtifactsInput!$N$27+1,20,24,28,32,36,40),0)/100)),0)</f>
        <v/>
      </c>
      <c r="R2312">
        <f>IF(AND(Inputs!$B$38&lt;&gt;"pvp",Inputs!$B$43&gt;0),IF(Inputs!$B$43&lt;=0,0,(INT(Inputs!$B$43/(IF(Inputs!$B$38="pvp",15,MAX(0.1,Skills!D15-IF(Skills!E15=TRUE,Inputs!$B$32,0)))*(1-IF(AND(ArtifactsInput!$M$27,Inputs!$B$4="Chapter Hunt"),CHOOSE(ArtifactsInput!$N$27+1,20,24,28,32,36,40),0)/100)))+1)),0)</f>
        <v/>
      </c>
      <c r="S2312">
        <f>IFERROR(O2312/N2312,0)</f>
        <v/>
      </c>
      <c r="T2312" t="n">
        <v>0</v>
      </c>
      <c r="V2312" t="n">
        <v>0</v>
      </c>
    </row>
    <row r="2313">
      <c r="A2313">
        <f>Skills!A16</f>
        <v/>
      </c>
      <c r="B2313">
        <f>Skills!B16</f>
        <v/>
      </c>
      <c r="C2313">
        <f>Inputs!$B$3&gt;=66</f>
        <v/>
      </c>
      <c r="D2313">
        <f>IF(Skills!C16=1,60+Inputs!$B$25+Inputs!$B$29,IF(Skills!C16=2,90+Inputs!$B$26+Inputs!$B$29,IF(Skills!C16=3,120+Inputs!$B$27+Inputs!$B$29,MAX(0,(Inputs!$B$3-100)*3)+Inputs!$B$28+Inputs!$B$29)))</f>
        <v/>
      </c>
      <c r="E2313">
        <f>INDEX(FactorTable!$B$2:$Y$301, MATCH(ROUND(MIN(300,MAX(1,D2313)),0), FactorTable!$A$2:$A$301,0), Skills!M16+1)</f>
        <v/>
      </c>
      <c r="F2313">
        <f>IF(Skills!N16=TRUE,(Skills!L16/10)*(E2313/1000),Skills!L16/10)+Skills!O16</f>
        <v/>
      </c>
      <c r="G2313">
        <f>Skills!G16*IF(Skills!H16&gt;0,Skills!I16/Skills!H16,1)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IFERROR(1/(IF(Inputs!$B$38="pvp",15,MAX(0.1,Skills!D16-IF(Skills!E16=TRUE,Inputs!$B$32,0)))*(1-IF(AND(ArtifactsInput!$M$27,Inputs!$B$4="Chapter Hunt"),CHOOSE(ArtifactsInput!$N$27+1,20,24,28,32,36,40),0)/100)),0)</f>
        <v/>
      </c>
      <c r="R2313">
        <f>IF(AND(Inputs!$B$38&lt;&gt;"pvp",Inputs!$B$43&gt;0),IF(Inputs!$B$43&lt;=0,0,(INT(Inputs!$B$43/(IF(Inputs!$B$38="pvp",15,MAX(0.1,Skills!D16-IF(Skills!E16=TRUE,Inputs!$B$32,0)))*(1-IF(AND(ArtifactsInput!$M$27,Inputs!$B$4="Chapter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INDEX(FactorTable!$B$2:$Y$301, MATCH(ROUND(MIN(300,MAX(1,D2314)),0), FactorTable!$A$2:$A$301,0), Skills!M17+1)</f>
        <v/>
      </c>
      <c r="F2314">
        <f>IF(Skills!N17=TRUE,(Skills!L17/10)*(E2314/1000),Skills!L17/10)+Skills!O17</f>
        <v/>
      </c>
      <c r="G2314">
        <f>Skills!G17*IF(Skills!H17&gt;0,Skills!I17/Skills!H17,1)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IFERROR(1/(IF(Inputs!$B$38="pvp",15,MAX(0.1,Skills!D17-IF(Skills!E17=TRUE,Inputs!$B$32,0)))*(1-IF(AND(ArtifactsInput!$M$27,Inputs!$B$4="Chapter Hunt"),CHOOSE(ArtifactsInput!$N$27+1,20,24,28,32,36,40),0)/100)),0)</f>
        <v/>
      </c>
      <c r="R2314">
        <f>IF(AND(Inputs!$B$38&lt;&gt;"pvp",Inputs!$B$43&gt;0),IF(Inputs!$B$43&lt;=0,0,(INT(Inputs!$B$43/(IF(Inputs!$B$38="pvp",15,MAX(0.1,Skills!D17-IF(Skills!E17=TRUE,Inputs!$B$32,0)))*(1-IF(AND(ArtifactsInput!$M$27,Inputs!$B$4="Chapter Hunt"),CHOOSE(ArtifactsInput!$N$27+1,20,24,28,32,36,40),0)/100)))+1)),0)</f>
        <v/>
      </c>
      <c r="S2314">
        <f>IFERROR(O2314/N2314,0)</f>
        <v/>
      </c>
      <c r="T2314" t="n">
        <v>0</v>
      </c>
      <c r="V2314" t="n">
        <v>0</v>
      </c>
    </row>
    <row r="2315">
      <c r="A2315">
        <f>Skills!A18</f>
        <v/>
      </c>
      <c r="B2315">
        <f>Skills!B18</f>
        <v/>
      </c>
      <c r="C2315">
        <f>Inputs!$B$3&gt;=115</f>
        <v/>
      </c>
      <c r="D2315">
        <f>IF(Skills!C18=1,60+Inputs!$B$25+Inputs!$B$29,IF(Skills!C18=2,90+Inputs!$B$26+Inputs!$B$29,IF(Skills!C18=3,120+Inputs!$B$27+Inputs!$B$29,MAX(0,(Inputs!$B$3-100)*3)+Inputs!$B$28+Inputs!$B$29)))</f>
        <v/>
      </c>
      <c r="E2315">
        <f>INDEX(FactorTable!$B$2:$Y$301, MATCH(ROUND(MIN(300,MAX(1,D2315)),0), FactorTable!$A$2:$A$301,0), Skills!M18+1)</f>
        <v/>
      </c>
      <c r="F2315">
        <f>IF(Skills!N18=TRUE,(Skills!L18/10)*(E2315/1000),Skills!L18/10)+Skills!O18</f>
        <v/>
      </c>
      <c r="G2315">
        <f>Skills!G18*IF(Skills!H18&gt;0,Skills!I18/Skills!H18,1)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IFERROR(1/(IF(Inputs!$B$38="pvp",15,MAX(0.1,Skills!D18-IF(Skills!E18=TRUE,Inputs!$B$32,0)))*(1-IF(AND(ArtifactsInput!$M$27,Inputs!$B$4="Chapter Hunt"),CHOOSE(ArtifactsInput!$N$27+1,20,24,28,32,36,40),0)/100)),0)</f>
        <v/>
      </c>
      <c r="R2315">
        <f>IF(AND(Inputs!$B$38&lt;&gt;"pvp",Inputs!$B$43&gt;0),IF(Inputs!$B$43&lt;=0,0,(INT(Inputs!$B$43/(IF(Inputs!$B$38="pvp",15,MAX(0.1,Skills!D18-IF(Skills!E18=TRUE,Inputs!$B$32,0)))*(1-IF(AND(ArtifactsInput!$M$27,Inputs!$B$4="Chapter Hunt"),CHOOSE(ArtifactsInput!$N$27+1,20,24,28,32,36,40),0)/100)))+1)),0)</f>
        <v/>
      </c>
      <c r="S2315">
        <f>IFERROR(O2315/N2315,0)</f>
        <v/>
      </c>
      <c r="T2315" t="n">
        <v>0</v>
      </c>
      <c r="V2315" t="n">
        <v>0</v>
      </c>
    </row>
    <row r="2316">
      <c r="A2316">
        <f>Skills!A19</f>
        <v/>
      </c>
      <c r="B2316">
        <f>Skills!B19</f>
        <v/>
      </c>
      <c r="C2316">
        <f>TRUE</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IFERROR(1/(IF(Inputs!$B$38="pvp",15,MAX(0.1,Skills!D19-IF(Skills!E19=TRUE,Inputs!$B$32,0)))*(1-IF(AND(ArtifactsInput!$M$27,Inputs!$B$4="Chapter Hunt"),CHOOSE(ArtifactsInput!$N$27+1,20,24,28,32,36,40),0)/100)),0)</f>
        <v/>
      </c>
      <c r="R2316">
        <f>IF(AND(Inputs!$B$38&lt;&gt;"pvp",Inputs!$B$43&gt;0),IF(Inputs!$B$43&lt;=0,0,(INT(Inputs!$B$43/(IF(Inputs!$B$38="pvp",15,MAX(0.1,Skills!D19-IF(Skills!E19=TRUE,Inputs!$B$32,0)))*(1-IF(AND(ArtifactsInput!$M$27,Inputs!$B$4="Chapter Hunt"),CHOOSE(ArtifactsInput!$N$27+1,20,24,28,32,36,40),0)/100)))+1)),0)</f>
        <v/>
      </c>
      <c r="S2316">
        <f>IFERROR(O2316/N2316,0)</f>
        <v/>
      </c>
      <c r="T2316" t="n">
        <v>0</v>
      </c>
      <c r="V2316" t="n">
        <v>0</v>
      </c>
    </row>
    <row r="2317">
      <c r="A2317">
        <f>Skills!A20</f>
        <v/>
      </c>
      <c r="B2317">
        <f>Skills!B20</f>
        <v/>
      </c>
      <c r="C2317">
        <f>Inputs!$B$3&gt;=33</f>
        <v/>
      </c>
      <c r="D2317">
        <f>IF(Skills!C20=1,60+Inputs!$B$25+Inputs!$B$29,IF(Skills!C20=2,90+Inputs!$B$26+Inputs!$B$29,IF(Skills!C20=3,120+Inputs!$B$27+Inputs!$B$29,MAX(0,(Inputs!$B$3-100)*3)+Inputs!$B$28+Inputs!$B$29)))</f>
        <v/>
      </c>
      <c r="E2317">
        <f>INDEX(FactorTable!$B$2:$Y$301, MATCH(ROUND(MIN(300,MAX(1,D2317)),0), FactorTable!$A$2:$A$301,0), Skills!M20+1)</f>
        <v/>
      </c>
      <c r="F2317">
        <f>IF(Skills!N20=TRUE,(Skills!L20/10)*(E2317/1000),Skills!L20/10)+Skills!O20</f>
        <v/>
      </c>
      <c r="G2317">
        <f>Skills!G20*IF(Skills!H20&gt;0,Skills!I20/Skills!H20,1)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Inputs!$B$3&gt;=38</f>
        <v/>
      </c>
      <c r="D2318">
        <f>IF(Skills!C21=1,60+Inputs!$B$25+Inputs!$B$29,IF(Skills!C21=2,90+Inputs!$B$26+Inputs!$B$29,IF(Skills!C21=3,120+Inputs!$B$27+Inputs!$B$29,MAX(0,(Inputs!$B$3-100)*3)+Inputs!$B$28+Inputs!$B$29)))</f>
        <v/>
      </c>
      <c r="E2318">
        <f>INDEX(FactorTable!$B$2:$Y$301, MATCH(ROUND(MIN(300,MAX(1,D2318)),0), FactorTable!$A$2:$A$301,0), Skills!M21+1)</f>
        <v/>
      </c>
      <c r="F2318">
        <f>IF(Skills!N21=TRUE,(Skills!L21/10)*(E2318/1000),Skills!L21/10)+Skills!O21</f>
        <v/>
      </c>
      <c r="G2318">
        <f>Skills!G21*IF(Skills!H21&gt;0,Skills!I21/Skills!H21,1)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t="n">
        <v>0</v>
      </c>
      <c r="R2318" t="n">
        <v>0</v>
      </c>
      <c r="S2318">
        <f>IFERROR(O2318/N2318,0)</f>
        <v/>
      </c>
      <c r="T2318" t="n">
        <v>0</v>
      </c>
      <c r="V2318" t="n">
        <v>0</v>
      </c>
    </row>
    <row r="2319">
      <c r="A2319">
        <f>Skills!A22</f>
        <v/>
      </c>
      <c r="B2319">
        <f>Skills!B22</f>
        <v/>
      </c>
      <c r="C2319">
        <f>Inputs!$B$3&gt;=43</f>
        <v/>
      </c>
      <c r="D2319">
        <f>IF(Skills!C22=1,60+Inputs!$B$25+Inputs!$B$29,IF(Skills!C22=2,90+Inputs!$B$26+Inputs!$B$29,IF(Skills!C22=3,120+Inputs!$B$27+Inputs!$B$29,MAX(0,(Inputs!$B$3-100)*3)+Inputs!$B$28+Inputs!$B$29)))</f>
        <v/>
      </c>
      <c r="E2319">
        <f>INDEX(FactorTable!$B$2:$Y$301, MATCH(ROUND(MIN(300,MAX(1,D2319)),0), FactorTable!$A$2:$A$301,0), Skills!M22+1)</f>
        <v/>
      </c>
      <c r="F2319">
        <f>IF(Skills!N22=TRUE,(Skills!L22/10)*(E2319/1000),Skills!L22/10)+Skills!O22</f>
        <v/>
      </c>
      <c r="G2319">
        <f>Skills!G22*IF(Skills!H22&gt;0,Skills!I22/Skills!H22,1)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Inputs!$B$3&gt;=120</f>
        <v/>
      </c>
      <c r="D2320">
        <f>IF(Skills!C23=1,60+Inputs!$B$25+Inputs!$B$29,IF(Skills!C23=2,90+Inputs!$B$26+Inputs!$B$29,IF(Skills!C23=3,120+Inputs!$B$27+Inputs!$B$29,MAX(0,(Inputs!$B$3-100)*3)+Inputs!$B$28+Inputs!$B$29)))</f>
        <v/>
      </c>
      <c r="E2320">
        <f>INDEX(FactorTable!$B$2:$Y$301, MATCH(ROUND(MIN(300,MAX(1,D2320)),0), FactorTable!$A$2:$A$301,0), Skills!M23+1)</f>
        <v/>
      </c>
      <c r="F2320">
        <f>IF(Skills!N23=TRUE,(Skills!L23/10)*(E2320/1000),Skills!L23/10)+Skills!O23</f>
        <v/>
      </c>
      <c r="G2320">
        <f>Skills!G23*IF(Skills!H23&gt;0,Skills!I23/Skills!H23,1)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Inputs!$B$3&gt;=120</f>
        <v/>
      </c>
      <c r="D2321">
        <f>IF(Skills!C24=1,60+Inputs!$B$25+Inputs!$B$29,IF(Skills!C24=2,90+Inputs!$B$26+Inputs!$B$29,IF(Skills!C24=3,120+Inputs!$B$27+Inputs!$B$29,MAX(0,(Inputs!$B$3-100)*3)+Inputs!$B$28+Inputs!$B$29)))</f>
        <v/>
      </c>
      <c r="E2321">
        <f>INDEX(FactorTable!$B$2:$Y$301, MATCH(ROUND(MIN(300,MAX(1,D2321)),0), FactorTable!$A$2:$A$301,0), Skills!M24+1)</f>
        <v/>
      </c>
      <c r="F2321">
        <f>IF(Skills!N24=TRUE,(Skills!L24/10)*(E2321/1000),Skills!L24/10)+Skills!O24</f>
        <v/>
      </c>
      <c r="G2321">
        <f>Skills!G24*IF(Skills!H24&gt;0,Skills!I24/Skills!H24,1)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Inputs!$B$3&gt;=125</f>
        <v/>
      </c>
      <c r="D2322">
        <f>IF(Skills!C25=1,60+Inputs!$B$25+Inputs!$B$29,IF(Skills!C25=2,90+Inputs!$B$26+Inputs!$B$29,IF(Skills!C25=3,120+Inputs!$B$27+Inputs!$B$29,MAX(0,(Inputs!$B$3-100)*3)+Inputs!$B$28+Inputs!$B$29)))</f>
        <v/>
      </c>
      <c r="E2322">
        <f>INDEX(FactorTable!$B$2:$Y$301, MATCH(ROUND(MIN(300,MAX(1,D2322)),0), FactorTable!$A$2:$A$301,0), Skills!M25+1)</f>
        <v/>
      </c>
      <c r="F2322">
        <f>IF(Skills!N25=TRUE,(Skills!L25/10)*(E2322/1000),Skills!L25/10)+Skills!O25</f>
        <v/>
      </c>
      <c r="G2322">
        <f>Skills!G25*IF(Skills!H25&gt;0,Skills!I25/Skills!H25,1)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Inputs!$B$3&gt;=72</f>
        <v/>
      </c>
      <c r="D2323">
        <f>IF(Skills!C26=1,60+Inputs!$B$25+Inputs!$B$29,IF(Skills!C26=2,90+Inputs!$B$26+Inputs!$B$29,IF(Skills!C26=3,120+Inputs!$B$27+Inputs!$B$29,MAX(0,(Inputs!$B$3-100)*3)+Inputs!$B$28+Inputs!$B$29)))</f>
        <v/>
      </c>
      <c r="E2323">
        <f>INDEX(FactorTable!$B$2:$Y$301, MATCH(ROUND(MIN(300,MAX(1,D2323)),0), FactorTable!$A$2:$A$301,0), Skills!M26+1)</f>
        <v/>
      </c>
      <c r="F2323">
        <f>IF(Skills!N26=TRUE,(Skills!L26/10)*(E2323/1000),Skills!L26/10)+Skills!O26</f>
        <v/>
      </c>
      <c r="G2323">
        <f>Skills!G26*IF(Skills!H26&gt;0,Skills!I26/Skills!H26,1)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2316=TRUE)*F2316*IF(AND(Inputs!$B$38&lt;&gt;"pvp",Inputs!$B$43&gt;0),(((R2316-1)*(Skills!T19*(1+(Inputs!$B$34+(ArtifactsInput!$M$7-ArtifactsInput!$M$7)*CHOOSE(ArtifactsInput!$N$7+1,6,7.2,8.4,9.6,10.8,12))/100))+MIN((Skills!T19*(1+(Inputs!$B$34+(ArtifactsInput!$M$7-ArtifactsInput!$M$7)*CHOOSE(ArtifactsInput!$N$7+1,6,7.2,8.4,9.6,10.8,12))/100)),MAX(0,Inputs!$B$43-((R2316-1)*Skills!D19))))/Inputs!$B$43),IF(Inputs!$B$38="pvp",MIN((Skills!T19*(1+(Inputs!$B$34+(ArtifactsInput!$M$7-ArtifactsInput!$M$7)*CHOOSE(ArtifactsInput!$N$7+1,6,7.2,8.4,9.6,10.8,12))/100)),15)/15,(Skills!T19*(1+(Inputs!$B$34+(ArtifactsInput!$M$7-ArtifactsInput!$M$7)*CHOOSE(ArtifactsInput!$N$7+1,6,7.2,8.4,9.6,10.8,12))/100))/Skills!D19)))</f>
        <v/>
      </c>
    </row>
    <row r="2328">
      <c r="A2328" t="inlineStr">
        <is>
          <t>Actions Per Second</t>
        </is>
      </c>
      <c r="B2328">
        <f>1+MIN(150,150*(1-(1-(Inputs!$B$11+((C2317=TRUE)*(F2317-Calc!F20)))/150)*(1-B2327/150)))/100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Raging Blow Casts Per Second</t>
        </is>
      </c>
      <c r="B2330">
        <f>MAX(0,B2328-B2329)</f>
        <v/>
      </c>
    </row>
    <row r="2331">
      <c r="A2331" t="inlineStr">
        <is>
          <t>Global Critical Damage Bonus % (Enrage)</t>
        </is>
      </c>
      <c r="B2331">
        <f>((C2315=TRUE)*F2315*IF(AND(Inputs!$B$38&lt;&gt;"pvp",Inputs!$B$43&gt;0),(((R2315-1)*(Skills!T18*(1+(Inputs!$B$34+(ArtifactsInput!$M$7-ArtifactsInput!$M$7)*CHOOSE(ArtifactsInput!$N$7+1,6,7.2,8.4,9.6,10.8,12))/100))+MIN((Skills!T18*(1+(Inputs!$B$34+(ArtifactsInput!$M$7-ArtifactsInput!$M$7)*CHOOSE(ArtifactsInput!$N$7+1,6,7.2,8.4,9.6,10.8,12))/100)),MAX(0,Inputs!$B$43-((R2315-1)*Skills!D18))))/Inputs!$B$43),IF(Inputs!$B$38="pvp",MIN((Skills!T18*(1+(Inputs!$B$34+(ArtifactsInput!$M$7-ArtifactsInput!$M$7)*CHOOSE(ArtifactsInput!$N$7+1,6,7.2,8.4,9.6,10.8,12))/100)),15)/15,(Skills!T18*(1+(Inputs!$B$34+(ArtifactsInput!$M$7-ArtifactsInput!$M$7)*CHOOSE(ArtifactsInput!$N$7+1,6,7.2,8.4,9.6,10.8,12))/100))/Skills!D18)))</f>
        <v/>
      </c>
    </row>
    <row r="2332">
      <c r="A2332" t="inlineStr">
        <is>
          <t>Global Final Damage Bonus % (Enrage + Combo Synergy)</t>
        </is>
      </c>
      <c r="B2332">
        <f>((C2314=TRUE)*F2314*IF(AND(Inputs!$B$38&lt;&gt;"pvp",Inputs!$B$43&gt;0),(((R2314-1)*(Skills!T17*(1+(Inputs!$B$34+(ArtifactsInput!$M$7-ArtifactsInput!$M$7)*CHOOSE(ArtifactsInput!$N$7+1,6,7.2,8.4,9.6,10.8,12))/100))+MIN((Skills!T17*(1+(Inputs!$B$34+(ArtifactsInput!$M$7-ArtifactsInput!$M$7)*CHOOSE(ArtifactsInput!$N$7+1,6,7.2,8.4,9.6,10.8,12))/100)),MAX(0,Inputs!$B$43-((R2314-1)*Skills!D17))))/Inputs!$B$43),IF(Inputs!$B$38="pvp",MIN((Skills!T17*(1+(Inputs!$B$34+(ArtifactsInput!$M$7-ArtifactsInput!$M$7)*CHOOSE(ArtifactsInput!$N$7+1,6,7.2,8.4,9.6,10.8,12))/100)),15)/15,(Skills!T17*(1+(Inputs!$B$34+(ArtifactsInput!$M$7-ArtifactsInput!$M$7)*CHOOSE(ArtifactsInput!$N$7+1,6,7.2,8.4,9.6,10.8,12))/100))/Skills!D17)))+((C2311=TRUE)*F2311*IF(Inputs!$B$3&gt;=110,7,5))</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2341)</f>
        <v/>
      </c>
      <c r="L2341">
        <f>K2341*(MIN(Inputs!$B$22+((C2361=TRUE)*(F2361-Calc!F22)),(Inputs!$B$23+((C2363=TRUE)*(F2363-Calc!F24))+(IF(ArtifactsInput!$M$15,CHOOSE(ArtifactsInput!$N$15+1,25,30,35,40,45,50)/100*(Inputs!$B$11-Inputs!$B$11),0))))/100+(Inputs!$B$23+((C2363=TRUE)*(F2363-Calc!F24))+(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INDEX(FactorTable!$B$2:$Y$301, MATCH(ROUND(MIN(300,MAX(1,D2342)),0),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INDEX(FactorTable!$B$2:$Y$301, MATCH(ROUND(MIN(300,MAX(1,U2341)),0), FactorTable!$A$2:$A$301,0), 22)</f>
        <v/>
      </c>
    </row>
    <row r="2343">
      <c r="A2343">
        <f>Skills!A4</f>
        <v/>
      </c>
      <c r="B2343">
        <f>Skills!B4</f>
        <v/>
      </c>
      <c r="C2343">
        <f>Inputs!$B$3&gt;=105</f>
        <v/>
      </c>
      <c r="D2343">
        <f>IF(Skills!C4=1,60+Inputs!$B$25+Inputs!$B$29,IF(Skills!C4=2,90+Inputs!$B$26+Inputs!$B$29,IF(Skills!C4=3,120+Inputs!$B$27+Inputs!$B$29,MAX(0,(Inputs!$B$3-100)*3)+Inputs!$B$28+Inputs!$B$29)))</f>
        <v/>
      </c>
      <c r="E2343">
        <f>INDEX(FactorTable!$B$2:$Y$301, MATCH(ROUND(MIN(300,MAX(1,D2343)),0), FactorTable!$A$2:$A$301,0), Skills!M4+1)</f>
        <v/>
      </c>
      <c r="F2343">
        <f>IF(Skills!N4=TRUE,(Skills!L4/10)*(E2343/1000),Skills!L4/10)+Skills!O4</f>
        <v/>
      </c>
      <c r="G2343" t="inlineStr"/>
      <c r="H2343" t="inlineStr"/>
      <c r="I2343" t="inlineStr">
        <is>
          <t>1</t>
        </is>
      </c>
      <c r="J2343" t="inlineStr"/>
      <c r="K2343" t="inlineStr"/>
      <c r="L2343" t="inlineStr"/>
      <c r="M2343" t="inlineStr"/>
      <c r="N2343" t="inlineStr"/>
      <c r="O2343" t="inlineStr"/>
      <c r="P2343" t="inlineStr"/>
      <c r="Q2343" t="inlineStr"/>
      <c r="R2343" t="inlineStr"/>
      <c r="S2343" t="inlineStr"/>
      <c r="U2343">
        <f>290*U2342/1000</f>
        <v/>
      </c>
    </row>
    <row r="2344">
      <c r="A2344">
        <f>Skills!A5</f>
        <v/>
      </c>
      <c r="B2344">
        <f>Skills!B5</f>
        <v/>
      </c>
      <c r="C2344">
        <f>Inputs!$B$3&gt;=103</f>
        <v/>
      </c>
      <c r="D2344">
        <f>IF(Skills!C5=1,60+Inputs!$B$25+Inputs!$B$29,IF(Skills!C5=2,90+Inputs!$B$26+Inputs!$B$29,IF(Skills!C5=3,120+Inputs!$B$27+Inputs!$B$29,MAX(0,(Inputs!$B$3-100)*3)+Inputs!$B$28+Inputs!$B$29)))</f>
        <v/>
      </c>
      <c r="E2344">
        <f>INDEX(FactorTable!$B$2:$Y$301, MATCH(ROUND(MIN(300,MAX(1,D2344)),0), FactorTable!$A$2:$A$301,0), Skills!M5+1)</f>
        <v/>
      </c>
      <c r="F2344">
        <f>IF(Skills!N5=TRUE,(Skills!L5/10)*(E2344/1000),Skills!L5/10)+Skills!O5</f>
        <v/>
      </c>
      <c r="G2344">
        <f>Skills!G5*IF(Skills!H5&gt;0,Skills!I5/Skills!H5,1)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2344)</f>
        <v/>
      </c>
      <c r="L2344">
        <f>K2344*(MIN(Inputs!$B$22+((C2361=TRUE)*(F2361-Calc!F22)),(Inputs!$B$23+((C2363=TRUE)*(F2363-Calc!F24))+(IF(ArtifactsInput!$M$15,CHOOSE(ArtifactsInput!$N$15+1,25,30,35,40,45,50)/100*(Inputs!$B$11-Inputs!$B$11),0))))/100+(Inputs!$B$23+((C2363=TRUE)*(F2363-Calc!F24))+(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IFERROR(1/(IF(Inputs!$B$38="pvp",15,MAX(0.1,Skills!D5-IF(Skills!E5=TRUE,Inputs!$B$32,0)))*(1-IF(AND(ArtifactsInput!$M$27,Inputs!$B$4="Chapter Hunt"),CHOOSE(ArtifactsInput!$N$27+1,20,24,28,32,36,40),0)/100)),0)</f>
        <v/>
      </c>
      <c r="R2344">
        <f>IF(AND(Inputs!$B$38&lt;&gt;"pvp",Inputs!$B$43&gt;0),IF(MAX(0,Inputs!$B$43-B2375)&lt;=0,0,(INT(MAX(0,Inputs!$B$43-B2375)/(IF(Inputs!$B$38="pvp",15,MAX(0.1,Skills!D5-IF(Skills!E5=TRUE,Inputs!$B$32,0)))*(1-IF(AND(ArtifactsInput!$M$27,Inputs!$B$4="Chapter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INDEX(FactorTable!$B$2:$Y$301, MATCH(ROUND(MIN(300,MAX(1,D2345)),0), FactorTable!$A$2:$A$301,0), Skills!M6+1)</f>
        <v/>
      </c>
      <c r="F2345">
        <f>IF(Skills!N6=TRUE,(Skills!L6/10)*(E2345/1000),Skills!L6/10)+Skills!O6</f>
        <v/>
      </c>
      <c r="G2345">
        <f>Skills!G6*IF(Skills!H6&gt;0,Skills!I6/Skills!H6,1)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2345)</f>
        <v/>
      </c>
      <c r="L2345">
        <f>K2345*(MIN(Inputs!$B$22+((C2361=TRUE)*(F2361-Calc!F22)),(Inputs!$B$23+((C2363=TRUE)*(F2363-Calc!F24))+(IF(ArtifactsInput!$M$15,CHOOSE(ArtifactsInput!$N$15+1,25,30,35,40,45,50)/100*(Inputs!$B$11-Inputs!$B$11),0))))/100+(Inputs!$B$23+((C2363=TRUE)*(F2363-Calc!F24))+(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IFERROR(1/(IF(Inputs!$B$38="pvp",15,MAX(0.1,Skills!D6-IF(Skills!E6=TRUE,Inputs!$B$32,0)))*(1-IF(AND(ArtifactsInput!$M$27,Inputs!$B$4="Chapter Hunt"),CHOOSE(ArtifactsInput!$N$27+1,20,24,28,32,36,40),0)/100)),0)</f>
        <v/>
      </c>
      <c r="R2345">
        <f>IF(AND(Inputs!$B$38&lt;&gt;"pvp",Inputs!$B$43&gt;0),IF(MAX(0,Inputs!$B$43-B2375)&lt;=0,0,(INT(MAX(0,Inputs!$B$43-B2375)/(IF(Inputs!$B$38="pvp",15,MAX(0.1,Skills!D6-IF(Skills!E6=TRUE,Inputs!$B$32,0)))*(1-IF(AND(ArtifactsInput!$M$27,Inputs!$B$4="Chapter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INDEX(FactorTable!$B$2:$Y$301, MATCH(ROUND(MIN(300,MAX(1,D2346)),0), FactorTable!$A$2:$A$301,0), Skills!M7+1)</f>
        <v/>
      </c>
      <c r="F2346">
        <f>IF(Skills!N7=TRUE,(Skills!L7/10)*(E2346/1000),Skills!L7/10)+Skills!O7</f>
        <v/>
      </c>
      <c r="G2346">
        <f>Skills!G7*IF(Skills!H7&gt;0,Skills!I7/Skills!H7,1)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2346)</f>
        <v/>
      </c>
      <c r="L2346">
        <f>K2346*(MIN(Inputs!$B$22+((C2361=TRUE)*(F2361-Calc!F22)),(Inputs!$B$23+((C2363=TRUE)*(F2363-Calc!F24))+(IF(ArtifactsInput!$M$15,CHOOSE(ArtifactsInput!$N$15+1,25,30,35,40,45,50)/100*(Inputs!$B$11-Inputs!$B$11),0))))/100+(Inputs!$B$23+((C2363=TRUE)*(F2363-Calc!F24))+(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IFERROR(1/(IF(Inputs!$B$38="pvp",15,MAX(0.1,Skills!D7-IF(Skills!E7=TRUE,Inputs!$B$32,0)))*(1-IF(AND(ArtifactsInput!$M$27,Inputs!$B$4="Chapter Hunt"),CHOOSE(ArtifactsInput!$N$27+1,20,24,28,32,36,40),0)/100)),0)</f>
        <v/>
      </c>
      <c r="R2346">
        <f>IF(AND(Inputs!$B$38&lt;&gt;"pvp",Inputs!$B$43&gt;0),IF(MAX(0,Inputs!$B$43-B2375)&lt;=0,0,(INT(MAX(0,Inputs!$B$43-B2375)/(IF(Inputs!$B$38="pvp",15,MAX(0.1,Skills!D7-IF(Skills!E7=TRUE,Inputs!$B$32,0)))*(1-IF(AND(ArtifactsInput!$M$27,Inputs!$B$4="Chapter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Inputs!$B$3&gt;=117</f>
        <v/>
      </c>
      <c r="D2347">
        <f>IF(Skills!C8=1,60+Inputs!$B$25+Inputs!$B$29,IF(Skills!C8=2,90+Inputs!$B$26+Inputs!$B$29,IF(Skills!C8=3,120+Inputs!$B$27+Inputs!$B$29,MAX(0,(Inputs!$B$3-100)*3)+Inputs!$B$28+Inputs!$B$29)))</f>
        <v/>
      </c>
      <c r="E2347">
        <f>INDEX(FactorTable!$B$2:$Y$301, MATCH(ROUND(MIN(300,MAX(1,D2347)),0), FactorTable!$A$2:$A$301,0), Skills!M8+1)</f>
        <v/>
      </c>
      <c r="F2347">
        <f>IF(Skills!N8=TRUE,(Skills!L8/10)*(E2347/1000),Skills!L8/10)+Skills!O8</f>
        <v/>
      </c>
      <c r="G2347">
        <f>Skills!G8*IF(Skills!H8&gt;0,Skills!I8/Skills!H8,1)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2347)</f>
        <v/>
      </c>
      <c r="L2347">
        <f>K2347*(MIN(Inputs!$B$22+((C2361=TRUE)*(F2361-Calc!F22)),(Inputs!$B$23+((C2363=TRUE)*(F2363-Calc!F24))+(IF(ArtifactsInput!$M$15,CHOOSE(ArtifactsInput!$N$15+1,25,30,35,40,45,50)/100*(Inputs!$B$11-Inputs!$B$11),0))))/100+(Inputs!$B$23+((C2363=TRUE)*(F2363-Calc!F24))+(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IFERROR(1/(IF(Inputs!$B$38="pvp",15,MAX(0.1,Skills!D8-IF(Skills!E8=TRUE,Inputs!$B$32,0)))*(1-IF(AND(ArtifactsInput!$M$27,Inputs!$B$4="Chapter Hunt"),CHOOSE(ArtifactsInput!$N$27+1,20,24,28,32,36,40),0)/100)),0)</f>
        <v/>
      </c>
      <c r="R2347">
        <f>IF(AND(Inputs!$B$38&lt;&gt;"pvp",Inputs!$B$43&gt;0),IF(MAX(0,Inputs!$B$43-B2375)&lt;=0,0,(INT(MAX(0,Inputs!$B$43-B2375)/(IF(Inputs!$B$38="pvp",15,MAX(0.1,Skills!D8-IF(Skills!E8=TRUE,Inputs!$B$32,0)))*(1-IF(AND(ArtifactsInput!$M$27,Inputs!$B$4="Chapter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Inputs!$B$3&gt;=69</f>
        <v/>
      </c>
      <c r="D2348">
        <f>IF(Skills!C9=1,60+Inputs!$B$25+Inputs!$B$29,IF(Skills!C9=2,90+Inputs!$B$26+Inputs!$B$29,IF(Skills!C9=3,120+Inputs!$B$27+Inputs!$B$29,MAX(0,(Inputs!$B$3-100)*3)+Inputs!$B$28+Inputs!$B$29)))</f>
        <v/>
      </c>
      <c r="E2348">
        <f>INDEX(FactorTable!$B$2:$Y$301, MATCH(ROUND(MIN(300,MAX(1,D2348)),0), FactorTable!$A$2:$A$301,0), Skills!M9+1)</f>
        <v/>
      </c>
      <c r="F2348">
        <f>IF(Skills!N9=TRUE,(Skills!L9/10)*(E2348/1000),Skills!L9/10)+Skills!O9</f>
        <v/>
      </c>
      <c r="G2348">
        <f>Skills!G9*IF(Skills!H9&gt;0,Skills!I9/Skills!H9,1)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9="ENHANCED_RAGING_BLOW",IF(Inputs!$B$3&gt;=134,MAX(0,IF(Inputs!$B$3&gt;=110,7,5)-5)*50,0),0)/100)*(1+(IF(Skills!A9="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2348)</f>
        <v/>
      </c>
      <c r="L2348">
        <f>K2348*(MIN(Inputs!$B$22+((C2361=TRUE)*(F2361-Calc!F22)),(Inputs!$B$23+((C2363=TRUE)*(F2363-Calc!F24))+(IF(ArtifactsInput!$M$15,CHOOSE(ArtifactsInput!$N$15+1,25,30,35,40,45,50)/100*(Inputs!$B$11-Inputs!$B$11),0))))/100+(Inputs!$B$23+((C2363=TRUE)*(F2363-Calc!F24))+(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IFERROR(1/(IF(Inputs!$B$38="pvp",15,MAX(0.1,Skills!D9-IF(Skills!E9=TRUE,Inputs!$B$32,0)))*(1-IF(AND(ArtifactsInput!$M$27,Inputs!$B$4="Chapter Hunt"),CHOOSE(ArtifactsInput!$N$27+1,20,24,28,32,36,40),0)/100)),0)</f>
        <v/>
      </c>
      <c r="R2348">
        <f>IF(AND(Inputs!$B$38&lt;&gt;"pvp",Inputs!$B$43&gt;0),IF(MAX(0,Inputs!$B$43-B2375)&lt;=0,0,(INT(MAX(0,Inputs!$B$43-B2375)/(IF(Inputs!$B$38="pvp",15,MAX(0.1,Skills!D9-IF(Skills!E9=TRUE,Inputs!$B$32,0)))*(1-IF(AND(ArtifactsInput!$M$27,Inputs!$B$4="Chapter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Inputs!$B$3&gt;=63</f>
        <v/>
      </c>
      <c r="D2349">
        <f>IF(Skills!C10=1,60+Inputs!$B$25+Inputs!$B$29,IF(Skills!C10=2,90+Inputs!$B$26+Inputs!$B$29,IF(Skills!C10=3,120+Inputs!$B$27+Inputs!$B$29,MAX(0,(Inputs!$B$3-100)*3)+Inputs!$B$28+Inputs!$B$29)))</f>
        <v/>
      </c>
      <c r="E2349">
        <f>INDEX(FactorTable!$B$2:$Y$301, MATCH(ROUND(MIN(300,MAX(1,D2349)),0), FactorTable!$A$2:$A$301,0), Skills!M10+1)</f>
        <v/>
      </c>
      <c r="F2349">
        <f>IF(Skills!N10=TRUE,(Skills!L10/10)*(E2349/1000),Skills!L10/10)+Skills!O10</f>
        <v/>
      </c>
      <c r="G2349">
        <f>Skills!G10*IF(Skills!H10&gt;0,Skills!I10/Skills!H10,1)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10="ENHANCED_RAGING_BLOW",IF(Inputs!$B$3&gt;=134,MAX(0,IF(Inputs!$B$3&gt;=110,7,5)-5)*50,0),0)/100)*(1+(IF(Skills!A10="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2349)</f>
        <v/>
      </c>
      <c r="L2349">
        <f>K2349*(MIN(Inputs!$B$22+((C2361=TRUE)*(F2361-Calc!F22)),(Inputs!$B$23+((C2363=TRUE)*(F2363-Calc!F24))+(IF(ArtifactsInput!$M$15,CHOOSE(ArtifactsInput!$N$15+1,25,30,35,40,45,50)/100*(Inputs!$B$11-Inputs!$B$11),0))))/100+(Inputs!$B$23+((C2363=TRUE)*(F2363-Calc!F24))+(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IFERROR(1/(IF(Inputs!$B$38="pvp",15,MAX(0.1,Skills!D10-IF(Skills!E10=TRUE,Inputs!$B$32,0)))*(1-IF(AND(ArtifactsInput!$M$27,Inputs!$B$4="Chapter Hunt"),CHOOSE(ArtifactsInput!$N$27+1,20,24,28,32,36,40),0)/100)),0)</f>
        <v/>
      </c>
      <c r="R2349">
        <f>IF(AND(Inputs!$B$38&lt;&gt;"pvp",Inputs!$B$43&gt;0),IF(MAX(0,Inputs!$B$43-B2375)&lt;=0,0,(INT(MAX(0,Inputs!$B$43-B2375)/(IF(Inputs!$B$38="pvp",15,MAX(0.1,Skills!D10-IF(Skills!E10=TRUE,Inputs!$B$32,0)))*(1-IF(AND(ArtifactsInput!$M$27,Inputs!$B$4="Chapter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Inputs!$B$3&gt;=35</f>
        <v/>
      </c>
      <c r="D2350">
        <f>IF(Skills!C11=1,60+Inputs!$B$25+Inputs!$B$29,IF(Skills!C11=2,90+Inputs!$B$26+Inputs!$B$29,IF(Skills!C11=3,120+Inputs!$B$27+Inputs!$B$29,MAX(0,(Inputs!$B$3-100)*3)+Inputs!$B$28+Inputs!$B$29)))</f>
        <v/>
      </c>
      <c r="E2350">
        <f>INDEX(FactorTable!$B$2:$Y$301, MATCH(ROUND(MIN(300,MAX(1,D2350)),0), FactorTable!$A$2:$A$301,0), Skills!M11+1)</f>
        <v/>
      </c>
      <c r="F2350">
        <f>IF(Skills!N11=TRUE,(Skills!L11/10)*(E2350/1000),Skills!L11/10)+Skills!O11</f>
        <v/>
      </c>
      <c r="G2350">
        <f>Skills!G11*IF(Skills!H11&gt;0,Skills!I11/Skills!H11,1)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11="ENHANCED_RAGING_BLOW",IF(Inputs!$B$3&gt;=134,MAX(0,IF(Inputs!$B$3&gt;=110,7,5)-5)*50,0),0)/100)*(1+(IF(Skills!A11="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2350)</f>
        <v/>
      </c>
      <c r="L2350">
        <f>K2350*(MIN(Inputs!$B$22+((C2361=TRUE)*(F2361-Calc!F22)),(Inputs!$B$23+((C2363=TRUE)*(F2363-Calc!F24))+(IF(ArtifactsInput!$M$15,CHOOSE(ArtifactsInput!$N$15+1,25,30,35,40,45,50)/100*(Inputs!$B$11-Inputs!$B$11),0))))/100+(Inputs!$B$23+((C2363=TRUE)*(F2363-Calc!F24))+(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IFERROR(1/(IF(Inputs!$B$38="pvp",15,MAX(0.1,Skills!D11-IF(Skills!E11=TRUE,Inputs!$B$32,0)))*(1-IF(AND(ArtifactsInput!$M$27,Inputs!$B$4="Chapter Hunt"),CHOOSE(ArtifactsInput!$N$27+1,20,24,28,32,36,40),0)/100)),0)</f>
        <v/>
      </c>
      <c r="R2350">
        <f>IF(AND(Inputs!$B$38&lt;&gt;"pvp",Inputs!$B$43&gt;0),IF(MAX(0,Inputs!$B$43-B2375)&lt;=0,0,(INT(MAX(0,Inputs!$B$43-B2375)/(IF(Inputs!$B$38="pvp",15,MAX(0.1,Skills!D11-IF(Skills!E11=TRUE,Inputs!$B$32,0)))*(1-IF(AND(ArtifactsInput!$M$27,Inputs!$B$4="Chapter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INDEX(FactorTable!$B$2:$Y$301, MATCH(ROUND(MIN(300,MAX(1,D2351)),0),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INDEX(FactorTable!$B$2:$Y$301, MATCH(ROUND(MIN(300,MAX(1,D2352)),0), FactorTable!$A$2:$A$301,0), Skills!M13+1)</f>
        <v/>
      </c>
      <c r="F2352">
        <f>IF(Skills!N13=TRUE,(Skills!L13/10)*(E2352/1000),Skills!L13/10)+Skills!O13</f>
        <v/>
      </c>
      <c r="G2352">
        <f>Skills!G13*IF(Skills!H13&gt;0,Skills!I13/Skills!H13,1)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Inputs!$B$3&gt;=75</f>
        <v/>
      </c>
      <c r="D2353">
        <f>IF(Skills!C14=1,60+Inputs!$B$25+Inputs!$B$29,IF(Skills!C14=2,90+Inputs!$B$26+Inputs!$B$29,IF(Skills!C14=3,120+Inputs!$B$27+Inputs!$B$29,MAX(0,(Inputs!$B$3-100)*3)+Inputs!$B$28+Inputs!$B$29)))</f>
        <v/>
      </c>
      <c r="E2353">
        <f>INDEX(FactorTable!$B$2:$Y$301, MATCH(ROUND(MIN(300,MAX(1,D2353)),0), FactorTable!$A$2:$A$301,0), Skills!M14+1)</f>
        <v/>
      </c>
      <c r="F2353">
        <f>IF(Skills!N14=TRUE,(Skills!L14/10)*(E2353/1000),Skills!L14/10)+Skills!O14</f>
        <v/>
      </c>
      <c r="G2353">
        <f>Skills!G14*IF(Skills!H14&gt;0,Skills!I14/Skills!H14,1)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Inputs!$B$3&gt;=40</f>
        <v/>
      </c>
      <c r="D2354">
        <f>IF(Skills!C15=1,60+Inputs!$B$25+Inputs!$B$29,IF(Skills!C15=2,90+Inputs!$B$26+Inputs!$B$29,IF(Skills!C15=3,120+Inputs!$B$27+Inputs!$B$29,MAX(0,(Inputs!$B$3-100)*3)+Inputs!$B$28+Inputs!$B$29)))</f>
        <v/>
      </c>
      <c r="E2354">
        <f>INDEX(FactorTable!$B$2:$Y$301, MATCH(ROUND(MIN(300,MAX(1,D2354)),0), FactorTable!$A$2:$A$301,0), Skills!M15+1)</f>
        <v/>
      </c>
      <c r="F2354">
        <f>IF(Skills!N15=TRUE,(Skills!L15/10)*(E2354/1000),Skills!L15/10)+Skills!O15</f>
        <v/>
      </c>
      <c r="G2354">
        <f>Skills!G15*IF(Skills!H15&gt;0,Skills!I15/Skills!H15,1)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IFERROR(1/(IF(Inputs!$B$38="pvp",15,MAX(0.1,Skills!D15-IF(Skills!E15=TRUE,Inputs!$B$32,0)))*(1-IF(AND(ArtifactsInput!$M$27,Inputs!$B$4="Chapter Hunt"),CHOOSE(ArtifactsInput!$N$27+1,20,24,28,32,36,40),0)/100)),0)</f>
        <v/>
      </c>
      <c r="R2354">
        <f>IF(AND(Inputs!$B$38&lt;&gt;"pvp",Inputs!$B$43&gt;0),IF(Inputs!$B$43&lt;=0,0,(INT(Inputs!$B$43/(IF(Inputs!$B$38="pvp",15,MAX(0.1,Skills!D15-IF(Skills!E15=TRUE,Inputs!$B$32,0)))*(1-IF(AND(ArtifactsInput!$M$27,Inputs!$B$4="Chapter Hunt"),CHOOSE(ArtifactsInput!$N$27+1,20,24,28,32,36,40),0)/100)))+1)),0)</f>
        <v/>
      </c>
      <c r="S2354">
        <f>IFERROR(O2354/N2354,0)</f>
        <v/>
      </c>
      <c r="T2354" t="n">
        <v>0</v>
      </c>
      <c r="V2354" t="n">
        <v>0</v>
      </c>
    </row>
    <row r="2355">
      <c r="A2355">
        <f>Skills!A16</f>
        <v/>
      </c>
      <c r="B2355">
        <f>Skills!B16</f>
        <v/>
      </c>
      <c r="C2355">
        <f>Inputs!$B$3&gt;=66</f>
        <v/>
      </c>
      <c r="D2355">
        <f>IF(Skills!C16=1,60+Inputs!$B$25+Inputs!$B$29,IF(Skills!C16=2,90+Inputs!$B$26+Inputs!$B$29,IF(Skills!C16=3,120+Inputs!$B$27+Inputs!$B$29,MAX(0,(Inputs!$B$3-100)*3)+Inputs!$B$28+Inputs!$B$29)))</f>
        <v/>
      </c>
      <c r="E2355">
        <f>INDEX(FactorTable!$B$2:$Y$301, MATCH(ROUND(MIN(300,MAX(1,D2355)),0), FactorTable!$A$2:$A$301,0), Skills!M16+1)</f>
        <v/>
      </c>
      <c r="F2355">
        <f>IF(Skills!N16=TRUE,(Skills!L16/10)*(E2355/1000),Skills!L16/10)+Skills!O16</f>
        <v/>
      </c>
      <c r="G2355">
        <f>Skills!G16*IF(Skills!H16&gt;0,Skills!I16/Skills!H16,1)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IFERROR(1/(IF(Inputs!$B$38="pvp",15,MAX(0.1,Skills!D16-IF(Skills!E16=TRUE,Inputs!$B$32,0)))*(1-IF(AND(ArtifactsInput!$M$27,Inputs!$B$4="Chapter Hunt"),CHOOSE(ArtifactsInput!$N$27+1,20,24,28,32,36,40),0)/100)),0)</f>
        <v/>
      </c>
      <c r="R2355">
        <f>IF(AND(Inputs!$B$38&lt;&gt;"pvp",Inputs!$B$43&gt;0),IF(Inputs!$B$43&lt;=0,0,(INT(Inputs!$B$43/(IF(Inputs!$B$38="pvp",15,MAX(0.1,Skills!D16-IF(Skills!E16=TRUE,Inputs!$B$32,0)))*(1-IF(AND(ArtifactsInput!$M$27,Inputs!$B$4="Chapter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INDEX(FactorTable!$B$2:$Y$301, MATCH(ROUND(MIN(300,MAX(1,D2356)),0), FactorTable!$A$2:$A$301,0), Skills!M17+1)</f>
        <v/>
      </c>
      <c r="F2356">
        <f>IF(Skills!N17=TRUE,(Skills!L17/10)*(E2356/1000),Skills!L17/10)+Skills!O17</f>
        <v/>
      </c>
      <c r="G2356">
        <f>Skills!G17*IF(Skills!H17&gt;0,Skills!I17/Skills!H17,1)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IFERROR(1/(IF(Inputs!$B$38="pvp",15,MAX(0.1,Skills!D17-IF(Skills!E17=TRUE,Inputs!$B$32,0)))*(1-IF(AND(ArtifactsInput!$M$27,Inputs!$B$4="Chapter Hunt"),CHOOSE(ArtifactsInput!$N$27+1,20,24,28,32,36,40),0)/100)),0)</f>
        <v/>
      </c>
      <c r="R2356">
        <f>IF(AND(Inputs!$B$38&lt;&gt;"pvp",Inputs!$B$43&gt;0),IF(Inputs!$B$43&lt;=0,0,(INT(Inputs!$B$43/(IF(Inputs!$B$38="pvp",15,MAX(0.1,Skills!D17-IF(Skills!E17=TRUE,Inputs!$B$32,0)))*(1-IF(AND(ArtifactsInput!$M$27,Inputs!$B$4="Chapter Hunt"),CHOOSE(ArtifactsInput!$N$27+1,20,24,28,32,36,40),0)/100)))+1)),0)</f>
        <v/>
      </c>
      <c r="S2356">
        <f>IFERROR(O2356/N2356,0)</f>
        <v/>
      </c>
      <c r="T2356" t="n">
        <v>0</v>
      </c>
      <c r="V2356" t="n">
        <v>0</v>
      </c>
    </row>
    <row r="2357">
      <c r="A2357">
        <f>Skills!A18</f>
        <v/>
      </c>
      <c r="B2357">
        <f>Skills!B18</f>
        <v/>
      </c>
      <c r="C2357">
        <f>Inputs!$B$3&gt;=115</f>
        <v/>
      </c>
      <c r="D2357">
        <f>IF(Skills!C18=1,60+Inputs!$B$25+Inputs!$B$29,IF(Skills!C18=2,90+Inputs!$B$26+Inputs!$B$29,IF(Skills!C18=3,120+Inputs!$B$27+Inputs!$B$29,MAX(0,(Inputs!$B$3-100)*3)+Inputs!$B$28+Inputs!$B$29)))</f>
        <v/>
      </c>
      <c r="E2357">
        <f>INDEX(FactorTable!$B$2:$Y$301, MATCH(ROUND(MIN(300,MAX(1,D2357)),0), FactorTable!$A$2:$A$301,0), Skills!M18+1)</f>
        <v/>
      </c>
      <c r="F2357">
        <f>IF(Skills!N18=TRUE,(Skills!L18/10)*(E2357/1000),Skills!L18/10)+Skills!O18</f>
        <v/>
      </c>
      <c r="G2357">
        <f>Skills!G18*IF(Skills!H18&gt;0,Skills!I18/Skills!H18,1)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IFERROR(1/(IF(Inputs!$B$38="pvp",15,MAX(0.1,Skills!D18-IF(Skills!E18=TRUE,Inputs!$B$32,0)))*(1-IF(AND(ArtifactsInput!$M$27,Inputs!$B$4="Chapter Hunt"),CHOOSE(ArtifactsInput!$N$27+1,20,24,28,32,36,40),0)/100)),0)</f>
        <v/>
      </c>
      <c r="R2357">
        <f>IF(AND(Inputs!$B$38&lt;&gt;"pvp",Inputs!$B$43&gt;0),IF(Inputs!$B$43&lt;=0,0,(INT(Inputs!$B$43/(IF(Inputs!$B$38="pvp",15,MAX(0.1,Skills!D18-IF(Skills!E18=TRUE,Inputs!$B$32,0)))*(1-IF(AND(ArtifactsInput!$M$27,Inputs!$B$4="Chapter Hunt"),CHOOSE(ArtifactsInput!$N$27+1,20,24,28,32,36,40),0)/100)))+1)),0)</f>
        <v/>
      </c>
      <c r="S2357">
        <f>IFERROR(O2357/N2357,0)</f>
        <v/>
      </c>
      <c r="T2357" t="n">
        <v>0</v>
      </c>
      <c r="V2357" t="n">
        <v>0</v>
      </c>
    </row>
    <row r="2358">
      <c r="A2358">
        <f>Skills!A19</f>
        <v/>
      </c>
      <c r="B2358">
        <f>Skills!B19</f>
        <v/>
      </c>
      <c r="C2358">
        <f>TRUE</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IFERROR(1/(IF(Inputs!$B$38="pvp",15,MAX(0.1,Skills!D19-IF(Skills!E19=TRUE,Inputs!$B$32,0)))*(1-IF(AND(ArtifactsInput!$M$27,Inputs!$B$4="Chapter Hunt"),CHOOSE(ArtifactsInput!$N$27+1,20,24,28,32,36,40),0)/100)),0)</f>
        <v/>
      </c>
      <c r="R2358">
        <f>IF(AND(Inputs!$B$38&lt;&gt;"pvp",Inputs!$B$43&gt;0),IF(Inputs!$B$43&lt;=0,0,(INT(Inputs!$B$43/(IF(Inputs!$B$38="pvp",15,MAX(0.1,Skills!D19-IF(Skills!E19=TRUE,Inputs!$B$32,0)))*(1-IF(AND(ArtifactsInput!$M$27,Inputs!$B$4="Chapter Hunt"),CHOOSE(ArtifactsInput!$N$27+1,20,24,28,32,36,40),0)/100)))+1)),0)</f>
        <v/>
      </c>
      <c r="S2358">
        <f>IFERROR(O2358/N2358,0)</f>
        <v/>
      </c>
      <c r="T2358" t="n">
        <v>0</v>
      </c>
      <c r="V2358" t="n">
        <v>0</v>
      </c>
    </row>
    <row r="2359">
      <c r="A2359">
        <f>Skills!A20</f>
        <v/>
      </c>
      <c r="B2359">
        <f>Skills!B20</f>
        <v/>
      </c>
      <c r="C2359">
        <f>Inputs!$B$3&gt;=33</f>
        <v/>
      </c>
      <c r="D2359">
        <f>IF(Skills!C20=1,60+Inputs!$B$25+Inputs!$B$29,IF(Skills!C20=2,90+Inputs!$B$26+Inputs!$B$29,IF(Skills!C20=3,120+Inputs!$B$27+Inputs!$B$29,MAX(0,(Inputs!$B$3-100)*3)+Inputs!$B$28+Inputs!$B$29)))</f>
        <v/>
      </c>
      <c r="E2359">
        <f>INDEX(FactorTable!$B$2:$Y$301, MATCH(ROUND(MIN(300,MAX(1,D2359)),0), FactorTable!$A$2:$A$301,0), Skills!M20+1)</f>
        <v/>
      </c>
      <c r="F2359">
        <f>IF(Skills!N20=TRUE,(Skills!L20/10)*(E2359/1000),Skills!L20/10)+Skills!O20</f>
        <v/>
      </c>
      <c r="G2359">
        <f>Skills!G20*IF(Skills!H20&gt;0,Skills!I20/Skills!H20,1)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Inputs!$B$3&gt;=38</f>
        <v/>
      </c>
      <c r="D2360">
        <f>IF(Skills!C21=1,60+Inputs!$B$25+Inputs!$B$29,IF(Skills!C21=2,90+Inputs!$B$26+Inputs!$B$29,IF(Skills!C21=3,120+Inputs!$B$27+Inputs!$B$29,MAX(0,(Inputs!$B$3-100)*3)+Inputs!$B$28+Inputs!$B$29)))</f>
        <v/>
      </c>
      <c r="E2360">
        <f>INDEX(FactorTable!$B$2:$Y$301, MATCH(ROUND(MIN(300,MAX(1,D2360)),0), FactorTable!$A$2:$A$301,0), Skills!M21+1)</f>
        <v/>
      </c>
      <c r="F2360">
        <f>IF(Skills!N21=TRUE,(Skills!L21/10)*(E2360/1000),Skills!L21/10)+Skills!O21</f>
        <v/>
      </c>
      <c r="G2360">
        <f>Skills!G21*IF(Skills!H21&gt;0,Skills!I21/Skills!H21,1)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t="n">
        <v>0</v>
      </c>
      <c r="R2360" t="n">
        <v>0</v>
      </c>
      <c r="S2360">
        <f>IFERROR(O2360/N2360,0)</f>
        <v/>
      </c>
      <c r="T2360" t="n">
        <v>0</v>
      </c>
      <c r="V2360" t="n">
        <v>0</v>
      </c>
    </row>
    <row r="2361">
      <c r="A2361">
        <f>Skills!A22</f>
        <v/>
      </c>
      <c r="B2361">
        <f>Skills!B22</f>
        <v/>
      </c>
      <c r="C2361">
        <f>Inputs!$B$3&gt;=43</f>
        <v/>
      </c>
      <c r="D2361">
        <f>IF(Skills!C22=1,60+Inputs!$B$25+Inputs!$B$29,IF(Skills!C22=2,90+Inputs!$B$26+Inputs!$B$29,IF(Skills!C22=3,120+Inputs!$B$27+Inputs!$B$29,MAX(0,(Inputs!$B$3-100)*3)+Inputs!$B$28+Inputs!$B$29)))</f>
        <v/>
      </c>
      <c r="E2361">
        <f>INDEX(FactorTable!$B$2:$Y$301, MATCH(ROUND(MIN(300,MAX(1,D2361)),0), FactorTable!$A$2:$A$301,0), Skills!M22+1)</f>
        <v/>
      </c>
      <c r="F2361">
        <f>IF(Skills!N22=TRUE,(Skills!L22/10)*(E2361/1000),Skills!L22/10)+Skills!O22</f>
        <v/>
      </c>
      <c r="G2361">
        <f>Skills!G22*IF(Skills!H22&gt;0,Skills!I22/Skills!H22,1)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Inputs!$B$3&gt;=120</f>
        <v/>
      </c>
      <c r="D2362">
        <f>IF(Skills!C23=1,60+Inputs!$B$25+Inputs!$B$29,IF(Skills!C23=2,90+Inputs!$B$26+Inputs!$B$29,IF(Skills!C23=3,120+Inputs!$B$27+Inputs!$B$29,MAX(0,(Inputs!$B$3-100)*3)+Inputs!$B$28+Inputs!$B$29)))</f>
        <v/>
      </c>
      <c r="E2362">
        <f>INDEX(FactorTable!$B$2:$Y$301, MATCH(ROUND(MIN(300,MAX(1,D2362)),0), FactorTable!$A$2:$A$301,0), Skills!M23+1)</f>
        <v/>
      </c>
      <c r="F2362">
        <f>IF(Skills!N23=TRUE,(Skills!L23/10)*(E2362/1000),Skills!L23/10)+Skills!O23</f>
        <v/>
      </c>
      <c r="G2362">
        <f>Skills!G23*IF(Skills!H23&gt;0,Skills!I23/Skills!H23,1)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Inputs!$B$3&gt;=120</f>
        <v/>
      </c>
      <c r="D2363">
        <f>IF(Skills!C24=1,60+Inputs!$B$25+Inputs!$B$29,IF(Skills!C24=2,90+Inputs!$B$26+Inputs!$B$29,IF(Skills!C24=3,120+Inputs!$B$27+Inputs!$B$29,MAX(0,(Inputs!$B$3-100)*3)+Inputs!$B$28+Inputs!$B$29)))</f>
        <v/>
      </c>
      <c r="E2363">
        <f>INDEX(FactorTable!$B$2:$Y$301, MATCH(ROUND(MIN(300,MAX(1,D2363)),0), FactorTable!$A$2:$A$301,0), Skills!M24+1)</f>
        <v/>
      </c>
      <c r="F2363">
        <f>IF(Skills!N24=TRUE,(Skills!L24/10)*(E2363/1000),Skills!L24/10)+Skills!O24</f>
        <v/>
      </c>
      <c r="G2363">
        <f>Skills!G24*IF(Skills!H24&gt;0,Skills!I24/Skills!H24,1)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Inputs!$B$3&gt;=125</f>
        <v/>
      </c>
      <c r="D2364">
        <f>IF(Skills!C25=1,60+Inputs!$B$25+Inputs!$B$29,IF(Skills!C25=2,90+Inputs!$B$26+Inputs!$B$29,IF(Skills!C25=3,120+Inputs!$B$27+Inputs!$B$29,MAX(0,(Inputs!$B$3-100)*3)+Inputs!$B$28+Inputs!$B$29)))</f>
        <v/>
      </c>
      <c r="E2364">
        <f>INDEX(FactorTable!$B$2:$Y$301, MATCH(ROUND(MIN(300,MAX(1,D2364)),0), FactorTable!$A$2:$A$301,0), Skills!M25+1)</f>
        <v/>
      </c>
      <c r="F2364">
        <f>IF(Skills!N25=TRUE,(Skills!L25/10)*(E2364/1000),Skills!L25/10)+Skills!O25</f>
        <v/>
      </c>
      <c r="G2364">
        <f>Skills!G25*IF(Skills!H25&gt;0,Skills!I25/Skills!H25,1)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Inputs!$B$3&gt;=72</f>
        <v/>
      </c>
      <c r="D2365">
        <f>IF(Skills!C26=1,60+Inputs!$B$25+Inputs!$B$29,IF(Skills!C26=2,90+Inputs!$B$26+Inputs!$B$29,IF(Skills!C26=3,120+Inputs!$B$27+Inputs!$B$29,MAX(0,(Inputs!$B$3-100)*3)+Inputs!$B$28+Inputs!$B$29)))</f>
        <v/>
      </c>
      <c r="E2365">
        <f>INDEX(FactorTable!$B$2:$Y$301, MATCH(ROUND(MIN(300,MAX(1,D2365)),0), FactorTable!$A$2:$A$301,0), Skills!M26+1)</f>
        <v/>
      </c>
      <c r="F2365">
        <f>IF(Skills!N26=TRUE,(Skills!L26/10)*(E2365/1000),Skills!L26/10)+Skills!O26</f>
        <v/>
      </c>
      <c r="G2365">
        <f>Skills!G26*IF(Skills!H26&gt;0,Skills!I26/Skills!H26,1)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2358=TRUE)*F2358*IF(AND(Inputs!$B$38&lt;&gt;"pvp",Inputs!$B$43&gt;0),(((R2358-1)*(Skills!T19*(1+(Inputs!$B$34+(ArtifactsInput!$M$7-ArtifactsInput!$M$7)*CHOOSE(ArtifactsInput!$N$7+1,6,7.2,8.4,9.6,10.8,12))/100))+MIN((Skills!T19*(1+(Inputs!$B$34+(ArtifactsInput!$M$7-ArtifactsInput!$M$7)*CHOOSE(ArtifactsInput!$N$7+1,6,7.2,8.4,9.6,10.8,12))/100)),MAX(0,Inputs!$B$43-((R2358-1)*Skills!D19))))/Inputs!$B$43),IF(Inputs!$B$38="pvp",MIN((Skills!T19*(1+(Inputs!$B$34+(ArtifactsInput!$M$7-ArtifactsInput!$M$7)*CHOOSE(ArtifactsInput!$N$7+1,6,7.2,8.4,9.6,10.8,12))/100)),15)/15,(Skills!T19*(1+(Inputs!$B$34+(ArtifactsInput!$M$7-ArtifactsInput!$M$7)*CHOOSE(ArtifactsInput!$N$7+1,6,7.2,8.4,9.6,10.8,12))/100))/Skills!D19)))</f>
        <v/>
      </c>
    </row>
    <row r="2370">
      <c r="A2370" t="inlineStr">
        <is>
          <t>Actions Per Second</t>
        </is>
      </c>
      <c r="B2370">
        <f>1+MIN(150,150*(1-(1-(Inputs!$B$11+((C2359=TRUE)*(F2359-Calc!F20)))/150)*(1-B2369/150)))/100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Raging Blow Casts Per Second</t>
        </is>
      </c>
      <c r="B2372">
        <f>MAX(0,B2370-B2371)</f>
        <v/>
      </c>
    </row>
    <row r="2373">
      <c r="A2373" t="inlineStr">
        <is>
          <t>Global Critical Damage Bonus % (Enrage)</t>
        </is>
      </c>
      <c r="B2373">
        <f>((C2357=TRUE)*F2357*IF(AND(Inputs!$B$38&lt;&gt;"pvp",Inputs!$B$43&gt;0),(((R2357-1)*(Skills!T18*(1+(Inputs!$B$34+(ArtifactsInput!$M$7-ArtifactsInput!$M$7)*CHOOSE(ArtifactsInput!$N$7+1,6,7.2,8.4,9.6,10.8,12))/100))+MIN((Skills!T18*(1+(Inputs!$B$34+(ArtifactsInput!$M$7-ArtifactsInput!$M$7)*CHOOSE(ArtifactsInput!$N$7+1,6,7.2,8.4,9.6,10.8,12))/100)),MAX(0,Inputs!$B$43-((R2357-1)*Skills!D18))))/Inputs!$B$43),IF(Inputs!$B$38="pvp",MIN((Skills!T18*(1+(Inputs!$B$34+(ArtifactsInput!$M$7-ArtifactsInput!$M$7)*CHOOSE(ArtifactsInput!$N$7+1,6,7.2,8.4,9.6,10.8,12))/100)),15)/15,(Skills!T18*(1+(Inputs!$B$34+(ArtifactsInput!$M$7-ArtifactsInput!$M$7)*CHOOSE(ArtifactsInput!$N$7+1,6,7.2,8.4,9.6,10.8,12))/100))/Skills!D18)))</f>
        <v/>
      </c>
    </row>
    <row r="2374">
      <c r="A2374" t="inlineStr">
        <is>
          <t>Global Final Damage Bonus % (Enrage + Combo Synergy)</t>
        </is>
      </c>
      <c r="B2374">
        <f>((C2356=TRUE)*F2356*IF(AND(Inputs!$B$38&lt;&gt;"pvp",Inputs!$B$43&gt;0),(((R2356-1)*(Skills!T17*(1+(Inputs!$B$34+(ArtifactsInput!$M$7-ArtifactsInput!$M$7)*CHOOSE(ArtifactsInput!$N$7+1,6,7.2,8.4,9.6,10.8,12))/100))+MIN((Skills!T17*(1+(Inputs!$B$34+(ArtifactsInput!$M$7-ArtifactsInput!$M$7)*CHOOSE(ArtifactsInput!$N$7+1,6,7.2,8.4,9.6,10.8,12))/100)),MAX(0,Inputs!$B$43-((R2356-1)*Skills!D17))))/Inputs!$B$43),IF(Inputs!$B$38="pvp",MIN((Skills!T17*(1+(Inputs!$B$34+(ArtifactsInput!$M$7-ArtifactsInput!$M$7)*CHOOSE(ArtifactsInput!$N$7+1,6,7.2,8.4,9.6,10.8,12))/100)),15)/15,(Skills!T17*(1+(Inputs!$B$34+(ArtifactsInput!$M$7-ArtifactsInput!$M$7)*CHOOSE(ArtifactsInput!$N$7+1,6,7.2,8.4,9.6,10.8,12))/100))/Skills!D17)))+((C2353=TRUE)*F2353*IF(Inputs!$B$3&gt;=110,7,5))</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2383)</f>
        <v/>
      </c>
      <c r="L2383">
        <f>K2383*(MIN(Inputs!$B$22+((C2403=TRUE)*(F2403-Calc!F22)),(Inputs!$B$23+((C2405=TRUE)*(F2405-Calc!F24))+(IF(ArtifactsInput!$M$15,CHOOSE(ArtifactsInput!$N$15+1,25,30,35,40,45,50)/100*(Inputs!$B$11-Inputs!$B$11),0))))/100+(Inputs!$B$23+((C2405=TRUE)*(F2405-Calc!F24))+(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INDEX(FactorTable!$B$2:$Y$301, MATCH(ROUND(MIN(300,MAX(1,D2384)),0),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INDEX(FactorTable!$B$2:$Y$301, MATCH(ROUND(MIN(300,MAX(1,U2383)),0), FactorTable!$A$2:$A$301,0), 22)</f>
        <v/>
      </c>
    </row>
    <row r="2385">
      <c r="A2385">
        <f>Skills!A4</f>
        <v/>
      </c>
      <c r="B2385">
        <f>Skills!B4</f>
        <v/>
      </c>
      <c r="C2385">
        <f>Inputs!$B$3&gt;=105</f>
        <v/>
      </c>
      <c r="D2385">
        <f>IF(Skills!C4=1,60+Inputs!$B$25+Inputs!$B$29,IF(Skills!C4=2,90+Inputs!$B$26+Inputs!$B$29,IF(Skills!C4=3,120+Inputs!$B$27+Inputs!$B$29,MAX(0,(Inputs!$B$3-100)*3)+Inputs!$B$28+Inputs!$B$29)))</f>
        <v/>
      </c>
      <c r="E2385">
        <f>INDEX(FactorTable!$B$2:$Y$301, MATCH(ROUND(MIN(300,MAX(1,D2385)),0), FactorTable!$A$2:$A$301,0), Skills!M4+1)</f>
        <v/>
      </c>
      <c r="F2385">
        <f>IF(Skills!N4=TRUE,(Skills!L4/10)*(E2385/1000),Skills!L4/10)+Skills!O4</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U2385">
        <f>290*U2384/1000</f>
        <v/>
      </c>
    </row>
    <row r="2386">
      <c r="A2386">
        <f>Skills!A5</f>
        <v/>
      </c>
      <c r="B2386">
        <f>Skills!B5</f>
        <v/>
      </c>
      <c r="C2386">
        <f>Inputs!$B$3&gt;=103</f>
        <v/>
      </c>
      <c r="D2386">
        <f>IF(Skills!C5=1,60+Inputs!$B$25+Inputs!$B$29,IF(Skills!C5=2,90+Inputs!$B$26+Inputs!$B$29,IF(Skills!C5=3,120+Inputs!$B$27+Inputs!$B$29,MAX(0,(Inputs!$B$3-100)*3)+Inputs!$B$28+Inputs!$B$29)))</f>
        <v/>
      </c>
      <c r="E2386">
        <f>INDEX(FactorTable!$B$2:$Y$301, MATCH(ROUND(MIN(300,MAX(1,D2386)),0), FactorTable!$A$2:$A$301,0), Skills!M5+1)</f>
        <v/>
      </c>
      <c r="F2386">
        <f>IF(Skills!N5=TRUE,(Skills!L5/10)*(E2386/1000),Skills!L5/10)+Skills!O5</f>
        <v/>
      </c>
      <c r="G2386">
        <f>Skills!G5*IF(Skills!H5&gt;0,Skills!I5/Skills!H5,1)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2386)</f>
        <v/>
      </c>
      <c r="L2386">
        <f>K2386*(MIN(Inputs!$B$22+((C2403=TRUE)*(F2403-Calc!F22)),(Inputs!$B$23+((C2405=TRUE)*(F2405-Calc!F24))+(IF(ArtifactsInput!$M$15,CHOOSE(ArtifactsInput!$N$15+1,25,30,35,40,45,50)/100*(Inputs!$B$11-Inputs!$B$11),0))))/100+(Inputs!$B$23+((C2405=TRUE)*(F2405-Calc!F24))+(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IFERROR(1/(IF(Inputs!$B$38="pvp",15,MAX(0.1,Skills!D5-IF(Skills!E5=TRUE,Inputs!$B$32,0)))*(1-IF(AND(ArtifactsInput!$M$27,Inputs!$B$4="Chapter Hunt"),CHOOSE(ArtifactsInput!$N$27+1,20,24,28,32,36,40),0)/100)),0)</f>
        <v/>
      </c>
      <c r="R2386">
        <f>IF(AND(Inputs!$B$38&lt;&gt;"pvp",Inputs!$B$43&gt;0),IF(MAX(0,Inputs!$B$43-B2417)&lt;=0,0,(INT(MAX(0,Inputs!$B$43-B2417)/(IF(Inputs!$B$38="pvp",15,MAX(0.1,Skills!D5-IF(Skills!E5=TRUE,Inputs!$B$32,0)))*(1-IF(AND(ArtifactsInput!$M$27,Inputs!$B$4="Chapter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$20+0+Skills!P5+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INDEX(FactorTable!$B$2:$Y$301, MATCH(ROUND(MIN(300,MAX(1,D2387)),0), FactorTable!$A$2:$A$301,0), Skills!M6+1)</f>
        <v/>
      </c>
      <c r="F2387">
        <f>IF(Skills!N6=TRUE,(Skills!L6/10)*(E2387/1000),Skills!L6/10)+Skills!O6</f>
        <v/>
      </c>
      <c r="G2387">
        <f>Skills!G6*IF(Skills!H6&gt;0,Skills!I6/Skills!H6,1)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2387)</f>
        <v/>
      </c>
      <c r="L2387">
        <f>K2387*(MIN(Inputs!$B$22+((C2403=TRUE)*(F2403-Calc!F22)),(Inputs!$B$23+((C2405=TRUE)*(F2405-Calc!F24))+(IF(ArtifactsInput!$M$15,CHOOSE(ArtifactsInput!$N$15+1,25,30,35,40,45,50)/100*(Inputs!$B$11-Inputs!$B$11),0))))/100+(Inputs!$B$23+((C2405=TRUE)*(F2405-Calc!F24))+(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IFERROR(1/(IF(Inputs!$B$38="pvp",15,MAX(0.1,Skills!D6-IF(Skills!E6=TRUE,Inputs!$B$32,0)))*(1-IF(AND(ArtifactsInput!$M$27,Inputs!$B$4="Chapter Hunt"),CHOOSE(ArtifactsInput!$N$27+1,20,24,28,32,36,40),0)/100)),0)</f>
        <v/>
      </c>
      <c r="R2387">
        <f>IF(AND(Inputs!$B$38&lt;&gt;"pvp",Inputs!$B$43&gt;0),IF(MAX(0,Inputs!$B$43-B2417)&lt;=0,0,(INT(MAX(0,Inputs!$B$43-B2417)/(IF(Inputs!$B$38="pvp",15,MAX(0.1,Skills!D6-IF(Skills!E6=TRUE,Inputs!$B$32,0)))*(1-IF(AND(ArtifactsInput!$M$27,Inputs!$B$4="Chapter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$20+0+Skills!P6+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INDEX(FactorTable!$B$2:$Y$301, MATCH(ROUND(MIN(300,MAX(1,D2388)),0), FactorTable!$A$2:$A$301,0), Skills!M7+1)</f>
        <v/>
      </c>
      <c r="F2388">
        <f>IF(Skills!N7=TRUE,(Skills!L7/10)*(E2388/1000),Skills!L7/10)+Skills!O7</f>
        <v/>
      </c>
      <c r="G2388">
        <f>Skills!G7*IF(Skills!H7&gt;0,Skills!I7/Skills!H7,1)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2388)</f>
        <v/>
      </c>
      <c r="L2388">
        <f>K2388*(MIN(Inputs!$B$22+((C2403=TRUE)*(F2403-Calc!F22)),(Inputs!$B$23+((C2405=TRUE)*(F2405-Calc!F24))+(IF(ArtifactsInput!$M$15,CHOOSE(ArtifactsInput!$N$15+1,25,30,35,40,45,50)/100*(Inputs!$B$11-Inputs!$B$11),0))))/100+(Inputs!$B$23+((C2405=TRUE)*(F2405-Calc!F24))+(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IFERROR(1/(IF(Inputs!$B$38="pvp",15,MAX(0.1,Skills!D7-IF(Skills!E7=TRUE,Inputs!$B$32,0)))*(1-IF(AND(ArtifactsInput!$M$27,Inputs!$B$4="Chapter Hunt"),CHOOSE(ArtifactsInput!$N$27+1,20,24,28,32,36,40),0)/100)),0)</f>
        <v/>
      </c>
      <c r="R2388">
        <f>IF(AND(Inputs!$B$38&lt;&gt;"pvp",Inputs!$B$43&gt;0),IF(MAX(0,Inputs!$B$43-B2417)&lt;=0,0,(INT(MAX(0,Inputs!$B$43-B2417)/(IF(Inputs!$B$38="pvp",15,MAX(0.1,Skills!D7-IF(Skills!E7=TRUE,Inputs!$B$32,0)))*(1-IF(AND(ArtifactsInput!$M$27,Inputs!$B$4="Chapter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$20+0+Skills!P7+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Inputs!$B$3&gt;=117</f>
        <v/>
      </c>
      <c r="D2389">
        <f>IF(Skills!C8=1,60+Inputs!$B$25+Inputs!$B$29,IF(Skills!C8=2,90+Inputs!$B$26+Inputs!$B$29,IF(Skills!C8=3,120+Inputs!$B$27+Inputs!$B$29,MAX(0,(Inputs!$B$3-100)*3)+Inputs!$B$28+Inputs!$B$29)))</f>
        <v/>
      </c>
      <c r="E2389">
        <f>INDEX(FactorTable!$B$2:$Y$301, MATCH(ROUND(MIN(300,MAX(1,D2389)),0), FactorTable!$A$2:$A$301,0), Skills!M8+1)</f>
        <v/>
      </c>
      <c r="F2389">
        <f>IF(Skills!N8=TRUE,(Skills!L8/10)*(E2389/1000),Skills!L8/10)+Skills!O8</f>
        <v/>
      </c>
      <c r="G2389">
        <f>Skills!G8*IF(Skills!H8&gt;0,Skills!I8/Skills!H8,1)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2389)</f>
        <v/>
      </c>
      <c r="L2389">
        <f>K2389*(MIN(Inputs!$B$22+((C2403=TRUE)*(F2403-Calc!F22)),(Inputs!$B$23+((C2405=TRUE)*(F2405-Calc!F24))+(IF(ArtifactsInput!$M$15,CHOOSE(ArtifactsInput!$N$15+1,25,30,35,40,45,50)/100*(Inputs!$B$11-Inputs!$B$11),0))))/100+(Inputs!$B$23+((C2405=TRUE)*(F2405-Calc!F24))+(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IFERROR(1/(IF(Inputs!$B$38="pvp",15,MAX(0.1,Skills!D8-IF(Skills!E8=TRUE,Inputs!$B$32,0)))*(1-IF(AND(ArtifactsInput!$M$27,Inputs!$B$4="Chapter Hunt"),CHOOSE(ArtifactsInput!$N$27+1,20,24,28,32,36,40),0)/100)),0)</f>
        <v/>
      </c>
      <c r="R2389">
        <f>IF(AND(Inputs!$B$38&lt;&gt;"pvp",Inputs!$B$43&gt;0),IF(MAX(0,Inputs!$B$43-B2417)&lt;=0,0,(INT(MAX(0,Inputs!$B$43-B2417)/(IF(Inputs!$B$38="pvp",15,MAX(0.1,Skills!D8-IF(Skills!E8=TRUE,Inputs!$B$32,0)))*(1-IF(AND(ArtifactsInput!$M$27,Inputs!$B$4="Chapter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$20+0+Skills!P8+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Inputs!$B$3&gt;=69</f>
        <v/>
      </c>
      <c r="D2390">
        <f>IF(Skills!C9=1,60+Inputs!$B$25+Inputs!$B$29,IF(Skills!C9=2,90+Inputs!$B$26+Inputs!$B$29,IF(Skills!C9=3,120+Inputs!$B$27+Inputs!$B$29,MAX(0,(Inputs!$B$3-100)*3)+Inputs!$B$28+Inputs!$B$29)))</f>
        <v/>
      </c>
      <c r="E2390">
        <f>INDEX(FactorTable!$B$2:$Y$301, MATCH(ROUND(MIN(300,MAX(1,D2390)),0), FactorTable!$A$2:$A$301,0), Skills!M9+1)</f>
        <v/>
      </c>
      <c r="F2390">
        <f>IF(Skills!N9=TRUE,(Skills!L9/10)*(E2390/1000),Skills!L9/10)+Skills!O9</f>
        <v/>
      </c>
      <c r="G2390">
        <f>Skills!G9*IF(Skills!H9&gt;0,Skills!I9/Skills!H9,1)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9="ENHANCED_RAGING_BLOW",IF(Inputs!$B$3&gt;=134,MAX(0,IF(Inputs!$B$3&gt;=110,7,5)-5)*50,0),0)/100)*(1+(IF(Skills!A9="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2390)</f>
        <v/>
      </c>
      <c r="L2390">
        <f>K2390*(MIN(Inputs!$B$22+((C2403=TRUE)*(F2403-Calc!F22)),(Inputs!$B$23+((C2405=TRUE)*(F2405-Calc!F24))+(IF(ArtifactsInput!$M$15,CHOOSE(ArtifactsInput!$N$15+1,25,30,35,40,45,50)/100*(Inputs!$B$11-Inputs!$B$11),0))))/100+(Inputs!$B$23+((C2405=TRUE)*(F2405-Calc!F24))+(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IFERROR(1/(IF(Inputs!$B$38="pvp",15,MAX(0.1,Skills!D9-IF(Skills!E9=TRUE,Inputs!$B$32,0)))*(1-IF(AND(ArtifactsInput!$M$27,Inputs!$B$4="Chapter Hunt"),CHOOSE(ArtifactsInput!$N$27+1,20,24,28,32,36,40),0)/100)),0)</f>
        <v/>
      </c>
      <c r="R2390">
        <f>IF(AND(Inputs!$B$38&lt;&gt;"pvp",Inputs!$B$43&gt;0),IF(MAX(0,Inputs!$B$43-B2417)&lt;=0,0,(INT(MAX(0,Inputs!$B$43-B2417)/(IF(Inputs!$B$38="pvp",15,MAX(0.1,Skills!D9-IF(Skills!E9=TRUE,Inputs!$B$32,0)))*(1-IF(AND(ArtifactsInput!$M$27,Inputs!$B$4="Chapter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$20+0+Skills!P9+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Inputs!$B$3&gt;=63</f>
        <v/>
      </c>
      <c r="D2391">
        <f>IF(Skills!C10=1,60+Inputs!$B$25+Inputs!$B$29,IF(Skills!C10=2,90+Inputs!$B$26+Inputs!$B$29,IF(Skills!C10=3,120+Inputs!$B$27+Inputs!$B$29,MAX(0,(Inputs!$B$3-100)*3)+Inputs!$B$28+Inputs!$B$29)))</f>
        <v/>
      </c>
      <c r="E2391">
        <f>INDEX(FactorTable!$B$2:$Y$301, MATCH(ROUND(MIN(300,MAX(1,D2391)),0), FactorTable!$A$2:$A$301,0), Skills!M10+1)</f>
        <v/>
      </c>
      <c r="F2391">
        <f>IF(Skills!N10=TRUE,(Skills!L10/10)*(E2391/1000),Skills!L10/10)+Skills!O10</f>
        <v/>
      </c>
      <c r="G2391">
        <f>Skills!G10*IF(Skills!H10&gt;0,Skills!I10/Skills!H10,1)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10="ENHANCED_RAGING_BLOW",IF(Inputs!$B$3&gt;=134,MAX(0,IF(Inputs!$B$3&gt;=110,7,5)-5)*50,0),0)/100)*(1+(IF(Skills!A10="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2391)</f>
        <v/>
      </c>
      <c r="L2391">
        <f>K2391*(MIN(Inputs!$B$22+((C2403=TRUE)*(F2403-Calc!F22)),(Inputs!$B$23+((C2405=TRUE)*(F2405-Calc!F24))+(IF(ArtifactsInput!$M$15,CHOOSE(ArtifactsInput!$N$15+1,25,30,35,40,45,50)/100*(Inputs!$B$11-Inputs!$B$11),0))))/100+(Inputs!$B$23+((C2405=TRUE)*(F2405-Calc!F24))+(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IFERROR(1/(IF(Inputs!$B$38="pvp",15,MAX(0.1,Skills!D10-IF(Skills!E10=TRUE,Inputs!$B$32,0)))*(1-IF(AND(ArtifactsInput!$M$27,Inputs!$B$4="Chapter Hunt"),CHOOSE(ArtifactsInput!$N$27+1,20,24,28,32,36,40),0)/100)),0)</f>
        <v/>
      </c>
      <c r="R2391">
        <f>IF(AND(Inputs!$B$38&lt;&gt;"pvp",Inputs!$B$43&gt;0),IF(MAX(0,Inputs!$B$43-B2417)&lt;=0,0,(INT(MAX(0,Inputs!$B$43-B2417)/(IF(Inputs!$B$38="pvp",15,MAX(0.1,Skills!D10-IF(Skills!E10=TRUE,Inputs!$B$32,0)))*(1-IF(AND(ArtifactsInput!$M$27,Inputs!$B$4="Chapter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$20+0+Skills!P10+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Inputs!$B$3&gt;=35</f>
        <v/>
      </c>
      <c r="D2392">
        <f>IF(Skills!C11=1,60+Inputs!$B$25+Inputs!$B$29,IF(Skills!C11=2,90+Inputs!$B$26+Inputs!$B$29,IF(Skills!C11=3,120+Inputs!$B$27+Inputs!$B$29,MAX(0,(Inputs!$B$3-100)*3)+Inputs!$B$28+Inputs!$B$29)))</f>
        <v/>
      </c>
      <c r="E2392">
        <f>INDEX(FactorTable!$B$2:$Y$301, MATCH(ROUND(MIN(300,MAX(1,D2392)),0), FactorTable!$A$2:$A$301,0), Skills!M11+1)</f>
        <v/>
      </c>
      <c r="F2392">
        <f>IF(Skills!N11=TRUE,(Skills!L11/10)*(E2392/1000),Skills!L11/10)+Skills!O11</f>
        <v/>
      </c>
      <c r="G2392">
        <f>Skills!G11*IF(Skills!H11&gt;0,Skills!I11/Skills!H11,1)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11="ENHANCED_RAGING_BLOW",IF(Inputs!$B$3&gt;=134,MAX(0,IF(Inputs!$B$3&gt;=110,7,5)-5)*50,0),0)/100)*(1+(IF(Skills!A11="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2392)</f>
        <v/>
      </c>
      <c r="L2392">
        <f>K2392*(MIN(Inputs!$B$22+((C2403=TRUE)*(F2403-Calc!F22)),(Inputs!$B$23+((C2405=TRUE)*(F2405-Calc!F24))+(IF(ArtifactsInput!$M$15,CHOOSE(ArtifactsInput!$N$15+1,25,30,35,40,45,50)/100*(Inputs!$B$11-Inputs!$B$11),0))))/100+(Inputs!$B$23+((C2405=TRUE)*(F2405-Calc!F24))+(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IFERROR(1/(IF(Inputs!$B$38="pvp",15,MAX(0.1,Skills!D11-IF(Skills!E11=TRUE,Inputs!$B$32,0)))*(1-IF(AND(ArtifactsInput!$M$27,Inputs!$B$4="Chapter Hunt"),CHOOSE(ArtifactsInput!$N$27+1,20,24,28,32,36,40),0)/100)),0)</f>
        <v/>
      </c>
      <c r="R2392">
        <f>IF(AND(Inputs!$B$38&lt;&gt;"pvp",Inputs!$B$43&gt;0),IF(MAX(0,Inputs!$B$43-B2417)&lt;=0,0,(INT(MAX(0,Inputs!$B$43-B2417)/(IF(Inputs!$B$38="pvp",15,MAX(0.1,Skills!D11-IF(Skills!E11=TRUE,Inputs!$B$32,0)))*(1-IF(AND(ArtifactsInput!$M$27,Inputs!$B$4="Chapter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$20+0+Skills!P11+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INDEX(FactorTable!$B$2:$Y$301, MATCH(ROUND(MIN(300,MAX(1,D2393)),0),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INDEX(FactorTable!$B$2:$Y$301, MATCH(ROUND(MIN(300,MAX(1,D2394)),0), FactorTable!$A$2:$A$301,0), Skills!M13+1)</f>
        <v/>
      </c>
      <c r="F2394">
        <f>IF(Skills!N13=TRUE,(Skills!L13/10)*(E2394/1000),Skills!L13/10)+Skills!O13</f>
        <v/>
      </c>
      <c r="G2394">
        <f>Skills!G13*IF(Skills!H13&gt;0,Skills!I13/Skills!H13,1)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Inputs!$B$3&gt;=75</f>
        <v/>
      </c>
      <c r="D2395">
        <f>IF(Skills!C14=1,60+Inputs!$B$25+Inputs!$B$29,IF(Skills!C14=2,90+Inputs!$B$26+Inputs!$B$29,IF(Skills!C14=3,120+Inputs!$B$27+Inputs!$B$29,MAX(0,(Inputs!$B$3-100)*3)+Inputs!$B$28+Inputs!$B$29)))</f>
        <v/>
      </c>
      <c r="E2395">
        <f>INDEX(FactorTable!$B$2:$Y$301, MATCH(ROUND(MIN(300,MAX(1,D2395)),0), FactorTable!$A$2:$A$301,0), Skills!M14+1)</f>
        <v/>
      </c>
      <c r="F2395">
        <f>IF(Skills!N14=TRUE,(Skills!L14/10)*(E2395/1000),Skills!L14/10)+Skills!O14</f>
        <v/>
      </c>
      <c r="G2395">
        <f>Skills!G14*IF(Skills!H14&gt;0,Skills!I14/Skills!H14,1)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Inputs!$B$3&gt;=40</f>
        <v/>
      </c>
      <c r="D2396">
        <f>IF(Skills!C15=1,60+Inputs!$B$25+Inputs!$B$29,IF(Skills!C15=2,90+Inputs!$B$26+Inputs!$B$29,IF(Skills!C15=3,120+Inputs!$B$27+Inputs!$B$29,MAX(0,(Inputs!$B$3-100)*3)+Inputs!$B$28+Inputs!$B$29)))</f>
        <v/>
      </c>
      <c r="E2396">
        <f>INDEX(FactorTable!$B$2:$Y$301, MATCH(ROUND(MIN(300,MAX(1,D2396)),0), FactorTable!$A$2:$A$301,0), Skills!M15+1)</f>
        <v/>
      </c>
      <c r="F2396">
        <f>IF(Skills!N15=TRUE,(Skills!L15/10)*(E2396/1000),Skills!L15/10)+Skills!O15</f>
        <v/>
      </c>
      <c r="G2396">
        <f>Skills!G15*IF(Skills!H15&gt;0,Skills!I15/Skills!H15,1)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IFERROR(1/(IF(Inputs!$B$38="pvp",15,MAX(0.1,Skills!D15-IF(Skills!E15=TRUE,Inputs!$B$32,0)))*(1-IF(AND(ArtifactsInput!$M$27,Inputs!$B$4="Chapter Hunt"),CHOOSE(ArtifactsInput!$N$27+1,20,24,28,32,36,40),0)/100)),0)</f>
        <v/>
      </c>
      <c r="R2396">
        <f>IF(AND(Inputs!$B$38&lt;&gt;"pvp",Inputs!$B$43&gt;0),IF(Inputs!$B$43&lt;=0,0,(INT(Inputs!$B$43/(IF(Inputs!$B$38="pvp",15,MAX(0.1,Skills!D15-IF(Skills!E15=TRUE,Inputs!$B$32,0)))*(1-IF(AND(ArtifactsInput!$M$27,Inputs!$B$4="Chapter Hunt"),CHOOSE(ArtifactsInput!$N$27+1,20,24,28,32,36,40),0)/100)))+1)),0)</f>
        <v/>
      </c>
      <c r="S2396">
        <f>IFERROR(O2396/N2396,0)</f>
        <v/>
      </c>
      <c r="T2396" t="n">
        <v>0</v>
      </c>
      <c r="V2396" t="n">
        <v>0</v>
      </c>
    </row>
    <row r="2397">
      <c r="A2397">
        <f>Skills!A16</f>
        <v/>
      </c>
      <c r="B2397">
        <f>Skills!B16</f>
        <v/>
      </c>
      <c r="C2397">
        <f>Inputs!$B$3&gt;=66</f>
        <v/>
      </c>
      <c r="D2397">
        <f>IF(Skills!C16=1,60+Inputs!$B$25+Inputs!$B$29,IF(Skills!C16=2,90+Inputs!$B$26+Inputs!$B$29,IF(Skills!C16=3,120+Inputs!$B$27+Inputs!$B$29,MAX(0,(Inputs!$B$3-100)*3)+Inputs!$B$28+Inputs!$B$29)))</f>
        <v/>
      </c>
      <c r="E2397">
        <f>INDEX(FactorTable!$B$2:$Y$301, MATCH(ROUND(MIN(300,MAX(1,D2397)),0), FactorTable!$A$2:$A$301,0), Skills!M16+1)</f>
        <v/>
      </c>
      <c r="F2397">
        <f>IF(Skills!N16=TRUE,(Skills!L16/10)*(E2397/1000),Skills!L16/10)+Skills!O16</f>
        <v/>
      </c>
      <c r="G2397">
        <f>Skills!G16*IF(Skills!H16&gt;0,Skills!I16/Skills!H16,1)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IFERROR(1/(IF(Inputs!$B$38="pvp",15,MAX(0.1,Skills!D16-IF(Skills!E16=TRUE,Inputs!$B$32,0)))*(1-IF(AND(ArtifactsInput!$M$27,Inputs!$B$4="Chapter Hunt"),CHOOSE(ArtifactsInput!$N$27+1,20,24,28,32,36,40),0)/100)),0)</f>
        <v/>
      </c>
      <c r="R2397">
        <f>IF(AND(Inputs!$B$38&lt;&gt;"pvp",Inputs!$B$43&gt;0),IF(Inputs!$B$43&lt;=0,0,(INT(Inputs!$B$43/(IF(Inputs!$B$38="pvp",15,MAX(0.1,Skills!D16-IF(Skills!E16=TRUE,Inputs!$B$32,0)))*(1-IF(AND(ArtifactsInput!$M$27,Inputs!$B$4="Chapter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INDEX(FactorTable!$B$2:$Y$301, MATCH(ROUND(MIN(300,MAX(1,D2398)),0), FactorTable!$A$2:$A$301,0), Skills!M17+1)</f>
        <v/>
      </c>
      <c r="F2398">
        <f>IF(Skills!N17=TRUE,(Skills!L17/10)*(E2398/1000),Skills!L17/10)+Skills!O17</f>
        <v/>
      </c>
      <c r="G2398">
        <f>Skills!G17*IF(Skills!H17&gt;0,Skills!I17/Skills!H17,1)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IFERROR(1/(IF(Inputs!$B$38="pvp",15,MAX(0.1,Skills!D17-IF(Skills!E17=TRUE,Inputs!$B$32,0)))*(1-IF(AND(ArtifactsInput!$M$27,Inputs!$B$4="Chapter Hunt"),CHOOSE(ArtifactsInput!$N$27+1,20,24,28,32,36,40),0)/100)),0)</f>
        <v/>
      </c>
      <c r="R2398">
        <f>IF(AND(Inputs!$B$38&lt;&gt;"pvp",Inputs!$B$43&gt;0),IF(Inputs!$B$43&lt;=0,0,(INT(Inputs!$B$43/(IF(Inputs!$B$38="pvp",15,MAX(0.1,Skills!D17-IF(Skills!E17=TRUE,Inputs!$B$32,0)))*(1-IF(AND(ArtifactsInput!$M$27,Inputs!$B$4="Chapter Hunt"),CHOOSE(ArtifactsInput!$N$27+1,20,24,28,32,36,40),0)/100)))+1)),0)</f>
        <v/>
      </c>
      <c r="S2398">
        <f>IFERROR(O2398/N2398,0)</f>
        <v/>
      </c>
      <c r="T2398" t="n">
        <v>0</v>
      </c>
      <c r="V2398" t="n">
        <v>0</v>
      </c>
    </row>
    <row r="2399">
      <c r="A2399">
        <f>Skills!A18</f>
        <v/>
      </c>
      <c r="B2399">
        <f>Skills!B18</f>
        <v/>
      </c>
      <c r="C2399">
        <f>Inputs!$B$3&gt;=115</f>
        <v/>
      </c>
      <c r="D2399">
        <f>IF(Skills!C18=1,60+Inputs!$B$25+Inputs!$B$29,IF(Skills!C18=2,90+Inputs!$B$26+Inputs!$B$29,IF(Skills!C18=3,120+Inputs!$B$27+Inputs!$B$29,MAX(0,(Inputs!$B$3-100)*3)+Inputs!$B$28+Inputs!$B$29)))</f>
        <v/>
      </c>
      <c r="E2399">
        <f>INDEX(FactorTable!$B$2:$Y$301, MATCH(ROUND(MIN(300,MAX(1,D2399)),0), FactorTable!$A$2:$A$301,0), Skills!M18+1)</f>
        <v/>
      </c>
      <c r="F2399">
        <f>IF(Skills!N18=TRUE,(Skills!L18/10)*(E2399/1000),Skills!L18/10)+Skills!O18</f>
        <v/>
      </c>
      <c r="G2399">
        <f>Skills!G18*IF(Skills!H18&gt;0,Skills!I18/Skills!H18,1)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IFERROR(1/(IF(Inputs!$B$38="pvp",15,MAX(0.1,Skills!D18-IF(Skills!E18=TRUE,Inputs!$B$32,0)))*(1-IF(AND(ArtifactsInput!$M$27,Inputs!$B$4="Chapter Hunt"),CHOOSE(ArtifactsInput!$N$27+1,20,24,28,32,36,40),0)/100)),0)</f>
        <v/>
      </c>
      <c r="R2399">
        <f>IF(AND(Inputs!$B$38&lt;&gt;"pvp",Inputs!$B$43&gt;0),IF(Inputs!$B$43&lt;=0,0,(INT(Inputs!$B$43/(IF(Inputs!$B$38="pvp",15,MAX(0.1,Skills!D18-IF(Skills!E18=TRUE,Inputs!$B$32,0)))*(1-IF(AND(ArtifactsInput!$M$27,Inputs!$B$4="Chapter Hunt"),CHOOSE(ArtifactsInput!$N$27+1,20,24,28,32,36,40),0)/100)))+1)),0)</f>
        <v/>
      </c>
      <c r="S2399">
        <f>IFERROR(O2399/N2399,0)</f>
        <v/>
      </c>
      <c r="T2399" t="n">
        <v>0</v>
      </c>
      <c r="V2399" t="n">
        <v>0</v>
      </c>
    </row>
    <row r="2400">
      <c r="A2400">
        <f>Skills!A19</f>
        <v/>
      </c>
      <c r="B2400">
        <f>Skills!B19</f>
        <v/>
      </c>
      <c r="C2400">
        <f>TRUE</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IFERROR(1/(IF(Inputs!$B$38="pvp",15,MAX(0.1,Skills!D19-IF(Skills!E19=TRUE,Inputs!$B$32,0)))*(1-IF(AND(ArtifactsInput!$M$27,Inputs!$B$4="Chapter Hunt"),CHOOSE(ArtifactsInput!$N$27+1,20,24,28,32,36,40),0)/100)),0)</f>
        <v/>
      </c>
      <c r="R2400">
        <f>IF(AND(Inputs!$B$38&lt;&gt;"pvp",Inputs!$B$43&gt;0),IF(Inputs!$B$43&lt;=0,0,(INT(Inputs!$B$43/(IF(Inputs!$B$38="pvp",15,MAX(0.1,Skills!D19-IF(Skills!E19=TRUE,Inputs!$B$32,0)))*(1-IF(AND(ArtifactsInput!$M$27,Inputs!$B$4="Chapter Hunt"),CHOOSE(ArtifactsInput!$N$27+1,20,24,28,32,36,40),0)/100)))+1)),0)</f>
        <v/>
      </c>
      <c r="S2400">
        <f>IFERROR(O2400/N2400,0)</f>
        <v/>
      </c>
      <c r="T2400" t="n">
        <v>0</v>
      </c>
      <c r="V2400" t="n">
        <v>0</v>
      </c>
    </row>
    <row r="2401">
      <c r="A2401">
        <f>Skills!A20</f>
        <v/>
      </c>
      <c r="B2401">
        <f>Skills!B20</f>
        <v/>
      </c>
      <c r="C2401">
        <f>Inputs!$B$3&gt;=33</f>
        <v/>
      </c>
      <c r="D2401">
        <f>IF(Skills!C20=1,60+Inputs!$B$25+Inputs!$B$29,IF(Skills!C20=2,90+Inputs!$B$26+Inputs!$B$29,IF(Skills!C20=3,120+Inputs!$B$27+Inputs!$B$29,MAX(0,(Inputs!$B$3-100)*3)+Inputs!$B$28+Inputs!$B$29)))</f>
        <v/>
      </c>
      <c r="E2401">
        <f>INDEX(FactorTable!$B$2:$Y$301, MATCH(ROUND(MIN(300,MAX(1,D2401)),0), FactorTable!$A$2:$A$301,0), Skills!M20+1)</f>
        <v/>
      </c>
      <c r="F2401">
        <f>IF(Skills!N20=TRUE,(Skills!L20/10)*(E2401/1000),Skills!L20/10)+Skills!O20</f>
        <v/>
      </c>
      <c r="G2401">
        <f>Skills!G20*IF(Skills!H20&gt;0,Skills!I20/Skills!H20,1)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Inputs!$B$3&gt;=38</f>
        <v/>
      </c>
      <c r="D2402">
        <f>IF(Skills!C21=1,60+Inputs!$B$25+Inputs!$B$29,IF(Skills!C21=2,90+Inputs!$B$26+Inputs!$B$29,IF(Skills!C21=3,120+Inputs!$B$27+Inputs!$B$29,MAX(0,(Inputs!$B$3-100)*3)+Inputs!$B$28+Inputs!$B$29)))</f>
        <v/>
      </c>
      <c r="E2402">
        <f>INDEX(FactorTable!$B$2:$Y$301, MATCH(ROUND(MIN(300,MAX(1,D2402)),0), FactorTable!$A$2:$A$301,0), Skills!M21+1)</f>
        <v/>
      </c>
      <c r="F2402">
        <f>IF(Skills!N21=TRUE,(Skills!L21/10)*(E2402/1000),Skills!L21/10)+Skills!O21</f>
        <v/>
      </c>
      <c r="G2402">
        <f>Skills!G21*IF(Skills!H21&gt;0,Skills!I21/Skills!H21,1)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Skills!A22</f>
        <v/>
      </c>
      <c r="B2403">
        <f>Skills!B22</f>
        <v/>
      </c>
      <c r="C2403">
        <f>Inputs!$B$3&gt;=43</f>
        <v/>
      </c>
      <c r="D2403">
        <f>IF(Skills!C22=1,60+Inputs!$B$25+Inputs!$B$29,IF(Skills!C22=2,90+Inputs!$B$26+Inputs!$B$29,IF(Skills!C22=3,120+Inputs!$B$27+Inputs!$B$29,MAX(0,(Inputs!$B$3-100)*3)+Inputs!$B$28+Inputs!$B$29)))</f>
        <v/>
      </c>
      <c r="E2403">
        <f>INDEX(FactorTable!$B$2:$Y$301, MATCH(ROUND(MIN(300,MAX(1,D2403)),0), FactorTable!$A$2:$A$301,0), Skills!M22+1)</f>
        <v/>
      </c>
      <c r="F2403">
        <f>IF(Skills!N22=TRUE,(Skills!L22/10)*(E2403/1000),Skills!L22/10)+Skills!O22</f>
        <v/>
      </c>
      <c r="G2403">
        <f>Skills!G22*IF(Skills!H22&gt;0,Skills!I22/Skills!H22,1)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Inputs!$B$3&gt;=120</f>
        <v/>
      </c>
      <c r="D2404">
        <f>IF(Skills!C23=1,60+Inputs!$B$25+Inputs!$B$29,IF(Skills!C23=2,90+Inputs!$B$26+Inputs!$B$29,IF(Skills!C23=3,120+Inputs!$B$27+Inputs!$B$29,MAX(0,(Inputs!$B$3-100)*3)+Inputs!$B$28+Inputs!$B$29)))</f>
        <v/>
      </c>
      <c r="E2404">
        <f>INDEX(FactorTable!$B$2:$Y$301, MATCH(ROUND(MIN(300,MAX(1,D2404)),0), FactorTable!$A$2:$A$301,0), Skills!M23+1)</f>
        <v/>
      </c>
      <c r="F2404">
        <f>IF(Skills!N23=TRUE,(Skills!L23/10)*(E2404/1000),Skills!L23/10)+Skills!O23</f>
        <v/>
      </c>
      <c r="G2404">
        <f>Skills!G23*IF(Skills!H23&gt;0,Skills!I23/Skills!H23,1)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Inputs!$B$3&gt;=120</f>
        <v/>
      </c>
      <c r="D2405">
        <f>IF(Skills!C24=1,60+Inputs!$B$25+Inputs!$B$29,IF(Skills!C24=2,90+Inputs!$B$26+Inputs!$B$29,IF(Skills!C24=3,120+Inputs!$B$27+Inputs!$B$29,MAX(0,(Inputs!$B$3-100)*3)+Inputs!$B$28+Inputs!$B$29)))</f>
        <v/>
      </c>
      <c r="E2405">
        <f>INDEX(FactorTable!$B$2:$Y$301, MATCH(ROUND(MIN(300,MAX(1,D2405)),0), FactorTable!$A$2:$A$301,0), Skills!M24+1)</f>
        <v/>
      </c>
      <c r="F2405">
        <f>IF(Skills!N24=TRUE,(Skills!L24/10)*(E2405/1000),Skills!L24/10)+Skills!O24</f>
        <v/>
      </c>
      <c r="G2405">
        <f>Skills!G24*IF(Skills!H24&gt;0,Skills!I24/Skills!H24,1)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Inputs!$B$3&gt;=125</f>
        <v/>
      </c>
      <c r="D2406">
        <f>IF(Skills!C25=1,60+Inputs!$B$25+Inputs!$B$29,IF(Skills!C25=2,90+Inputs!$B$26+Inputs!$B$29,IF(Skills!C25=3,120+Inputs!$B$27+Inputs!$B$29,MAX(0,(Inputs!$B$3-100)*3)+Inputs!$B$28+Inputs!$B$29)))</f>
        <v/>
      </c>
      <c r="E2406">
        <f>INDEX(FactorTable!$B$2:$Y$301, MATCH(ROUND(MIN(300,MAX(1,D2406)),0), FactorTable!$A$2:$A$301,0), Skills!M25+1)</f>
        <v/>
      </c>
      <c r="F2406">
        <f>IF(Skills!N25=TRUE,(Skills!L25/10)*(E2406/1000),Skills!L25/10)+Skills!O25</f>
        <v/>
      </c>
      <c r="G2406">
        <f>Skills!G25*IF(Skills!H25&gt;0,Skills!I25/Skills!H25,1)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Inputs!$B$3&gt;=72</f>
        <v/>
      </c>
      <c r="D2407">
        <f>IF(Skills!C26=1,60+Inputs!$B$25+Inputs!$B$29,IF(Skills!C26=2,90+Inputs!$B$26+Inputs!$B$29,IF(Skills!C26=3,120+Inputs!$B$27+Inputs!$B$29,MAX(0,(Inputs!$B$3-100)*3)+Inputs!$B$28+Inputs!$B$29)))</f>
        <v/>
      </c>
      <c r="E2407">
        <f>INDEX(FactorTable!$B$2:$Y$301, MATCH(ROUND(MIN(300,MAX(1,D2407)),0), FactorTable!$A$2:$A$301,0), Skills!M26+1)</f>
        <v/>
      </c>
      <c r="F2407">
        <f>IF(Skills!N26=TRUE,(Skills!L26/10)*(E2407/1000),Skills!L26/10)+Skills!O26</f>
        <v/>
      </c>
      <c r="G2407">
        <f>Skills!G26*IF(Skills!H26&gt;0,Skills!I26/Skills!H26,1)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2400=TRUE)*F2400*IF(AND(Inputs!$B$38&lt;&gt;"pvp",Inputs!$B$43&gt;0),(((R2400-1)*(Skills!T19*(1+(Inputs!$B$34+(ArtifactsInput!$M$7-ArtifactsInput!$M$7)*CHOOSE(ArtifactsInput!$N$7+1,6,7.2,8.4,9.6,10.8,12))/100))+MIN((Skills!T19*(1+(Inputs!$B$34+(ArtifactsInput!$M$7-ArtifactsInput!$M$7)*CHOOSE(ArtifactsInput!$N$7+1,6,7.2,8.4,9.6,10.8,12))/100)),MAX(0,Inputs!$B$43-((R2400-1)*Skills!D19))))/Inputs!$B$43),IF(Inputs!$B$38="pvp",MIN((Skills!T19*(1+(Inputs!$B$34+(ArtifactsInput!$M$7-ArtifactsInput!$M$7)*CHOOSE(ArtifactsInput!$N$7+1,6,7.2,8.4,9.6,10.8,12))/100)),15)/15,(Skills!T19*(1+(Inputs!$B$34+(ArtifactsInput!$M$7-ArtifactsInput!$M$7)*CHOOSE(ArtifactsInput!$N$7+1,6,7.2,8.4,9.6,10.8,12))/100))/Skills!D19)))</f>
        <v/>
      </c>
    </row>
    <row r="2412">
      <c r="A2412" t="inlineStr">
        <is>
          <t>Actions Per Second</t>
        </is>
      </c>
      <c r="B2412">
        <f>1+MIN(150,150*(1-(1-(Inputs!$B$11+((C2401=TRUE)*(F2401-Calc!F20)))/150)*(1-B2411/150)))/100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Raging Blow Casts Per Second</t>
        </is>
      </c>
      <c r="B2414">
        <f>MAX(0,B2412-B2413)</f>
        <v/>
      </c>
    </row>
    <row r="2415">
      <c r="A2415" t="inlineStr">
        <is>
          <t>Global Critical Damage Bonus % (Enrage)</t>
        </is>
      </c>
      <c r="B2415">
        <f>((C2399=TRUE)*F2399*IF(AND(Inputs!$B$38&lt;&gt;"pvp",Inputs!$B$43&gt;0),(((R2399-1)*(Skills!T18*(1+(Inputs!$B$34+(ArtifactsInput!$M$7-ArtifactsInput!$M$7)*CHOOSE(ArtifactsInput!$N$7+1,6,7.2,8.4,9.6,10.8,12))/100))+MIN((Skills!T18*(1+(Inputs!$B$34+(ArtifactsInput!$M$7-ArtifactsInput!$M$7)*CHOOSE(ArtifactsInput!$N$7+1,6,7.2,8.4,9.6,10.8,12))/100)),MAX(0,Inputs!$B$43-((R2399-1)*Skills!D18))))/Inputs!$B$43),IF(Inputs!$B$38="pvp",MIN((Skills!T18*(1+(Inputs!$B$34+(ArtifactsInput!$M$7-ArtifactsInput!$M$7)*CHOOSE(ArtifactsInput!$N$7+1,6,7.2,8.4,9.6,10.8,12))/100)),15)/15,(Skills!T18*(1+(Inputs!$B$34+(ArtifactsInput!$M$7-ArtifactsInput!$M$7)*CHOOSE(ArtifactsInput!$N$7+1,6,7.2,8.4,9.6,10.8,12))/100))/Skills!D18)))</f>
        <v/>
      </c>
    </row>
    <row r="2416">
      <c r="A2416" t="inlineStr">
        <is>
          <t>Global Final Damage Bonus % (Enrage + Combo Synergy)</t>
        </is>
      </c>
      <c r="B2416">
        <f>((C2398=TRUE)*F2398*IF(AND(Inputs!$B$38&lt;&gt;"pvp",Inputs!$B$43&gt;0),(((R2398-1)*(Skills!T17*(1+(Inputs!$B$34+(ArtifactsInput!$M$7-ArtifactsInput!$M$7)*CHOOSE(ArtifactsInput!$N$7+1,6,7.2,8.4,9.6,10.8,12))/100))+MIN((Skills!T17*(1+(Inputs!$B$34+(ArtifactsInput!$M$7-ArtifactsInput!$M$7)*CHOOSE(ArtifactsInput!$N$7+1,6,7.2,8.4,9.6,10.8,12))/100)),MAX(0,Inputs!$B$43-((R2398-1)*Skills!D17))))/Inputs!$B$43),IF(Inputs!$B$38="pvp",MIN((Skills!T17*(1+(Inputs!$B$34+(ArtifactsInput!$M$7-ArtifactsInput!$M$7)*CHOOSE(ArtifactsInput!$N$7+1,6,7.2,8.4,9.6,10.8,12))/100)),15)/15,(Skills!T17*(1+(Inputs!$B$34+(ArtifactsInput!$M$7-ArtifactsInput!$M$7)*CHOOSE(ArtifactsInput!$N$7+1,6,7.2,8.4,9.6,10.8,12))/100))/Skills!D17)))+((C2395=TRUE)*F2395*IF(Inputs!$B$3&gt;=110,7,5))</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2425)</f>
        <v/>
      </c>
      <c r="L2425">
        <f>K2425*(MIN(Inputs!$B$22+((C2445=TRUE)*(F2445-Calc!F22)),(Inputs!$B$23+((C2447=TRUE)*(F2447-Calc!F24))+(IF(ArtifactsInput!$M$15,CHOOSE(ArtifactsInput!$N$15+1,25,30,35,40,45,50)/100*(Inputs!$B$11-Inputs!$B$11),0))))/100+(Inputs!$B$23+((C2447=TRUE)*(F2447-Calc!F24))+(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INDEX(FactorTable!$B$2:$Y$301, MATCH(ROUND(MIN(300,MAX(1,U2425)),0), FactorTable!$A$2:$A$301,0), 22)</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U2427">
        <f>290*U2426/1000</f>
        <v/>
      </c>
    </row>
    <row r="2428">
      <c r="A2428">
        <f>Skills!A5</f>
        <v/>
      </c>
      <c r="B2428">
        <f>Skills!B5</f>
        <v/>
      </c>
      <c r="C2428">
        <f>Inputs!$B$3&gt;=103</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2428)</f>
        <v/>
      </c>
      <c r="L2428">
        <f>K2428*(MIN(Inputs!$B$22+((C2445=TRUE)*(F2445-Calc!F22)),(Inputs!$B$23+((C2447=TRUE)*(F2447-Calc!F24))+(IF(ArtifactsInput!$M$15,CHOOSE(ArtifactsInput!$N$15+1,25,30,35,40,45,50)/100*(Inputs!$B$11-Inputs!$B$11),0))))/100+(Inputs!$B$23+((C2447=TRUE)*(F2447-Calc!F24))+(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IFERROR(1/(IF(Inputs!$B$38="pvp",15,MAX(0.1,Skills!D5-IF(Skills!E5=TRUE,Inputs!$B$32,0)))*(1-IF(AND(ArtifactsInput!$M$27,Inputs!$B$4="Chapter Hunt"),CHOOSE(ArtifactsInput!$N$27+1,20,24,28,32,36,40),0)/100)),0)</f>
        <v/>
      </c>
      <c r="R2428">
        <f>IF(AND(Inputs!$B$38&lt;&gt;"pvp",Inputs!$B$43&gt;0),IF(MAX(0,Inputs!$B$43-B2459)&lt;=0,0,(INT(MAX(0,Inputs!$B$43-B2459)/(IF(Inputs!$B$38="pvp",15,MAX(0.1,Skills!D5-IF(Skills!E5=TRUE,Inputs!$B$32,0)))*(1-IF(AND(ArtifactsInput!$M$27,Inputs!$B$4="Chapter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2429)</f>
        <v/>
      </c>
      <c r="L2429">
        <f>K2429*(MIN(Inputs!$B$22+((C2445=TRUE)*(F2445-Calc!F22)),(Inputs!$B$23+((C2447=TRUE)*(F2447-Calc!F24))+(IF(ArtifactsInput!$M$15,CHOOSE(ArtifactsInput!$N$15+1,25,30,35,40,45,50)/100*(Inputs!$B$11-Inputs!$B$11),0))))/100+(Inputs!$B$23+((C2447=TRUE)*(F2447-Calc!F24))+(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IFERROR(1/(IF(Inputs!$B$38="pvp",15,MAX(0.1,Skills!D6-IF(Skills!E6=TRUE,Inputs!$B$32,0)))*(1-IF(AND(ArtifactsInput!$M$27,Inputs!$B$4="Chapter Hunt"),CHOOSE(ArtifactsInput!$N$27+1,20,24,28,32,36,40),0)/100)),0)</f>
        <v/>
      </c>
      <c r="R2429">
        <f>IF(AND(Inputs!$B$38&lt;&gt;"pvp",Inputs!$B$43&gt;0),IF(MAX(0,Inputs!$B$43-B2459)&lt;=0,0,(INT(MAX(0,Inputs!$B$43-B2459)/(IF(Inputs!$B$38="pvp",15,MAX(0.1,Skills!D6-IF(Skills!E6=TRUE,Inputs!$B$32,0)))*(1-IF(AND(ArtifactsInput!$M$27,Inputs!$B$4="Chapter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f>Skills!G7*IF(Skills!H7&gt;0,Skills!I7/Skills!H7,1)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2430)</f>
        <v/>
      </c>
      <c r="L2430">
        <f>K2430*(MIN(Inputs!$B$22+((C2445=TRUE)*(F2445-Calc!F22)),(Inputs!$B$23+((C2447=TRUE)*(F2447-Calc!F24))+(IF(ArtifactsInput!$M$15,CHOOSE(ArtifactsInput!$N$15+1,25,30,35,40,45,50)/100*(Inputs!$B$11-Inputs!$B$11),0))))/100+(Inputs!$B$23+((C2447=TRUE)*(F2447-Calc!F24))+(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IFERROR(1/(IF(Inputs!$B$38="pvp",15,MAX(0.1,Skills!D7-IF(Skills!E7=TRUE,Inputs!$B$32,0)))*(1-IF(AND(ArtifactsInput!$M$27,Inputs!$B$4="Chapter Hunt"),CHOOSE(ArtifactsInput!$N$27+1,20,24,28,32,36,40),0)/100)),0)</f>
        <v/>
      </c>
      <c r="R2430">
        <f>IF(AND(Inputs!$B$38&lt;&gt;"pvp",Inputs!$B$43&gt;0),IF(MAX(0,Inputs!$B$43-B2459)&lt;=0,0,(INT(MAX(0,Inputs!$B$43-B2459)/(IF(Inputs!$B$38="pvp",15,MAX(0.1,Skills!D7-IF(Skills!E7=TRUE,Inputs!$B$32,0)))*(1-IF(AND(ArtifactsInput!$M$27,Inputs!$B$4="Chapter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Inputs!$B$3&gt;=117</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2431)</f>
        <v/>
      </c>
      <c r="L2431">
        <f>K2431*(MIN(Inputs!$B$22+((C2445=TRUE)*(F2445-Calc!F22)),(Inputs!$B$23+((C2447=TRUE)*(F2447-Calc!F24))+(IF(ArtifactsInput!$M$15,CHOOSE(ArtifactsInput!$N$15+1,25,30,35,40,45,50)/100*(Inputs!$B$11-Inputs!$B$11),0))))/100+(Inputs!$B$23+((C2447=TRUE)*(F2447-Calc!F24))+(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IFERROR(1/(IF(Inputs!$B$38="pvp",15,MAX(0.1,Skills!D8-IF(Skills!E8=TRUE,Inputs!$B$32,0)))*(1-IF(AND(ArtifactsInput!$M$27,Inputs!$B$4="Chapter Hunt"),CHOOSE(ArtifactsInput!$N$27+1,20,24,28,32,36,40),0)/100)),0)</f>
        <v/>
      </c>
      <c r="R2431">
        <f>IF(AND(Inputs!$B$38&lt;&gt;"pvp",Inputs!$B$43&gt;0),IF(MAX(0,Inputs!$B$43-B2459)&lt;=0,0,(INT(MAX(0,Inputs!$B$43-B2459)/(IF(Inputs!$B$38="pvp",15,MAX(0.1,Skills!D8-IF(Skills!E8=TRUE,Inputs!$B$32,0)))*(1-IF(AND(ArtifactsInput!$M$27,Inputs!$B$4="Chapter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9="ENHANCED_RAGING_BLOW",IF(Inputs!$B$3&gt;=134,MAX(0,IF(Inputs!$B$3&gt;=110,7,5)-5)*50,0),0)/100)*(1+(IF(Skills!A9="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2432)</f>
        <v/>
      </c>
      <c r="L2432">
        <f>K2432*(MIN(Inputs!$B$22+((C2445=TRUE)*(F2445-Calc!F22)),(Inputs!$B$23+((C2447=TRUE)*(F2447-Calc!F24))+(IF(ArtifactsInput!$M$15,CHOOSE(ArtifactsInput!$N$15+1,25,30,35,40,45,50)/100*(Inputs!$B$11-Inputs!$B$11),0))))/100+(Inputs!$B$23+((C2447=TRUE)*(F2447-Calc!F24))+(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IFERROR(1/(IF(Inputs!$B$38="pvp",15,MAX(0.1,Skills!D9-IF(Skills!E9=TRUE,Inputs!$B$32,0)))*(1-IF(AND(ArtifactsInput!$M$27,Inputs!$B$4="Chapter Hunt"),CHOOSE(ArtifactsInput!$N$27+1,20,24,28,32,36,40),0)/100)),0)</f>
        <v/>
      </c>
      <c r="R2432">
        <f>IF(AND(Inputs!$B$38&lt;&gt;"pvp",Inputs!$B$43&gt;0),IF(MAX(0,Inputs!$B$43-B2459)&lt;=0,0,(INT(MAX(0,Inputs!$B$43-B2459)/(IF(Inputs!$B$38="pvp",15,MAX(0.1,Skills!D9-IF(Skills!E9=TRUE,Inputs!$B$32,0)))*(1-IF(AND(ArtifactsInput!$M$27,Inputs!$B$4="Chapter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10="ENHANCED_RAGING_BLOW",IF(Inputs!$B$3&gt;=134,MAX(0,IF(Inputs!$B$3&gt;=110,7,5)-5)*50,0),0)/100)*(1+(IF(Skills!A10="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2433)</f>
        <v/>
      </c>
      <c r="L2433">
        <f>K2433*(MIN(Inputs!$B$22+((C2445=TRUE)*(F2445-Calc!F22)),(Inputs!$B$23+((C2447=TRUE)*(F2447-Calc!F24))+(IF(ArtifactsInput!$M$15,CHOOSE(ArtifactsInput!$N$15+1,25,30,35,40,45,50)/100*(Inputs!$B$11-Inputs!$B$11),0))))/100+(Inputs!$B$23+((C2447=TRUE)*(F2447-Calc!F24))+(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IFERROR(1/(IF(Inputs!$B$38="pvp",15,MAX(0.1,Skills!D10-IF(Skills!E10=TRUE,Inputs!$B$32,0)))*(1-IF(AND(ArtifactsInput!$M$27,Inputs!$B$4="Chapter Hunt"),CHOOSE(ArtifactsInput!$N$27+1,20,24,28,32,36,40),0)/100)),0)</f>
        <v/>
      </c>
      <c r="R2433">
        <f>IF(AND(Inputs!$B$38&lt;&gt;"pvp",Inputs!$B$43&gt;0),IF(MAX(0,Inputs!$B$43-B2459)&lt;=0,0,(INT(MAX(0,Inputs!$B$43-B2459)/(IF(Inputs!$B$38="pvp",15,MAX(0.1,Skills!D10-IF(Skills!E10=TRUE,Inputs!$B$32,0)))*(1-IF(AND(ArtifactsInput!$M$27,Inputs!$B$4="Chapter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Inputs!$B$3&gt;=35</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11="ENHANCED_RAGING_BLOW",IF(Inputs!$B$3&gt;=134,MAX(0,IF(Inputs!$B$3&gt;=110,7,5)-5)*50,0),0)/100)*(1+(IF(Skills!A11="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2434)</f>
        <v/>
      </c>
      <c r="L2434">
        <f>K2434*(MIN(Inputs!$B$22+((C2445=TRUE)*(F2445-Calc!F22)),(Inputs!$B$23+((C2447=TRUE)*(F2447-Calc!F24))+(IF(ArtifactsInput!$M$15,CHOOSE(ArtifactsInput!$N$15+1,25,30,35,40,45,50)/100*(Inputs!$B$11-Inputs!$B$11),0))))/100+(Inputs!$B$23+((C2447=TRUE)*(F2447-Calc!F24))+(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IFERROR(1/(IF(Inputs!$B$38="pvp",15,MAX(0.1,Skills!D11-IF(Skills!E11=TRUE,Inputs!$B$32,0)))*(1-IF(AND(ArtifactsInput!$M$27,Inputs!$B$4="Chapter Hunt"),CHOOSE(ArtifactsInput!$N$27+1,20,24,28,32,36,40),0)/100)),0)</f>
        <v/>
      </c>
      <c r="R2434">
        <f>IF(AND(Inputs!$B$38&lt;&gt;"pvp",Inputs!$B$43&gt;0),IF(MAX(0,Inputs!$B$43-B2459)&lt;=0,0,(INT(MAX(0,Inputs!$B$43-B2459)/(IF(Inputs!$B$38="pvp",15,MAX(0.1,Skills!D11-IF(Skills!E11=TRUE,Inputs!$B$32,0)))*(1-IF(AND(ArtifactsInput!$M$27,Inputs!$B$4="Chapter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Inputs!$B$3&gt;=75</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f>Skills!G14*IF(Skills!H14&gt;0,Skills!I14/Skills!H14,1)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Inputs!$B$3&gt;=40</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IFERROR(1/(IF(Inputs!$B$38="pvp",15,MAX(0.1,Skills!D15-IF(Skills!E15=TRUE,Inputs!$B$32,0)))*(1-IF(AND(ArtifactsInput!$M$27,Inputs!$B$4="Chapter Hunt"),CHOOSE(ArtifactsInput!$N$27+1,20,24,28,32,36,40),0)/100)),0)</f>
        <v/>
      </c>
      <c r="R2438">
        <f>IF(AND(Inputs!$B$38&lt;&gt;"pvp",Inputs!$B$43&gt;0),IF(Inputs!$B$43&lt;=0,0,(INT(Inputs!$B$43/(IF(Inputs!$B$38="pvp",15,MAX(0.1,Skills!D15-IF(Skills!E15=TRUE,Inputs!$B$32,0)))*(1-IF(AND(ArtifactsInput!$M$27,Inputs!$B$4="Chapter Hunt"),CHOOSE(ArtifactsInput!$N$27+1,20,24,28,32,36,40),0)/100)))+1)),0)</f>
        <v/>
      </c>
      <c r="S2438">
        <f>IFERROR(O2438/N2438,0)</f>
        <v/>
      </c>
      <c r="T2438" t="n">
        <v>0</v>
      </c>
      <c r="V2438" t="n">
        <v>0</v>
      </c>
    </row>
    <row r="2439">
      <c r="A2439">
        <f>Skills!A16</f>
        <v/>
      </c>
      <c r="B2439">
        <f>Skills!B16</f>
        <v/>
      </c>
      <c r="C2439">
        <f>Inputs!$B$3&gt;=66</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IFERROR(1/(IF(Inputs!$B$38="pvp",15,MAX(0.1,Skills!D16-IF(Skills!E16=TRUE,Inputs!$B$32,0)))*(1-IF(AND(ArtifactsInput!$M$27,Inputs!$B$4="Chapter Hunt"),CHOOSE(ArtifactsInput!$N$27+1,20,24,28,32,36,40),0)/100)),0)</f>
        <v/>
      </c>
      <c r="R2439">
        <f>IF(AND(Inputs!$B$38&lt;&gt;"pvp",Inputs!$B$43&gt;0),IF(Inputs!$B$43&lt;=0,0,(INT(Inputs!$B$43/(IF(Inputs!$B$38="pvp",15,MAX(0.1,Skills!D16-IF(Skills!E16=TRUE,Inputs!$B$32,0)))*(1-IF(AND(ArtifactsInput!$M$27,Inputs!$B$4="Chapter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IFERROR(1/(IF(Inputs!$B$38="pvp",15,MAX(0.1,Skills!D17-IF(Skills!E17=TRUE,Inputs!$B$32,0)))*(1-IF(AND(ArtifactsInput!$M$27,Inputs!$B$4="Chapter Hunt"),CHOOSE(ArtifactsInput!$N$27+1,20,24,28,32,36,40),0)/100)),0)</f>
        <v/>
      </c>
      <c r="R2440">
        <f>IF(AND(Inputs!$B$38&lt;&gt;"pvp",Inputs!$B$43&gt;0),IF(Inputs!$B$43&lt;=0,0,(INT(Inputs!$B$43/(IF(Inputs!$B$38="pvp",15,MAX(0.1,Skills!D17-IF(Skills!E17=TRUE,Inputs!$B$32,0)))*(1-IF(AND(ArtifactsInput!$M$27,Inputs!$B$4="Chapter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IFERROR(1/(IF(Inputs!$B$38="pvp",15,MAX(0.1,Skills!D18-IF(Skills!E18=TRUE,Inputs!$B$32,0)))*(1-IF(AND(ArtifactsInput!$M$27,Inputs!$B$4="Chapter Hunt"),CHOOSE(ArtifactsInput!$N$27+1,20,24,28,32,36,40),0)/100)),0)</f>
        <v/>
      </c>
      <c r="R2441">
        <f>IF(AND(Inputs!$B$38&lt;&gt;"pvp",Inputs!$B$43&gt;0),IF(Inputs!$B$43&lt;=0,0,(INT(Inputs!$B$43/(IF(Inputs!$B$38="pvp",15,MAX(0.1,Skills!D18-IF(Skills!E18=TRUE,Inputs!$B$32,0)))*(1-IF(AND(ArtifactsInput!$M$27,Inputs!$B$4="Chapter Hunt"),CHOOSE(ArtifactsInput!$N$27+1,20,24,28,32,36,40),0)/100)))+1)),0)</f>
        <v/>
      </c>
      <c r="S2441">
        <f>IFERROR(O2441/N2441,0)</f>
        <v/>
      </c>
      <c r="T2441" t="n">
        <v>0</v>
      </c>
      <c r="V2441" t="n">
        <v>0</v>
      </c>
    </row>
    <row r="2442">
      <c r="A2442">
        <f>Skills!A19</f>
        <v/>
      </c>
      <c r="B2442">
        <f>Skills!B19</f>
        <v/>
      </c>
      <c r="C2442">
        <f>TRUE</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IFERROR(1/(IF(Inputs!$B$38="pvp",15,MAX(0.1,Skills!D19-IF(Skills!E19=TRUE,Inputs!$B$32,0)))*(1-IF(AND(ArtifactsInput!$M$27,Inputs!$B$4="Chapter Hunt"),CHOOSE(ArtifactsInput!$N$27+1,20,24,28,32,36,40),0)/100)),0)</f>
        <v/>
      </c>
      <c r="R2442">
        <f>IF(AND(Inputs!$B$38&lt;&gt;"pvp",Inputs!$B$43&gt;0),IF(Inputs!$B$43&lt;=0,0,(INT(Inputs!$B$43/(IF(Inputs!$B$38="pvp",15,MAX(0.1,Skills!D19-IF(Skills!E19=TRUE,Inputs!$B$32,0)))*(1-IF(AND(ArtifactsInput!$M$27,Inputs!$B$4="Chapter Hunt"),CHOOSE(ArtifactsInput!$N$27+1,20,24,28,32,36,40),0)/100)))+1)),0)</f>
        <v/>
      </c>
      <c r="S2442">
        <f>IFERROR(O2442/N2442,0)</f>
        <v/>
      </c>
      <c r="T2442" t="n">
        <v>0</v>
      </c>
      <c r="V2442" t="n">
        <v>0</v>
      </c>
    </row>
    <row r="2443">
      <c r="A2443">
        <f>Skills!A20</f>
        <v/>
      </c>
      <c r="B2443">
        <f>Skills!B20</f>
        <v/>
      </c>
      <c r="C2443">
        <f>Inputs!$B$3&gt;=33</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Inputs!$B$3&gt;=38</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Skills!A22</f>
        <v/>
      </c>
      <c r="B2445">
        <f>Skills!B22</f>
        <v/>
      </c>
      <c r="C2445">
        <f>Inputs!$B$3&gt;=43</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Inputs!$B$3&gt;=120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Inputs!$B$3&gt;=120</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Inputs!$B$3&gt;=125</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Inputs!$B$3&gt;=72</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2442=TRUE)*F2442*IF(AND(Inputs!$B$38&lt;&gt;"pvp",Inputs!$B$43&gt;0),(((R2442-1)*(Skills!T19*(1+(Inputs!$B$34+(ArtifactsInput!$M$7-ArtifactsInput!$M$7)*CHOOSE(ArtifactsInput!$N$7+1,6,7.2,8.4,9.6,10.8,12))/100))+MIN((Skills!T19*(1+(Inputs!$B$34+(ArtifactsInput!$M$7-ArtifactsInput!$M$7)*CHOOSE(ArtifactsInput!$N$7+1,6,7.2,8.4,9.6,10.8,12))/100)),MAX(0,Inputs!$B$43-((R2442-1)*Skills!D19))))/Inputs!$B$43),IF(Inputs!$B$38="pvp",MIN((Skills!T19*(1+(Inputs!$B$34+(ArtifactsInput!$M$7-ArtifactsInput!$M$7)*CHOOSE(ArtifactsInput!$N$7+1,6,7.2,8.4,9.6,10.8,12))/100)),15)/15,(Skills!T19*(1+(Inputs!$B$34+(ArtifactsInput!$M$7-ArtifactsInput!$M$7)*CHOOSE(ArtifactsInput!$N$7+1,6,7.2,8.4,9.6,10.8,12))/100))/Skills!D19)))</f>
        <v/>
      </c>
    </row>
    <row r="2454">
      <c r="A2454" t="inlineStr">
        <is>
          <t>Actions Per Second</t>
        </is>
      </c>
      <c r="B2454">
        <f>1+MIN(150,150*(1-(1-(Inputs!$B$11+((C2443=TRUE)*(F2443-Calc!F20)))/150)*(1-B2453/150)))/100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Raging Blow Casts Per Second</t>
        </is>
      </c>
      <c r="B2456">
        <f>MAX(0,B2454-B2455)</f>
        <v/>
      </c>
    </row>
    <row r="2457">
      <c r="A2457" t="inlineStr">
        <is>
          <t>Global Critical Damage Bonus % (Enrage)</t>
        </is>
      </c>
      <c r="B2457">
        <f>((C2441=TRUE)*F2441*IF(AND(Inputs!$B$38&lt;&gt;"pvp",Inputs!$B$43&gt;0),(((R2441-1)*(Skills!T18*(1+(Inputs!$B$34+(ArtifactsInput!$M$7-ArtifactsInput!$M$7)*CHOOSE(ArtifactsInput!$N$7+1,6,7.2,8.4,9.6,10.8,12))/100))+MIN((Skills!T18*(1+(Inputs!$B$34+(ArtifactsInput!$M$7-ArtifactsInput!$M$7)*CHOOSE(ArtifactsInput!$N$7+1,6,7.2,8.4,9.6,10.8,12))/100)),MAX(0,Inputs!$B$43-((R2441-1)*Skills!D18))))/Inputs!$B$43),IF(Inputs!$B$38="pvp",MIN((Skills!T18*(1+(Inputs!$B$34+(ArtifactsInput!$M$7-ArtifactsInput!$M$7)*CHOOSE(ArtifactsInput!$N$7+1,6,7.2,8.4,9.6,10.8,12))/100)),15)/15,(Skills!T18*(1+(Inputs!$B$34+(ArtifactsInput!$M$7-ArtifactsInput!$M$7)*CHOOSE(ArtifactsInput!$N$7+1,6,7.2,8.4,9.6,10.8,12))/100))/Skills!D18)))</f>
        <v/>
      </c>
    </row>
    <row r="2458">
      <c r="A2458" t="inlineStr">
        <is>
          <t>Global Final Damage Bonus % (Enrage + Combo Synergy)</t>
        </is>
      </c>
      <c r="B2458">
        <f>((C2440=TRUE)*F2440*IF(AND(Inputs!$B$38&lt;&gt;"pvp",Inputs!$B$43&gt;0),(((R2440-1)*(Skills!T17*(1+(Inputs!$B$34+(ArtifactsInput!$M$7-ArtifactsInput!$M$7)*CHOOSE(ArtifactsInput!$N$7+1,6,7.2,8.4,9.6,10.8,12))/100))+MIN((Skills!T17*(1+(Inputs!$B$34+(ArtifactsInput!$M$7-ArtifactsInput!$M$7)*CHOOSE(ArtifactsInput!$N$7+1,6,7.2,8.4,9.6,10.8,12))/100)),MAX(0,Inputs!$B$43-((R2440-1)*Skills!D17))))/Inputs!$B$43),IF(Inputs!$B$38="pvp",MIN((Skills!T17*(1+(Inputs!$B$34+(ArtifactsInput!$M$7-ArtifactsInput!$M$7)*CHOOSE(ArtifactsInput!$N$7+1,6,7.2,8.4,9.6,10.8,12))/100)),15)/15,(Skills!T17*(1+(Inputs!$B$34+(ArtifactsInput!$M$7-ArtifactsInput!$M$7)*CHOOSE(ArtifactsInput!$N$7+1,6,7.2,8.4,9.6,10.8,12))/100))/Skills!D17)))+((C2437=TRUE)*F2437*IF(Inputs!$B$3&gt;=110,7,5))</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2467)</f>
        <v/>
      </c>
      <c r="L2467">
        <f>K2467*(MIN(Inputs!$B$22+((C2487=TRUE)*(F2487-Calc!F22)),(Inputs!$B$23+((C2489=TRUE)*(F2489-Calc!F24))+(IF(ArtifactsInput!$M$15,CHOOSE(ArtifactsInput!$N$15+1,25,30,35,40,45,50)/100*(Inputs!$B$11-Inputs!$B$11),0))))/100+(Inputs!$B$23+((C2489=TRUE)*(F2489-Calc!F24))+(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INDEX(FactorTable!$B$2:$Y$301, MATCH(ROUND(MIN(300,MAX(1,D2468)),0),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INDEX(FactorTable!$B$2:$Y$301, MATCH(ROUND(MIN(300,MAX(1,U2467)),0), FactorTable!$A$2:$A$301,0), 22)</f>
        <v/>
      </c>
    </row>
    <row r="2469">
      <c r="A2469">
        <f>Skills!A4</f>
        <v/>
      </c>
      <c r="B2469">
        <f>Skills!B4</f>
        <v/>
      </c>
      <c r="C2469">
        <f>Inputs!$B$3&gt;=105</f>
        <v/>
      </c>
      <c r="D2469">
        <f>IF(Skills!C4=1,60+Inputs!$B$25+Inputs!$B$29,IF(Skills!C4=2,90+Inputs!$B$26+Inputs!$B$29,IF(Skills!C4=3,120+Inputs!$B$27+Inputs!$B$29,MAX(0,(Inputs!$B$3-100)*3)+Inputs!$B$28+Inputs!$B$29)))</f>
        <v/>
      </c>
      <c r="E2469">
        <f>INDEX(FactorTable!$B$2:$Y$301, MATCH(ROUND(MIN(300,MAX(1,D2469)),0), FactorTable!$A$2:$A$301,0), Skills!M4+1)</f>
        <v/>
      </c>
      <c r="F2469">
        <f>IF(Skills!N4=TRUE,(Skills!L4/10)*(E2469/1000),Skills!L4/10)+Skills!O4</f>
        <v/>
      </c>
      <c r="G2469" t="inlineStr"/>
      <c r="H2469" t="inlineStr"/>
      <c r="I2469" t="inlineStr">
        <is>
          <t>1</t>
        </is>
      </c>
      <c r="J2469" t="inlineStr"/>
      <c r="K2469" t="inlineStr"/>
      <c r="L2469" t="inlineStr"/>
      <c r="M2469" t="inlineStr"/>
      <c r="N2469" t="inlineStr"/>
      <c r="O2469" t="inlineStr"/>
      <c r="P2469" t="inlineStr"/>
      <c r="Q2469" t="inlineStr"/>
      <c r="R2469" t="inlineStr"/>
      <c r="S2469" t="inlineStr"/>
      <c r="U2469">
        <f>290*U2468/1000</f>
        <v/>
      </c>
    </row>
    <row r="2470">
      <c r="A2470">
        <f>Skills!A5</f>
        <v/>
      </c>
      <c r="B2470">
        <f>Skills!B5</f>
        <v/>
      </c>
      <c r="C2470">
        <f>Inputs!$B$3&gt;=103</f>
        <v/>
      </c>
      <c r="D2470">
        <f>IF(Skills!C5=1,60+Inputs!$B$25+Inputs!$B$29,IF(Skills!C5=2,90+Inputs!$B$26+Inputs!$B$29,IF(Skills!C5=3,120+Inputs!$B$27+Inputs!$B$29,MAX(0,(Inputs!$B$3-100)*3)+Inputs!$B$28+Inputs!$B$29)))</f>
        <v/>
      </c>
      <c r="E2470">
        <f>INDEX(FactorTable!$B$2:$Y$301, MATCH(ROUND(MIN(300,MAX(1,D2470)),0), FactorTable!$A$2:$A$301,0), Skills!M5+1)</f>
        <v/>
      </c>
      <c r="F2470">
        <f>IF(Skills!N5=TRUE,(Skills!L5/10)*(E2470/1000),Skills!L5/10)+Skills!O5</f>
        <v/>
      </c>
      <c r="G2470">
        <f>Skills!G5*IF(Skills!H5&gt;0,Skills!I5/Skills!H5,1)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2470)</f>
        <v/>
      </c>
      <c r="L2470">
        <f>K2470*(MIN(Inputs!$B$22+((C2487=TRUE)*(F2487-Calc!F22)),(Inputs!$B$23+((C2489=TRUE)*(F2489-Calc!F24))+(IF(ArtifactsInput!$M$15,CHOOSE(ArtifactsInput!$N$15+1,25,30,35,40,45,50)/100*(Inputs!$B$11-Inputs!$B$11),0))))/100+(Inputs!$B$23+((C2489=TRUE)*(F2489-Calc!F24))+(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IFERROR(1/(IF(Inputs!$B$38="pvp",15,MAX(0.1,Skills!D5-IF(Skills!E5=TRUE,Inputs!$B$32,0)))*(1-IF(AND(ArtifactsInput!$M$27,Inputs!$B$4="Chapter Hunt"),CHOOSE(ArtifactsInput!$N$27+1,20,24,28,32,36,40),0)/100)),0)</f>
        <v/>
      </c>
      <c r="R2470">
        <f>IF(AND(Inputs!$B$38&lt;&gt;"pvp",Inputs!$B$43&gt;0),IF(MAX(0,Inputs!$B$43-B2501)&lt;=0,0,(INT(MAX(0,Inputs!$B$43-B2501)/(IF(Inputs!$B$38="pvp",15,MAX(0.1,Skills!D5-IF(Skills!E5=TRUE,Inputs!$B$32,0)))*(1-IF(AND(ArtifactsInput!$M$27,Inputs!$B$4="Chapter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INDEX(FactorTable!$B$2:$Y$301, MATCH(ROUND(MIN(300,MAX(1,D2471)),0), FactorTable!$A$2:$A$301,0), Skills!M6+1)</f>
        <v/>
      </c>
      <c r="F2471">
        <f>IF(Skills!N6=TRUE,(Skills!L6/10)*(E2471/1000),Skills!L6/10)+Skills!O6</f>
        <v/>
      </c>
      <c r="G2471">
        <f>Skills!G6*IF(Skills!H6&gt;0,Skills!I6/Skills!H6,1)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2471)</f>
        <v/>
      </c>
      <c r="L2471">
        <f>K2471*(MIN(Inputs!$B$22+((C2487=TRUE)*(F2487-Calc!F22)),(Inputs!$B$23+((C2489=TRUE)*(F2489-Calc!F24))+(IF(ArtifactsInput!$M$15,CHOOSE(ArtifactsInput!$N$15+1,25,30,35,40,45,50)/100*(Inputs!$B$11-Inputs!$B$11),0))))/100+(Inputs!$B$23+((C2489=TRUE)*(F2489-Calc!F24))+(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IFERROR(1/(IF(Inputs!$B$38="pvp",15,MAX(0.1,Skills!D6-IF(Skills!E6=TRUE,Inputs!$B$32,0)))*(1-IF(AND(ArtifactsInput!$M$27,Inputs!$B$4="Chapter Hunt"),CHOOSE(ArtifactsInput!$N$27+1,20,24,28,32,36,40),0)/100)),0)</f>
        <v/>
      </c>
      <c r="R2471">
        <f>IF(AND(Inputs!$B$38&lt;&gt;"pvp",Inputs!$B$43&gt;0),IF(MAX(0,Inputs!$B$43-B2501)&lt;=0,0,(INT(MAX(0,Inputs!$B$43-B2501)/(IF(Inputs!$B$38="pvp",15,MAX(0.1,Skills!D6-IF(Skills!E6=TRUE,Inputs!$B$32,0)))*(1-IF(AND(ArtifactsInput!$M$27,Inputs!$B$4="Chapter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INDEX(FactorTable!$B$2:$Y$301, MATCH(ROUND(MIN(300,MAX(1,D2472)),0), FactorTable!$A$2:$A$301,0), Skills!M7+1)</f>
        <v/>
      </c>
      <c r="F2472">
        <f>IF(Skills!N7=TRUE,(Skills!L7/10)*(E2472/1000),Skills!L7/10)+Skills!O7</f>
        <v/>
      </c>
      <c r="G2472">
        <f>Skills!G7*IF(Skills!H7&gt;0,Skills!I7/Skills!H7,1)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2472)</f>
        <v/>
      </c>
      <c r="L2472">
        <f>K2472*(MIN(Inputs!$B$22+((C2487=TRUE)*(F2487-Calc!F22)),(Inputs!$B$23+((C2489=TRUE)*(F2489-Calc!F24))+(IF(ArtifactsInput!$M$15,CHOOSE(ArtifactsInput!$N$15+1,25,30,35,40,45,50)/100*(Inputs!$B$11-Inputs!$B$11),0))))/100+(Inputs!$B$23+((C2489=TRUE)*(F2489-Calc!F24))+(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IFERROR(1/(IF(Inputs!$B$38="pvp",15,MAX(0.1,Skills!D7-IF(Skills!E7=TRUE,Inputs!$B$32,0)))*(1-IF(AND(ArtifactsInput!$M$27,Inputs!$B$4="Chapter Hunt"),CHOOSE(ArtifactsInput!$N$27+1,20,24,28,32,36,40),0)/100)),0)</f>
        <v/>
      </c>
      <c r="R2472">
        <f>IF(AND(Inputs!$B$38&lt;&gt;"pvp",Inputs!$B$43&gt;0),IF(MAX(0,Inputs!$B$43-B2501)&lt;=0,0,(INT(MAX(0,Inputs!$B$43-B2501)/(IF(Inputs!$B$38="pvp",15,MAX(0.1,Skills!D7-IF(Skills!E7=TRUE,Inputs!$B$32,0)))*(1-IF(AND(ArtifactsInput!$M$27,Inputs!$B$4="Chapter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Inputs!$B$3&gt;=117</f>
        <v/>
      </c>
      <c r="D2473">
        <f>IF(Skills!C8=1,60+Inputs!$B$25+Inputs!$B$29,IF(Skills!C8=2,90+Inputs!$B$26+Inputs!$B$29,IF(Skills!C8=3,120+Inputs!$B$27+Inputs!$B$29,MAX(0,(Inputs!$B$3-100)*3)+Inputs!$B$28+Inputs!$B$29)))</f>
        <v/>
      </c>
      <c r="E2473">
        <f>INDEX(FactorTable!$B$2:$Y$301, MATCH(ROUND(MIN(300,MAX(1,D2473)),0), FactorTable!$A$2:$A$301,0), Skills!M8+1)</f>
        <v/>
      </c>
      <c r="F2473">
        <f>IF(Skills!N8=TRUE,(Skills!L8/10)*(E2473/1000),Skills!L8/10)+Skills!O8</f>
        <v/>
      </c>
      <c r="G2473">
        <f>Skills!G8*IF(Skills!H8&gt;0,Skills!I8/Skills!H8,1)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2473)</f>
        <v/>
      </c>
      <c r="L2473">
        <f>K2473*(MIN(Inputs!$B$22+((C2487=TRUE)*(F2487-Calc!F22)),(Inputs!$B$23+((C2489=TRUE)*(F2489-Calc!F24))+(IF(ArtifactsInput!$M$15,CHOOSE(ArtifactsInput!$N$15+1,25,30,35,40,45,50)/100*(Inputs!$B$11-Inputs!$B$11),0))))/100+(Inputs!$B$23+((C2489=TRUE)*(F2489-Calc!F24))+(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IFERROR(1/(IF(Inputs!$B$38="pvp",15,MAX(0.1,Skills!D8-IF(Skills!E8=TRUE,Inputs!$B$32,0)))*(1-IF(AND(ArtifactsInput!$M$27,Inputs!$B$4="Chapter Hunt"),CHOOSE(ArtifactsInput!$N$27+1,20,24,28,32,36,40),0)/100)),0)</f>
        <v/>
      </c>
      <c r="R2473">
        <f>IF(AND(Inputs!$B$38&lt;&gt;"pvp",Inputs!$B$43&gt;0),IF(MAX(0,Inputs!$B$43-B2501)&lt;=0,0,(INT(MAX(0,Inputs!$B$43-B2501)/(IF(Inputs!$B$38="pvp",15,MAX(0.1,Skills!D8-IF(Skills!E8=TRUE,Inputs!$B$32,0)))*(1-IF(AND(ArtifactsInput!$M$27,Inputs!$B$4="Chapter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Inputs!$B$3&gt;=69</f>
        <v/>
      </c>
      <c r="D2474">
        <f>IF(Skills!C9=1,60+Inputs!$B$25+Inputs!$B$29,IF(Skills!C9=2,90+Inputs!$B$26+Inputs!$B$29,IF(Skills!C9=3,120+Inputs!$B$27+Inputs!$B$29,MAX(0,(Inputs!$B$3-100)*3)+Inputs!$B$28+Inputs!$B$29)))</f>
        <v/>
      </c>
      <c r="E2474">
        <f>INDEX(FactorTable!$B$2:$Y$301, MATCH(ROUND(MIN(300,MAX(1,D2474)),0), FactorTable!$A$2:$A$301,0), Skills!M9+1)</f>
        <v/>
      </c>
      <c r="F2474">
        <f>IF(Skills!N9=TRUE,(Skills!L9/10)*(E2474/1000),Skills!L9/10)+Skills!O9</f>
        <v/>
      </c>
      <c r="G2474">
        <f>Skills!G9*IF(Skills!H9&gt;0,Skills!I9/Skills!H9,1)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9="ENHANCED_RAGING_BLOW",IF(Inputs!$B$3&gt;=134,MAX(0,IF(Inputs!$B$3&gt;=110,7,5)-5)*50,0),0)/100)*(1+(IF(Skills!A9="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2474)</f>
        <v/>
      </c>
      <c r="L2474">
        <f>K2474*(MIN(Inputs!$B$22+((C2487=TRUE)*(F2487-Calc!F22)),(Inputs!$B$23+((C2489=TRUE)*(F2489-Calc!F24))+(IF(ArtifactsInput!$M$15,CHOOSE(ArtifactsInput!$N$15+1,25,30,35,40,45,50)/100*(Inputs!$B$11-Inputs!$B$11),0))))/100+(Inputs!$B$23+((C2489=TRUE)*(F2489-Calc!F24))+(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IFERROR(1/(IF(Inputs!$B$38="pvp",15,MAX(0.1,Skills!D9-IF(Skills!E9=TRUE,Inputs!$B$32,0)))*(1-IF(AND(ArtifactsInput!$M$27,Inputs!$B$4="Chapter Hunt"),CHOOSE(ArtifactsInput!$N$27+1,20,24,28,32,36,40),0)/100)),0)</f>
        <v/>
      </c>
      <c r="R2474">
        <f>IF(AND(Inputs!$B$38&lt;&gt;"pvp",Inputs!$B$43&gt;0),IF(MAX(0,Inputs!$B$43-B2501)&lt;=0,0,(INT(MAX(0,Inputs!$B$43-B2501)/(IF(Inputs!$B$38="pvp",15,MAX(0.1,Skills!D9-IF(Skills!E9=TRUE,Inputs!$B$32,0)))*(1-IF(AND(ArtifactsInput!$M$27,Inputs!$B$4="Chapter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Inputs!$B$3&gt;=63</f>
        <v/>
      </c>
      <c r="D2475">
        <f>IF(Skills!C10=1,60+Inputs!$B$25+Inputs!$B$29,IF(Skills!C10=2,90+Inputs!$B$26+Inputs!$B$29,IF(Skills!C10=3,120+Inputs!$B$27+Inputs!$B$29,MAX(0,(Inputs!$B$3-100)*3)+Inputs!$B$28+Inputs!$B$29)))</f>
        <v/>
      </c>
      <c r="E2475">
        <f>INDEX(FactorTable!$B$2:$Y$301, MATCH(ROUND(MIN(300,MAX(1,D2475)),0), FactorTable!$A$2:$A$301,0), Skills!M10+1)</f>
        <v/>
      </c>
      <c r="F2475">
        <f>IF(Skills!N10=TRUE,(Skills!L10/10)*(E2475/1000),Skills!L10/10)+Skills!O10</f>
        <v/>
      </c>
      <c r="G2475">
        <f>Skills!G10*IF(Skills!H10&gt;0,Skills!I10/Skills!H10,1)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10="ENHANCED_RAGING_BLOW",IF(Inputs!$B$3&gt;=134,MAX(0,IF(Inputs!$B$3&gt;=110,7,5)-5)*50,0),0)/100)*(1+(IF(Skills!A10="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2475)</f>
        <v/>
      </c>
      <c r="L2475">
        <f>K2475*(MIN(Inputs!$B$22+((C2487=TRUE)*(F2487-Calc!F22)),(Inputs!$B$23+((C2489=TRUE)*(F2489-Calc!F24))+(IF(ArtifactsInput!$M$15,CHOOSE(ArtifactsInput!$N$15+1,25,30,35,40,45,50)/100*(Inputs!$B$11-Inputs!$B$11),0))))/100+(Inputs!$B$23+((C2489=TRUE)*(F2489-Calc!F24))+(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IFERROR(1/(IF(Inputs!$B$38="pvp",15,MAX(0.1,Skills!D10-IF(Skills!E10=TRUE,Inputs!$B$32,0)))*(1-IF(AND(ArtifactsInput!$M$27,Inputs!$B$4="Chapter Hunt"),CHOOSE(ArtifactsInput!$N$27+1,20,24,28,32,36,40),0)/100)),0)</f>
        <v/>
      </c>
      <c r="R2475">
        <f>IF(AND(Inputs!$B$38&lt;&gt;"pvp",Inputs!$B$43&gt;0),IF(MAX(0,Inputs!$B$43-B2501)&lt;=0,0,(INT(MAX(0,Inputs!$B$43-B2501)/(IF(Inputs!$B$38="pvp",15,MAX(0.1,Skills!D10-IF(Skills!E10=TRUE,Inputs!$B$32,0)))*(1-IF(AND(ArtifactsInput!$M$27,Inputs!$B$4="Chapter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Inputs!$B$3&gt;=35</f>
        <v/>
      </c>
      <c r="D2476">
        <f>IF(Skills!C11=1,60+Inputs!$B$25+Inputs!$B$29,IF(Skills!C11=2,90+Inputs!$B$26+Inputs!$B$29,IF(Skills!C11=3,120+Inputs!$B$27+Inputs!$B$29,MAX(0,(Inputs!$B$3-100)*3)+Inputs!$B$28+Inputs!$B$29)))</f>
        <v/>
      </c>
      <c r="E2476">
        <f>INDEX(FactorTable!$B$2:$Y$301, MATCH(ROUND(MIN(300,MAX(1,D2476)),0), FactorTable!$A$2:$A$301,0), Skills!M11+1)</f>
        <v/>
      </c>
      <c r="F2476">
        <f>IF(Skills!N11=TRUE,(Skills!L11/10)*(E2476/1000),Skills!L11/10)+Skills!O11</f>
        <v/>
      </c>
      <c r="G2476">
        <f>Skills!G11*IF(Skills!H11&gt;0,Skills!I11/Skills!H11,1)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11="ENHANCED_RAGING_BLOW",IF(Inputs!$B$3&gt;=134,MAX(0,IF(Inputs!$B$3&gt;=110,7,5)-5)*50,0),0)/100)*(1+(IF(Skills!A11="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2476)</f>
        <v/>
      </c>
      <c r="L2476">
        <f>K2476*(MIN(Inputs!$B$22+((C2487=TRUE)*(F2487-Calc!F22)),(Inputs!$B$23+((C2489=TRUE)*(F2489-Calc!F24))+(IF(ArtifactsInput!$M$15,CHOOSE(ArtifactsInput!$N$15+1,25,30,35,40,45,50)/100*(Inputs!$B$11-Inputs!$B$11),0))))/100+(Inputs!$B$23+((C2489=TRUE)*(F2489-Calc!F24))+(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IFERROR(1/(IF(Inputs!$B$38="pvp",15,MAX(0.1,Skills!D11-IF(Skills!E11=TRUE,Inputs!$B$32,0)))*(1-IF(AND(ArtifactsInput!$M$27,Inputs!$B$4="Chapter Hunt"),CHOOSE(ArtifactsInput!$N$27+1,20,24,28,32,36,40),0)/100)),0)</f>
        <v/>
      </c>
      <c r="R2476">
        <f>IF(AND(Inputs!$B$38&lt;&gt;"pvp",Inputs!$B$43&gt;0),IF(MAX(0,Inputs!$B$43-B2501)&lt;=0,0,(INT(MAX(0,Inputs!$B$43-B2501)/(IF(Inputs!$B$38="pvp",15,MAX(0.1,Skills!D11-IF(Skills!E11=TRUE,Inputs!$B$32,0)))*(1-IF(AND(ArtifactsInput!$M$27,Inputs!$B$4="Chapter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INDEX(FactorTable!$B$2:$Y$301, MATCH(ROUND(MIN(300,MAX(1,D2477)),0),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INDEX(FactorTable!$B$2:$Y$301, MATCH(ROUND(MIN(300,MAX(1,D2478)),0), FactorTable!$A$2:$A$301,0), Skills!M13+1)</f>
        <v/>
      </c>
      <c r="F2478">
        <f>IF(Skills!N13=TRUE,(Skills!L13/10)*(E2478/1000),Skills!L13/10)+Skills!O13</f>
        <v/>
      </c>
      <c r="G2478">
        <f>Skills!G13*IF(Skills!H13&gt;0,Skills!I13/Skills!H13,1)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Inputs!$B$3&gt;=75</f>
        <v/>
      </c>
      <c r="D2479">
        <f>IF(Skills!C14=1,60+Inputs!$B$25+Inputs!$B$29,IF(Skills!C14=2,90+Inputs!$B$26+Inputs!$B$29,IF(Skills!C14=3,120+Inputs!$B$27+Inputs!$B$29,MAX(0,(Inputs!$B$3-100)*3)+Inputs!$B$28+Inputs!$B$29)))</f>
        <v/>
      </c>
      <c r="E2479">
        <f>INDEX(FactorTable!$B$2:$Y$301, MATCH(ROUND(MIN(300,MAX(1,D2479)),0), FactorTable!$A$2:$A$301,0), Skills!M14+1)</f>
        <v/>
      </c>
      <c r="F2479">
        <f>IF(Skills!N14=TRUE,(Skills!L14/10)*(E2479/1000),Skills!L14/10)+Skills!O14</f>
        <v/>
      </c>
      <c r="G2479">
        <f>Skills!G14*IF(Skills!H14&gt;0,Skills!I14/Skills!H14,1)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Inputs!$B$3&gt;=40</f>
        <v/>
      </c>
      <c r="D2480">
        <f>IF(Skills!C15=1,60+Inputs!$B$25+Inputs!$B$29,IF(Skills!C15=2,90+Inputs!$B$26+Inputs!$B$29,IF(Skills!C15=3,120+Inputs!$B$27+Inputs!$B$29,MAX(0,(Inputs!$B$3-100)*3)+Inputs!$B$28+Inputs!$B$29)))</f>
        <v/>
      </c>
      <c r="E2480">
        <f>INDEX(FactorTable!$B$2:$Y$301, MATCH(ROUND(MIN(300,MAX(1,D2480)),0), FactorTable!$A$2:$A$301,0), Skills!M15+1)</f>
        <v/>
      </c>
      <c r="F2480">
        <f>IF(Skills!N15=TRUE,(Skills!L15/10)*(E2480/1000),Skills!L15/10)+Skills!O15</f>
        <v/>
      </c>
      <c r="G2480">
        <f>Skills!G15*IF(Skills!H15&gt;0,Skills!I15/Skills!H15,1)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IFERROR(1/(IF(Inputs!$B$38="pvp",15,MAX(0.1,Skills!D15-IF(Skills!E15=TRUE,Inputs!$B$32,0)))*(1-IF(AND(ArtifactsInput!$M$27,Inputs!$B$4="Chapter Hunt"),CHOOSE(ArtifactsInput!$N$27+1,20,24,28,32,36,40),0)/100)),0)</f>
        <v/>
      </c>
      <c r="R2480">
        <f>IF(AND(Inputs!$B$38&lt;&gt;"pvp",Inputs!$B$43&gt;0),IF(Inputs!$B$43&lt;=0,0,(INT(Inputs!$B$43/(IF(Inputs!$B$38="pvp",15,MAX(0.1,Skills!D15-IF(Skills!E15=TRUE,Inputs!$B$32,0)))*(1-IF(AND(ArtifactsInput!$M$27,Inputs!$B$4="Chapter Hunt"),CHOOSE(ArtifactsInput!$N$27+1,20,24,28,32,36,40),0)/100)))+1)),0)</f>
        <v/>
      </c>
      <c r="S2480">
        <f>IFERROR(O2480/N2480,0)</f>
        <v/>
      </c>
      <c r="T2480" t="n">
        <v>0</v>
      </c>
      <c r="V2480" t="n">
        <v>0</v>
      </c>
    </row>
    <row r="2481">
      <c r="A2481">
        <f>Skills!A16</f>
        <v/>
      </c>
      <c r="B2481">
        <f>Skills!B16</f>
        <v/>
      </c>
      <c r="C2481">
        <f>Inputs!$B$3&gt;=66</f>
        <v/>
      </c>
      <c r="D2481">
        <f>IF(Skills!C16=1,60+Inputs!$B$25+Inputs!$B$29,IF(Skills!C16=2,90+Inputs!$B$26+Inputs!$B$29,IF(Skills!C16=3,120+Inputs!$B$27+Inputs!$B$29,MAX(0,(Inputs!$B$3-100)*3)+Inputs!$B$28+Inputs!$B$29)))</f>
        <v/>
      </c>
      <c r="E2481">
        <f>INDEX(FactorTable!$B$2:$Y$301, MATCH(ROUND(MIN(300,MAX(1,D2481)),0), FactorTable!$A$2:$A$301,0), Skills!M16+1)</f>
        <v/>
      </c>
      <c r="F2481">
        <f>IF(Skills!N16=TRUE,(Skills!L16/10)*(E2481/1000),Skills!L16/10)+Skills!O16</f>
        <v/>
      </c>
      <c r="G2481">
        <f>Skills!G16*IF(Skills!H16&gt;0,Skills!I16/Skills!H16,1)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IFERROR(1/(IF(Inputs!$B$38="pvp",15,MAX(0.1,Skills!D16-IF(Skills!E16=TRUE,Inputs!$B$32,0)))*(1-IF(AND(ArtifactsInput!$M$27,Inputs!$B$4="Chapter Hunt"),CHOOSE(ArtifactsInput!$N$27+1,20,24,28,32,36,40),0)/100)),0)</f>
        <v/>
      </c>
      <c r="R2481">
        <f>IF(AND(Inputs!$B$38&lt;&gt;"pvp",Inputs!$B$43&gt;0),IF(Inputs!$B$43&lt;=0,0,(INT(Inputs!$B$43/(IF(Inputs!$B$38="pvp",15,MAX(0.1,Skills!D16-IF(Skills!E16=TRUE,Inputs!$B$32,0)))*(1-IF(AND(ArtifactsInput!$M$27,Inputs!$B$4="Chapter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INDEX(FactorTable!$B$2:$Y$301, MATCH(ROUND(MIN(300,MAX(1,D2482)),0), FactorTable!$A$2:$A$301,0), Skills!M17+1)</f>
        <v/>
      </c>
      <c r="F2482">
        <f>IF(Skills!N17=TRUE,(Skills!L17/10)*(E2482/1000),Skills!L17/10)+Skills!O17</f>
        <v/>
      </c>
      <c r="G2482">
        <f>Skills!G17*IF(Skills!H17&gt;0,Skills!I17/Skills!H17,1)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IFERROR(1/(IF(Inputs!$B$38="pvp",15,MAX(0.1,Skills!D17-IF(Skills!E17=TRUE,Inputs!$B$32,0)))*(1-IF(AND(ArtifactsInput!$M$27,Inputs!$B$4="Chapter Hunt"),CHOOSE(ArtifactsInput!$N$27+1,20,24,28,32,36,40),0)/100)),0)</f>
        <v/>
      </c>
      <c r="R2482">
        <f>IF(AND(Inputs!$B$38&lt;&gt;"pvp",Inputs!$B$43&gt;0),IF(Inputs!$B$43&lt;=0,0,(INT(Inputs!$B$43/(IF(Inputs!$B$38="pvp",15,MAX(0.1,Skills!D17-IF(Skills!E17=TRUE,Inputs!$B$32,0)))*(1-IF(AND(ArtifactsInput!$M$27,Inputs!$B$4="Chapter Hunt"),CHOOSE(ArtifactsInput!$N$27+1,20,24,28,32,36,40),0)/100)))+1)),0)</f>
        <v/>
      </c>
      <c r="S2482">
        <f>IFERROR(O2482/N2482,0)</f>
        <v/>
      </c>
      <c r="T2482" t="n">
        <v>0</v>
      </c>
      <c r="V2482" t="n">
        <v>0</v>
      </c>
    </row>
    <row r="2483">
      <c r="A2483">
        <f>Skills!A18</f>
        <v/>
      </c>
      <c r="B2483">
        <f>Skills!B18</f>
        <v/>
      </c>
      <c r="C2483">
        <f>Inputs!$B$3&gt;=115</f>
        <v/>
      </c>
      <c r="D2483">
        <f>IF(Skills!C18=1,60+Inputs!$B$25+Inputs!$B$29,IF(Skills!C18=2,90+Inputs!$B$26+Inputs!$B$29,IF(Skills!C18=3,120+Inputs!$B$27+Inputs!$B$29,MAX(0,(Inputs!$B$3-100)*3)+Inputs!$B$28+Inputs!$B$29)))</f>
        <v/>
      </c>
      <c r="E2483">
        <f>INDEX(FactorTable!$B$2:$Y$301, MATCH(ROUND(MIN(300,MAX(1,D2483)),0), FactorTable!$A$2:$A$301,0), Skills!M18+1)</f>
        <v/>
      </c>
      <c r="F2483">
        <f>IF(Skills!N18=TRUE,(Skills!L18/10)*(E2483/1000),Skills!L18/10)+Skills!O18</f>
        <v/>
      </c>
      <c r="G2483">
        <f>Skills!G18*IF(Skills!H18&gt;0,Skills!I18/Skills!H18,1)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IFERROR(1/(IF(Inputs!$B$38="pvp",15,MAX(0.1,Skills!D18-IF(Skills!E18=TRUE,Inputs!$B$32,0)))*(1-IF(AND(ArtifactsInput!$M$27,Inputs!$B$4="Chapter Hunt"),CHOOSE(ArtifactsInput!$N$27+1,20,24,28,32,36,40),0)/100)),0)</f>
        <v/>
      </c>
      <c r="R2483">
        <f>IF(AND(Inputs!$B$38&lt;&gt;"pvp",Inputs!$B$43&gt;0),IF(Inputs!$B$43&lt;=0,0,(INT(Inputs!$B$43/(IF(Inputs!$B$38="pvp",15,MAX(0.1,Skills!D18-IF(Skills!E18=TRUE,Inputs!$B$32,0)))*(1-IF(AND(ArtifactsInput!$M$27,Inputs!$B$4="Chapter Hunt"),CHOOSE(ArtifactsInput!$N$27+1,20,24,28,32,36,40),0)/100)))+1)),0)</f>
        <v/>
      </c>
      <c r="S2483">
        <f>IFERROR(O2483/N2483,0)</f>
        <v/>
      </c>
      <c r="T2483" t="n">
        <v>0</v>
      </c>
      <c r="V2483" t="n">
        <v>0</v>
      </c>
    </row>
    <row r="2484">
      <c r="A2484">
        <f>Skills!A19</f>
        <v/>
      </c>
      <c r="B2484">
        <f>Skills!B19</f>
        <v/>
      </c>
      <c r="C2484">
        <f>TRUE</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IFERROR(1/(IF(Inputs!$B$38="pvp",15,MAX(0.1,Skills!D19-IF(Skills!E19=TRUE,Inputs!$B$32,0)))*(1-IF(AND(ArtifactsInput!$M$27,Inputs!$B$4="Chapter Hunt"),CHOOSE(ArtifactsInput!$N$27+1,20,24,28,32,36,40),0)/100)),0)</f>
        <v/>
      </c>
      <c r="R2484">
        <f>IF(AND(Inputs!$B$38&lt;&gt;"pvp",Inputs!$B$43&gt;0),IF(Inputs!$B$43&lt;=0,0,(INT(Inputs!$B$43/(IF(Inputs!$B$38="pvp",15,MAX(0.1,Skills!D19-IF(Skills!E19=TRUE,Inputs!$B$32,0)))*(1-IF(AND(ArtifactsInput!$M$27,Inputs!$B$4="Chapter Hunt"),CHOOSE(ArtifactsInput!$N$27+1,20,24,28,32,36,40),0)/100)))+1)),0)</f>
        <v/>
      </c>
      <c r="S2484">
        <f>IFERROR(O2484/N2484,0)</f>
        <v/>
      </c>
      <c r="T2484" t="n">
        <v>0</v>
      </c>
      <c r="V2484" t="n">
        <v>0</v>
      </c>
    </row>
    <row r="2485">
      <c r="A2485">
        <f>Skills!A20</f>
        <v/>
      </c>
      <c r="B2485">
        <f>Skills!B20</f>
        <v/>
      </c>
      <c r="C2485">
        <f>Inputs!$B$3&gt;=33</f>
        <v/>
      </c>
      <c r="D2485">
        <f>IF(Skills!C20=1,60+Inputs!$B$25+Inputs!$B$29,IF(Skills!C20=2,90+Inputs!$B$26+Inputs!$B$29,IF(Skills!C20=3,120+Inputs!$B$27+Inputs!$B$29,MAX(0,(Inputs!$B$3-100)*3)+Inputs!$B$28+Inputs!$B$29)))</f>
        <v/>
      </c>
      <c r="E2485">
        <f>INDEX(FactorTable!$B$2:$Y$301, MATCH(ROUND(MIN(300,MAX(1,D2485)),0), FactorTable!$A$2:$A$301,0), Skills!M20+1)</f>
        <v/>
      </c>
      <c r="F2485">
        <f>IF(Skills!N20=TRUE,(Skills!L20/10)*(E2485/1000),Skills!L20/10)+Skills!O20</f>
        <v/>
      </c>
      <c r="G2485">
        <f>Skills!G20*IF(Skills!H20&gt;0,Skills!I20/Skills!H20,1)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Inputs!$B$3&gt;=38</f>
        <v/>
      </c>
      <c r="D2486">
        <f>IF(Skills!C21=1,60+Inputs!$B$25+Inputs!$B$29,IF(Skills!C21=2,90+Inputs!$B$26+Inputs!$B$29,IF(Skills!C21=3,120+Inputs!$B$27+Inputs!$B$29,MAX(0,(Inputs!$B$3-100)*3)+Inputs!$B$28+Inputs!$B$29)))</f>
        <v/>
      </c>
      <c r="E2486">
        <f>INDEX(FactorTable!$B$2:$Y$301, MATCH(ROUND(MIN(300,MAX(1,D2486)),0), FactorTable!$A$2:$A$301,0), Skills!M21+1)</f>
        <v/>
      </c>
      <c r="F2486">
        <f>IF(Skills!N21=TRUE,(Skills!L21/10)*(E2486/1000),Skills!L21/10)+Skills!O21</f>
        <v/>
      </c>
      <c r="G2486">
        <f>Skills!G21*IF(Skills!H21&gt;0,Skills!I21/Skills!H21,1)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Skills!A22</f>
        <v/>
      </c>
      <c r="B2487">
        <f>Skills!B22</f>
        <v/>
      </c>
      <c r="C2487">
        <f>Inputs!$B$3&gt;=43</f>
        <v/>
      </c>
      <c r="D2487">
        <f>IF(Skills!C22=1,60+Inputs!$B$25+Inputs!$B$29,IF(Skills!C22=2,90+Inputs!$B$26+Inputs!$B$29,IF(Skills!C22=3,120+Inputs!$B$27+Inputs!$B$29,MAX(0,(Inputs!$B$3-100)*3)+Inputs!$B$28+Inputs!$B$29)))</f>
        <v/>
      </c>
      <c r="E2487">
        <f>INDEX(FactorTable!$B$2:$Y$301, MATCH(ROUND(MIN(300,MAX(1,D2487)),0), FactorTable!$A$2:$A$301,0), Skills!M22+1)</f>
        <v/>
      </c>
      <c r="F2487">
        <f>IF(Skills!N22=TRUE,(Skills!L22/10)*(E2487/1000),Skills!L22/10)+Skills!O22</f>
        <v/>
      </c>
      <c r="G2487">
        <f>Skills!G22*IF(Skills!H22&gt;0,Skills!I22/Skills!H22,1)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Inputs!$B$3&gt;=120</f>
        <v/>
      </c>
      <c r="D2488">
        <f>IF(Skills!C23=1,60+Inputs!$B$25+Inputs!$B$29,IF(Skills!C23=2,90+Inputs!$B$26+Inputs!$B$29,IF(Skills!C23=3,120+Inputs!$B$27+Inputs!$B$29,MAX(0,(Inputs!$B$3-100)*3)+Inputs!$B$28+Inputs!$B$29)))</f>
        <v/>
      </c>
      <c r="E2488">
        <f>INDEX(FactorTable!$B$2:$Y$301, MATCH(ROUND(MIN(300,MAX(1,D2488)),0), FactorTable!$A$2:$A$301,0), Skills!M23+1)</f>
        <v/>
      </c>
      <c r="F2488">
        <f>IF(Skills!N23=TRUE,(Skills!L23/10)*(E2488/1000),Skills!L23/10)+Skills!O23</f>
        <v/>
      </c>
      <c r="G2488">
        <f>Skills!G23*IF(Skills!H23&gt;0,Skills!I23/Skills!H23,1)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Inputs!$B$3&gt;=120</f>
        <v/>
      </c>
      <c r="D2489">
        <f>IF(Skills!C24=1,60+Inputs!$B$25+Inputs!$B$29,IF(Skills!C24=2,90+Inputs!$B$26+Inputs!$B$29,IF(Skills!C24=3,120+Inputs!$B$27+Inputs!$B$29,MAX(0,(Inputs!$B$3-100)*3)+Inputs!$B$28+Inputs!$B$29)))</f>
        <v/>
      </c>
      <c r="E2489">
        <f>INDEX(FactorTable!$B$2:$Y$301, MATCH(ROUND(MIN(300,MAX(1,D2489)),0), FactorTable!$A$2:$A$301,0), Skills!M24+1)</f>
        <v/>
      </c>
      <c r="F2489">
        <f>IF(Skills!N24=TRUE,(Skills!L24/10)*(E2489/1000),Skills!L24/10)+Skills!O24</f>
        <v/>
      </c>
      <c r="G2489">
        <f>Skills!G24*IF(Skills!H24&gt;0,Skills!I24/Skills!H24,1)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Inputs!$B$3&gt;=125</f>
        <v/>
      </c>
      <c r="D2490">
        <f>IF(Skills!C25=1,60+Inputs!$B$25+Inputs!$B$29,IF(Skills!C25=2,90+Inputs!$B$26+Inputs!$B$29,IF(Skills!C25=3,120+Inputs!$B$27+Inputs!$B$29,MAX(0,(Inputs!$B$3-100)*3)+Inputs!$B$28+Inputs!$B$29)))</f>
        <v/>
      </c>
      <c r="E2490">
        <f>INDEX(FactorTable!$B$2:$Y$301, MATCH(ROUND(MIN(300,MAX(1,D2490)),0), FactorTable!$A$2:$A$301,0), Skills!M25+1)</f>
        <v/>
      </c>
      <c r="F2490">
        <f>IF(Skills!N25=TRUE,(Skills!L25/10)*(E2490/1000),Skills!L25/10)+Skills!O25</f>
        <v/>
      </c>
      <c r="G2490">
        <f>Skills!G25*IF(Skills!H25&gt;0,Skills!I25/Skills!H25,1)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Inputs!$B$3&gt;=72</f>
        <v/>
      </c>
      <c r="D2491">
        <f>IF(Skills!C26=1,60+Inputs!$B$25+Inputs!$B$29,IF(Skills!C26=2,90+Inputs!$B$26+Inputs!$B$29,IF(Skills!C26=3,120+Inputs!$B$27+Inputs!$B$29,MAX(0,(Inputs!$B$3-100)*3)+Inputs!$B$28+Inputs!$B$29)))</f>
        <v/>
      </c>
      <c r="E2491">
        <f>INDEX(FactorTable!$B$2:$Y$301, MATCH(ROUND(MIN(300,MAX(1,D2491)),0), FactorTable!$A$2:$A$301,0), Skills!M26+1)</f>
        <v/>
      </c>
      <c r="F2491">
        <f>IF(Skills!N26=TRUE,(Skills!L26/10)*(E2491/1000),Skills!L26/10)+Skills!O26</f>
        <v/>
      </c>
      <c r="G2491">
        <f>Skills!G26*IF(Skills!H26&gt;0,Skills!I26/Skills!H26,1)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2484=TRUE)*F2484*IF(AND(Inputs!$B$38&lt;&gt;"pvp",Inputs!$B$43&gt;0),(((R2484-1)*(Skills!T19*(1+(Inputs!$B$34+(ArtifactsInput!$M$7-ArtifactsInput!$M$7)*CHOOSE(ArtifactsInput!$N$7+1,6,7.2,8.4,9.6,10.8,12))/100))+MIN((Skills!T19*(1+(Inputs!$B$34+(ArtifactsInput!$M$7-ArtifactsInput!$M$7)*CHOOSE(ArtifactsInput!$N$7+1,6,7.2,8.4,9.6,10.8,12))/100)),MAX(0,Inputs!$B$43-((R2484-1)*Skills!D19))))/Inputs!$B$43),IF(Inputs!$B$38="pvp",MIN((Skills!T19*(1+(Inputs!$B$34+(ArtifactsInput!$M$7-ArtifactsInput!$M$7)*CHOOSE(ArtifactsInput!$N$7+1,6,7.2,8.4,9.6,10.8,12))/100)),15)/15,(Skills!T19*(1+(Inputs!$B$34+(ArtifactsInput!$M$7-ArtifactsInput!$M$7)*CHOOSE(ArtifactsInput!$N$7+1,6,7.2,8.4,9.6,10.8,12))/100))/Skills!D19)))</f>
        <v/>
      </c>
    </row>
    <row r="2496">
      <c r="A2496" t="inlineStr">
        <is>
          <t>Actions Per Second</t>
        </is>
      </c>
      <c r="B2496">
        <f>1+MIN(150,150*(1-(1-(Inputs!$B$11+((C2485=TRUE)*(F2485-Calc!F20)))/150)*(1-B2495/150)))/100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Raging Blow Casts Per Second</t>
        </is>
      </c>
      <c r="B2498">
        <f>MAX(0,B2496-B2497)</f>
        <v/>
      </c>
    </row>
    <row r="2499">
      <c r="A2499" t="inlineStr">
        <is>
          <t>Global Critical Damage Bonus % (Enrage)</t>
        </is>
      </c>
      <c r="B2499">
        <f>((C2483=TRUE)*F2483*IF(AND(Inputs!$B$38&lt;&gt;"pvp",Inputs!$B$43&gt;0),(((R2483-1)*(Skills!T18*(1+(Inputs!$B$34+(ArtifactsInput!$M$7-ArtifactsInput!$M$7)*CHOOSE(ArtifactsInput!$N$7+1,6,7.2,8.4,9.6,10.8,12))/100))+MIN((Skills!T18*(1+(Inputs!$B$34+(ArtifactsInput!$M$7-ArtifactsInput!$M$7)*CHOOSE(ArtifactsInput!$N$7+1,6,7.2,8.4,9.6,10.8,12))/100)),MAX(0,Inputs!$B$43-((R2483-1)*Skills!D18))))/Inputs!$B$43),IF(Inputs!$B$38="pvp",MIN((Skills!T18*(1+(Inputs!$B$34+(ArtifactsInput!$M$7-ArtifactsInput!$M$7)*CHOOSE(ArtifactsInput!$N$7+1,6,7.2,8.4,9.6,10.8,12))/100)),15)/15,(Skills!T18*(1+(Inputs!$B$34+(ArtifactsInput!$M$7-ArtifactsInput!$M$7)*CHOOSE(ArtifactsInput!$N$7+1,6,7.2,8.4,9.6,10.8,12))/100))/Skills!D18)))</f>
        <v/>
      </c>
    </row>
    <row r="2500">
      <c r="A2500" t="inlineStr">
        <is>
          <t>Global Final Damage Bonus % (Enrage + Combo Synergy)</t>
        </is>
      </c>
      <c r="B2500">
        <f>((C2482=TRUE)*F2482*IF(AND(Inputs!$B$38&lt;&gt;"pvp",Inputs!$B$43&gt;0),(((R2482-1)*(Skills!T17*(1+(Inputs!$B$34+(ArtifactsInput!$M$7-ArtifactsInput!$M$7)*CHOOSE(ArtifactsInput!$N$7+1,6,7.2,8.4,9.6,10.8,12))/100))+MIN((Skills!T17*(1+(Inputs!$B$34+(ArtifactsInput!$M$7-ArtifactsInput!$M$7)*CHOOSE(ArtifactsInput!$N$7+1,6,7.2,8.4,9.6,10.8,12))/100)),MAX(0,Inputs!$B$43-((R2482-1)*Skills!D17))))/Inputs!$B$43),IF(Inputs!$B$38="pvp",MIN((Skills!T17*(1+(Inputs!$B$34+(ArtifactsInput!$M$7-ArtifactsInput!$M$7)*CHOOSE(ArtifactsInput!$N$7+1,6,7.2,8.4,9.6,10.8,12))/100)),15)/15,(Skills!T17*(1+(Inputs!$B$34+(ArtifactsInput!$M$7-ArtifactsInput!$M$7)*CHOOSE(ArtifactsInput!$N$7+1,6,7.2,8.4,9.6,10.8,12))/100))/Skills!D17)))+((C2479=TRUE)*F2479*IF(Inputs!$B$3&gt;=110,7,5))</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2509)</f>
        <v/>
      </c>
      <c r="L2509">
        <f>K2509*(MIN(Inputs!$B$22+((C2529=TRUE)*(F2529-Calc!F22)),(Inputs!$B$23+((C2531=TRUE)*(F2531-Calc!F24))+(IF(ArtifactsInput!$M$15,CHOOSE(ArtifactsInput!$N$15+1,25,30,35,40,45,50)/100*(Inputs!$B$11-Inputs!$B$11),0))))/100+(Inputs!$B$23+((C2531=TRUE)*(F2531-Calc!F24))+(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INDEX(FactorTable!$B$2:$Y$301, MATCH(ROUND(MIN(300,MAX(1,D2510)),0),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INDEX(FactorTable!$B$2:$Y$301, MATCH(ROUND(MIN(300,MAX(1,U2509)),0), FactorTable!$A$2:$A$301,0), 22)</f>
        <v/>
      </c>
    </row>
    <row r="2511">
      <c r="A2511">
        <f>Skills!A4</f>
        <v/>
      </c>
      <c r="B2511">
        <f>Skills!B4</f>
        <v/>
      </c>
      <c r="C2511">
        <f>Inputs!$B$3&gt;=105</f>
        <v/>
      </c>
      <c r="D2511">
        <f>IF(Skills!C4=1,60+Inputs!$B$25+Inputs!$B$29,IF(Skills!C4=2,90+Inputs!$B$26+Inputs!$B$29,IF(Skills!C4=3,120+Inputs!$B$27+Inputs!$B$29,MAX(0,(Inputs!$B$3-100)*3)+Inputs!$B$28+Inputs!$B$29)))</f>
        <v/>
      </c>
      <c r="E2511">
        <f>INDEX(FactorTable!$B$2:$Y$301, MATCH(ROUND(MIN(300,MAX(1,D2511)),0), FactorTable!$A$2:$A$301,0), Skills!M4+1)</f>
        <v/>
      </c>
      <c r="F2511">
        <f>IF(Skills!N4=TRUE,(Skills!L4/10)*(E2511/1000),Skills!L4/10)+Skills!O4</f>
        <v/>
      </c>
      <c r="G2511" t="inlineStr"/>
      <c r="H2511" t="inlineStr"/>
      <c r="I2511" t="inlineStr">
        <is>
          <t>1</t>
        </is>
      </c>
      <c r="J2511" t="inlineStr"/>
      <c r="K2511" t="inlineStr"/>
      <c r="L2511" t="inlineStr"/>
      <c r="M2511" t="inlineStr"/>
      <c r="N2511" t="inlineStr"/>
      <c r="O2511" t="inlineStr"/>
      <c r="P2511" t="inlineStr"/>
      <c r="Q2511" t="inlineStr"/>
      <c r="R2511" t="inlineStr"/>
      <c r="S2511" t="inlineStr"/>
      <c r="U2511">
        <f>290*U2510/1000</f>
        <v/>
      </c>
    </row>
    <row r="2512">
      <c r="A2512">
        <f>Skills!A5</f>
        <v/>
      </c>
      <c r="B2512">
        <f>Skills!B5</f>
        <v/>
      </c>
      <c r="C2512">
        <f>Inputs!$B$3&gt;=103</f>
        <v/>
      </c>
      <c r="D2512">
        <f>IF(Skills!C5=1,60+Inputs!$B$25+Inputs!$B$29,IF(Skills!C5=2,90+Inputs!$B$26+Inputs!$B$29,IF(Skills!C5=3,120+Inputs!$B$27+Inputs!$B$29,MAX(0,(Inputs!$B$3-100)*3)+Inputs!$B$28+Inputs!$B$29)))</f>
        <v/>
      </c>
      <c r="E2512">
        <f>INDEX(FactorTable!$B$2:$Y$301, MATCH(ROUND(MIN(300,MAX(1,D2512)),0), FactorTable!$A$2:$A$301,0), Skills!M5+1)</f>
        <v/>
      </c>
      <c r="F2512">
        <f>IF(Skills!N5=TRUE,(Skills!L5/10)*(E2512/1000),Skills!L5/10)+Skills!O5</f>
        <v/>
      </c>
      <c r="G2512">
        <f>Skills!G5*IF(Skills!H5&gt;0,Skills!I5/Skills!H5,1)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2512)</f>
        <v/>
      </c>
      <c r="L2512">
        <f>K2512*(MIN(Inputs!$B$22+((C2529=TRUE)*(F2529-Calc!F22)),(Inputs!$B$23+((C2531=TRUE)*(F2531-Calc!F24))+(IF(ArtifactsInput!$M$15,CHOOSE(ArtifactsInput!$N$15+1,25,30,35,40,45,50)/100*(Inputs!$B$11-Inputs!$B$11),0))))/100+(Inputs!$B$23+((C2531=TRUE)*(F2531-Calc!F24))+(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IFERROR(1/(IF(Inputs!$B$38="pvp",15,MAX(0.1,Skills!D5-IF(Skills!E5=TRUE,Inputs!$B$32,0)))*(1-IF(AND(ArtifactsInput!$M$27,Inputs!$B$4="Chapter Hunt"),CHOOSE(ArtifactsInput!$N$27+1,20,24,28,32,36,40),0)/100)),0)</f>
        <v/>
      </c>
      <c r="R2512">
        <f>IF(AND(Inputs!$B$38&lt;&gt;"pvp",Inputs!$B$43&gt;0),IF(MAX(0,Inputs!$B$43-B2543)&lt;=0,0,(INT(MAX(0,Inputs!$B$43-B2543)/(IF(Inputs!$B$38="pvp",15,MAX(0.1,Skills!D5-IF(Skills!E5=TRUE,Inputs!$B$32,0)))*(1-IF(AND(ArtifactsInput!$M$27,Inputs!$B$4="Chapter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INDEX(FactorTable!$B$2:$Y$301, MATCH(ROUND(MIN(300,MAX(1,D2513)),0), FactorTable!$A$2:$A$301,0), Skills!M6+1)</f>
        <v/>
      </c>
      <c r="F2513">
        <f>IF(Skills!N6=TRUE,(Skills!L6/10)*(E2513/1000),Skills!L6/10)+Skills!O6</f>
        <v/>
      </c>
      <c r="G2513">
        <f>Skills!G6*IF(Skills!H6&gt;0,Skills!I6/Skills!H6,1)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2513)</f>
        <v/>
      </c>
      <c r="L2513">
        <f>K2513*(MIN(Inputs!$B$22+((C2529=TRUE)*(F2529-Calc!F22)),(Inputs!$B$23+((C2531=TRUE)*(F2531-Calc!F24))+(IF(ArtifactsInput!$M$15,CHOOSE(ArtifactsInput!$N$15+1,25,30,35,40,45,50)/100*(Inputs!$B$11-Inputs!$B$11),0))))/100+(Inputs!$B$23+((C2531=TRUE)*(F2531-Calc!F24))+(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IFERROR(1/(IF(Inputs!$B$38="pvp",15,MAX(0.1,Skills!D6-IF(Skills!E6=TRUE,Inputs!$B$32,0)))*(1-IF(AND(ArtifactsInput!$M$27,Inputs!$B$4="Chapter Hunt"),CHOOSE(ArtifactsInput!$N$27+1,20,24,28,32,36,40),0)/100)),0)</f>
        <v/>
      </c>
      <c r="R2513">
        <f>IF(AND(Inputs!$B$38&lt;&gt;"pvp",Inputs!$B$43&gt;0),IF(MAX(0,Inputs!$B$43-B2543)&lt;=0,0,(INT(MAX(0,Inputs!$B$43-B2543)/(IF(Inputs!$B$38="pvp",15,MAX(0.1,Skills!D6-IF(Skills!E6=TRUE,Inputs!$B$32,0)))*(1-IF(AND(ArtifactsInput!$M$27,Inputs!$B$4="Chapter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INDEX(FactorTable!$B$2:$Y$301, MATCH(ROUND(MIN(300,MAX(1,D2514)),0), FactorTable!$A$2:$A$301,0), Skills!M7+1)</f>
        <v/>
      </c>
      <c r="F2514">
        <f>IF(Skills!N7=TRUE,(Skills!L7/10)*(E2514/1000),Skills!L7/10)+Skills!O7</f>
        <v/>
      </c>
      <c r="G2514">
        <f>Skills!G7*IF(Skills!H7&gt;0,Skills!I7/Skills!H7,1)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2514)</f>
        <v/>
      </c>
      <c r="L2514">
        <f>K2514*(MIN(Inputs!$B$22+((C2529=TRUE)*(F2529-Calc!F22)),(Inputs!$B$23+((C2531=TRUE)*(F2531-Calc!F24))+(IF(ArtifactsInput!$M$15,CHOOSE(ArtifactsInput!$N$15+1,25,30,35,40,45,50)/100*(Inputs!$B$11-Inputs!$B$11),0))))/100+(Inputs!$B$23+((C2531=TRUE)*(F2531-Calc!F24))+(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IFERROR(1/(IF(Inputs!$B$38="pvp",15,MAX(0.1,Skills!D7-IF(Skills!E7=TRUE,Inputs!$B$32,0)))*(1-IF(AND(ArtifactsInput!$M$27,Inputs!$B$4="Chapter Hunt"),CHOOSE(ArtifactsInput!$N$27+1,20,24,28,32,36,40),0)/100)),0)</f>
        <v/>
      </c>
      <c r="R2514">
        <f>IF(AND(Inputs!$B$38&lt;&gt;"pvp",Inputs!$B$43&gt;0),IF(MAX(0,Inputs!$B$43-B2543)&lt;=0,0,(INT(MAX(0,Inputs!$B$43-B2543)/(IF(Inputs!$B$38="pvp",15,MAX(0.1,Skills!D7-IF(Skills!E7=TRUE,Inputs!$B$32,0)))*(1-IF(AND(ArtifactsInput!$M$27,Inputs!$B$4="Chapter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Inputs!$B$3&gt;=117</f>
        <v/>
      </c>
      <c r="D2515">
        <f>IF(Skills!C8=1,60+Inputs!$B$25+Inputs!$B$29,IF(Skills!C8=2,90+Inputs!$B$26+Inputs!$B$29,IF(Skills!C8=3,120+Inputs!$B$27+Inputs!$B$29,MAX(0,(Inputs!$B$3-100)*3)+Inputs!$B$28+Inputs!$B$29)))</f>
        <v/>
      </c>
      <c r="E2515">
        <f>INDEX(FactorTable!$B$2:$Y$301, MATCH(ROUND(MIN(300,MAX(1,D2515)),0), FactorTable!$A$2:$A$301,0), Skills!M8+1)</f>
        <v/>
      </c>
      <c r="F2515">
        <f>IF(Skills!N8=TRUE,(Skills!L8/10)*(E2515/1000),Skills!L8/10)+Skills!O8</f>
        <v/>
      </c>
      <c r="G2515">
        <f>Skills!G8*IF(Skills!H8&gt;0,Skills!I8/Skills!H8,1)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2515)</f>
        <v/>
      </c>
      <c r="L2515">
        <f>K2515*(MIN(Inputs!$B$22+((C2529=TRUE)*(F2529-Calc!F22)),(Inputs!$B$23+((C2531=TRUE)*(F2531-Calc!F24))+(IF(ArtifactsInput!$M$15,CHOOSE(ArtifactsInput!$N$15+1,25,30,35,40,45,50)/100*(Inputs!$B$11-Inputs!$B$11),0))))/100+(Inputs!$B$23+((C2531=TRUE)*(F2531-Calc!F24))+(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IFERROR(1/(IF(Inputs!$B$38="pvp",15,MAX(0.1,Skills!D8-IF(Skills!E8=TRUE,Inputs!$B$32,0)))*(1-IF(AND(ArtifactsInput!$M$27,Inputs!$B$4="Chapter Hunt"),CHOOSE(ArtifactsInput!$N$27+1,20,24,28,32,36,40),0)/100)),0)</f>
        <v/>
      </c>
      <c r="R2515">
        <f>IF(AND(Inputs!$B$38&lt;&gt;"pvp",Inputs!$B$43&gt;0),IF(MAX(0,Inputs!$B$43-B2543)&lt;=0,0,(INT(MAX(0,Inputs!$B$43-B2543)/(IF(Inputs!$B$38="pvp",15,MAX(0.1,Skills!D8-IF(Skills!E8=TRUE,Inputs!$B$32,0)))*(1-IF(AND(ArtifactsInput!$M$27,Inputs!$B$4="Chapter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Inputs!$B$3&gt;=69</f>
        <v/>
      </c>
      <c r="D2516">
        <f>IF(Skills!C9=1,60+Inputs!$B$25+Inputs!$B$29,IF(Skills!C9=2,90+Inputs!$B$26+Inputs!$B$29,IF(Skills!C9=3,120+Inputs!$B$27+Inputs!$B$29,MAX(0,(Inputs!$B$3-100)*3)+Inputs!$B$28+Inputs!$B$29)))</f>
        <v/>
      </c>
      <c r="E2516">
        <f>INDEX(FactorTable!$B$2:$Y$301, MATCH(ROUND(MIN(300,MAX(1,D2516)),0), FactorTable!$A$2:$A$301,0), Skills!M9+1)</f>
        <v/>
      </c>
      <c r="F2516">
        <f>IF(Skills!N9=TRUE,(Skills!L9/10)*(E2516/1000),Skills!L9/10)+Skills!O9</f>
        <v/>
      </c>
      <c r="G2516">
        <f>Skills!G9*IF(Skills!H9&gt;0,Skills!I9/Skills!H9,1)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9="ENHANCED_RAGING_BLOW",IF(Inputs!$B$3&gt;=134,MAX(0,IF(Inputs!$B$3&gt;=110,7,5)-5)*50,0),0)/100)*(1+(IF(Skills!A9="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2516)</f>
        <v/>
      </c>
      <c r="L2516">
        <f>K2516*(MIN(Inputs!$B$22+((C2529=TRUE)*(F2529-Calc!F22)),(Inputs!$B$23+((C2531=TRUE)*(F2531-Calc!F24))+(IF(ArtifactsInput!$M$15,CHOOSE(ArtifactsInput!$N$15+1,25,30,35,40,45,50)/100*(Inputs!$B$11-Inputs!$B$11),0))))/100+(Inputs!$B$23+((C2531=TRUE)*(F2531-Calc!F24))+(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IFERROR(1/(IF(Inputs!$B$38="pvp",15,MAX(0.1,Skills!D9-IF(Skills!E9=TRUE,Inputs!$B$32,0)))*(1-IF(AND(ArtifactsInput!$M$27,Inputs!$B$4="Chapter Hunt"),CHOOSE(ArtifactsInput!$N$27+1,20,24,28,32,36,40),0)/100)),0)</f>
        <v/>
      </c>
      <c r="R2516">
        <f>IF(AND(Inputs!$B$38&lt;&gt;"pvp",Inputs!$B$43&gt;0),IF(MAX(0,Inputs!$B$43-B2543)&lt;=0,0,(INT(MAX(0,Inputs!$B$43-B2543)/(IF(Inputs!$B$38="pvp",15,MAX(0.1,Skills!D9-IF(Skills!E9=TRUE,Inputs!$B$32,0)))*(1-IF(AND(ArtifactsInput!$M$27,Inputs!$B$4="Chapter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Inputs!$B$3&gt;=63</f>
        <v/>
      </c>
      <c r="D2517">
        <f>IF(Skills!C10=1,60+Inputs!$B$25+Inputs!$B$29,IF(Skills!C10=2,90+Inputs!$B$26+Inputs!$B$29,IF(Skills!C10=3,120+Inputs!$B$27+Inputs!$B$29,MAX(0,(Inputs!$B$3-100)*3)+Inputs!$B$28+Inputs!$B$29)))</f>
        <v/>
      </c>
      <c r="E2517">
        <f>INDEX(FactorTable!$B$2:$Y$301, MATCH(ROUND(MIN(300,MAX(1,D2517)),0), FactorTable!$A$2:$A$301,0), Skills!M10+1)</f>
        <v/>
      </c>
      <c r="F2517">
        <f>IF(Skills!N10=TRUE,(Skills!L10/10)*(E2517/1000),Skills!L10/10)+Skills!O10</f>
        <v/>
      </c>
      <c r="G2517">
        <f>Skills!G10*IF(Skills!H10&gt;0,Skills!I10/Skills!H10,1)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10="ENHANCED_RAGING_BLOW",IF(Inputs!$B$3&gt;=134,MAX(0,IF(Inputs!$B$3&gt;=110,7,5)-5)*50,0),0)/100)*(1+(IF(Skills!A10="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2517)</f>
        <v/>
      </c>
      <c r="L2517">
        <f>K2517*(MIN(Inputs!$B$22+((C2529=TRUE)*(F2529-Calc!F22)),(Inputs!$B$23+((C2531=TRUE)*(F2531-Calc!F24))+(IF(ArtifactsInput!$M$15,CHOOSE(ArtifactsInput!$N$15+1,25,30,35,40,45,50)/100*(Inputs!$B$11-Inputs!$B$11),0))))/100+(Inputs!$B$23+((C2531=TRUE)*(F2531-Calc!F24))+(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IFERROR(1/(IF(Inputs!$B$38="pvp",15,MAX(0.1,Skills!D10-IF(Skills!E10=TRUE,Inputs!$B$32,0)))*(1-IF(AND(ArtifactsInput!$M$27,Inputs!$B$4="Chapter Hunt"),CHOOSE(ArtifactsInput!$N$27+1,20,24,28,32,36,40),0)/100)),0)</f>
        <v/>
      </c>
      <c r="R2517">
        <f>IF(AND(Inputs!$B$38&lt;&gt;"pvp",Inputs!$B$43&gt;0),IF(MAX(0,Inputs!$B$43-B2543)&lt;=0,0,(INT(MAX(0,Inputs!$B$43-B2543)/(IF(Inputs!$B$38="pvp",15,MAX(0.1,Skills!D10-IF(Skills!E10=TRUE,Inputs!$B$32,0)))*(1-IF(AND(ArtifactsInput!$M$27,Inputs!$B$4="Chapter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Inputs!$B$3&gt;=35</f>
        <v/>
      </c>
      <c r="D2518">
        <f>IF(Skills!C11=1,60+Inputs!$B$25+Inputs!$B$29,IF(Skills!C11=2,90+Inputs!$B$26+Inputs!$B$29,IF(Skills!C11=3,120+Inputs!$B$27+Inputs!$B$29,MAX(0,(Inputs!$B$3-100)*3)+Inputs!$B$28+Inputs!$B$29)))</f>
        <v/>
      </c>
      <c r="E2518">
        <f>INDEX(FactorTable!$B$2:$Y$301, MATCH(ROUND(MIN(300,MAX(1,D2518)),0), FactorTable!$A$2:$A$301,0), Skills!M11+1)</f>
        <v/>
      </c>
      <c r="F2518">
        <f>IF(Skills!N11=TRUE,(Skills!L11/10)*(E2518/1000),Skills!L11/10)+Skills!O11</f>
        <v/>
      </c>
      <c r="G2518">
        <f>Skills!G11*IF(Skills!H11&gt;0,Skills!I11/Skills!H11,1)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11="ENHANCED_RAGING_BLOW",IF(Inputs!$B$3&gt;=134,MAX(0,IF(Inputs!$B$3&gt;=110,7,5)-5)*50,0),0)/100)*(1+(IF(Skills!A11="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2518)</f>
        <v/>
      </c>
      <c r="L2518">
        <f>K2518*(MIN(Inputs!$B$22+((C2529=TRUE)*(F2529-Calc!F22)),(Inputs!$B$23+((C2531=TRUE)*(F2531-Calc!F24))+(IF(ArtifactsInput!$M$15,CHOOSE(ArtifactsInput!$N$15+1,25,30,35,40,45,50)/100*(Inputs!$B$11-Inputs!$B$11),0))))/100+(Inputs!$B$23+((C2531=TRUE)*(F2531-Calc!F24))+(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IFERROR(1/(IF(Inputs!$B$38="pvp",15,MAX(0.1,Skills!D11-IF(Skills!E11=TRUE,Inputs!$B$32,0)))*(1-IF(AND(ArtifactsInput!$M$27,Inputs!$B$4="Chapter Hunt"),CHOOSE(ArtifactsInput!$N$27+1,20,24,28,32,36,40),0)/100)),0)</f>
        <v/>
      </c>
      <c r="R2518">
        <f>IF(AND(Inputs!$B$38&lt;&gt;"pvp",Inputs!$B$43&gt;0),IF(MAX(0,Inputs!$B$43-B2543)&lt;=0,0,(INT(MAX(0,Inputs!$B$43-B2543)/(IF(Inputs!$B$38="pvp",15,MAX(0.1,Skills!D11-IF(Skills!E11=TRUE,Inputs!$B$32,0)))*(1-IF(AND(ArtifactsInput!$M$27,Inputs!$B$4="Chapter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INDEX(FactorTable!$B$2:$Y$301, MATCH(ROUND(MIN(300,MAX(1,D2519)),0),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INDEX(FactorTable!$B$2:$Y$301, MATCH(ROUND(MIN(300,MAX(1,D2520)),0), FactorTable!$A$2:$A$301,0), Skills!M13+1)</f>
        <v/>
      </c>
      <c r="F2520">
        <f>IF(Skills!N13=TRUE,(Skills!L13/10)*(E2520/1000),Skills!L13/10)+Skills!O13</f>
        <v/>
      </c>
      <c r="G2520">
        <f>Skills!G13*IF(Skills!H13&gt;0,Skills!I13/Skills!H13,1)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Inputs!$B$3&gt;=75</f>
        <v/>
      </c>
      <c r="D2521">
        <f>IF(Skills!C14=1,60+Inputs!$B$25+Inputs!$B$29,IF(Skills!C14=2,90+Inputs!$B$26+Inputs!$B$29,IF(Skills!C14=3,120+Inputs!$B$27+Inputs!$B$29,MAX(0,(Inputs!$B$3-100)*3)+Inputs!$B$28+Inputs!$B$29)))</f>
        <v/>
      </c>
      <c r="E2521">
        <f>INDEX(FactorTable!$B$2:$Y$301, MATCH(ROUND(MIN(300,MAX(1,D2521)),0), FactorTable!$A$2:$A$301,0), Skills!M14+1)</f>
        <v/>
      </c>
      <c r="F2521">
        <f>IF(Skills!N14=TRUE,(Skills!L14/10)*(E2521/1000),Skills!L14/10)+Skills!O14</f>
        <v/>
      </c>
      <c r="G2521">
        <f>Skills!G14*IF(Skills!H14&gt;0,Skills!I14/Skills!H14,1)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Inputs!$B$3&gt;=40</f>
        <v/>
      </c>
      <c r="D2522">
        <f>IF(Skills!C15=1,60+Inputs!$B$25+Inputs!$B$29,IF(Skills!C15=2,90+Inputs!$B$26+Inputs!$B$29,IF(Skills!C15=3,120+Inputs!$B$27+Inputs!$B$29,MAX(0,(Inputs!$B$3-100)*3)+Inputs!$B$28+Inputs!$B$29)))</f>
        <v/>
      </c>
      <c r="E2522">
        <f>INDEX(FactorTable!$B$2:$Y$301, MATCH(ROUND(MIN(300,MAX(1,D2522)),0), FactorTable!$A$2:$A$301,0), Skills!M15+1)</f>
        <v/>
      </c>
      <c r="F2522">
        <f>IF(Skills!N15=TRUE,(Skills!L15/10)*(E2522/1000),Skills!L15/10)+Skills!O15</f>
        <v/>
      </c>
      <c r="G2522">
        <f>Skills!G15*IF(Skills!H15&gt;0,Skills!I15/Skills!H15,1)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IFERROR(1/(IF(Inputs!$B$38="pvp",15,MAX(0.1,Skills!D15-IF(Skills!E15=TRUE,Inputs!$B$32,0)))*(1-IF(AND(ArtifactsInput!$M$27,Inputs!$B$4="Chapter Hunt"),CHOOSE(ArtifactsInput!$N$27+1,20,24,28,32,36,40),0)/100)),0)</f>
        <v/>
      </c>
      <c r="R2522">
        <f>IF(AND(Inputs!$B$38&lt;&gt;"pvp",Inputs!$B$43&gt;0),IF(Inputs!$B$43&lt;=0,0,(INT(Inputs!$B$43/(IF(Inputs!$B$38="pvp",15,MAX(0.1,Skills!D15-IF(Skills!E15=TRUE,Inputs!$B$32,0)))*(1-IF(AND(ArtifactsInput!$M$27,Inputs!$B$4="Chapter Hunt"),CHOOSE(ArtifactsInput!$N$27+1,20,24,28,32,36,40),0)/100)))+1)),0)</f>
        <v/>
      </c>
      <c r="S2522">
        <f>IFERROR(O2522/N2522,0)</f>
        <v/>
      </c>
      <c r="T2522" t="n">
        <v>0</v>
      </c>
      <c r="V2522" t="n">
        <v>0</v>
      </c>
    </row>
    <row r="2523">
      <c r="A2523">
        <f>Skills!A16</f>
        <v/>
      </c>
      <c r="B2523">
        <f>Skills!B16</f>
        <v/>
      </c>
      <c r="C2523">
        <f>Inputs!$B$3&gt;=66</f>
        <v/>
      </c>
      <c r="D2523">
        <f>IF(Skills!C16=1,60+Inputs!$B$25+Inputs!$B$29,IF(Skills!C16=2,90+Inputs!$B$26+Inputs!$B$29,IF(Skills!C16=3,120+Inputs!$B$27+Inputs!$B$29,MAX(0,(Inputs!$B$3-100)*3)+Inputs!$B$28+Inputs!$B$29)))</f>
        <v/>
      </c>
      <c r="E2523">
        <f>INDEX(FactorTable!$B$2:$Y$301, MATCH(ROUND(MIN(300,MAX(1,D2523)),0), FactorTable!$A$2:$A$301,0), Skills!M16+1)</f>
        <v/>
      </c>
      <c r="F2523">
        <f>IF(Skills!N16=TRUE,(Skills!L16/10)*(E2523/1000),Skills!L16/10)+Skills!O16</f>
        <v/>
      </c>
      <c r="G2523">
        <f>Skills!G16*IF(Skills!H16&gt;0,Skills!I16/Skills!H16,1)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IFERROR(1/(IF(Inputs!$B$38="pvp",15,MAX(0.1,Skills!D16-IF(Skills!E16=TRUE,Inputs!$B$32,0)))*(1-IF(AND(ArtifactsInput!$M$27,Inputs!$B$4="Chapter Hunt"),CHOOSE(ArtifactsInput!$N$27+1,20,24,28,32,36,40),0)/100)),0)</f>
        <v/>
      </c>
      <c r="R2523">
        <f>IF(AND(Inputs!$B$38&lt;&gt;"pvp",Inputs!$B$43&gt;0),IF(Inputs!$B$43&lt;=0,0,(INT(Inputs!$B$43/(IF(Inputs!$B$38="pvp",15,MAX(0.1,Skills!D16-IF(Skills!E16=TRUE,Inputs!$B$32,0)))*(1-IF(AND(ArtifactsInput!$M$27,Inputs!$B$4="Chapter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INDEX(FactorTable!$B$2:$Y$301, MATCH(ROUND(MIN(300,MAX(1,D2524)),0), FactorTable!$A$2:$A$301,0), Skills!M17+1)</f>
        <v/>
      </c>
      <c r="F2524">
        <f>IF(Skills!N17=TRUE,(Skills!L17/10)*(E2524/1000),Skills!L17/10)+Skills!O17</f>
        <v/>
      </c>
      <c r="G2524">
        <f>Skills!G17*IF(Skills!H17&gt;0,Skills!I17/Skills!H17,1)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IFERROR(1/(IF(Inputs!$B$38="pvp",15,MAX(0.1,Skills!D17-IF(Skills!E17=TRUE,Inputs!$B$32,0)))*(1-IF(AND(ArtifactsInput!$M$27,Inputs!$B$4="Chapter Hunt"),CHOOSE(ArtifactsInput!$N$27+1,20,24,28,32,36,40),0)/100)),0)</f>
        <v/>
      </c>
      <c r="R2524">
        <f>IF(AND(Inputs!$B$38&lt;&gt;"pvp",Inputs!$B$43&gt;0),IF(Inputs!$B$43&lt;=0,0,(INT(Inputs!$B$43/(IF(Inputs!$B$38="pvp",15,MAX(0.1,Skills!D17-IF(Skills!E17=TRUE,Inputs!$B$32,0)))*(1-IF(AND(ArtifactsInput!$M$27,Inputs!$B$4="Chapter Hunt"),CHOOSE(ArtifactsInput!$N$27+1,20,24,28,32,36,40),0)/100)))+1)),0)</f>
        <v/>
      </c>
      <c r="S2524">
        <f>IFERROR(O2524/N2524,0)</f>
        <v/>
      </c>
      <c r="T2524" t="n">
        <v>0</v>
      </c>
      <c r="V2524" t="n">
        <v>0</v>
      </c>
    </row>
    <row r="2525">
      <c r="A2525">
        <f>Skills!A18</f>
        <v/>
      </c>
      <c r="B2525">
        <f>Skills!B18</f>
        <v/>
      </c>
      <c r="C2525">
        <f>Inputs!$B$3&gt;=115</f>
        <v/>
      </c>
      <c r="D2525">
        <f>IF(Skills!C18=1,60+Inputs!$B$25+Inputs!$B$29,IF(Skills!C18=2,90+Inputs!$B$26+Inputs!$B$29,IF(Skills!C18=3,120+Inputs!$B$27+Inputs!$B$29,MAX(0,(Inputs!$B$3-100)*3)+Inputs!$B$28+Inputs!$B$29)))</f>
        <v/>
      </c>
      <c r="E2525">
        <f>INDEX(FactorTable!$B$2:$Y$301, MATCH(ROUND(MIN(300,MAX(1,D2525)),0), FactorTable!$A$2:$A$301,0), Skills!M18+1)</f>
        <v/>
      </c>
      <c r="F2525">
        <f>IF(Skills!N18=TRUE,(Skills!L18/10)*(E2525/1000),Skills!L18/10)+Skills!O18</f>
        <v/>
      </c>
      <c r="G2525">
        <f>Skills!G18*IF(Skills!H18&gt;0,Skills!I18/Skills!H18,1)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IFERROR(1/(IF(Inputs!$B$38="pvp",15,MAX(0.1,Skills!D18-IF(Skills!E18=TRUE,Inputs!$B$32,0)))*(1-IF(AND(ArtifactsInput!$M$27,Inputs!$B$4="Chapter Hunt"),CHOOSE(ArtifactsInput!$N$27+1,20,24,28,32,36,40),0)/100)),0)</f>
        <v/>
      </c>
      <c r="R2525">
        <f>IF(AND(Inputs!$B$38&lt;&gt;"pvp",Inputs!$B$43&gt;0),IF(Inputs!$B$43&lt;=0,0,(INT(Inputs!$B$43/(IF(Inputs!$B$38="pvp",15,MAX(0.1,Skills!D18-IF(Skills!E18=TRUE,Inputs!$B$32,0)))*(1-IF(AND(ArtifactsInput!$M$27,Inputs!$B$4="Chapter Hunt"),CHOOSE(ArtifactsInput!$N$27+1,20,24,28,32,36,40),0)/100)))+1)),0)</f>
        <v/>
      </c>
      <c r="S2525">
        <f>IFERROR(O2525/N2525,0)</f>
        <v/>
      </c>
      <c r="T2525" t="n">
        <v>0</v>
      </c>
      <c r="V2525" t="n">
        <v>0</v>
      </c>
    </row>
    <row r="2526">
      <c r="A2526">
        <f>Skills!A19</f>
        <v/>
      </c>
      <c r="B2526">
        <f>Skills!B19</f>
        <v/>
      </c>
      <c r="C2526">
        <f>TRUE</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IFERROR(1/(IF(Inputs!$B$38="pvp",15,MAX(0.1,Skills!D19-IF(Skills!E19=TRUE,Inputs!$B$32,0)))*(1-IF(AND(ArtifactsInput!$M$27,Inputs!$B$4="Chapter Hunt"),CHOOSE(ArtifactsInput!$N$27+1,20,24,28,32,36,40),0)/100)),0)</f>
        <v/>
      </c>
      <c r="R2526">
        <f>IF(AND(Inputs!$B$38&lt;&gt;"pvp",Inputs!$B$43&gt;0),IF(Inputs!$B$43&lt;=0,0,(INT(Inputs!$B$43/(IF(Inputs!$B$38="pvp",15,MAX(0.1,Skills!D19-IF(Skills!E19=TRUE,Inputs!$B$32,0)))*(1-IF(AND(ArtifactsInput!$M$27,Inputs!$B$4="Chapter Hunt"),CHOOSE(ArtifactsInput!$N$27+1,20,24,28,32,36,40),0)/100)))+1)),0)</f>
        <v/>
      </c>
      <c r="S2526">
        <f>IFERROR(O2526/N2526,0)</f>
        <v/>
      </c>
      <c r="T2526" t="n">
        <v>0</v>
      </c>
      <c r="V2526" t="n">
        <v>0</v>
      </c>
    </row>
    <row r="2527">
      <c r="A2527">
        <f>Skills!A20</f>
        <v/>
      </c>
      <c r="B2527">
        <f>Skills!B20</f>
        <v/>
      </c>
      <c r="C2527">
        <f>Inputs!$B$3&gt;=33</f>
        <v/>
      </c>
      <c r="D2527">
        <f>IF(Skills!C20=1,60+Inputs!$B$25+Inputs!$B$29,IF(Skills!C20=2,90+Inputs!$B$26+Inputs!$B$29,IF(Skills!C20=3,120+Inputs!$B$27+Inputs!$B$29,MAX(0,(Inputs!$B$3-100)*3)+Inputs!$B$28+Inputs!$B$29)))</f>
        <v/>
      </c>
      <c r="E2527">
        <f>INDEX(FactorTable!$B$2:$Y$301, MATCH(ROUND(MIN(300,MAX(1,D2527)),0), FactorTable!$A$2:$A$301,0), Skills!M20+1)</f>
        <v/>
      </c>
      <c r="F2527">
        <f>IF(Skills!N20=TRUE,(Skills!L20/10)*(E2527/1000),Skills!L20/10)+Skills!O20</f>
        <v/>
      </c>
      <c r="G2527">
        <f>Skills!G20*IF(Skills!H20&gt;0,Skills!I20/Skills!H20,1)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Inputs!$B$3&gt;=38</f>
        <v/>
      </c>
      <c r="D2528">
        <f>IF(Skills!C21=1,60+Inputs!$B$25+Inputs!$B$29,IF(Skills!C21=2,90+Inputs!$B$26+Inputs!$B$29,IF(Skills!C21=3,120+Inputs!$B$27+Inputs!$B$29,MAX(0,(Inputs!$B$3-100)*3)+Inputs!$B$28+Inputs!$B$29)))</f>
        <v/>
      </c>
      <c r="E2528">
        <f>INDEX(FactorTable!$B$2:$Y$301, MATCH(ROUND(MIN(300,MAX(1,D2528)),0), FactorTable!$A$2:$A$301,0), Skills!M21+1)</f>
        <v/>
      </c>
      <c r="F2528">
        <f>IF(Skills!N21=TRUE,(Skills!L21/10)*(E2528/1000),Skills!L21/10)+Skills!O21</f>
        <v/>
      </c>
      <c r="G2528">
        <f>Skills!G21*IF(Skills!H21&gt;0,Skills!I21/Skills!H21,1)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t="n">
        <v>0</v>
      </c>
      <c r="R2528" t="n">
        <v>0</v>
      </c>
      <c r="S2528">
        <f>IFERROR(O2528/N2528,0)</f>
        <v/>
      </c>
      <c r="T2528" t="n">
        <v>0</v>
      </c>
      <c r="V2528" t="n">
        <v>0</v>
      </c>
    </row>
    <row r="2529">
      <c r="A2529">
        <f>Skills!A22</f>
        <v/>
      </c>
      <c r="B2529">
        <f>Skills!B22</f>
        <v/>
      </c>
      <c r="C2529">
        <f>Inputs!$B$3&gt;=43</f>
        <v/>
      </c>
      <c r="D2529">
        <f>IF(Skills!C22=1,60+Inputs!$B$25+Inputs!$B$29,IF(Skills!C22=2,90+Inputs!$B$26+Inputs!$B$29,IF(Skills!C22=3,120+Inputs!$B$27+Inputs!$B$29,MAX(0,(Inputs!$B$3-100)*3)+Inputs!$B$28+Inputs!$B$29)))</f>
        <v/>
      </c>
      <c r="E2529">
        <f>INDEX(FactorTable!$B$2:$Y$301, MATCH(ROUND(MIN(300,MAX(1,D2529)),0), FactorTable!$A$2:$A$301,0), Skills!M22+1)</f>
        <v/>
      </c>
      <c r="F2529">
        <f>IF(Skills!N22=TRUE,(Skills!L22/10)*(E2529/1000),Skills!L22/10)+Skills!O22</f>
        <v/>
      </c>
      <c r="G2529">
        <f>Skills!G22*IF(Skills!H22&gt;0,Skills!I22/Skills!H22,1)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Inputs!$B$3&gt;=120</f>
        <v/>
      </c>
      <c r="D2530">
        <f>IF(Skills!C23=1,60+Inputs!$B$25+Inputs!$B$29,IF(Skills!C23=2,90+Inputs!$B$26+Inputs!$B$29,IF(Skills!C23=3,120+Inputs!$B$27+Inputs!$B$29,MAX(0,(Inputs!$B$3-100)*3)+Inputs!$B$28+Inputs!$B$29)))</f>
        <v/>
      </c>
      <c r="E2530">
        <f>INDEX(FactorTable!$B$2:$Y$301, MATCH(ROUND(MIN(300,MAX(1,D2530)),0), FactorTable!$A$2:$A$301,0), Skills!M23+1)</f>
        <v/>
      </c>
      <c r="F2530">
        <f>IF(Skills!N23=TRUE,(Skills!L23/10)*(E2530/1000),Skills!L23/10)+Skills!O23</f>
        <v/>
      </c>
      <c r="G2530">
        <f>Skills!G23*IF(Skills!H23&gt;0,Skills!I23/Skills!H23,1)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Inputs!$B$3&gt;=120</f>
        <v/>
      </c>
      <c r="D2531">
        <f>IF(Skills!C24=1,60+Inputs!$B$25+Inputs!$B$29,IF(Skills!C24=2,90+Inputs!$B$26+Inputs!$B$29,IF(Skills!C24=3,120+Inputs!$B$27+Inputs!$B$29,MAX(0,(Inputs!$B$3-100)*3)+Inputs!$B$28+Inputs!$B$29)))</f>
        <v/>
      </c>
      <c r="E2531">
        <f>INDEX(FactorTable!$B$2:$Y$301, MATCH(ROUND(MIN(300,MAX(1,D2531)),0), FactorTable!$A$2:$A$301,0), Skills!M24+1)</f>
        <v/>
      </c>
      <c r="F2531">
        <f>IF(Skills!N24=TRUE,(Skills!L24/10)*(E2531/1000),Skills!L24/10)+Skills!O24</f>
        <v/>
      </c>
      <c r="G2531">
        <f>Skills!G24*IF(Skills!H24&gt;0,Skills!I24/Skills!H24,1)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Inputs!$B$3&gt;=125</f>
        <v/>
      </c>
      <c r="D2532">
        <f>IF(Skills!C25=1,60+Inputs!$B$25+Inputs!$B$29,IF(Skills!C25=2,90+Inputs!$B$26+Inputs!$B$29,IF(Skills!C25=3,120+Inputs!$B$27+Inputs!$B$29,MAX(0,(Inputs!$B$3-100)*3)+Inputs!$B$28+Inputs!$B$29)))</f>
        <v/>
      </c>
      <c r="E2532">
        <f>INDEX(FactorTable!$B$2:$Y$301, MATCH(ROUND(MIN(300,MAX(1,D2532)),0), FactorTable!$A$2:$A$301,0), Skills!M25+1)</f>
        <v/>
      </c>
      <c r="F2532">
        <f>IF(Skills!N25=TRUE,(Skills!L25/10)*(E2532/1000),Skills!L25/10)+Skills!O25</f>
        <v/>
      </c>
      <c r="G2532">
        <f>Skills!G25*IF(Skills!H25&gt;0,Skills!I25/Skills!H25,1)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Inputs!$B$3&gt;=72</f>
        <v/>
      </c>
      <c r="D2533">
        <f>IF(Skills!C26=1,60+Inputs!$B$25+Inputs!$B$29,IF(Skills!C26=2,90+Inputs!$B$26+Inputs!$B$29,IF(Skills!C26=3,120+Inputs!$B$27+Inputs!$B$29,MAX(0,(Inputs!$B$3-100)*3)+Inputs!$B$28+Inputs!$B$29)))</f>
        <v/>
      </c>
      <c r="E2533">
        <f>INDEX(FactorTable!$B$2:$Y$301, MATCH(ROUND(MIN(300,MAX(1,D2533)),0), FactorTable!$A$2:$A$301,0), Skills!M26+1)</f>
        <v/>
      </c>
      <c r="F2533">
        <f>IF(Skills!N26=TRUE,(Skills!L26/10)*(E2533/1000),Skills!L26/10)+Skills!O26</f>
        <v/>
      </c>
      <c r="G2533">
        <f>Skills!G26*IF(Skills!H26&gt;0,Skills!I26/Skills!H26,1)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2526=TRUE)*F2526*IF(AND(Inputs!$B$38&lt;&gt;"pvp",Inputs!$B$43&gt;0),(((R2526-1)*(Skills!T19*(1+(Inputs!$B$34+(ArtifactsInput!$M$7-ArtifactsInput!$M$7)*CHOOSE(ArtifactsInput!$N$7+1,6,7.2,8.4,9.6,10.8,12))/100))+MIN((Skills!T19*(1+(Inputs!$B$34+(ArtifactsInput!$M$7-ArtifactsInput!$M$7)*CHOOSE(ArtifactsInput!$N$7+1,6,7.2,8.4,9.6,10.8,12))/100)),MAX(0,Inputs!$B$43-((R2526-1)*Skills!D19))))/Inputs!$B$43),IF(Inputs!$B$38="pvp",MIN((Skills!T19*(1+(Inputs!$B$34+(ArtifactsInput!$M$7-ArtifactsInput!$M$7)*CHOOSE(ArtifactsInput!$N$7+1,6,7.2,8.4,9.6,10.8,12))/100)),15)/15,(Skills!T19*(1+(Inputs!$B$34+(ArtifactsInput!$M$7-ArtifactsInput!$M$7)*CHOOSE(ArtifactsInput!$N$7+1,6,7.2,8.4,9.6,10.8,12))/100))/Skills!D19)))</f>
        <v/>
      </c>
    </row>
    <row r="2538">
      <c r="A2538" t="inlineStr">
        <is>
          <t>Actions Per Second</t>
        </is>
      </c>
      <c r="B2538">
        <f>1+MIN(150,150*(1-(1-(Inputs!$B$11+((C2527=TRUE)*(F2527-Calc!F20)))/150)*(1-B2537/150)))/100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Raging Blow Casts Per Second</t>
        </is>
      </c>
      <c r="B2540">
        <f>MAX(0,B2538-B2539)</f>
        <v/>
      </c>
    </row>
    <row r="2541">
      <c r="A2541" t="inlineStr">
        <is>
          <t>Global Critical Damage Bonus % (Enrage)</t>
        </is>
      </c>
      <c r="B2541">
        <f>((C2525=TRUE)*F2525*IF(AND(Inputs!$B$38&lt;&gt;"pvp",Inputs!$B$43&gt;0),(((R2525-1)*(Skills!T18*(1+(Inputs!$B$34+(ArtifactsInput!$M$7-ArtifactsInput!$M$7)*CHOOSE(ArtifactsInput!$N$7+1,6,7.2,8.4,9.6,10.8,12))/100))+MIN((Skills!T18*(1+(Inputs!$B$34+(ArtifactsInput!$M$7-ArtifactsInput!$M$7)*CHOOSE(ArtifactsInput!$N$7+1,6,7.2,8.4,9.6,10.8,12))/100)),MAX(0,Inputs!$B$43-((R2525-1)*Skills!D18))))/Inputs!$B$43),IF(Inputs!$B$38="pvp",MIN((Skills!T18*(1+(Inputs!$B$34+(ArtifactsInput!$M$7-ArtifactsInput!$M$7)*CHOOSE(ArtifactsInput!$N$7+1,6,7.2,8.4,9.6,10.8,12))/100)),15)/15,(Skills!T18*(1+(Inputs!$B$34+(ArtifactsInput!$M$7-ArtifactsInput!$M$7)*CHOOSE(ArtifactsInput!$N$7+1,6,7.2,8.4,9.6,10.8,12))/100))/Skills!D18)))</f>
        <v/>
      </c>
    </row>
    <row r="2542">
      <c r="A2542" t="inlineStr">
        <is>
          <t>Global Final Damage Bonus % (Enrage + Combo Synergy)</t>
        </is>
      </c>
      <c r="B2542">
        <f>((C2524=TRUE)*F2524*IF(AND(Inputs!$B$38&lt;&gt;"pvp",Inputs!$B$43&gt;0),(((R2524-1)*(Skills!T17*(1+(Inputs!$B$34+(ArtifactsInput!$M$7-ArtifactsInput!$M$7)*CHOOSE(ArtifactsInput!$N$7+1,6,7.2,8.4,9.6,10.8,12))/100))+MIN((Skills!T17*(1+(Inputs!$B$34+(ArtifactsInput!$M$7-ArtifactsInput!$M$7)*CHOOSE(ArtifactsInput!$N$7+1,6,7.2,8.4,9.6,10.8,12))/100)),MAX(0,Inputs!$B$43-((R2524-1)*Skills!D17))))/Inputs!$B$43),IF(Inputs!$B$38="pvp",MIN((Skills!T17*(1+(Inputs!$B$34+(ArtifactsInput!$M$7-ArtifactsInput!$M$7)*CHOOSE(ArtifactsInput!$N$7+1,6,7.2,8.4,9.6,10.8,12))/100)),15)/15,(Skills!T17*(1+(Inputs!$B$34+(ArtifactsInput!$M$7-ArtifactsInput!$M$7)*CHOOSE(ArtifactsInput!$N$7+1,6,7.2,8.4,9.6,10.8,12))/100))/Skills!D17)))+((C2521=TRUE)*F2521*IF(Inputs!$B$3&gt;=110,7,5))</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2551)</f>
        <v/>
      </c>
      <c r="L2551">
        <f>K2551*(MIN(Inputs!$B$22+((C2571=TRUE)*(F2571-Calc!F22)),(Inputs!$B$23+((C2573=TRUE)*(F2573-Calc!F24))+(IF(ArtifactsInput!$M$15,CHOOSE(ArtifactsInput!$N$15+1,25,30,35,40,45,50)/100*(Inputs!$B$11-Inputs!$B$11),0))))/100+(Inputs!$B$23+((C2573=TRUE)*(F2573-Calc!F24))+(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INDEX(FactorTable!$B$2:$Y$301, MATCH(ROUND(MIN(300,MAX(1,D2552)),0),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INDEX(FactorTable!$B$2:$Y$301, MATCH(ROUND(MIN(300,MAX(1,U2551)),0), FactorTable!$A$2:$A$301,0), 22)</f>
        <v/>
      </c>
    </row>
    <row r="2553">
      <c r="A2553">
        <f>Skills!A4</f>
        <v/>
      </c>
      <c r="B2553">
        <f>Skills!B4</f>
        <v/>
      </c>
      <c r="C2553">
        <f>Inputs!$B$3&gt;=105</f>
        <v/>
      </c>
      <c r="D2553">
        <f>IF(Skills!C4=1,60+Inputs!$B$25+Inputs!$B$29,IF(Skills!C4=2,90+Inputs!$B$26+Inputs!$B$29,IF(Skills!C4=3,120+Inputs!$B$27+Inputs!$B$29,MAX(0,(Inputs!$B$3-100)*3)+Inputs!$B$28+Inputs!$B$29)))</f>
        <v/>
      </c>
      <c r="E2553">
        <f>INDEX(FactorTable!$B$2:$Y$301, MATCH(ROUND(MIN(300,MAX(1,D2553)),0), FactorTable!$A$2:$A$301,0), Skills!M4+1)</f>
        <v/>
      </c>
      <c r="F2553">
        <f>IF(Skills!N4=TRUE,(Skills!L4/10)*(E2553/1000),Skills!L4/10)+Skills!O4</f>
        <v/>
      </c>
      <c r="G2553" t="inlineStr"/>
      <c r="H2553" t="inlineStr"/>
      <c r="I2553" t="inlineStr">
        <is>
          <t>1</t>
        </is>
      </c>
      <c r="J2553" t="inlineStr"/>
      <c r="K2553" t="inlineStr"/>
      <c r="L2553" t="inlineStr"/>
      <c r="M2553" t="inlineStr"/>
      <c r="N2553" t="inlineStr"/>
      <c r="O2553" t="inlineStr"/>
      <c r="P2553" t="inlineStr"/>
      <c r="Q2553" t="inlineStr"/>
      <c r="R2553" t="inlineStr"/>
      <c r="S2553" t="inlineStr"/>
      <c r="U2553">
        <f>290*U2552/1000</f>
        <v/>
      </c>
    </row>
    <row r="2554">
      <c r="A2554">
        <f>Skills!A5</f>
        <v/>
      </c>
      <c r="B2554">
        <f>Skills!B5</f>
        <v/>
      </c>
      <c r="C2554">
        <f>Inputs!$B$3&gt;=103</f>
        <v/>
      </c>
      <c r="D2554">
        <f>IF(Skills!C5=1,60+Inputs!$B$25+Inputs!$B$29,IF(Skills!C5=2,90+Inputs!$B$26+Inputs!$B$29,IF(Skills!C5=3,120+Inputs!$B$27+Inputs!$B$29,MAX(0,(Inputs!$B$3-100)*3)+Inputs!$B$28+Inputs!$B$29)))</f>
        <v/>
      </c>
      <c r="E2554">
        <f>INDEX(FactorTable!$B$2:$Y$301, MATCH(ROUND(MIN(300,MAX(1,D2554)),0), FactorTable!$A$2:$A$301,0), Skills!M5+1)</f>
        <v/>
      </c>
      <c r="F2554">
        <f>IF(Skills!N5=TRUE,(Skills!L5/10)*(E2554/1000),Skills!L5/10)+Skills!O5</f>
        <v/>
      </c>
      <c r="G2554">
        <f>Skills!G5*IF(Skills!H5&gt;0,Skills!I5/Skills!H5,1)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2554)</f>
        <v/>
      </c>
      <c r="L2554">
        <f>K2554*(MIN(Inputs!$B$22+((C2571=TRUE)*(F2571-Calc!F22)),(Inputs!$B$23+((C2573=TRUE)*(F2573-Calc!F24))+(IF(ArtifactsInput!$M$15,CHOOSE(ArtifactsInput!$N$15+1,25,30,35,40,45,50)/100*(Inputs!$B$11-Inputs!$B$11),0))))/100+(Inputs!$B$23+((C2573=TRUE)*(F2573-Calc!F24))+(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IFERROR(1/(IF(Inputs!$B$38="pvp",15,MAX(0.1,Skills!D5-IF(Skills!E5=TRUE,Inputs!$B$32,0)))*(1-IF(AND(ArtifactsInput!$M$27,Inputs!$B$4="Chapter Hunt"),CHOOSE(ArtifactsInput!$N$27+1,20,24,28,32,36,40),0)/100)),0)</f>
        <v/>
      </c>
      <c r="R2554">
        <f>IF(AND(Inputs!$B$38&lt;&gt;"pvp",Inputs!$B$43&gt;0),IF(MAX(0,Inputs!$B$43-B2585)&lt;=0,0,(INT(MAX(0,Inputs!$B$43-B2585)/(IF(Inputs!$B$38="pvp",15,MAX(0.1,Skills!D5-IF(Skills!E5=TRUE,Inputs!$B$32,0)))*(1-IF(AND(ArtifactsInput!$M$27,Inputs!$B$4="Chapter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INDEX(FactorTable!$B$2:$Y$301, MATCH(ROUND(MIN(300,MAX(1,D2555)),0), FactorTable!$A$2:$A$301,0), Skills!M6+1)</f>
        <v/>
      </c>
      <c r="F2555">
        <f>IF(Skills!N6=TRUE,(Skills!L6/10)*(E2555/1000),Skills!L6/10)+Skills!O6</f>
        <v/>
      </c>
      <c r="G2555">
        <f>Skills!G6*IF(Skills!H6&gt;0,Skills!I6/Skills!H6,1)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2555)</f>
        <v/>
      </c>
      <c r="L2555">
        <f>K2555*(MIN(Inputs!$B$22+((C2571=TRUE)*(F2571-Calc!F22)),(Inputs!$B$23+((C2573=TRUE)*(F2573-Calc!F24))+(IF(ArtifactsInput!$M$15,CHOOSE(ArtifactsInput!$N$15+1,25,30,35,40,45,50)/100*(Inputs!$B$11-Inputs!$B$11),0))))/100+(Inputs!$B$23+((C2573=TRUE)*(F2573-Calc!F24))+(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IFERROR(1/(IF(Inputs!$B$38="pvp",15,MAX(0.1,Skills!D6-IF(Skills!E6=TRUE,Inputs!$B$32,0)))*(1-IF(AND(ArtifactsInput!$M$27,Inputs!$B$4="Chapter Hunt"),CHOOSE(ArtifactsInput!$N$27+1,20,24,28,32,36,40),0)/100)),0)</f>
        <v/>
      </c>
      <c r="R2555">
        <f>IF(AND(Inputs!$B$38&lt;&gt;"pvp",Inputs!$B$43&gt;0),IF(MAX(0,Inputs!$B$43-B2585)&lt;=0,0,(INT(MAX(0,Inputs!$B$43-B2585)/(IF(Inputs!$B$38="pvp",15,MAX(0.1,Skills!D6-IF(Skills!E6=TRUE,Inputs!$B$32,0)))*(1-IF(AND(ArtifactsInput!$M$27,Inputs!$B$4="Chapter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INDEX(FactorTable!$B$2:$Y$301, MATCH(ROUND(MIN(300,MAX(1,D2556)),0), FactorTable!$A$2:$A$301,0), Skills!M7+1)</f>
        <v/>
      </c>
      <c r="F2556">
        <f>IF(Skills!N7=TRUE,(Skills!L7/10)*(E2556/1000),Skills!L7/10)+Skills!O7</f>
        <v/>
      </c>
      <c r="G2556">
        <f>Skills!G7*IF(Skills!H7&gt;0,Skills!I7/Skills!H7,1)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2556)</f>
        <v/>
      </c>
      <c r="L2556">
        <f>K2556*(MIN(Inputs!$B$22+((C2571=TRUE)*(F2571-Calc!F22)),(Inputs!$B$23+((C2573=TRUE)*(F2573-Calc!F24))+(IF(ArtifactsInput!$M$15,CHOOSE(ArtifactsInput!$N$15+1,25,30,35,40,45,50)/100*(Inputs!$B$11-Inputs!$B$11),0))))/100+(Inputs!$B$23+((C2573=TRUE)*(F2573-Calc!F24))+(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IFERROR(1/(IF(Inputs!$B$38="pvp",15,MAX(0.1,Skills!D7-IF(Skills!E7=TRUE,Inputs!$B$32,0)))*(1-IF(AND(ArtifactsInput!$M$27,Inputs!$B$4="Chapter Hunt"),CHOOSE(ArtifactsInput!$N$27+1,20,24,28,32,36,40),0)/100)),0)</f>
        <v/>
      </c>
      <c r="R2556">
        <f>IF(AND(Inputs!$B$38&lt;&gt;"pvp",Inputs!$B$43&gt;0),IF(MAX(0,Inputs!$B$43-B2585)&lt;=0,0,(INT(MAX(0,Inputs!$B$43-B2585)/(IF(Inputs!$B$38="pvp",15,MAX(0.1,Skills!D7-IF(Skills!E7=TRUE,Inputs!$B$32,0)))*(1-IF(AND(ArtifactsInput!$M$27,Inputs!$B$4="Chapter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Inputs!$B$3&gt;=117</f>
        <v/>
      </c>
      <c r="D2557">
        <f>IF(Skills!C8=1,60+Inputs!$B$25+Inputs!$B$29,IF(Skills!C8=2,90+Inputs!$B$26+Inputs!$B$29,IF(Skills!C8=3,120+Inputs!$B$27+Inputs!$B$29,MAX(0,(Inputs!$B$3-100)*3)+Inputs!$B$28+Inputs!$B$29)))</f>
        <v/>
      </c>
      <c r="E2557">
        <f>INDEX(FactorTable!$B$2:$Y$301, MATCH(ROUND(MIN(300,MAX(1,D2557)),0), FactorTable!$A$2:$A$301,0), Skills!M8+1)</f>
        <v/>
      </c>
      <c r="F2557">
        <f>IF(Skills!N8=TRUE,(Skills!L8/10)*(E2557/1000),Skills!L8/10)+Skills!O8</f>
        <v/>
      </c>
      <c r="G2557">
        <f>Skills!G8*IF(Skills!H8&gt;0,Skills!I8/Skills!H8,1)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2557)</f>
        <v/>
      </c>
      <c r="L2557">
        <f>K2557*(MIN(Inputs!$B$22+((C2571=TRUE)*(F2571-Calc!F22)),(Inputs!$B$23+((C2573=TRUE)*(F2573-Calc!F24))+(IF(ArtifactsInput!$M$15,CHOOSE(ArtifactsInput!$N$15+1,25,30,35,40,45,50)/100*(Inputs!$B$11-Inputs!$B$11),0))))/100+(Inputs!$B$23+((C2573=TRUE)*(F2573-Calc!F24))+(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IFERROR(1/(IF(Inputs!$B$38="pvp",15,MAX(0.1,Skills!D8-IF(Skills!E8=TRUE,Inputs!$B$32,0)))*(1-IF(AND(ArtifactsInput!$M$27,Inputs!$B$4="Chapter Hunt"),CHOOSE(ArtifactsInput!$N$27+1,20,24,28,32,36,40),0)/100)),0)</f>
        <v/>
      </c>
      <c r="R2557">
        <f>IF(AND(Inputs!$B$38&lt;&gt;"pvp",Inputs!$B$43&gt;0),IF(MAX(0,Inputs!$B$43-B2585)&lt;=0,0,(INT(MAX(0,Inputs!$B$43-B2585)/(IF(Inputs!$B$38="pvp",15,MAX(0.1,Skills!D8-IF(Skills!E8=TRUE,Inputs!$B$32,0)))*(1-IF(AND(ArtifactsInput!$M$27,Inputs!$B$4="Chapter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Inputs!$B$3&gt;=69</f>
        <v/>
      </c>
      <c r="D2558">
        <f>IF(Skills!C9=1,60+Inputs!$B$25+Inputs!$B$29,IF(Skills!C9=2,90+Inputs!$B$26+Inputs!$B$29,IF(Skills!C9=3,120+Inputs!$B$27+Inputs!$B$29,MAX(0,(Inputs!$B$3-100)*3)+Inputs!$B$28+Inputs!$B$29)))</f>
        <v/>
      </c>
      <c r="E2558">
        <f>INDEX(FactorTable!$B$2:$Y$301, MATCH(ROUND(MIN(300,MAX(1,D2558)),0), FactorTable!$A$2:$A$301,0), Skills!M9+1)</f>
        <v/>
      </c>
      <c r="F2558">
        <f>IF(Skills!N9=TRUE,(Skills!L9/10)*(E2558/1000),Skills!L9/10)+Skills!O9</f>
        <v/>
      </c>
      <c r="G2558">
        <f>Skills!G9*IF(Skills!H9&gt;0,Skills!I9/Skills!H9,1)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9="ENHANCED_RAGING_BLOW",IF(Inputs!$B$3&gt;=134,MAX(0,IF(Inputs!$B$3&gt;=110,7,5)-5)*50,0),0)/100)*(1+(IF(Skills!A9="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2558)</f>
        <v/>
      </c>
      <c r="L2558">
        <f>K2558*(MIN(Inputs!$B$22+((C2571=TRUE)*(F2571-Calc!F22)),(Inputs!$B$23+((C2573=TRUE)*(F2573-Calc!F24))+(IF(ArtifactsInput!$M$15,CHOOSE(ArtifactsInput!$N$15+1,25,30,35,40,45,50)/100*(Inputs!$B$11-Inputs!$B$11),0))))/100+(Inputs!$B$23+((C2573=TRUE)*(F2573-Calc!F24))+(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IFERROR(1/(IF(Inputs!$B$38="pvp",15,MAX(0.1,Skills!D9-IF(Skills!E9=TRUE,Inputs!$B$32,0)))*(1-IF(AND(ArtifactsInput!$M$27,Inputs!$B$4="Chapter Hunt"),CHOOSE(ArtifactsInput!$N$27+1,20,24,28,32,36,40),0)/100)),0)</f>
        <v/>
      </c>
      <c r="R2558">
        <f>IF(AND(Inputs!$B$38&lt;&gt;"pvp",Inputs!$B$43&gt;0),IF(MAX(0,Inputs!$B$43-B2585)&lt;=0,0,(INT(MAX(0,Inputs!$B$43-B2585)/(IF(Inputs!$B$38="pvp",15,MAX(0.1,Skills!D9-IF(Skills!E9=TRUE,Inputs!$B$32,0)))*(1-IF(AND(ArtifactsInput!$M$27,Inputs!$B$4="Chapter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Inputs!$B$3&gt;=63</f>
        <v/>
      </c>
      <c r="D2559">
        <f>IF(Skills!C10=1,60+Inputs!$B$25+Inputs!$B$29,IF(Skills!C10=2,90+Inputs!$B$26+Inputs!$B$29,IF(Skills!C10=3,120+Inputs!$B$27+Inputs!$B$29,MAX(0,(Inputs!$B$3-100)*3)+Inputs!$B$28+Inputs!$B$29)))</f>
        <v/>
      </c>
      <c r="E2559">
        <f>INDEX(FactorTable!$B$2:$Y$301, MATCH(ROUND(MIN(300,MAX(1,D2559)),0), FactorTable!$A$2:$A$301,0), Skills!M10+1)</f>
        <v/>
      </c>
      <c r="F2559">
        <f>IF(Skills!N10=TRUE,(Skills!L10/10)*(E2559/1000),Skills!L10/10)+Skills!O10</f>
        <v/>
      </c>
      <c r="G2559">
        <f>Skills!G10*IF(Skills!H10&gt;0,Skills!I10/Skills!H10,1)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10="ENHANCED_RAGING_BLOW",IF(Inputs!$B$3&gt;=134,MAX(0,IF(Inputs!$B$3&gt;=110,7,5)-5)*50,0),0)/100)*(1+(IF(Skills!A10="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2559)</f>
        <v/>
      </c>
      <c r="L2559">
        <f>K2559*(MIN(Inputs!$B$22+((C2571=TRUE)*(F2571-Calc!F22)),(Inputs!$B$23+((C2573=TRUE)*(F2573-Calc!F24))+(IF(ArtifactsInput!$M$15,CHOOSE(ArtifactsInput!$N$15+1,25,30,35,40,45,50)/100*(Inputs!$B$11-Inputs!$B$11),0))))/100+(Inputs!$B$23+((C2573=TRUE)*(F2573-Calc!F24))+(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IFERROR(1/(IF(Inputs!$B$38="pvp",15,MAX(0.1,Skills!D10-IF(Skills!E10=TRUE,Inputs!$B$32,0)))*(1-IF(AND(ArtifactsInput!$M$27,Inputs!$B$4="Chapter Hunt"),CHOOSE(ArtifactsInput!$N$27+1,20,24,28,32,36,40),0)/100)),0)</f>
        <v/>
      </c>
      <c r="R2559">
        <f>IF(AND(Inputs!$B$38&lt;&gt;"pvp",Inputs!$B$43&gt;0),IF(MAX(0,Inputs!$B$43-B2585)&lt;=0,0,(INT(MAX(0,Inputs!$B$43-B2585)/(IF(Inputs!$B$38="pvp",15,MAX(0.1,Skills!D10-IF(Skills!E10=TRUE,Inputs!$B$32,0)))*(1-IF(AND(ArtifactsInput!$M$27,Inputs!$B$4="Chapter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Inputs!$B$3&gt;=35</f>
        <v/>
      </c>
      <c r="D2560">
        <f>IF(Skills!C11=1,60+Inputs!$B$25+Inputs!$B$29,IF(Skills!C11=2,90+Inputs!$B$26+Inputs!$B$29,IF(Skills!C11=3,120+Inputs!$B$27+Inputs!$B$29,MAX(0,(Inputs!$B$3-100)*3)+Inputs!$B$28+Inputs!$B$29)))</f>
        <v/>
      </c>
      <c r="E2560">
        <f>INDEX(FactorTable!$B$2:$Y$301, MATCH(ROUND(MIN(300,MAX(1,D2560)),0), FactorTable!$A$2:$A$301,0), Skills!M11+1)</f>
        <v/>
      </c>
      <c r="F2560">
        <f>IF(Skills!N11=TRUE,(Skills!L11/10)*(E2560/1000),Skills!L11/10)+Skills!O11</f>
        <v/>
      </c>
      <c r="G2560">
        <f>Skills!G11*IF(Skills!H11&gt;0,Skills!I11/Skills!H11,1)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11="ENHANCED_RAGING_BLOW",IF(Inputs!$B$3&gt;=134,MAX(0,IF(Inputs!$B$3&gt;=110,7,5)-5)*50,0),0)/100)*(1+(IF(Skills!A11="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2560)</f>
        <v/>
      </c>
      <c r="L2560">
        <f>K2560*(MIN(Inputs!$B$22+((C2571=TRUE)*(F2571-Calc!F22)),(Inputs!$B$23+((C2573=TRUE)*(F2573-Calc!F24))+(IF(ArtifactsInput!$M$15,CHOOSE(ArtifactsInput!$N$15+1,25,30,35,40,45,50)/100*(Inputs!$B$11-Inputs!$B$11),0))))/100+(Inputs!$B$23+((C2573=TRUE)*(F2573-Calc!F24))+(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IFERROR(1/(IF(Inputs!$B$38="pvp",15,MAX(0.1,Skills!D11-IF(Skills!E11=TRUE,Inputs!$B$32,0)))*(1-IF(AND(ArtifactsInput!$M$27,Inputs!$B$4="Chapter Hunt"),CHOOSE(ArtifactsInput!$N$27+1,20,24,28,32,36,40),0)/100)),0)</f>
        <v/>
      </c>
      <c r="R2560">
        <f>IF(AND(Inputs!$B$38&lt;&gt;"pvp",Inputs!$B$43&gt;0),IF(MAX(0,Inputs!$B$43-B2585)&lt;=0,0,(INT(MAX(0,Inputs!$B$43-B2585)/(IF(Inputs!$B$38="pvp",15,MAX(0.1,Skills!D11-IF(Skills!E11=TRUE,Inputs!$B$32,0)))*(1-IF(AND(ArtifactsInput!$M$27,Inputs!$B$4="Chapter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INDEX(FactorTable!$B$2:$Y$301, MATCH(ROUND(MIN(300,MAX(1,D2561)),0),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INDEX(FactorTable!$B$2:$Y$301, MATCH(ROUND(MIN(300,MAX(1,D2562)),0), FactorTable!$A$2:$A$301,0), Skills!M13+1)</f>
        <v/>
      </c>
      <c r="F2562">
        <f>IF(Skills!N13=TRUE,(Skills!L13/10)*(E2562/1000),Skills!L13/10)+Skills!O13</f>
        <v/>
      </c>
      <c r="G2562">
        <f>Skills!G13*IF(Skills!H13&gt;0,Skills!I13/Skills!H13,1)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Inputs!$B$3&gt;=75</f>
        <v/>
      </c>
      <c r="D2563">
        <f>IF(Skills!C14=1,60+Inputs!$B$25+Inputs!$B$29,IF(Skills!C14=2,90+Inputs!$B$26+Inputs!$B$29,IF(Skills!C14=3,120+Inputs!$B$27+Inputs!$B$29,MAX(0,(Inputs!$B$3-100)*3)+Inputs!$B$28+Inputs!$B$29)))</f>
        <v/>
      </c>
      <c r="E2563">
        <f>INDEX(FactorTable!$B$2:$Y$301, MATCH(ROUND(MIN(300,MAX(1,D2563)),0), FactorTable!$A$2:$A$301,0), Skills!M14+1)</f>
        <v/>
      </c>
      <c r="F2563">
        <f>IF(Skills!N14=TRUE,(Skills!L14/10)*(E2563/1000),Skills!L14/10)+Skills!O14</f>
        <v/>
      </c>
      <c r="G2563">
        <f>Skills!G14*IF(Skills!H14&gt;0,Skills!I14/Skills!H14,1)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Inputs!$B$3&gt;=40</f>
        <v/>
      </c>
      <c r="D2564">
        <f>IF(Skills!C15=1,60+Inputs!$B$25+Inputs!$B$29,IF(Skills!C15=2,90+Inputs!$B$26+Inputs!$B$29,IF(Skills!C15=3,120+Inputs!$B$27+Inputs!$B$29,MAX(0,(Inputs!$B$3-100)*3)+Inputs!$B$28+Inputs!$B$29)))</f>
        <v/>
      </c>
      <c r="E2564">
        <f>INDEX(FactorTable!$B$2:$Y$301, MATCH(ROUND(MIN(300,MAX(1,D2564)),0), FactorTable!$A$2:$A$301,0), Skills!M15+1)</f>
        <v/>
      </c>
      <c r="F2564">
        <f>IF(Skills!N15=TRUE,(Skills!L15/10)*(E2564/1000),Skills!L15/10)+Skills!O15</f>
        <v/>
      </c>
      <c r="G2564">
        <f>Skills!G15*IF(Skills!H15&gt;0,Skills!I15/Skills!H15,1)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IFERROR(1/(IF(Inputs!$B$38="pvp",15,MAX(0.1,Skills!D15-IF(Skills!E15=TRUE,Inputs!$B$32,0)))*(1-IF(AND(ArtifactsInput!$M$27,Inputs!$B$4="Chapter Hunt"),CHOOSE(ArtifactsInput!$N$27+1,20,24,28,32,36,40),0)/100)),0)</f>
        <v/>
      </c>
      <c r="R2564">
        <f>IF(AND(Inputs!$B$38&lt;&gt;"pvp",Inputs!$B$43&gt;0),IF(Inputs!$B$43&lt;=0,0,(INT(Inputs!$B$43/(IF(Inputs!$B$38="pvp",15,MAX(0.1,Skills!D15-IF(Skills!E15=TRUE,Inputs!$B$32,0)))*(1-IF(AND(ArtifactsInput!$M$27,Inputs!$B$4="Chapter Hunt"),CHOOSE(ArtifactsInput!$N$27+1,20,24,28,32,36,40),0)/100)))+1)),0)</f>
        <v/>
      </c>
      <c r="S2564">
        <f>IFERROR(O2564/N2564,0)</f>
        <v/>
      </c>
      <c r="T2564" t="n">
        <v>0</v>
      </c>
      <c r="V2564" t="n">
        <v>0</v>
      </c>
    </row>
    <row r="2565">
      <c r="A2565">
        <f>Skills!A16</f>
        <v/>
      </c>
      <c r="B2565">
        <f>Skills!B16</f>
        <v/>
      </c>
      <c r="C2565">
        <f>Inputs!$B$3&gt;=66</f>
        <v/>
      </c>
      <c r="D2565">
        <f>IF(Skills!C16=1,60+Inputs!$B$25+Inputs!$B$29,IF(Skills!C16=2,90+Inputs!$B$26+Inputs!$B$29,IF(Skills!C16=3,120+Inputs!$B$27+Inputs!$B$29,MAX(0,(Inputs!$B$3-100)*3)+Inputs!$B$28+Inputs!$B$29)))</f>
        <v/>
      </c>
      <c r="E2565">
        <f>INDEX(FactorTable!$B$2:$Y$301, MATCH(ROUND(MIN(300,MAX(1,D2565)),0), FactorTable!$A$2:$A$301,0), Skills!M16+1)</f>
        <v/>
      </c>
      <c r="F2565">
        <f>IF(Skills!N16=TRUE,(Skills!L16/10)*(E2565/1000),Skills!L16/10)+Skills!O16</f>
        <v/>
      </c>
      <c r="G2565">
        <f>Skills!G16*IF(Skills!H16&gt;0,Skills!I16/Skills!H16,1)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IFERROR(1/(IF(Inputs!$B$38="pvp",15,MAX(0.1,Skills!D16-IF(Skills!E16=TRUE,Inputs!$B$32,0)))*(1-IF(AND(ArtifactsInput!$M$27,Inputs!$B$4="Chapter Hunt"),CHOOSE(ArtifactsInput!$N$27+1,20,24,28,32,36,40),0)/100)),0)</f>
        <v/>
      </c>
      <c r="R2565">
        <f>IF(AND(Inputs!$B$38&lt;&gt;"pvp",Inputs!$B$43&gt;0),IF(Inputs!$B$43&lt;=0,0,(INT(Inputs!$B$43/(IF(Inputs!$B$38="pvp",15,MAX(0.1,Skills!D16-IF(Skills!E16=TRUE,Inputs!$B$32,0)))*(1-IF(AND(ArtifactsInput!$M$27,Inputs!$B$4="Chapter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INDEX(FactorTable!$B$2:$Y$301, MATCH(ROUND(MIN(300,MAX(1,D2566)),0), FactorTable!$A$2:$A$301,0), Skills!M17+1)</f>
        <v/>
      </c>
      <c r="F2566">
        <f>IF(Skills!N17=TRUE,(Skills!L17/10)*(E2566/1000),Skills!L17/10)+Skills!O17</f>
        <v/>
      </c>
      <c r="G2566">
        <f>Skills!G17*IF(Skills!H17&gt;0,Skills!I17/Skills!H17,1)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IFERROR(1/(IF(Inputs!$B$38="pvp",15,MAX(0.1,Skills!D17-IF(Skills!E17=TRUE,Inputs!$B$32,0)))*(1-IF(AND(ArtifactsInput!$M$27,Inputs!$B$4="Chapter Hunt"),CHOOSE(ArtifactsInput!$N$27+1,20,24,28,32,36,40),0)/100)),0)</f>
        <v/>
      </c>
      <c r="R2566">
        <f>IF(AND(Inputs!$B$38&lt;&gt;"pvp",Inputs!$B$43&gt;0),IF(Inputs!$B$43&lt;=0,0,(INT(Inputs!$B$43/(IF(Inputs!$B$38="pvp",15,MAX(0.1,Skills!D17-IF(Skills!E17=TRUE,Inputs!$B$32,0)))*(1-IF(AND(ArtifactsInput!$M$27,Inputs!$B$4="Chapter Hunt"),CHOOSE(ArtifactsInput!$N$27+1,20,24,28,32,36,40),0)/100)))+1)),0)</f>
        <v/>
      </c>
      <c r="S2566">
        <f>IFERROR(O2566/N2566,0)</f>
        <v/>
      </c>
      <c r="T2566" t="n">
        <v>0</v>
      </c>
      <c r="V2566" t="n">
        <v>0</v>
      </c>
    </row>
    <row r="2567">
      <c r="A2567">
        <f>Skills!A18</f>
        <v/>
      </c>
      <c r="B2567">
        <f>Skills!B18</f>
        <v/>
      </c>
      <c r="C2567">
        <f>Inputs!$B$3&gt;=115</f>
        <v/>
      </c>
      <c r="D2567">
        <f>IF(Skills!C18=1,60+Inputs!$B$25+Inputs!$B$29,IF(Skills!C18=2,90+Inputs!$B$26+Inputs!$B$29,IF(Skills!C18=3,120+Inputs!$B$27+Inputs!$B$29,MAX(0,(Inputs!$B$3-100)*3)+Inputs!$B$28+Inputs!$B$29)))</f>
        <v/>
      </c>
      <c r="E2567">
        <f>INDEX(FactorTable!$B$2:$Y$301, MATCH(ROUND(MIN(300,MAX(1,D2567)),0), FactorTable!$A$2:$A$301,0), Skills!M18+1)</f>
        <v/>
      </c>
      <c r="F2567">
        <f>IF(Skills!N18=TRUE,(Skills!L18/10)*(E2567/1000),Skills!L18/10)+Skills!O18</f>
        <v/>
      </c>
      <c r="G2567">
        <f>Skills!G18*IF(Skills!H18&gt;0,Skills!I18/Skills!H18,1)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IFERROR(1/(IF(Inputs!$B$38="pvp",15,MAX(0.1,Skills!D18-IF(Skills!E18=TRUE,Inputs!$B$32,0)))*(1-IF(AND(ArtifactsInput!$M$27,Inputs!$B$4="Chapter Hunt"),CHOOSE(ArtifactsInput!$N$27+1,20,24,28,32,36,40),0)/100)),0)</f>
        <v/>
      </c>
      <c r="R2567">
        <f>IF(AND(Inputs!$B$38&lt;&gt;"pvp",Inputs!$B$43&gt;0),IF(Inputs!$B$43&lt;=0,0,(INT(Inputs!$B$43/(IF(Inputs!$B$38="pvp",15,MAX(0.1,Skills!D18-IF(Skills!E18=TRUE,Inputs!$B$32,0)))*(1-IF(AND(ArtifactsInput!$M$27,Inputs!$B$4="Chapter Hunt"),CHOOSE(ArtifactsInput!$N$27+1,20,24,28,32,36,40),0)/100)))+1)),0)</f>
        <v/>
      </c>
      <c r="S2567">
        <f>IFERROR(O2567/N2567,0)</f>
        <v/>
      </c>
      <c r="T2567" t="n">
        <v>0</v>
      </c>
      <c r="V2567" t="n">
        <v>0</v>
      </c>
    </row>
    <row r="2568">
      <c r="A2568">
        <f>Skills!A19</f>
        <v/>
      </c>
      <c r="B2568">
        <f>Skills!B19</f>
        <v/>
      </c>
      <c r="C2568">
        <f>TRUE</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IFERROR(1/(IF(Inputs!$B$38="pvp",15,MAX(0.1,Skills!D19-IF(Skills!E19=TRUE,Inputs!$B$32,0)))*(1-IF(AND(ArtifactsInput!$M$27,Inputs!$B$4="Chapter Hunt"),CHOOSE(ArtifactsInput!$N$27+1,20,24,28,32,36,40),0)/100)),0)</f>
        <v/>
      </c>
      <c r="R2568">
        <f>IF(AND(Inputs!$B$38&lt;&gt;"pvp",Inputs!$B$43&gt;0),IF(Inputs!$B$43&lt;=0,0,(INT(Inputs!$B$43/(IF(Inputs!$B$38="pvp",15,MAX(0.1,Skills!D19-IF(Skills!E19=TRUE,Inputs!$B$32,0)))*(1-IF(AND(ArtifactsInput!$M$27,Inputs!$B$4="Chapter Hunt"),CHOOSE(ArtifactsInput!$N$27+1,20,24,28,32,36,40),0)/100)))+1)),0)</f>
        <v/>
      </c>
      <c r="S2568">
        <f>IFERROR(O2568/N2568,0)</f>
        <v/>
      </c>
      <c r="T2568" t="n">
        <v>0</v>
      </c>
      <c r="V2568" t="n">
        <v>0</v>
      </c>
    </row>
    <row r="2569">
      <c r="A2569">
        <f>Skills!A20</f>
        <v/>
      </c>
      <c r="B2569">
        <f>Skills!B20</f>
        <v/>
      </c>
      <c r="C2569">
        <f>Inputs!$B$3&gt;=33</f>
        <v/>
      </c>
      <c r="D2569">
        <f>IF(Skills!C20=1,60+Inputs!$B$25+Inputs!$B$29,IF(Skills!C20=2,90+Inputs!$B$26+Inputs!$B$29,IF(Skills!C20=3,120+Inputs!$B$27+Inputs!$B$29,MAX(0,(Inputs!$B$3-100)*3)+Inputs!$B$28+Inputs!$B$29)))</f>
        <v/>
      </c>
      <c r="E2569">
        <f>INDEX(FactorTable!$B$2:$Y$301, MATCH(ROUND(MIN(300,MAX(1,D2569)),0), FactorTable!$A$2:$A$301,0), Skills!M20+1)</f>
        <v/>
      </c>
      <c r="F2569">
        <f>IF(Skills!N20=TRUE,(Skills!L20/10)*(E2569/1000),Skills!L20/10)+Skills!O20</f>
        <v/>
      </c>
      <c r="G2569">
        <f>Skills!G20*IF(Skills!H20&gt;0,Skills!I20/Skills!H20,1)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Inputs!$B$3&gt;=38</f>
        <v/>
      </c>
      <c r="D2570">
        <f>IF(Skills!C21=1,60+Inputs!$B$25+Inputs!$B$29,IF(Skills!C21=2,90+Inputs!$B$26+Inputs!$B$29,IF(Skills!C21=3,120+Inputs!$B$27+Inputs!$B$29,MAX(0,(Inputs!$B$3-100)*3)+Inputs!$B$28+Inputs!$B$29)))</f>
        <v/>
      </c>
      <c r="E2570">
        <f>INDEX(FactorTable!$B$2:$Y$301, MATCH(ROUND(MIN(300,MAX(1,D2570)),0), FactorTable!$A$2:$A$301,0), Skills!M21+1)</f>
        <v/>
      </c>
      <c r="F2570">
        <f>IF(Skills!N21=TRUE,(Skills!L21/10)*(E2570/1000),Skills!L21/10)+Skills!O21</f>
        <v/>
      </c>
      <c r="G2570">
        <f>Skills!G21*IF(Skills!H21&gt;0,Skills!I21/Skills!H21,1)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t="n">
        <v>0</v>
      </c>
      <c r="R2570" t="n">
        <v>0</v>
      </c>
      <c r="S2570">
        <f>IFERROR(O2570/N2570,0)</f>
        <v/>
      </c>
      <c r="T2570" t="n">
        <v>0</v>
      </c>
      <c r="V2570" t="n">
        <v>0</v>
      </c>
    </row>
    <row r="2571">
      <c r="A2571">
        <f>Skills!A22</f>
        <v/>
      </c>
      <c r="B2571">
        <f>Skills!B22</f>
        <v/>
      </c>
      <c r="C2571">
        <f>Inputs!$B$3&gt;=43</f>
        <v/>
      </c>
      <c r="D2571">
        <f>IF(Skills!C22=1,60+Inputs!$B$25+Inputs!$B$29,IF(Skills!C22=2,90+Inputs!$B$26+Inputs!$B$29,IF(Skills!C22=3,120+Inputs!$B$27+Inputs!$B$29,MAX(0,(Inputs!$B$3-100)*3)+Inputs!$B$28+Inputs!$B$29)))</f>
        <v/>
      </c>
      <c r="E2571">
        <f>INDEX(FactorTable!$B$2:$Y$301, MATCH(ROUND(MIN(300,MAX(1,D2571)),0), FactorTable!$A$2:$A$301,0), Skills!M22+1)</f>
        <v/>
      </c>
      <c r="F2571">
        <f>IF(Skills!N22=TRUE,(Skills!L22/10)*(E2571/1000),Skills!L22/10)+Skills!O22</f>
        <v/>
      </c>
      <c r="G2571">
        <f>Skills!G22*IF(Skills!H22&gt;0,Skills!I22/Skills!H22,1)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Inputs!$B$3&gt;=120</f>
        <v/>
      </c>
      <c r="D2572">
        <f>IF(Skills!C23=1,60+Inputs!$B$25+Inputs!$B$29,IF(Skills!C23=2,90+Inputs!$B$26+Inputs!$B$29,IF(Skills!C23=3,120+Inputs!$B$27+Inputs!$B$29,MAX(0,(Inputs!$B$3-100)*3)+Inputs!$B$28+Inputs!$B$29)))</f>
        <v/>
      </c>
      <c r="E2572">
        <f>INDEX(FactorTable!$B$2:$Y$301, MATCH(ROUND(MIN(300,MAX(1,D2572)),0), FactorTable!$A$2:$A$301,0), Skills!M23+1)</f>
        <v/>
      </c>
      <c r="F2572">
        <f>IF(Skills!N23=TRUE,(Skills!L23/10)*(E2572/1000),Skills!L23/10)+Skills!O23</f>
        <v/>
      </c>
      <c r="G2572">
        <f>Skills!G23*IF(Skills!H23&gt;0,Skills!I23/Skills!H23,1)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Inputs!$B$3&gt;=120</f>
        <v/>
      </c>
      <c r="D2573">
        <f>IF(Skills!C24=1,60+Inputs!$B$25+Inputs!$B$29,IF(Skills!C24=2,90+Inputs!$B$26+Inputs!$B$29,IF(Skills!C24=3,120+Inputs!$B$27+Inputs!$B$29,MAX(0,(Inputs!$B$3-100)*3)+Inputs!$B$28+Inputs!$B$29)))</f>
        <v/>
      </c>
      <c r="E2573">
        <f>INDEX(FactorTable!$B$2:$Y$301, MATCH(ROUND(MIN(300,MAX(1,D2573)),0), FactorTable!$A$2:$A$301,0), Skills!M24+1)</f>
        <v/>
      </c>
      <c r="F2573">
        <f>IF(Skills!N24=TRUE,(Skills!L24/10)*(E2573/1000),Skills!L24/10)+Skills!O24</f>
        <v/>
      </c>
      <c r="G2573">
        <f>Skills!G24*IF(Skills!H24&gt;0,Skills!I24/Skills!H24,1)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Inputs!$B$3&gt;=125</f>
        <v/>
      </c>
      <c r="D2574">
        <f>IF(Skills!C25=1,60+Inputs!$B$25+Inputs!$B$29,IF(Skills!C25=2,90+Inputs!$B$26+Inputs!$B$29,IF(Skills!C25=3,120+Inputs!$B$27+Inputs!$B$29,MAX(0,(Inputs!$B$3-100)*3)+Inputs!$B$28+Inputs!$B$29)))</f>
        <v/>
      </c>
      <c r="E2574">
        <f>INDEX(FactorTable!$B$2:$Y$301, MATCH(ROUND(MIN(300,MAX(1,D2574)),0), FactorTable!$A$2:$A$301,0), Skills!M25+1)</f>
        <v/>
      </c>
      <c r="F2574">
        <f>IF(Skills!N25=TRUE,(Skills!L25/10)*(E2574/1000),Skills!L25/10)+Skills!O25</f>
        <v/>
      </c>
      <c r="G2574">
        <f>Skills!G25*IF(Skills!H25&gt;0,Skills!I25/Skills!H25,1)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Inputs!$B$3&gt;=72</f>
        <v/>
      </c>
      <c r="D2575">
        <f>IF(Skills!C26=1,60+Inputs!$B$25+Inputs!$B$29,IF(Skills!C26=2,90+Inputs!$B$26+Inputs!$B$29,IF(Skills!C26=3,120+Inputs!$B$27+Inputs!$B$29,MAX(0,(Inputs!$B$3-100)*3)+Inputs!$B$28+Inputs!$B$29)))</f>
        <v/>
      </c>
      <c r="E2575">
        <f>INDEX(FactorTable!$B$2:$Y$301, MATCH(ROUND(MIN(300,MAX(1,D2575)),0), FactorTable!$A$2:$A$301,0), Skills!M26+1)</f>
        <v/>
      </c>
      <c r="F2575">
        <f>IF(Skills!N26=TRUE,(Skills!L26/10)*(E2575/1000),Skills!L26/10)+Skills!O26</f>
        <v/>
      </c>
      <c r="G2575">
        <f>Skills!G26*IF(Skills!H26&gt;0,Skills!I26/Skills!H26,1)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2568=TRUE)*F2568*IF(AND(Inputs!$B$38&lt;&gt;"pvp",Inputs!$B$43&gt;0),(((R2568-1)*(Skills!T19*(1+(Inputs!$B$34+(ArtifactsInput!$M$7-ArtifactsInput!$M$7)*CHOOSE(ArtifactsInput!$N$7+1,6,7.2,8.4,9.6,10.8,12))/100))+MIN((Skills!T19*(1+(Inputs!$B$34+(ArtifactsInput!$M$7-ArtifactsInput!$M$7)*CHOOSE(ArtifactsInput!$N$7+1,6,7.2,8.4,9.6,10.8,12))/100)),MAX(0,Inputs!$B$43-((R2568-1)*Skills!D19))))/Inputs!$B$43),IF(Inputs!$B$38="pvp",MIN((Skills!T19*(1+(Inputs!$B$34+(ArtifactsInput!$M$7-ArtifactsInput!$M$7)*CHOOSE(ArtifactsInput!$N$7+1,6,7.2,8.4,9.6,10.8,12))/100)),15)/15,(Skills!T19*(1+(Inputs!$B$34+(ArtifactsInput!$M$7-ArtifactsInput!$M$7)*CHOOSE(ArtifactsInput!$N$7+1,6,7.2,8.4,9.6,10.8,12))/100))/Skills!D19)))</f>
        <v/>
      </c>
    </row>
    <row r="2580">
      <c r="A2580" t="inlineStr">
        <is>
          <t>Actions Per Second</t>
        </is>
      </c>
      <c r="B2580">
        <f>1+MIN(150,150*(1-(1-(Inputs!$B$11+((C2569=TRUE)*(F2569-Calc!F20)))/150)*(1-B2579/150)))/100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Raging Blow Casts Per Second</t>
        </is>
      </c>
      <c r="B2582">
        <f>MAX(0,B2580-B2581)</f>
        <v/>
      </c>
    </row>
    <row r="2583">
      <c r="A2583" t="inlineStr">
        <is>
          <t>Global Critical Damage Bonus % (Enrage)</t>
        </is>
      </c>
      <c r="B2583">
        <f>((C2567=TRUE)*F2567*IF(AND(Inputs!$B$38&lt;&gt;"pvp",Inputs!$B$43&gt;0),(((R2567-1)*(Skills!T18*(1+(Inputs!$B$34+(ArtifactsInput!$M$7-ArtifactsInput!$M$7)*CHOOSE(ArtifactsInput!$N$7+1,6,7.2,8.4,9.6,10.8,12))/100))+MIN((Skills!T18*(1+(Inputs!$B$34+(ArtifactsInput!$M$7-ArtifactsInput!$M$7)*CHOOSE(ArtifactsInput!$N$7+1,6,7.2,8.4,9.6,10.8,12))/100)),MAX(0,Inputs!$B$43-((R2567-1)*Skills!D18))))/Inputs!$B$43),IF(Inputs!$B$38="pvp",MIN((Skills!T18*(1+(Inputs!$B$34+(ArtifactsInput!$M$7-ArtifactsInput!$M$7)*CHOOSE(ArtifactsInput!$N$7+1,6,7.2,8.4,9.6,10.8,12))/100)),15)/15,(Skills!T18*(1+(Inputs!$B$34+(ArtifactsInput!$M$7-ArtifactsInput!$M$7)*CHOOSE(ArtifactsInput!$N$7+1,6,7.2,8.4,9.6,10.8,12))/100))/Skills!D18)))</f>
        <v/>
      </c>
    </row>
    <row r="2584">
      <c r="A2584" t="inlineStr">
        <is>
          <t>Global Final Damage Bonus % (Enrage + Combo Synergy)</t>
        </is>
      </c>
      <c r="B2584">
        <f>((C2566=TRUE)*F2566*IF(AND(Inputs!$B$38&lt;&gt;"pvp",Inputs!$B$43&gt;0),(((R2566-1)*(Skills!T17*(1+(Inputs!$B$34+(ArtifactsInput!$M$7-ArtifactsInput!$M$7)*CHOOSE(ArtifactsInput!$N$7+1,6,7.2,8.4,9.6,10.8,12))/100))+MIN((Skills!T17*(1+(Inputs!$B$34+(ArtifactsInput!$M$7-ArtifactsInput!$M$7)*CHOOSE(ArtifactsInput!$N$7+1,6,7.2,8.4,9.6,10.8,12))/100)),MAX(0,Inputs!$B$43-((R2566-1)*Skills!D17))))/Inputs!$B$43),IF(Inputs!$B$38="pvp",MIN((Skills!T17*(1+(Inputs!$B$34+(ArtifactsInput!$M$7-ArtifactsInput!$M$7)*CHOOSE(ArtifactsInput!$N$7+1,6,7.2,8.4,9.6,10.8,12))/100)),15)/15,(Skills!T17*(1+(Inputs!$B$34+(ArtifactsInput!$M$7-ArtifactsInput!$M$7)*CHOOSE(ArtifactsInput!$N$7+1,6,7.2,8.4,9.6,10.8,12))/100))/Skills!D17)))+((C2563=TRUE)*F2563*IF(Inputs!$B$3&gt;=110,7,5))</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2593)</f>
        <v/>
      </c>
      <c r="L2593">
        <f>K2593*(MIN(Inputs!$B$22+((C2613=TRUE)*(F2613-Calc!F22)),(Inputs!$B$23+((C2615=TRUE)*(F2615-Calc!F24))+(IF(ArtifactsInput!$M$15,CHOOSE(ArtifactsInput!$N$15+1,25,30,35,40,45,50)/100*(Inputs!$B$11-Inputs!$B$11),0))))/100+(Inputs!$B$23+((C2615=TRUE)*(F2615-Calc!F24))+(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Summary!$B$15+(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INDEX(FactorTable!$B$2:$Y$301, MATCH(ROUND(MIN(300,MAX(1,U2593)),0), FactorTable!$A$2:$A$301,0), 22)</f>
        <v/>
      </c>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U2595">
        <f>290*U2594/1000</f>
        <v/>
      </c>
    </row>
    <row r="2596">
      <c r="A2596">
        <f>Skills!A5</f>
        <v/>
      </c>
      <c r="B2596">
        <f>Skills!B5</f>
        <v/>
      </c>
      <c r="C2596">
        <f>Inputs!$B$3&gt;=103</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2596)</f>
        <v/>
      </c>
      <c r="L2596">
        <f>K2596*(MIN(Inputs!$B$22+((C2613=TRUE)*(F2613-Calc!F22)),(Inputs!$B$23+((C2615=TRUE)*(F2615-Calc!F24))+(IF(ArtifactsInput!$M$15,CHOOSE(ArtifactsInput!$N$15+1,25,30,35,40,45,50)/100*(Inputs!$B$11-Inputs!$B$11),0))))/100+(Inputs!$B$23+((C2615=TRUE)*(F2615-Calc!F24))+(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IFERROR(1/(IF(Inputs!$B$38="pvp",15,MAX(0.1,Skills!D5-IF(Skills!E5=TRUE,Inputs!$B$32,0)))*(1-IF(AND(ArtifactsInput!$M$27,Inputs!$B$4="Chapter Hunt"),CHOOSE(ArtifactsInput!$N$27+1,20,24,28,32,36,40),0)/100)),0)</f>
        <v/>
      </c>
      <c r="R2596">
        <f>IF(AND(Inputs!$B$38&lt;&gt;"pvp",Inputs!$B$43&gt;0),IF(MAX(0,Inputs!$B$43-B2627)&lt;=0,0,(INT(MAX(0,Inputs!$B$43-B2627)/(IF(Inputs!$B$38="pvp",15,MAX(0.1,Skills!D5-IF(Skills!E5=TRUE,Inputs!$B$32,0)))*(1-IF(AND(ArtifactsInput!$M$27,Inputs!$B$4="Chapter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$21+Skills!Q5+Summary!$B$15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2597)</f>
        <v/>
      </c>
      <c r="L2597">
        <f>K2597*(MIN(Inputs!$B$22+((C2613=TRUE)*(F2613-Calc!F22)),(Inputs!$B$23+((C2615=TRUE)*(F2615-Calc!F24))+(IF(ArtifactsInput!$M$15,CHOOSE(ArtifactsInput!$N$15+1,25,30,35,40,45,50)/100*(Inputs!$B$11-Inputs!$B$11),0))))/100+(Inputs!$B$23+((C2615=TRUE)*(F2615-Calc!F24))+(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IFERROR(1/(IF(Inputs!$B$38="pvp",15,MAX(0.1,Skills!D6-IF(Skills!E6=TRUE,Inputs!$B$32,0)))*(1-IF(AND(ArtifactsInput!$M$27,Inputs!$B$4="Chapter Hunt"),CHOOSE(ArtifactsInput!$N$27+1,20,24,28,32,36,40),0)/100)),0)</f>
        <v/>
      </c>
      <c r="R2597">
        <f>IF(AND(Inputs!$B$38&lt;&gt;"pvp",Inputs!$B$43&gt;0),IF(MAX(0,Inputs!$B$43-B2627)&lt;=0,0,(INT(MAX(0,Inputs!$B$43-B2627)/(IF(Inputs!$B$38="pvp",15,MAX(0.1,Skills!D6-IF(Skills!E6=TRUE,Inputs!$B$32,0)))*(1-IF(AND(ArtifactsInput!$M$27,Inputs!$B$4="Chapter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$21+Skills!Q6+Summary!$B$15+(IF(ArtifactsInput!$M$33,CHOOSE(ArtifactsInput!$N$33+1,30,36,42,48,54,60)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2598)</f>
        <v/>
      </c>
      <c r="L2598">
        <f>K2598*(MIN(Inputs!$B$22+((C2613=TRUE)*(F2613-Calc!F22)),(Inputs!$B$23+((C2615=TRUE)*(F2615-Calc!F24))+(IF(ArtifactsInput!$M$15,CHOOSE(ArtifactsInput!$N$15+1,25,30,35,40,45,50)/100*(Inputs!$B$11-Inputs!$B$11),0))))/100+(Inputs!$B$23+((C2615=TRUE)*(F2615-Calc!F24))+(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IFERROR(1/(IF(Inputs!$B$38="pvp",15,MAX(0.1,Skills!D7-IF(Skills!E7=TRUE,Inputs!$B$32,0)))*(1-IF(AND(ArtifactsInput!$M$27,Inputs!$B$4="Chapter Hunt"),CHOOSE(ArtifactsInput!$N$27+1,20,24,28,32,36,40),0)/100)),0)</f>
        <v/>
      </c>
      <c r="R2598">
        <f>IF(AND(Inputs!$B$38&lt;&gt;"pvp",Inputs!$B$43&gt;0),IF(MAX(0,Inputs!$B$43-B2627)&lt;=0,0,(INT(MAX(0,Inputs!$B$43-B2627)/(IF(Inputs!$B$38="pvp",15,MAX(0.1,Skills!D7-IF(Skills!E7=TRUE,Inputs!$B$32,0)))*(1-IF(AND(ArtifactsInput!$M$27,Inputs!$B$4="Chapter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$21+Skills!Q7+Summary!$B$15+(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2599)</f>
        <v/>
      </c>
      <c r="L2599">
        <f>K2599*(MIN(Inputs!$B$22+((C2613=TRUE)*(F2613-Calc!F22)),(Inputs!$B$23+((C2615=TRUE)*(F2615-Calc!F24))+(IF(ArtifactsInput!$M$15,CHOOSE(ArtifactsInput!$N$15+1,25,30,35,40,45,50)/100*(Inputs!$B$11-Inputs!$B$11),0))))/100+(Inputs!$B$23+((C2615=TRUE)*(F2615-Calc!F24))+(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IFERROR(1/(IF(Inputs!$B$38="pvp",15,MAX(0.1,Skills!D8-IF(Skills!E8=TRUE,Inputs!$B$32,0)))*(1-IF(AND(ArtifactsInput!$M$27,Inputs!$B$4="Chapter Hunt"),CHOOSE(ArtifactsInput!$N$27+1,20,24,28,32,36,40),0)/100)),0)</f>
        <v/>
      </c>
      <c r="R2599">
        <f>IF(AND(Inputs!$B$38&lt;&gt;"pvp",Inputs!$B$43&gt;0),IF(MAX(0,Inputs!$B$43-B2627)&lt;=0,0,(INT(MAX(0,Inputs!$B$43-B2627)/(IF(Inputs!$B$38="pvp",15,MAX(0.1,Skills!D8-IF(Skills!E8=TRUE,Inputs!$B$32,0)))*(1-IF(AND(ArtifactsInput!$M$27,Inputs!$B$4="Chapter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$21+Skills!Q8+Summary!$B$15+(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Inputs!$B$3&gt;=69</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9="ENHANCED_RAGING_BLOW",IF(Inputs!$B$3&gt;=134,MAX(0,IF(Inputs!$B$3&gt;=110,7,5)-5)*50,0),0)/100)*(1+(IF(Skills!A9="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2600)</f>
        <v/>
      </c>
      <c r="L2600">
        <f>K2600*(MIN(Inputs!$B$22+((C2613=TRUE)*(F2613-Calc!F22)),(Inputs!$B$23+((C2615=TRUE)*(F2615-Calc!F24))+(IF(ArtifactsInput!$M$15,CHOOSE(ArtifactsInput!$N$15+1,25,30,35,40,45,50)/100*(Inputs!$B$11-Inputs!$B$11),0))))/100+(Inputs!$B$23+((C2615=TRUE)*(F2615-Calc!F24))+(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IFERROR(1/(IF(Inputs!$B$38="pvp",15,MAX(0.1,Skills!D9-IF(Skills!E9=TRUE,Inputs!$B$32,0)))*(1-IF(AND(ArtifactsInput!$M$27,Inputs!$B$4="Chapter Hunt"),CHOOSE(ArtifactsInput!$N$27+1,20,24,28,32,36,40),0)/100)),0)</f>
        <v/>
      </c>
      <c r="R2600">
        <f>IF(AND(Inputs!$B$38&lt;&gt;"pvp",Inputs!$B$43&gt;0),IF(MAX(0,Inputs!$B$43-B2627)&lt;=0,0,(INT(MAX(0,Inputs!$B$43-B2627)/(IF(Inputs!$B$38="pvp",15,MAX(0.1,Skills!D9-IF(Skills!E9=TRUE,Inputs!$B$32,0)))*(1-IF(AND(ArtifactsInput!$M$27,Inputs!$B$4="Chapter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$21+Skills!Q9+Summary!$B$15+(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Inputs!$B$3&gt;=63</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10="ENHANCED_RAGING_BLOW",IF(Inputs!$B$3&gt;=134,MAX(0,IF(Inputs!$B$3&gt;=110,7,5)-5)*50,0),0)/100)*(1+(IF(Skills!A10="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2601)</f>
        <v/>
      </c>
      <c r="L2601">
        <f>K2601*(MIN(Inputs!$B$22+((C2613=TRUE)*(F2613-Calc!F22)),(Inputs!$B$23+((C2615=TRUE)*(F2615-Calc!F24))+(IF(ArtifactsInput!$M$15,CHOOSE(ArtifactsInput!$N$15+1,25,30,35,40,45,50)/100*(Inputs!$B$11-Inputs!$B$11),0))))/100+(Inputs!$B$23+((C2615=TRUE)*(F2615-Calc!F24))+(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IFERROR(1/(IF(Inputs!$B$38="pvp",15,MAX(0.1,Skills!D10-IF(Skills!E10=TRUE,Inputs!$B$32,0)))*(1-IF(AND(ArtifactsInput!$M$27,Inputs!$B$4="Chapter Hunt"),CHOOSE(ArtifactsInput!$N$27+1,20,24,28,32,36,40),0)/100)),0)</f>
        <v/>
      </c>
      <c r="R2601">
        <f>IF(AND(Inputs!$B$38&lt;&gt;"pvp",Inputs!$B$43&gt;0),IF(MAX(0,Inputs!$B$43-B2627)&lt;=0,0,(INT(MAX(0,Inputs!$B$43-B2627)/(IF(Inputs!$B$38="pvp",15,MAX(0.1,Skills!D10-IF(Skills!E10=TRUE,Inputs!$B$32,0)))*(1-IF(AND(ArtifactsInput!$M$27,Inputs!$B$4="Chapter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$21+Skills!Q10+Summary!$B$15+(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Inputs!$B$3&gt;=35</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11="ENHANCED_RAGING_BLOW",IF(Inputs!$B$3&gt;=134,MAX(0,IF(Inputs!$B$3&gt;=110,7,5)-5)*50,0),0)/100)*(1+(IF(Skills!A11="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2602)</f>
        <v/>
      </c>
      <c r="L2602">
        <f>K2602*(MIN(Inputs!$B$22+((C2613=TRUE)*(F2613-Calc!F22)),(Inputs!$B$23+((C2615=TRUE)*(F2615-Calc!F24))+(IF(ArtifactsInput!$M$15,CHOOSE(ArtifactsInput!$N$15+1,25,30,35,40,45,50)/100*(Inputs!$B$11-Inputs!$B$11),0))))/100+(Inputs!$B$23+((C2615=TRUE)*(F2615-Calc!F24))+(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IFERROR(1/(IF(Inputs!$B$38="pvp",15,MAX(0.1,Skills!D11-IF(Skills!E11=TRUE,Inputs!$B$32,0)))*(1-IF(AND(ArtifactsInput!$M$27,Inputs!$B$4="Chapter Hunt"),CHOOSE(ArtifactsInput!$N$27+1,20,24,28,32,36,40),0)/100)),0)</f>
        <v/>
      </c>
      <c r="R2602">
        <f>IF(AND(Inputs!$B$38&lt;&gt;"pvp",Inputs!$B$43&gt;0),IF(MAX(0,Inputs!$B$43-B2627)&lt;=0,0,(INT(MAX(0,Inputs!$B$43-B2627)/(IF(Inputs!$B$38="pvp",15,MAX(0.1,Skills!D11-IF(Skills!E11=TRUE,Inputs!$B$32,0)))*(1-IF(AND(ArtifactsInput!$M$27,Inputs!$B$4="Chapter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$21+Skills!Q11+Summary!$B$15+(IF(ArtifactsInput!$M$33,CHOOSE(ArtifactsInput!$N$33+1,30,36,42,48,54,60)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Inputs!$B$3&gt;=75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Inputs!$B$3&gt;=40</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IFERROR(1/(IF(Inputs!$B$38="pvp",15,MAX(0.1,Skills!D15-IF(Skills!E15=TRUE,Inputs!$B$32,0)))*(1-IF(AND(ArtifactsInput!$M$27,Inputs!$B$4="Chapter Hunt"),CHOOSE(ArtifactsInput!$N$27+1,20,24,28,32,36,40),0)/100)),0)</f>
        <v/>
      </c>
      <c r="R2606">
        <f>IF(AND(Inputs!$B$38&lt;&gt;"pvp",Inputs!$B$43&gt;0),IF(Inputs!$B$43&lt;=0,0,(INT(Inputs!$B$43/(IF(Inputs!$B$38="pvp",15,MAX(0.1,Skills!D15-IF(Skills!E15=TRUE,Inputs!$B$32,0)))*(1-IF(AND(ArtifactsInput!$M$27,Inputs!$B$4="Chapter Hunt"),CHOOSE(ArtifactsInput!$N$27+1,20,24,28,32,36,40),0)/100)))+1)),0)</f>
        <v/>
      </c>
      <c r="S2606">
        <f>IFERROR(O2606/N2606,0)</f>
        <v/>
      </c>
      <c r="T2606" t="n">
        <v>0</v>
      </c>
      <c r="V2606" t="n">
        <v>0</v>
      </c>
    </row>
    <row r="2607">
      <c r="A2607">
        <f>Skills!A16</f>
        <v/>
      </c>
      <c r="B2607">
        <f>Skills!B16</f>
        <v/>
      </c>
      <c r="C2607">
        <f>Inputs!$B$3&gt;=66</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IFERROR(1/(IF(Inputs!$B$38="pvp",15,MAX(0.1,Skills!D16-IF(Skills!E16=TRUE,Inputs!$B$32,0)))*(1-IF(AND(ArtifactsInput!$M$27,Inputs!$B$4="Chapter Hunt"),CHOOSE(ArtifactsInput!$N$27+1,20,24,28,32,36,40),0)/100)),0)</f>
        <v/>
      </c>
      <c r="R2607">
        <f>IF(AND(Inputs!$B$38&lt;&gt;"pvp",Inputs!$B$43&gt;0),IF(Inputs!$B$43&lt;=0,0,(INT(Inputs!$B$43/(IF(Inputs!$B$38="pvp",15,MAX(0.1,Skills!D16-IF(Skills!E16=TRUE,Inputs!$B$32,0)))*(1-IF(AND(ArtifactsInput!$M$27,Inputs!$B$4="Chapter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IFERROR(1/(IF(Inputs!$B$38="pvp",15,MAX(0.1,Skills!D17-IF(Skills!E17=TRUE,Inputs!$B$32,0)))*(1-IF(AND(ArtifactsInput!$M$27,Inputs!$B$4="Chapter Hunt"),CHOOSE(ArtifactsInput!$N$27+1,20,24,28,32,36,40),0)/100)),0)</f>
        <v/>
      </c>
      <c r="R2608">
        <f>IF(AND(Inputs!$B$38&lt;&gt;"pvp",Inputs!$B$43&gt;0),IF(Inputs!$B$43&lt;=0,0,(INT(Inputs!$B$43/(IF(Inputs!$B$38="pvp",15,MAX(0.1,Skills!D17-IF(Skills!E17=TRUE,Inputs!$B$32,0)))*(1-IF(AND(ArtifactsInput!$M$27,Inputs!$B$4="Chapter Hunt"),CHOOSE(ArtifactsInput!$N$27+1,20,24,28,32,36,40),0)/100)))+1)),0)</f>
        <v/>
      </c>
      <c r="S2608">
        <f>IFERROR(O2608/N2608,0)</f>
        <v/>
      </c>
      <c r="T2608" t="n">
        <v>0</v>
      </c>
      <c r="V2608" t="n">
        <v>0</v>
      </c>
    </row>
    <row r="2609">
      <c r="A2609">
        <f>Skills!A18</f>
        <v/>
      </c>
      <c r="B2609">
        <f>Skills!B18</f>
        <v/>
      </c>
      <c r="C2609">
        <f>Inputs!$B$3&gt;=115</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IFERROR(1/(IF(Inputs!$B$38="pvp",15,MAX(0.1,Skills!D18-IF(Skills!E18=TRUE,Inputs!$B$32,0)))*(1-IF(AND(ArtifactsInput!$M$27,Inputs!$B$4="Chapter Hunt"),CHOOSE(ArtifactsInput!$N$27+1,20,24,28,32,36,40),0)/100)),0)</f>
        <v/>
      </c>
      <c r="R2609">
        <f>IF(AND(Inputs!$B$38&lt;&gt;"pvp",Inputs!$B$43&gt;0),IF(Inputs!$B$43&lt;=0,0,(INT(Inputs!$B$43/(IF(Inputs!$B$38="pvp",15,MAX(0.1,Skills!D18-IF(Skills!E18=TRUE,Inputs!$B$32,0)))*(1-IF(AND(ArtifactsInput!$M$27,Inputs!$B$4="Chapter Hunt"),CHOOSE(ArtifactsInput!$N$27+1,20,24,28,32,36,40),0)/100)))+1)),0)</f>
        <v/>
      </c>
      <c r="S2609">
        <f>IFERROR(O2609/N2609,0)</f>
        <v/>
      </c>
      <c r="T2609" t="n">
        <v>0</v>
      </c>
      <c r="V2609" t="n">
        <v>0</v>
      </c>
    </row>
    <row r="2610">
      <c r="A2610">
        <f>Skills!A19</f>
        <v/>
      </c>
      <c r="B2610">
        <f>Skills!B19</f>
        <v/>
      </c>
      <c r="C2610">
        <f>TRUE</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IFERROR(1/(IF(Inputs!$B$38="pvp",15,MAX(0.1,Skills!D19-IF(Skills!E19=TRUE,Inputs!$B$32,0)))*(1-IF(AND(ArtifactsInput!$M$27,Inputs!$B$4="Chapter Hunt"),CHOOSE(ArtifactsInput!$N$27+1,20,24,28,32,36,40),0)/100)),0)</f>
        <v/>
      </c>
      <c r="R2610">
        <f>IF(AND(Inputs!$B$38&lt;&gt;"pvp",Inputs!$B$43&gt;0),IF(Inputs!$B$43&lt;=0,0,(INT(Inputs!$B$43/(IF(Inputs!$B$38="pvp",15,MAX(0.1,Skills!D19-IF(Skills!E19=TRUE,Inputs!$B$32,0)))*(1-IF(AND(ArtifactsInput!$M$27,Inputs!$B$4="Chapter Hunt"),CHOOSE(ArtifactsInput!$N$27+1,20,24,28,32,36,40),0)/100)))+1)),0)</f>
        <v/>
      </c>
      <c r="S2610">
        <f>IFERROR(O2610/N2610,0)</f>
        <v/>
      </c>
      <c r="T2610" t="n">
        <v>0</v>
      </c>
      <c r="V2610" t="n">
        <v>0</v>
      </c>
    </row>
    <row r="2611">
      <c r="A2611">
        <f>Skills!A20</f>
        <v/>
      </c>
      <c r="B2611">
        <f>Skills!B20</f>
        <v/>
      </c>
      <c r="C2611">
        <f>Inputs!$B$3&gt;=33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Inputs!$B$3&gt;=43</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Inputs!$B$3&gt;=120</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Inputs!$B$3&gt;=120</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Inputs!$B$3&gt;=72</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2610=TRUE)*F2610*IF(AND(Inputs!$B$38&lt;&gt;"pvp",Inputs!$B$43&gt;0),(((R2610-1)*(Skills!T19*(1+(Inputs!$B$34+(ArtifactsInput!$M$7-ArtifactsInput!$M$7)*CHOOSE(ArtifactsInput!$N$7+1,6,7.2,8.4,9.6,10.8,12))/100))+MIN((Skills!T19*(1+(Inputs!$B$34+(ArtifactsInput!$M$7-ArtifactsInput!$M$7)*CHOOSE(ArtifactsInput!$N$7+1,6,7.2,8.4,9.6,10.8,12))/100)),MAX(0,Inputs!$B$43-((R2610-1)*Skills!D19))))/Inputs!$B$43),IF(Inputs!$B$38="pvp",MIN((Skills!T19*(1+(Inputs!$B$34+(ArtifactsInput!$M$7-ArtifactsInput!$M$7)*CHOOSE(ArtifactsInput!$N$7+1,6,7.2,8.4,9.6,10.8,12))/100)),15)/15,(Skills!T19*(1+(Inputs!$B$34+(ArtifactsInput!$M$7-ArtifactsInput!$M$7)*CHOOSE(ArtifactsInput!$N$7+1,6,7.2,8.4,9.6,10.8,12))/100))/Skills!D19)))</f>
        <v/>
      </c>
    </row>
    <row r="2622">
      <c r="A2622" t="inlineStr">
        <is>
          <t>Actions Per Second</t>
        </is>
      </c>
      <c r="B2622">
        <f>1+MIN(150,150*(1-(1-(Inputs!$B$11+((C2611=TRUE)*(F2611-Calc!F20)))/150)*(1-B2621/150)))/100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Raging Blow Casts Per Second</t>
        </is>
      </c>
      <c r="B2624">
        <f>MAX(0,B2622-B2623)</f>
        <v/>
      </c>
    </row>
    <row r="2625">
      <c r="A2625" t="inlineStr">
        <is>
          <t>Global Critical Damage Bonus % (Enrage)</t>
        </is>
      </c>
      <c r="B2625">
        <f>((C2609=TRUE)*F2609*IF(AND(Inputs!$B$38&lt;&gt;"pvp",Inputs!$B$43&gt;0),(((R2609-1)*(Skills!T18*(1+(Inputs!$B$34+(ArtifactsInput!$M$7-ArtifactsInput!$M$7)*CHOOSE(ArtifactsInput!$N$7+1,6,7.2,8.4,9.6,10.8,12))/100))+MIN((Skills!T18*(1+(Inputs!$B$34+(ArtifactsInput!$M$7-ArtifactsInput!$M$7)*CHOOSE(ArtifactsInput!$N$7+1,6,7.2,8.4,9.6,10.8,12))/100)),MAX(0,Inputs!$B$43-((R2609-1)*Skills!D18))))/Inputs!$B$43),IF(Inputs!$B$38="pvp",MIN((Skills!T18*(1+(Inputs!$B$34+(ArtifactsInput!$M$7-ArtifactsInput!$M$7)*CHOOSE(ArtifactsInput!$N$7+1,6,7.2,8.4,9.6,10.8,12))/100)),15)/15,(Skills!T18*(1+(Inputs!$B$34+(ArtifactsInput!$M$7-ArtifactsInput!$M$7)*CHOOSE(ArtifactsInput!$N$7+1,6,7.2,8.4,9.6,10.8,12))/100))/Skills!D18)))</f>
        <v/>
      </c>
    </row>
    <row r="2626">
      <c r="A2626" t="inlineStr">
        <is>
          <t>Global Final Damage Bonus % (Enrage + Combo Synergy)</t>
        </is>
      </c>
      <c r="B2626">
        <f>((C2608=TRUE)*F2608*IF(AND(Inputs!$B$38&lt;&gt;"pvp",Inputs!$B$43&gt;0),(((R2608-1)*(Skills!T17*(1+(Inputs!$B$34+(ArtifactsInput!$M$7-ArtifactsInput!$M$7)*CHOOSE(ArtifactsInput!$N$7+1,6,7.2,8.4,9.6,10.8,12))/100))+MIN((Skills!T17*(1+(Inputs!$B$34+(ArtifactsInput!$M$7-ArtifactsInput!$M$7)*CHOOSE(ArtifactsInput!$N$7+1,6,7.2,8.4,9.6,10.8,12))/100)),MAX(0,Inputs!$B$43-((R2608-1)*Skills!D17))))/Inputs!$B$43),IF(Inputs!$B$38="pvp",MIN((Skills!T17*(1+(Inputs!$B$34+(ArtifactsInput!$M$7-ArtifactsInput!$M$7)*CHOOSE(ArtifactsInput!$N$7+1,6,7.2,8.4,9.6,10.8,12))/100)),15)/15,(Skills!T17*(1+(Inputs!$B$34+(ArtifactsInput!$M$7-ArtifactsInput!$M$7)*CHOOSE(ArtifactsInput!$N$7+1,6,7.2,8.4,9.6,10.8,12))/100))/Skills!D17)))+((C2605=TRUE)*F2605*IF(Inputs!$B$3&gt;=110,7,5))</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2635)</f>
        <v/>
      </c>
      <c r="L2635">
        <f>K2635*(MIN(Inputs!$B$22+((C2655=TRUE)*(F2655-Calc!F22)),(Inputs!$B$23+((C2657=TRUE)*(F2657-Calc!F24))+(IF(ArtifactsInput!$M$15,CHOOSE(ArtifactsInput!$N$15+1,25,30,35,40,45,50)/100*(Inputs!$B$11-Inputs!$B$11),0))))/100+(Inputs!$B$23+((C2657=TRUE)*(F2657-Calc!F24))+(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INDEX(FactorTable!$B$2:$Y$301, MATCH(ROUND(MIN(300,MAX(1,D2636)),0),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INDEX(FactorTable!$B$2:$Y$301, MATCH(ROUND(MIN(300,MAX(1,U2635)),0), FactorTable!$A$2:$A$301,0), 22)</f>
        <v/>
      </c>
    </row>
    <row r="2637">
      <c r="A2637">
        <f>Skills!A4</f>
        <v/>
      </c>
      <c r="B2637">
        <f>Skills!B4</f>
        <v/>
      </c>
      <c r="C2637">
        <f>Inputs!$B$3&gt;=105</f>
        <v/>
      </c>
      <c r="D2637">
        <f>IF(Skills!C4=1,60+Inputs!$B$25+Inputs!$B$29,IF(Skills!C4=2,90+Inputs!$B$26+Inputs!$B$29,IF(Skills!C4=3,120+Inputs!$B$27+Inputs!$B$29,MAX(0,(Inputs!$B$3-100)*3)+Inputs!$B$28+Inputs!$B$29)))</f>
        <v/>
      </c>
      <c r="E2637">
        <f>INDEX(FactorTable!$B$2:$Y$301, MATCH(ROUND(MIN(300,MAX(1,D2637)),0), FactorTable!$A$2:$A$301,0), Skills!M4+1)</f>
        <v/>
      </c>
      <c r="F2637">
        <f>IF(Skills!N4=TRUE,(Skills!L4/10)*(E2637/1000),Skills!L4/10)+Skills!O4</f>
        <v/>
      </c>
      <c r="G2637" t="inlineStr"/>
      <c r="H2637" t="inlineStr"/>
      <c r="I2637" t="inlineStr">
        <is>
          <t>1</t>
        </is>
      </c>
      <c r="J2637" t="inlineStr"/>
      <c r="K2637" t="inlineStr"/>
      <c r="L2637" t="inlineStr"/>
      <c r="M2637" t="inlineStr"/>
      <c r="N2637" t="inlineStr"/>
      <c r="O2637" t="inlineStr"/>
      <c r="P2637" t="inlineStr"/>
      <c r="Q2637" t="inlineStr"/>
      <c r="R2637" t="inlineStr"/>
      <c r="S2637" t="inlineStr"/>
      <c r="U2637">
        <f>290*U2636/1000</f>
        <v/>
      </c>
    </row>
    <row r="2638">
      <c r="A2638">
        <f>Skills!A5</f>
        <v/>
      </c>
      <c r="B2638">
        <f>Skills!B5</f>
        <v/>
      </c>
      <c r="C2638">
        <f>Inputs!$B$3&gt;=103</f>
        <v/>
      </c>
      <c r="D2638">
        <f>IF(Skills!C5=1,60+Inputs!$B$25+Inputs!$B$29,IF(Skills!C5=2,90+Inputs!$B$26+Inputs!$B$29,IF(Skills!C5=3,120+Inputs!$B$27+Inputs!$B$29,MAX(0,(Inputs!$B$3-100)*3)+Inputs!$B$28+Inputs!$B$29)))</f>
        <v/>
      </c>
      <c r="E2638">
        <f>INDEX(FactorTable!$B$2:$Y$301, MATCH(ROUND(MIN(300,MAX(1,D2638)),0), FactorTable!$A$2:$A$301,0), Skills!M5+1)</f>
        <v/>
      </c>
      <c r="F2638">
        <f>IF(Skills!N5=TRUE,(Skills!L5/10)*(E2638/1000),Skills!L5/10)+Skills!O5</f>
        <v/>
      </c>
      <c r="G2638">
        <f>Skills!G5*IF(Skills!H5&gt;0,Skills!I5/Skills!H5,1)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2638)</f>
        <v/>
      </c>
      <c r="L2638">
        <f>K2638*(MIN(Inputs!$B$22+((C2655=TRUE)*(F2655-Calc!F22)),(Inputs!$B$23+((C2657=TRUE)*(F2657-Calc!F24))+(IF(ArtifactsInput!$M$15,CHOOSE(ArtifactsInput!$N$15+1,25,30,35,40,45,50)/100*(Inputs!$B$11-Inputs!$B$11),0))))/100+(Inputs!$B$23+((C2657=TRUE)*(F2657-Calc!F24))+(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IFERROR(1/(IF(Inputs!$B$38="pvp",15,MAX(0.1,Skills!D5-IF(Skills!E5=TRUE,Inputs!$B$32,0)))*(1-IF(AND(ArtifactsInput!$M$27,Inputs!$B$4="Chapter Hunt"),CHOOSE(ArtifactsInput!$N$27+1,20,24,28,32,36,40),0)/100)),0)</f>
        <v/>
      </c>
      <c r="R2638">
        <f>IF(AND(Inputs!$B$38&lt;&gt;"pvp",Inputs!$B$43&gt;0),IF(MAX(0,Inputs!$B$43-B2669)&lt;=0,0,(INT(MAX(0,Inputs!$B$43-B2669)/(IF(Inputs!$B$38="pvp",15,MAX(0.1,Skills!D5-IF(Skills!E5=TRUE,Inputs!$B$32,0)))*(1-IF(AND(ArtifactsInput!$M$27,Inputs!$B$4="Chapter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INDEX(FactorTable!$B$2:$Y$301, MATCH(ROUND(MIN(300,MAX(1,D2639)),0), FactorTable!$A$2:$A$301,0), Skills!M6+1)</f>
        <v/>
      </c>
      <c r="F2639">
        <f>IF(Skills!N6=TRUE,(Skills!L6/10)*(E2639/1000),Skills!L6/10)+Skills!O6</f>
        <v/>
      </c>
      <c r="G2639">
        <f>Skills!G6*IF(Skills!H6&gt;0,Skills!I6/Skills!H6,1)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2639)</f>
        <v/>
      </c>
      <c r="L2639">
        <f>K2639*(MIN(Inputs!$B$22+((C2655=TRUE)*(F2655-Calc!F22)),(Inputs!$B$23+((C2657=TRUE)*(F2657-Calc!F24))+(IF(ArtifactsInput!$M$15,CHOOSE(ArtifactsInput!$N$15+1,25,30,35,40,45,50)/100*(Inputs!$B$11-Inputs!$B$11),0))))/100+(Inputs!$B$23+((C2657=TRUE)*(F2657-Calc!F24))+(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IFERROR(1/(IF(Inputs!$B$38="pvp",15,MAX(0.1,Skills!D6-IF(Skills!E6=TRUE,Inputs!$B$32,0)))*(1-IF(AND(ArtifactsInput!$M$27,Inputs!$B$4="Chapter Hunt"),CHOOSE(ArtifactsInput!$N$27+1,20,24,28,32,36,40),0)/100)),0)</f>
        <v/>
      </c>
      <c r="R2639">
        <f>IF(AND(Inputs!$B$38&lt;&gt;"pvp",Inputs!$B$43&gt;0),IF(MAX(0,Inputs!$B$43-B2669)&lt;=0,0,(INT(MAX(0,Inputs!$B$43-B2669)/(IF(Inputs!$B$38="pvp",15,MAX(0.1,Skills!D6-IF(Skills!E6=TRUE,Inputs!$B$32,0)))*(1-IF(AND(ArtifactsInput!$M$27,Inputs!$B$4="Chapter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INDEX(FactorTable!$B$2:$Y$301, MATCH(ROUND(MIN(300,MAX(1,D2640)),0), FactorTable!$A$2:$A$301,0), Skills!M7+1)</f>
        <v/>
      </c>
      <c r="F2640">
        <f>IF(Skills!N7=TRUE,(Skills!L7/10)*(E2640/1000),Skills!L7/10)+Skills!O7</f>
        <v/>
      </c>
      <c r="G2640">
        <f>Skills!G7*IF(Skills!H7&gt;0,Skills!I7/Skills!H7,1)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2640)</f>
        <v/>
      </c>
      <c r="L2640">
        <f>K2640*(MIN(Inputs!$B$22+((C2655=TRUE)*(F2655-Calc!F22)),(Inputs!$B$23+((C2657=TRUE)*(F2657-Calc!F24))+(IF(ArtifactsInput!$M$15,CHOOSE(ArtifactsInput!$N$15+1,25,30,35,40,45,50)/100*(Inputs!$B$11-Inputs!$B$11),0))))/100+(Inputs!$B$23+((C2657=TRUE)*(F2657-Calc!F24))+(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IFERROR(1/(IF(Inputs!$B$38="pvp",15,MAX(0.1,Skills!D7-IF(Skills!E7=TRUE,Inputs!$B$32,0)))*(1-IF(AND(ArtifactsInput!$M$27,Inputs!$B$4="Chapter Hunt"),CHOOSE(ArtifactsInput!$N$27+1,20,24,28,32,36,40),0)/100)),0)</f>
        <v/>
      </c>
      <c r="R2640">
        <f>IF(AND(Inputs!$B$38&lt;&gt;"pvp",Inputs!$B$43&gt;0),IF(MAX(0,Inputs!$B$43-B2669)&lt;=0,0,(INT(MAX(0,Inputs!$B$43-B2669)/(IF(Inputs!$B$38="pvp",15,MAX(0.1,Skills!D7-IF(Skills!E7=TRUE,Inputs!$B$32,0)))*(1-IF(AND(ArtifactsInput!$M$27,Inputs!$B$4="Chapter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Inputs!$B$3&gt;=117</f>
        <v/>
      </c>
      <c r="D2641">
        <f>IF(Skills!C8=1,60+Inputs!$B$25+Inputs!$B$29,IF(Skills!C8=2,90+Inputs!$B$26+Inputs!$B$29,IF(Skills!C8=3,120+Inputs!$B$27+Inputs!$B$29,MAX(0,(Inputs!$B$3-100)*3)+Inputs!$B$28+Inputs!$B$29)))</f>
        <v/>
      </c>
      <c r="E2641">
        <f>INDEX(FactorTable!$B$2:$Y$301, MATCH(ROUND(MIN(300,MAX(1,D2641)),0), FactorTable!$A$2:$A$301,0), Skills!M8+1)</f>
        <v/>
      </c>
      <c r="F2641">
        <f>IF(Skills!N8=TRUE,(Skills!L8/10)*(E2641/1000),Skills!L8/10)+Skills!O8</f>
        <v/>
      </c>
      <c r="G2641">
        <f>Skills!G8*IF(Skills!H8&gt;0,Skills!I8/Skills!H8,1)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2641)</f>
        <v/>
      </c>
      <c r="L2641">
        <f>K2641*(MIN(Inputs!$B$22+((C2655=TRUE)*(F2655-Calc!F22)),(Inputs!$B$23+((C2657=TRUE)*(F2657-Calc!F24))+(IF(ArtifactsInput!$M$15,CHOOSE(ArtifactsInput!$N$15+1,25,30,35,40,45,50)/100*(Inputs!$B$11-Inputs!$B$11),0))))/100+(Inputs!$B$23+((C2657=TRUE)*(F2657-Calc!F24))+(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IFERROR(1/(IF(Inputs!$B$38="pvp",15,MAX(0.1,Skills!D8-IF(Skills!E8=TRUE,Inputs!$B$32,0)))*(1-IF(AND(ArtifactsInput!$M$27,Inputs!$B$4="Chapter Hunt"),CHOOSE(ArtifactsInput!$N$27+1,20,24,28,32,36,40),0)/100)),0)</f>
        <v/>
      </c>
      <c r="R2641">
        <f>IF(AND(Inputs!$B$38&lt;&gt;"pvp",Inputs!$B$43&gt;0),IF(MAX(0,Inputs!$B$43-B2669)&lt;=0,0,(INT(MAX(0,Inputs!$B$43-B2669)/(IF(Inputs!$B$38="pvp",15,MAX(0.1,Skills!D8-IF(Skills!E8=TRUE,Inputs!$B$32,0)))*(1-IF(AND(ArtifactsInput!$M$27,Inputs!$B$4="Chapter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Inputs!$B$3&gt;=69</f>
        <v/>
      </c>
      <c r="D2642">
        <f>IF(Skills!C9=1,60+Inputs!$B$25+Inputs!$B$29,IF(Skills!C9=2,90+Inputs!$B$26+Inputs!$B$29,IF(Skills!C9=3,120+Inputs!$B$27+Inputs!$B$29,MAX(0,(Inputs!$B$3-100)*3)+Inputs!$B$28+Inputs!$B$29)))</f>
        <v/>
      </c>
      <c r="E2642">
        <f>INDEX(FactorTable!$B$2:$Y$301, MATCH(ROUND(MIN(300,MAX(1,D2642)),0), FactorTable!$A$2:$A$301,0), Skills!M9+1)</f>
        <v/>
      </c>
      <c r="F2642">
        <f>IF(Skills!N9=TRUE,(Skills!L9/10)*(E2642/1000),Skills!L9/10)+Skills!O9</f>
        <v/>
      </c>
      <c r="G2642">
        <f>Skills!G9*IF(Skills!H9&gt;0,Skills!I9/Skills!H9,1)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9="ENHANCED_RAGING_BLOW",IF(Inputs!$B$3&gt;=134,MAX(0,IF(Inputs!$B$3&gt;=110,7,5)-5)*50,0),0)/100)*(1+(IF(Skills!A9="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2642)</f>
        <v/>
      </c>
      <c r="L2642">
        <f>K2642*(MIN(Inputs!$B$22+((C2655=TRUE)*(F2655-Calc!F22)),(Inputs!$B$23+((C2657=TRUE)*(F2657-Calc!F24))+(IF(ArtifactsInput!$M$15,CHOOSE(ArtifactsInput!$N$15+1,25,30,35,40,45,50)/100*(Inputs!$B$11-Inputs!$B$11),0))))/100+(Inputs!$B$23+((C2657=TRUE)*(F2657-Calc!F24))+(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IFERROR(1/(IF(Inputs!$B$38="pvp",15,MAX(0.1,Skills!D9-IF(Skills!E9=TRUE,Inputs!$B$32,0)))*(1-IF(AND(ArtifactsInput!$M$27,Inputs!$B$4="Chapter Hunt"),CHOOSE(ArtifactsInput!$N$27+1,20,24,28,32,36,40),0)/100)),0)</f>
        <v/>
      </c>
      <c r="R2642">
        <f>IF(AND(Inputs!$B$38&lt;&gt;"pvp",Inputs!$B$43&gt;0),IF(MAX(0,Inputs!$B$43-B2669)&lt;=0,0,(INT(MAX(0,Inputs!$B$43-B2669)/(IF(Inputs!$B$38="pvp",15,MAX(0.1,Skills!D9-IF(Skills!E9=TRUE,Inputs!$B$32,0)))*(1-IF(AND(ArtifactsInput!$M$27,Inputs!$B$4="Chapter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Inputs!$B$3&gt;=63</f>
        <v/>
      </c>
      <c r="D2643">
        <f>IF(Skills!C10=1,60+Inputs!$B$25+Inputs!$B$29,IF(Skills!C10=2,90+Inputs!$B$26+Inputs!$B$29,IF(Skills!C10=3,120+Inputs!$B$27+Inputs!$B$29,MAX(0,(Inputs!$B$3-100)*3)+Inputs!$B$28+Inputs!$B$29)))</f>
        <v/>
      </c>
      <c r="E2643">
        <f>INDEX(FactorTable!$B$2:$Y$301, MATCH(ROUND(MIN(300,MAX(1,D2643)),0), FactorTable!$A$2:$A$301,0), Skills!M10+1)</f>
        <v/>
      </c>
      <c r="F2643">
        <f>IF(Skills!N10=TRUE,(Skills!L10/10)*(E2643/1000),Skills!L10/10)+Skills!O10</f>
        <v/>
      </c>
      <c r="G2643">
        <f>Skills!G10*IF(Skills!H10&gt;0,Skills!I10/Skills!H10,1)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10="ENHANCED_RAGING_BLOW",IF(Inputs!$B$3&gt;=134,MAX(0,IF(Inputs!$B$3&gt;=110,7,5)-5)*50,0),0)/100)*(1+(IF(Skills!A10="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2643)</f>
        <v/>
      </c>
      <c r="L2643">
        <f>K2643*(MIN(Inputs!$B$22+((C2655=TRUE)*(F2655-Calc!F22)),(Inputs!$B$23+((C2657=TRUE)*(F2657-Calc!F24))+(IF(ArtifactsInput!$M$15,CHOOSE(ArtifactsInput!$N$15+1,25,30,35,40,45,50)/100*(Inputs!$B$11-Inputs!$B$11),0))))/100+(Inputs!$B$23+((C2657=TRUE)*(F2657-Calc!F24))+(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IFERROR(1/(IF(Inputs!$B$38="pvp",15,MAX(0.1,Skills!D10-IF(Skills!E10=TRUE,Inputs!$B$32,0)))*(1-IF(AND(ArtifactsInput!$M$27,Inputs!$B$4="Chapter Hunt"),CHOOSE(ArtifactsInput!$N$27+1,20,24,28,32,36,40),0)/100)),0)</f>
        <v/>
      </c>
      <c r="R2643">
        <f>IF(AND(Inputs!$B$38&lt;&gt;"pvp",Inputs!$B$43&gt;0),IF(MAX(0,Inputs!$B$43-B2669)&lt;=0,0,(INT(MAX(0,Inputs!$B$43-B2669)/(IF(Inputs!$B$38="pvp",15,MAX(0.1,Skills!D10-IF(Skills!E10=TRUE,Inputs!$B$32,0)))*(1-IF(AND(ArtifactsInput!$M$27,Inputs!$B$4="Chapter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Inputs!$B$3&gt;=35</f>
        <v/>
      </c>
      <c r="D2644">
        <f>IF(Skills!C11=1,60+Inputs!$B$25+Inputs!$B$29,IF(Skills!C11=2,90+Inputs!$B$26+Inputs!$B$29,IF(Skills!C11=3,120+Inputs!$B$27+Inputs!$B$29,MAX(0,(Inputs!$B$3-100)*3)+Inputs!$B$28+Inputs!$B$29)))</f>
        <v/>
      </c>
      <c r="E2644">
        <f>INDEX(FactorTable!$B$2:$Y$301, MATCH(ROUND(MIN(300,MAX(1,D2644)),0), FactorTable!$A$2:$A$301,0), Skills!M11+1)</f>
        <v/>
      </c>
      <c r="F2644">
        <f>IF(Skills!N11=TRUE,(Skills!L11/10)*(E2644/1000),Skills!L11/10)+Skills!O11</f>
        <v/>
      </c>
      <c r="G2644">
        <f>Skills!G11*IF(Skills!H11&gt;0,Skills!I11/Skills!H11,1)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11="ENHANCED_RAGING_BLOW",IF(Inputs!$B$3&gt;=134,MAX(0,IF(Inputs!$B$3&gt;=110,7,5)-5)*50,0),0)/100)*(1+(IF(Skills!A11="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2644)</f>
        <v/>
      </c>
      <c r="L2644">
        <f>K2644*(MIN(Inputs!$B$22+((C2655=TRUE)*(F2655-Calc!F22)),(Inputs!$B$23+((C2657=TRUE)*(F2657-Calc!F24))+(IF(ArtifactsInput!$M$15,CHOOSE(ArtifactsInput!$N$15+1,25,30,35,40,45,50)/100*(Inputs!$B$11-Inputs!$B$11),0))))/100+(Inputs!$B$23+((C2657=TRUE)*(F2657-Calc!F24))+(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IFERROR(1/(IF(Inputs!$B$38="pvp",15,MAX(0.1,Skills!D11-IF(Skills!E11=TRUE,Inputs!$B$32,0)))*(1-IF(AND(ArtifactsInput!$M$27,Inputs!$B$4="Chapter Hunt"),CHOOSE(ArtifactsInput!$N$27+1,20,24,28,32,36,40),0)/100)),0)</f>
        <v/>
      </c>
      <c r="R2644">
        <f>IF(AND(Inputs!$B$38&lt;&gt;"pvp",Inputs!$B$43&gt;0),IF(MAX(0,Inputs!$B$43-B2669)&lt;=0,0,(INT(MAX(0,Inputs!$B$43-B2669)/(IF(Inputs!$B$38="pvp",15,MAX(0.1,Skills!D11-IF(Skills!E11=TRUE,Inputs!$B$32,0)))*(1-IF(AND(ArtifactsInput!$M$27,Inputs!$B$4="Chapter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INDEX(FactorTable!$B$2:$Y$301, MATCH(ROUND(MIN(300,MAX(1,D2645)),0),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INDEX(FactorTable!$B$2:$Y$301, MATCH(ROUND(MIN(300,MAX(1,D2646)),0), FactorTable!$A$2:$A$301,0), Skills!M13+1)</f>
        <v/>
      </c>
      <c r="F2646">
        <f>IF(Skills!N13=TRUE,(Skills!L13/10)*(E2646/1000),Skills!L13/10)+Skills!O13</f>
        <v/>
      </c>
      <c r="G2646">
        <f>Skills!G13*IF(Skills!H13&gt;0,Skills!I13/Skills!H13,1)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Inputs!$B$3&gt;=75</f>
        <v/>
      </c>
      <c r="D2647">
        <f>IF(Skills!C14=1,60+Inputs!$B$25+Inputs!$B$29,IF(Skills!C14=2,90+Inputs!$B$26+Inputs!$B$29,IF(Skills!C14=3,120+Inputs!$B$27+Inputs!$B$29,MAX(0,(Inputs!$B$3-100)*3)+Inputs!$B$28+Inputs!$B$29)))</f>
        <v/>
      </c>
      <c r="E2647">
        <f>INDEX(FactorTable!$B$2:$Y$301, MATCH(ROUND(MIN(300,MAX(1,D2647)),0), FactorTable!$A$2:$A$301,0), Skills!M14+1)</f>
        <v/>
      </c>
      <c r="F2647">
        <f>IF(Skills!N14=TRUE,(Skills!L14/10)*(E2647/1000),Skills!L14/10)+Skills!O14</f>
        <v/>
      </c>
      <c r="G2647">
        <f>Skills!G14*IF(Skills!H14&gt;0,Skills!I14/Skills!H14,1)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Inputs!$B$3&gt;=40</f>
        <v/>
      </c>
      <c r="D2648">
        <f>IF(Skills!C15=1,60+Inputs!$B$25+Inputs!$B$29,IF(Skills!C15=2,90+Inputs!$B$26+Inputs!$B$29,IF(Skills!C15=3,120+Inputs!$B$27+Inputs!$B$29,MAX(0,(Inputs!$B$3-100)*3)+Inputs!$B$28+Inputs!$B$29)))</f>
        <v/>
      </c>
      <c r="E2648">
        <f>INDEX(FactorTable!$B$2:$Y$301, MATCH(ROUND(MIN(300,MAX(1,D2648)),0), FactorTable!$A$2:$A$301,0), Skills!M15+1)</f>
        <v/>
      </c>
      <c r="F2648">
        <f>IF(Skills!N15=TRUE,(Skills!L15/10)*(E2648/1000),Skills!L15/10)+Skills!O15</f>
        <v/>
      </c>
      <c r="G2648">
        <f>Skills!G15*IF(Skills!H15&gt;0,Skills!I15/Skills!H15,1)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IFERROR(1/(IF(Inputs!$B$38="pvp",15,MAX(0.1,Skills!D15-IF(Skills!E15=TRUE,Inputs!$B$32,0)))*(1-IF(AND(ArtifactsInput!$M$27,Inputs!$B$4="Chapter Hunt"),CHOOSE(ArtifactsInput!$N$27+1,20,24,28,32,36,40),0)/100)),0)</f>
        <v/>
      </c>
      <c r="R2648">
        <f>IF(AND(Inputs!$B$38&lt;&gt;"pvp",Inputs!$B$43&gt;0),IF(Inputs!$B$43&lt;=0,0,(INT(Inputs!$B$43/(IF(Inputs!$B$38="pvp",15,MAX(0.1,Skills!D15-IF(Skills!E15=TRUE,Inputs!$B$32,0)))*(1-IF(AND(ArtifactsInput!$M$27,Inputs!$B$4="Chapter Hunt"),CHOOSE(ArtifactsInput!$N$27+1,20,24,28,32,36,40),0)/100)))+1)),0)</f>
        <v/>
      </c>
      <c r="S2648">
        <f>IFERROR(O2648/N2648,0)</f>
        <v/>
      </c>
      <c r="T2648" t="n">
        <v>0</v>
      </c>
      <c r="V2648" t="n">
        <v>0</v>
      </c>
    </row>
    <row r="2649">
      <c r="A2649">
        <f>Skills!A16</f>
        <v/>
      </c>
      <c r="B2649">
        <f>Skills!B16</f>
        <v/>
      </c>
      <c r="C2649">
        <f>Inputs!$B$3&gt;=66</f>
        <v/>
      </c>
      <c r="D2649">
        <f>IF(Skills!C16=1,60+Inputs!$B$25+Inputs!$B$29,IF(Skills!C16=2,90+Inputs!$B$26+Inputs!$B$29,IF(Skills!C16=3,120+Inputs!$B$27+Inputs!$B$29,MAX(0,(Inputs!$B$3-100)*3)+Inputs!$B$28+Inputs!$B$29)))</f>
        <v/>
      </c>
      <c r="E2649">
        <f>INDEX(FactorTable!$B$2:$Y$301, MATCH(ROUND(MIN(300,MAX(1,D2649)),0), FactorTable!$A$2:$A$301,0), Skills!M16+1)</f>
        <v/>
      </c>
      <c r="F2649">
        <f>IF(Skills!N16=TRUE,(Skills!L16/10)*(E2649/1000),Skills!L16/10)+Skills!O16</f>
        <v/>
      </c>
      <c r="G2649">
        <f>Skills!G16*IF(Skills!H16&gt;0,Skills!I16/Skills!H16,1)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IFERROR(1/(IF(Inputs!$B$38="pvp",15,MAX(0.1,Skills!D16-IF(Skills!E16=TRUE,Inputs!$B$32,0)))*(1-IF(AND(ArtifactsInput!$M$27,Inputs!$B$4="Chapter Hunt"),CHOOSE(ArtifactsInput!$N$27+1,20,24,28,32,36,40),0)/100)),0)</f>
        <v/>
      </c>
      <c r="R2649">
        <f>IF(AND(Inputs!$B$38&lt;&gt;"pvp",Inputs!$B$43&gt;0),IF(Inputs!$B$43&lt;=0,0,(INT(Inputs!$B$43/(IF(Inputs!$B$38="pvp",15,MAX(0.1,Skills!D16-IF(Skills!E16=TRUE,Inputs!$B$32,0)))*(1-IF(AND(ArtifactsInput!$M$27,Inputs!$B$4="Chapter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INDEX(FactorTable!$B$2:$Y$301, MATCH(ROUND(MIN(300,MAX(1,D2650)),0), FactorTable!$A$2:$A$301,0), Skills!M17+1)</f>
        <v/>
      </c>
      <c r="F2650">
        <f>IF(Skills!N17=TRUE,(Skills!L17/10)*(E2650/1000),Skills!L17/10)+Skills!O17</f>
        <v/>
      </c>
      <c r="G2650">
        <f>Skills!G17*IF(Skills!H17&gt;0,Skills!I17/Skills!H17,1)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IFERROR(1/(IF(Inputs!$B$38="pvp",15,MAX(0.1,Skills!D17-IF(Skills!E17=TRUE,Inputs!$B$32,0)))*(1-IF(AND(ArtifactsInput!$M$27,Inputs!$B$4="Chapter Hunt"),CHOOSE(ArtifactsInput!$N$27+1,20,24,28,32,36,40),0)/100)),0)</f>
        <v/>
      </c>
      <c r="R2650">
        <f>IF(AND(Inputs!$B$38&lt;&gt;"pvp",Inputs!$B$43&gt;0),IF(Inputs!$B$43&lt;=0,0,(INT(Inputs!$B$43/(IF(Inputs!$B$38="pvp",15,MAX(0.1,Skills!D17-IF(Skills!E17=TRUE,Inputs!$B$32,0)))*(1-IF(AND(ArtifactsInput!$M$27,Inputs!$B$4="Chapter Hunt"),CHOOSE(ArtifactsInput!$N$27+1,20,24,28,32,36,40),0)/100)))+1)),0)</f>
        <v/>
      </c>
      <c r="S2650">
        <f>IFERROR(O2650/N2650,0)</f>
        <v/>
      </c>
      <c r="T2650" t="n">
        <v>0</v>
      </c>
      <c r="V2650" t="n">
        <v>0</v>
      </c>
    </row>
    <row r="2651">
      <c r="A2651">
        <f>Skills!A18</f>
        <v/>
      </c>
      <c r="B2651">
        <f>Skills!B18</f>
        <v/>
      </c>
      <c r="C2651">
        <f>Inputs!$B$3&gt;=115</f>
        <v/>
      </c>
      <c r="D2651">
        <f>IF(Skills!C18=1,60+Inputs!$B$25+Inputs!$B$29,IF(Skills!C18=2,90+Inputs!$B$26+Inputs!$B$29,IF(Skills!C18=3,120+Inputs!$B$27+Inputs!$B$29,MAX(0,(Inputs!$B$3-100)*3)+Inputs!$B$28+Inputs!$B$29)))</f>
        <v/>
      </c>
      <c r="E2651">
        <f>INDEX(FactorTable!$B$2:$Y$301, MATCH(ROUND(MIN(300,MAX(1,D2651)),0), FactorTable!$A$2:$A$301,0), Skills!M18+1)</f>
        <v/>
      </c>
      <c r="F2651">
        <f>IF(Skills!N18=TRUE,(Skills!L18/10)*(E2651/1000),Skills!L18/10)+Skills!O18</f>
        <v/>
      </c>
      <c r="G2651">
        <f>Skills!G18*IF(Skills!H18&gt;0,Skills!I18/Skills!H18,1)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IFERROR(1/(IF(Inputs!$B$38="pvp",15,MAX(0.1,Skills!D18-IF(Skills!E18=TRUE,Inputs!$B$32,0)))*(1-IF(AND(ArtifactsInput!$M$27,Inputs!$B$4="Chapter Hunt"),CHOOSE(ArtifactsInput!$N$27+1,20,24,28,32,36,40),0)/100)),0)</f>
        <v/>
      </c>
      <c r="R2651">
        <f>IF(AND(Inputs!$B$38&lt;&gt;"pvp",Inputs!$B$43&gt;0),IF(Inputs!$B$43&lt;=0,0,(INT(Inputs!$B$43/(IF(Inputs!$B$38="pvp",15,MAX(0.1,Skills!D18-IF(Skills!E18=TRUE,Inputs!$B$32,0)))*(1-IF(AND(ArtifactsInput!$M$27,Inputs!$B$4="Chapter Hunt"),CHOOSE(ArtifactsInput!$N$27+1,20,24,28,32,36,40),0)/100)))+1)),0)</f>
        <v/>
      </c>
      <c r="S2651">
        <f>IFERROR(O2651/N2651,0)</f>
        <v/>
      </c>
      <c r="T2651" t="n">
        <v>0</v>
      </c>
      <c r="V2651" t="n">
        <v>0</v>
      </c>
    </row>
    <row r="2652">
      <c r="A2652">
        <f>Skills!A19</f>
        <v/>
      </c>
      <c r="B2652">
        <f>Skills!B19</f>
        <v/>
      </c>
      <c r="C2652">
        <f>TRUE</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IFERROR(1/(IF(Inputs!$B$38="pvp",15,MAX(0.1,Skills!D19-IF(Skills!E19=TRUE,Inputs!$B$32,0)))*(1-IF(AND(ArtifactsInput!$M$27,Inputs!$B$4="Chapter Hunt"),CHOOSE(ArtifactsInput!$N$27+1,20,24,28,32,36,40),0)/100)),0)</f>
        <v/>
      </c>
      <c r="R2652">
        <f>IF(AND(Inputs!$B$38&lt;&gt;"pvp",Inputs!$B$43&gt;0),IF(Inputs!$B$43&lt;=0,0,(INT(Inputs!$B$43/(IF(Inputs!$B$38="pvp",15,MAX(0.1,Skills!D19-IF(Skills!E19=TRUE,Inputs!$B$32,0)))*(1-IF(AND(ArtifactsInput!$M$27,Inputs!$B$4="Chapter Hunt"),CHOOSE(ArtifactsInput!$N$27+1,20,24,28,32,36,40),0)/100)))+1)),0)</f>
        <v/>
      </c>
      <c r="S2652">
        <f>IFERROR(O2652/N2652,0)</f>
        <v/>
      </c>
      <c r="T2652" t="n">
        <v>0</v>
      </c>
      <c r="V2652" t="n">
        <v>0</v>
      </c>
    </row>
    <row r="2653">
      <c r="A2653">
        <f>Skills!A20</f>
        <v/>
      </c>
      <c r="B2653">
        <f>Skills!B20</f>
        <v/>
      </c>
      <c r="C2653">
        <f>Inputs!$B$3&gt;=33</f>
        <v/>
      </c>
      <c r="D2653">
        <f>IF(Skills!C20=1,60+Inputs!$B$25+Inputs!$B$29,IF(Skills!C20=2,90+Inputs!$B$26+Inputs!$B$29,IF(Skills!C20=3,120+Inputs!$B$27+Inputs!$B$29,MAX(0,(Inputs!$B$3-100)*3)+Inputs!$B$28+Inputs!$B$29)))</f>
        <v/>
      </c>
      <c r="E2653">
        <f>INDEX(FactorTable!$B$2:$Y$301, MATCH(ROUND(MIN(300,MAX(1,D2653)),0), FactorTable!$A$2:$A$301,0), Skills!M20+1)</f>
        <v/>
      </c>
      <c r="F2653">
        <f>IF(Skills!N20=TRUE,(Skills!L20/10)*(E2653/1000),Skills!L20/10)+Skills!O20</f>
        <v/>
      </c>
      <c r="G2653">
        <f>Skills!G20*IF(Skills!H20&gt;0,Skills!I20/Skills!H20,1)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Inputs!$B$3&gt;=38</f>
        <v/>
      </c>
      <c r="D2654">
        <f>IF(Skills!C21=1,60+Inputs!$B$25+Inputs!$B$29,IF(Skills!C21=2,90+Inputs!$B$26+Inputs!$B$29,IF(Skills!C21=3,120+Inputs!$B$27+Inputs!$B$29,MAX(0,(Inputs!$B$3-100)*3)+Inputs!$B$28+Inputs!$B$29)))</f>
        <v/>
      </c>
      <c r="E2654">
        <f>INDEX(FactorTable!$B$2:$Y$301, MATCH(ROUND(MIN(300,MAX(1,D2654)),0), FactorTable!$A$2:$A$301,0), Skills!M21+1)</f>
        <v/>
      </c>
      <c r="F2654">
        <f>IF(Skills!N21=TRUE,(Skills!L21/10)*(E2654/1000),Skills!L21/10)+Skills!O21</f>
        <v/>
      </c>
      <c r="G2654">
        <f>Skills!G21*IF(Skills!H21&gt;0,Skills!I21/Skills!H21,1)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t="n">
        <v>0</v>
      </c>
      <c r="R2654" t="n">
        <v>0</v>
      </c>
      <c r="S2654">
        <f>IFERROR(O2654/N2654,0)</f>
        <v/>
      </c>
      <c r="T2654" t="n">
        <v>0</v>
      </c>
      <c r="V2654" t="n">
        <v>0</v>
      </c>
    </row>
    <row r="2655">
      <c r="A2655">
        <f>Skills!A22</f>
        <v/>
      </c>
      <c r="B2655">
        <f>Skills!B22</f>
        <v/>
      </c>
      <c r="C2655">
        <f>Inputs!$B$3&gt;=43</f>
        <v/>
      </c>
      <c r="D2655">
        <f>IF(Skills!C22=1,60+Inputs!$B$25+Inputs!$B$29,IF(Skills!C22=2,90+Inputs!$B$26+Inputs!$B$29,IF(Skills!C22=3,120+Inputs!$B$27+Inputs!$B$29,MAX(0,(Inputs!$B$3-100)*3)+Inputs!$B$28+Inputs!$B$29)))</f>
        <v/>
      </c>
      <c r="E2655">
        <f>INDEX(FactorTable!$B$2:$Y$301, MATCH(ROUND(MIN(300,MAX(1,D2655)),0), FactorTable!$A$2:$A$301,0), Skills!M22+1)</f>
        <v/>
      </c>
      <c r="F2655">
        <f>IF(Skills!N22=TRUE,(Skills!L22/10)*(E2655/1000),Skills!L22/10)+Skills!O22</f>
        <v/>
      </c>
      <c r="G2655">
        <f>Skills!G22*IF(Skills!H22&gt;0,Skills!I22/Skills!H22,1)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Inputs!$B$3&gt;=120</f>
        <v/>
      </c>
      <c r="D2656">
        <f>IF(Skills!C23=1,60+Inputs!$B$25+Inputs!$B$29,IF(Skills!C23=2,90+Inputs!$B$26+Inputs!$B$29,IF(Skills!C23=3,120+Inputs!$B$27+Inputs!$B$29,MAX(0,(Inputs!$B$3-100)*3)+Inputs!$B$28+Inputs!$B$29)))</f>
        <v/>
      </c>
      <c r="E2656">
        <f>INDEX(FactorTable!$B$2:$Y$301, MATCH(ROUND(MIN(300,MAX(1,D2656)),0), FactorTable!$A$2:$A$301,0), Skills!M23+1)</f>
        <v/>
      </c>
      <c r="F2656">
        <f>IF(Skills!N23=TRUE,(Skills!L23/10)*(E2656/1000),Skills!L23/10)+Skills!O23</f>
        <v/>
      </c>
      <c r="G2656">
        <f>Skills!G23*IF(Skills!H23&gt;0,Skills!I23/Skills!H23,1)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Inputs!$B$3&gt;=120</f>
        <v/>
      </c>
      <c r="D2657">
        <f>IF(Skills!C24=1,60+Inputs!$B$25+Inputs!$B$29,IF(Skills!C24=2,90+Inputs!$B$26+Inputs!$B$29,IF(Skills!C24=3,120+Inputs!$B$27+Inputs!$B$29,MAX(0,(Inputs!$B$3-100)*3)+Inputs!$B$28+Inputs!$B$29)))</f>
        <v/>
      </c>
      <c r="E2657">
        <f>INDEX(FactorTable!$B$2:$Y$301, MATCH(ROUND(MIN(300,MAX(1,D2657)),0), FactorTable!$A$2:$A$301,0), Skills!M24+1)</f>
        <v/>
      </c>
      <c r="F2657">
        <f>IF(Skills!N24=TRUE,(Skills!L24/10)*(E2657/1000),Skills!L24/10)+Skills!O24</f>
        <v/>
      </c>
      <c r="G2657">
        <f>Skills!G24*IF(Skills!H24&gt;0,Skills!I24/Skills!H24,1)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Inputs!$B$3&gt;=125</f>
        <v/>
      </c>
      <c r="D2658">
        <f>IF(Skills!C25=1,60+Inputs!$B$25+Inputs!$B$29,IF(Skills!C25=2,90+Inputs!$B$26+Inputs!$B$29,IF(Skills!C25=3,120+Inputs!$B$27+Inputs!$B$29,MAX(0,(Inputs!$B$3-100)*3)+Inputs!$B$28+Inputs!$B$29)))</f>
        <v/>
      </c>
      <c r="E2658">
        <f>INDEX(FactorTable!$B$2:$Y$301, MATCH(ROUND(MIN(300,MAX(1,D2658)),0), FactorTable!$A$2:$A$301,0), Skills!M25+1)</f>
        <v/>
      </c>
      <c r="F2658">
        <f>IF(Skills!N25=TRUE,(Skills!L25/10)*(E2658/1000),Skills!L25/10)+Skills!O25</f>
        <v/>
      </c>
      <c r="G2658">
        <f>Skills!G25*IF(Skills!H25&gt;0,Skills!I25/Skills!H25,1)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Inputs!$B$3&gt;=72</f>
        <v/>
      </c>
      <c r="D2659">
        <f>IF(Skills!C26=1,60+Inputs!$B$25+Inputs!$B$29,IF(Skills!C26=2,90+Inputs!$B$26+Inputs!$B$29,IF(Skills!C26=3,120+Inputs!$B$27+Inputs!$B$29,MAX(0,(Inputs!$B$3-100)*3)+Inputs!$B$28+Inputs!$B$29)))</f>
        <v/>
      </c>
      <c r="E2659">
        <f>INDEX(FactorTable!$B$2:$Y$301, MATCH(ROUND(MIN(300,MAX(1,D2659)),0), FactorTable!$A$2:$A$301,0), Skills!M26+1)</f>
        <v/>
      </c>
      <c r="F2659">
        <f>IF(Skills!N26=TRUE,(Skills!L26/10)*(E2659/1000),Skills!L26/10)+Skills!O26</f>
        <v/>
      </c>
      <c r="G2659">
        <f>Skills!G26*IF(Skills!H26&gt;0,Skills!I26/Skills!H26,1)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2652=TRUE)*F2652*IF(AND(Inputs!$B$38&lt;&gt;"pvp",Inputs!$B$43&gt;0),(((R2652-1)*(Skills!T19*(1+(Inputs!$B$34+(ArtifactsInput!$M$7-ArtifactsInput!$M$7)*CHOOSE(ArtifactsInput!$N$7+1,6,7.2,8.4,9.6,10.8,12))/100))+MIN((Skills!T19*(1+(Inputs!$B$34+(ArtifactsInput!$M$7-ArtifactsInput!$M$7)*CHOOSE(ArtifactsInput!$N$7+1,6,7.2,8.4,9.6,10.8,12))/100)),MAX(0,Inputs!$B$43-((R2652-1)*Skills!D19))))/Inputs!$B$43),IF(Inputs!$B$38="pvp",MIN((Skills!T19*(1+(Inputs!$B$34+(ArtifactsInput!$M$7-ArtifactsInput!$M$7)*CHOOSE(ArtifactsInput!$N$7+1,6,7.2,8.4,9.6,10.8,12))/100)),15)/15,(Skills!T19*(1+(Inputs!$B$34+(ArtifactsInput!$M$7-ArtifactsInput!$M$7)*CHOOSE(ArtifactsInput!$N$7+1,6,7.2,8.4,9.6,10.8,12))/100))/Skills!D19)))</f>
        <v/>
      </c>
    </row>
    <row r="2664">
      <c r="A2664" t="inlineStr">
        <is>
          <t>Actions Per Second</t>
        </is>
      </c>
      <c r="B2664">
        <f>1+MIN(150,150*(1-(1-(Inputs!$B$11+((C2653=TRUE)*(F2653-Calc!F20)))/150)*(1-B2663/150)))/100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Raging Blow Casts Per Second</t>
        </is>
      </c>
      <c r="B2666">
        <f>MAX(0,B2664-B2665)</f>
        <v/>
      </c>
    </row>
    <row r="2667">
      <c r="A2667" t="inlineStr">
        <is>
          <t>Global Critical Damage Bonus % (Enrage)</t>
        </is>
      </c>
      <c r="B2667">
        <f>((C2651=TRUE)*F2651*IF(AND(Inputs!$B$38&lt;&gt;"pvp",Inputs!$B$43&gt;0),(((R2651-1)*(Skills!T18*(1+(Inputs!$B$34+(ArtifactsInput!$M$7-ArtifactsInput!$M$7)*CHOOSE(ArtifactsInput!$N$7+1,6,7.2,8.4,9.6,10.8,12))/100))+MIN((Skills!T18*(1+(Inputs!$B$34+(ArtifactsInput!$M$7-ArtifactsInput!$M$7)*CHOOSE(ArtifactsInput!$N$7+1,6,7.2,8.4,9.6,10.8,12))/100)),MAX(0,Inputs!$B$43-((R2651-1)*Skills!D18))))/Inputs!$B$43),IF(Inputs!$B$38="pvp",MIN((Skills!T18*(1+(Inputs!$B$34+(ArtifactsInput!$M$7-ArtifactsInput!$M$7)*CHOOSE(ArtifactsInput!$N$7+1,6,7.2,8.4,9.6,10.8,12))/100)),15)/15,(Skills!T18*(1+(Inputs!$B$34+(ArtifactsInput!$M$7-ArtifactsInput!$M$7)*CHOOSE(ArtifactsInput!$N$7+1,6,7.2,8.4,9.6,10.8,12))/100))/Skills!D18)))</f>
        <v/>
      </c>
    </row>
    <row r="2668">
      <c r="A2668" t="inlineStr">
        <is>
          <t>Global Final Damage Bonus % (Enrage + Combo Synergy)</t>
        </is>
      </c>
      <c r="B2668">
        <f>((C2650=TRUE)*F2650*IF(AND(Inputs!$B$38&lt;&gt;"pvp",Inputs!$B$43&gt;0),(((R2650-1)*(Skills!T17*(1+(Inputs!$B$34+(ArtifactsInput!$M$7-ArtifactsInput!$M$7)*CHOOSE(ArtifactsInput!$N$7+1,6,7.2,8.4,9.6,10.8,12))/100))+MIN((Skills!T17*(1+(Inputs!$B$34+(ArtifactsInput!$M$7-ArtifactsInput!$M$7)*CHOOSE(ArtifactsInput!$N$7+1,6,7.2,8.4,9.6,10.8,12))/100)),MAX(0,Inputs!$B$43-((R2650-1)*Skills!D17))))/Inputs!$B$43),IF(Inputs!$B$38="pvp",MIN((Skills!T17*(1+(Inputs!$B$34+(ArtifactsInput!$M$7-ArtifactsInput!$M$7)*CHOOSE(ArtifactsInput!$N$7+1,6,7.2,8.4,9.6,10.8,12))/100)),15)/15,(Skills!T17*(1+(Inputs!$B$34+(ArtifactsInput!$M$7-ArtifactsInput!$M$7)*CHOOSE(ArtifactsInput!$N$7+1,6,7.2,8.4,9.6,10.8,12))/100))/Skills!D17)))+((C2647=TRUE)*F2647*IF(Inputs!$B$3&gt;=110,7,5))</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2691)</f>
        <v/>
      </c>
      <c r="L2691">
        <f>K2691*(MIN(Inputs!$B$22+((C2711=TRUE)*(F2711-Calc!F22)),(Inputs!$B$23+((C2713=TRUE)*(F2713-Calc!F24))+(IF(ArtifactsInput!$M$15,CHOOSE(ArtifactsInput!$N$15+1,25,30,35,40,45,50)/100*(Inputs!$B$11-Inputs!$B$11),0))))/100+(Inputs!$B$23+((C2713=TRUE)*(F2713-Calc!F24))+(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INDEX(FactorTable!$B$2:$Y$301, MATCH(ROUND(MIN(300,MAX(1,D2692)),0),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INDEX(FactorTable!$B$2:$Y$301, MATCH(ROUND(MIN(300,MAX(1,U2691)),0), FactorTable!$A$2:$A$301,0), 22)</f>
        <v/>
      </c>
    </row>
    <row r="2693">
      <c r="A2693">
        <f>Skills!A4</f>
        <v/>
      </c>
      <c r="B2693">
        <f>Skills!B4</f>
        <v/>
      </c>
      <c r="C2693">
        <f>Inputs!$B$3&gt;=105</f>
        <v/>
      </c>
      <c r="D2693">
        <f>IF(Skills!C4=1,60+Inputs!$B$25+Inputs!$B$29,IF(Skills!C4=2,90+Inputs!$B$26+Inputs!$B$29,IF(Skills!C4=3,120+Inputs!$B$27+Inputs!$B$29,MAX(0,(Inputs!$B$3-100)*3)+Inputs!$B$28+Inputs!$B$29)))</f>
        <v/>
      </c>
      <c r="E2693">
        <f>INDEX(FactorTable!$B$2:$Y$301, MATCH(ROUND(MIN(300,MAX(1,D2693)),0), FactorTable!$A$2:$A$301,0), Skills!M4+1)</f>
        <v/>
      </c>
      <c r="F2693">
        <f>IF(Skills!N4=TRUE,(Skills!L4/10)*(E2693/1000),Skills!L4/10)+Skills!O4</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U2693">
        <f>290*U2692/1000</f>
        <v/>
      </c>
    </row>
    <row r="2694">
      <c r="A2694">
        <f>Skills!A5</f>
        <v/>
      </c>
      <c r="B2694">
        <f>Skills!B5</f>
        <v/>
      </c>
      <c r="C2694">
        <f>Inputs!$B$3&gt;=103</f>
        <v/>
      </c>
      <c r="D2694">
        <f>IF(Skills!C5=1,60+Inputs!$B$25+Inputs!$B$29,IF(Skills!C5=2,90+Inputs!$B$26+Inputs!$B$29,IF(Skills!C5=3,120+Inputs!$B$27+Inputs!$B$29,MAX(0,(Inputs!$B$3-100)*3)+Inputs!$B$28+Inputs!$B$29)))</f>
        <v/>
      </c>
      <c r="E2694">
        <f>INDEX(FactorTable!$B$2:$Y$301, MATCH(ROUND(MIN(300,MAX(1,D2694)),0), FactorTable!$A$2:$A$301,0), Skills!M5+1)</f>
        <v/>
      </c>
      <c r="F2694">
        <f>IF(Skills!N5=TRUE,(Skills!L5/10)*(E2694/1000),Skills!L5/10)+Skills!O5</f>
        <v/>
      </c>
      <c r="G2694">
        <f>Skills!G5*IF(Skills!H5&gt;0,Skills!I5/Skills!H5,1)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2694)</f>
        <v/>
      </c>
      <c r="L2694">
        <f>K2694*(MIN(Inputs!$B$22+((C2711=TRUE)*(F2711-Calc!F22)),(Inputs!$B$23+((C2713=TRUE)*(F2713-Calc!F24))+(IF(ArtifactsInput!$M$15,CHOOSE(ArtifactsInput!$N$15+1,25,30,35,40,45,50)/100*(Inputs!$B$11-Inputs!$B$11),0))))/100+(Inputs!$B$23+((C2713=TRUE)*(F2713-Calc!F24))+(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IFERROR(1/(IF(Inputs!$B$38="pvp",15,MAX(0.1,Skills!D5-IF(Skills!E5=TRUE,0.5,0)))*(1-IF(AND(ArtifactsInput!$M$27,Inputs!$B$4="Chapter Hunt"),CHOOSE(ArtifactsInput!$N$27+1,20,24,28,32,36,40),0)/100)),0)</f>
        <v/>
      </c>
      <c r="R2694">
        <f>IF(AND(Inputs!$B$38&lt;&gt;"pvp",Inputs!$B$43&gt;0),IF(MAX(0,Inputs!$B$43-B2725)&lt;=0,0,(INT(MAX(0,Inputs!$B$43-B2725)/(IF(Inputs!$B$38="pvp",15,MAX(0.1,Skills!D5-IF(Skills!E5=TRUE,0.5,0)))*(1-IF(AND(ArtifactsInput!$M$27,Inputs!$B$4="Chapter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INDEX(FactorTable!$B$2:$Y$301, MATCH(ROUND(MIN(300,MAX(1,D2695)),0), FactorTable!$A$2:$A$301,0), Skills!M6+1)</f>
        <v/>
      </c>
      <c r="F2695">
        <f>IF(Skills!N6=TRUE,(Skills!L6/10)*(E2695/1000),Skills!L6/10)+Skills!O6</f>
        <v/>
      </c>
      <c r="G2695">
        <f>Skills!G6*IF(Skills!H6&gt;0,Skills!I6/Skills!H6,1)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2695)</f>
        <v/>
      </c>
      <c r="L2695">
        <f>K2695*(MIN(Inputs!$B$22+((C2711=TRUE)*(F2711-Calc!F22)),(Inputs!$B$23+((C2713=TRUE)*(F2713-Calc!F24))+(IF(ArtifactsInput!$M$15,CHOOSE(ArtifactsInput!$N$15+1,25,30,35,40,45,50)/100*(Inputs!$B$11-Inputs!$B$11),0))))/100+(Inputs!$B$23+((C2713=TRUE)*(F2713-Calc!F24))+(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IFERROR(1/(IF(Inputs!$B$38="pvp",15,MAX(0.1,Skills!D6-IF(Skills!E6=TRUE,0.5,0)))*(1-IF(AND(ArtifactsInput!$M$27,Inputs!$B$4="Chapter Hunt"),CHOOSE(ArtifactsInput!$N$27+1,20,24,28,32,36,40),0)/100)),0)</f>
        <v/>
      </c>
      <c r="R2695">
        <f>IF(AND(Inputs!$B$38&lt;&gt;"pvp",Inputs!$B$43&gt;0),IF(MAX(0,Inputs!$B$43-B2725)&lt;=0,0,(INT(MAX(0,Inputs!$B$43-B2725)/(IF(Inputs!$B$38="pvp",15,MAX(0.1,Skills!D6-IF(Skills!E6=TRUE,0.5,0)))*(1-IF(AND(ArtifactsInput!$M$27,Inputs!$B$4="Chapter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INDEX(FactorTable!$B$2:$Y$301, MATCH(ROUND(MIN(300,MAX(1,D2696)),0), FactorTable!$A$2:$A$301,0), Skills!M7+1)</f>
        <v/>
      </c>
      <c r="F2696">
        <f>IF(Skills!N7=TRUE,(Skills!L7/10)*(E2696/1000),Skills!L7/10)+Skills!O7</f>
        <v/>
      </c>
      <c r="G2696">
        <f>Skills!G7*IF(Skills!H7&gt;0,Skills!I7/Skills!H7,1)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2696)</f>
        <v/>
      </c>
      <c r="L2696">
        <f>K2696*(MIN(Inputs!$B$22+((C2711=TRUE)*(F2711-Calc!F22)),(Inputs!$B$23+((C2713=TRUE)*(F2713-Calc!F24))+(IF(ArtifactsInput!$M$15,CHOOSE(ArtifactsInput!$N$15+1,25,30,35,40,45,50)/100*(Inputs!$B$11-Inputs!$B$11),0))))/100+(Inputs!$B$23+((C2713=TRUE)*(F2713-Calc!F24))+(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IFERROR(1/(IF(Inputs!$B$38="pvp",15,MAX(0.1,Skills!D7-IF(Skills!E7=TRUE,0.5,0)))*(1-IF(AND(ArtifactsInput!$M$27,Inputs!$B$4="Chapter Hunt"),CHOOSE(ArtifactsInput!$N$27+1,20,24,28,32,36,40),0)/100)),0)</f>
        <v/>
      </c>
      <c r="R2696">
        <f>IF(AND(Inputs!$B$38&lt;&gt;"pvp",Inputs!$B$43&gt;0),IF(MAX(0,Inputs!$B$43-B2725)&lt;=0,0,(INT(MAX(0,Inputs!$B$43-B2725)/(IF(Inputs!$B$38="pvp",15,MAX(0.1,Skills!D7-IF(Skills!E7=TRUE,0.5,0)))*(1-IF(AND(ArtifactsInput!$M$27,Inputs!$B$4="Chapter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Inputs!$B$3&gt;=117</f>
        <v/>
      </c>
      <c r="D2697">
        <f>IF(Skills!C8=1,60+Inputs!$B$25+Inputs!$B$29,IF(Skills!C8=2,90+Inputs!$B$26+Inputs!$B$29,IF(Skills!C8=3,120+Inputs!$B$27+Inputs!$B$29,MAX(0,(Inputs!$B$3-100)*3)+Inputs!$B$28+Inputs!$B$29)))</f>
        <v/>
      </c>
      <c r="E2697">
        <f>INDEX(FactorTable!$B$2:$Y$301, MATCH(ROUND(MIN(300,MAX(1,D2697)),0), FactorTable!$A$2:$A$301,0), Skills!M8+1)</f>
        <v/>
      </c>
      <c r="F2697">
        <f>IF(Skills!N8=TRUE,(Skills!L8/10)*(E2697/1000),Skills!L8/10)+Skills!O8</f>
        <v/>
      </c>
      <c r="G2697">
        <f>Skills!G8*IF(Skills!H8&gt;0,Skills!I8/Skills!H8,1)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2697)</f>
        <v/>
      </c>
      <c r="L2697">
        <f>K2697*(MIN(Inputs!$B$22+((C2711=TRUE)*(F2711-Calc!F22)),(Inputs!$B$23+((C2713=TRUE)*(F2713-Calc!F24))+(IF(ArtifactsInput!$M$15,CHOOSE(ArtifactsInput!$N$15+1,25,30,35,40,45,50)/100*(Inputs!$B$11-Inputs!$B$11),0))))/100+(Inputs!$B$23+((C2713=TRUE)*(F2713-Calc!F24))+(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IFERROR(1/(IF(Inputs!$B$38="pvp",15,MAX(0.1,Skills!D8-IF(Skills!E8=TRUE,0.5,0)))*(1-IF(AND(ArtifactsInput!$M$27,Inputs!$B$4="Chapter Hunt"),CHOOSE(ArtifactsInput!$N$27+1,20,24,28,32,36,40),0)/100)),0)</f>
        <v/>
      </c>
      <c r="R2697">
        <f>IF(AND(Inputs!$B$38&lt;&gt;"pvp",Inputs!$B$43&gt;0),IF(MAX(0,Inputs!$B$43-B2725)&lt;=0,0,(INT(MAX(0,Inputs!$B$43-B2725)/(IF(Inputs!$B$38="pvp",15,MAX(0.1,Skills!D8-IF(Skills!E8=TRUE,0.5,0)))*(1-IF(AND(ArtifactsInput!$M$27,Inputs!$B$4="Chapter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Inputs!$B$3&gt;=69</f>
        <v/>
      </c>
      <c r="D2698">
        <f>IF(Skills!C9=1,60+Inputs!$B$25+Inputs!$B$29,IF(Skills!C9=2,90+Inputs!$B$26+Inputs!$B$29,IF(Skills!C9=3,120+Inputs!$B$27+Inputs!$B$29,MAX(0,(Inputs!$B$3-100)*3)+Inputs!$B$28+Inputs!$B$29)))</f>
        <v/>
      </c>
      <c r="E2698">
        <f>INDEX(FactorTable!$B$2:$Y$301, MATCH(ROUND(MIN(300,MAX(1,D2698)),0), FactorTable!$A$2:$A$301,0), Skills!M9+1)</f>
        <v/>
      </c>
      <c r="F2698">
        <f>IF(Skills!N9=TRUE,(Skills!L9/10)*(E2698/1000),Skills!L9/10)+Skills!O9</f>
        <v/>
      </c>
      <c r="G2698">
        <f>Skills!G9*IF(Skills!H9&gt;0,Skills!I9/Skills!H9,1)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9="ENHANCED_RAGING_BLOW",IF(Inputs!$B$3&gt;=134,MAX(0,IF(Inputs!$B$3&gt;=110,7,5)-5)*50,0),0)/100)*(1+(IF(Skills!A9="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2698)</f>
        <v/>
      </c>
      <c r="L2698">
        <f>K2698*(MIN(Inputs!$B$22+((C2711=TRUE)*(F2711-Calc!F22)),(Inputs!$B$23+((C2713=TRUE)*(F2713-Calc!F24))+(IF(ArtifactsInput!$M$15,CHOOSE(ArtifactsInput!$N$15+1,25,30,35,40,45,50)/100*(Inputs!$B$11-Inputs!$B$11),0))))/100+(Inputs!$B$23+((C2713=TRUE)*(F2713-Calc!F24))+(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IFERROR(1/(IF(Inputs!$B$38="pvp",15,MAX(0.1,Skills!D9-IF(Skills!E9=TRUE,0.5,0)))*(1-IF(AND(ArtifactsInput!$M$27,Inputs!$B$4="Chapter Hunt"),CHOOSE(ArtifactsInput!$N$27+1,20,24,28,32,36,40),0)/100)),0)</f>
        <v/>
      </c>
      <c r="R2698">
        <f>IF(AND(Inputs!$B$38&lt;&gt;"pvp",Inputs!$B$43&gt;0),IF(MAX(0,Inputs!$B$43-B2725)&lt;=0,0,(INT(MAX(0,Inputs!$B$43-B2725)/(IF(Inputs!$B$38="pvp",15,MAX(0.1,Skills!D9-IF(Skills!E9=TRUE,0.5,0)))*(1-IF(AND(ArtifactsInput!$M$27,Inputs!$B$4="Chapter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Inputs!$B$3&gt;=63</f>
        <v/>
      </c>
      <c r="D2699">
        <f>IF(Skills!C10=1,60+Inputs!$B$25+Inputs!$B$29,IF(Skills!C10=2,90+Inputs!$B$26+Inputs!$B$29,IF(Skills!C10=3,120+Inputs!$B$27+Inputs!$B$29,MAX(0,(Inputs!$B$3-100)*3)+Inputs!$B$28+Inputs!$B$29)))</f>
        <v/>
      </c>
      <c r="E2699">
        <f>INDEX(FactorTable!$B$2:$Y$301, MATCH(ROUND(MIN(300,MAX(1,D2699)),0), FactorTable!$A$2:$A$301,0), Skills!M10+1)</f>
        <v/>
      </c>
      <c r="F2699">
        <f>IF(Skills!N10=TRUE,(Skills!L10/10)*(E2699/1000),Skills!L10/10)+Skills!O10</f>
        <v/>
      </c>
      <c r="G2699">
        <f>Skills!G10*IF(Skills!H10&gt;0,Skills!I10/Skills!H10,1)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10="ENHANCED_RAGING_BLOW",IF(Inputs!$B$3&gt;=134,MAX(0,IF(Inputs!$B$3&gt;=110,7,5)-5)*50,0),0)/100)*(1+(IF(Skills!A10="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2699)</f>
        <v/>
      </c>
      <c r="L2699">
        <f>K2699*(MIN(Inputs!$B$22+((C2711=TRUE)*(F2711-Calc!F22)),(Inputs!$B$23+((C2713=TRUE)*(F2713-Calc!F24))+(IF(ArtifactsInput!$M$15,CHOOSE(ArtifactsInput!$N$15+1,25,30,35,40,45,50)/100*(Inputs!$B$11-Inputs!$B$11),0))))/100+(Inputs!$B$23+((C2713=TRUE)*(F2713-Calc!F24))+(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IFERROR(1/(IF(Inputs!$B$38="pvp",15,MAX(0.1,Skills!D10-IF(Skills!E10=TRUE,0.5,0)))*(1-IF(AND(ArtifactsInput!$M$27,Inputs!$B$4="Chapter Hunt"),CHOOSE(ArtifactsInput!$N$27+1,20,24,28,32,36,40),0)/100)),0)</f>
        <v/>
      </c>
      <c r="R2699">
        <f>IF(AND(Inputs!$B$38&lt;&gt;"pvp",Inputs!$B$43&gt;0),IF(MAX(0,Inputs!$B$43-B2725)&lt;=0,0,(INT(MAX(0,Inputs!$B$43-B2725)/(IF(Inputs!$B$38="pvp",15,MAX(0.1,Skills!D10-IF(Skills!E10=TRUE,0.5,0)))*(1-IF(AND(ArtifactsInput!$M$27,Inputs!$B$4="Chapter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Inputs!$B$3&gt;=35</f>
        <v/>
      </c>
      <c r="D2700">
        <f>IF(Skills!C11=1,60+Inputs!$B$25+Inputs!$B$29,IF(Skills!C11=2,90+Inputs!$B$26+Inputs!$B$29,IF(Skills!C11=3,120+Inputs!$B$27+Inputs!$B$29,MAX(0,(Inputs!$B$3-100)*3)+Inputs!$B$28+Inputs!$B$29)))</f>
        <v/>
      </c>
      <c r="E2700">
        <f>INDEX(FactorTable!$B$2:$Y$301, MATCH(ROUND(MIN(300,MAX(1,D2700)),0), FactorTable!$A$2:$A$301,0), Skills!M11+1)</f>
        <v/>
      </c>
      <c r="F2700">
        <f>IF(Skills!N11=TRUE,(Skills!L11/10)*(E2700/1000),Skills!L11/10)+Skills!O11</f>
        <v/>
      </c>
      <c r="G2700">
        <f>Skills!G11*IF(Skills!H11&gt;0,Skills!I11/Skills!H11,1)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11="ENHANCED_RAGING_BLOW",IF(Inputs!$B$3&gt;=134,MAX(0,IF(Inputs!$B$3&gt;=110,7,5)-5)*50,0),0)/100)*(1+(IF(Skills!A11="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2700)</f>
        <v/>
      </c>
      <c r="L2700">
        <f>K2700*(MIN(Inputs!$B$22+((C2711=TRUE)*(F2711-Calc!F22)),(Inputs!$B$23+((C2713=TRUE)*(F2713-Calc!F24))+(IF(ArtifactsInput!$M$15,CHOOSE(ArtifactsInput!$N$15+1,25,30,35,40,45,50)/100*(Inputs!$B$11-Inputs!$B$11),0))))/100+(Inputs!$B$23+((C2713=TRUE)*(F2713-Calc!F24))+(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IFERROR(1/(IF(Inputs!$B$38="pvp",15,MAX(0.1,Skills!D11-IF(Skills!E11=TRUE,0.5,0)))*(1-IF(AND(ArtifactsInput!$M$27,Inputs!$B$4="Chapter Hunt"),CHOOSE(ArtifactsInput!$N$27+1,20,24,28,32,36,40),0)/100)),0)</f>
        <v/>
      </c>
      <c r="R2700">
        <f>IF(AND(Inputs!$B$38&lt;&gt;"pvp",Inputs!$B$43&gt;0),IF(MAX(0,Inputs!$B$43-B2725)&lt;=0,0,(INT(MAX(0,Inputs!$B$43-B2725)/(IF(Inputs!$B$38="pvp",15,MAX(0.1,Skills!D11-IF(Skills!E11=TRUE,0.5,0)))*(1-IF(AND(ArtifactsInput!$M$27,Inputs!$B$4="Chapter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INDEX(FactorTable!$B$2:$Y$301, MATCH(ROUND(MIN(300,MAX(1,D2701)),0),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INDEX(FactorTable!$B$2:$Y$301, MATCH(ROUND(MIN(300,MAX(1,D2702)),0), FactorTable!$A$2:$A$301,0), Skills!M13+1)</f>
        <v/>
      </c>
      <c r="F2702">
        <f>IF(Skills!N13=TRUE,(Skills!L13/10)*(E2702/1000),Skills!L13/10)+Skills!O13</f>
        <v/>
      </c>
      <c r="G2702">
        <f>Skills!G13*IF(Skills!H13&gt;0,Skills!I13/Skills!H13,1)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Inputs!$B$3&gt;=75</f>
        <v/>
      </c>
      <c r="D2703">
        <f>IF(Skills!C14=1,60+Inputs!$B$25+Inputs!$B$29,IF(Skills!C14=2,90+Inputs!$B$26+Inputs!$B$29,IF(Skills!C14=3,120+Inputs!$B$27+Inputs!$B$29,MAX(0,(Inputs!$B$3-100)*3)+Inputs!$B$28+Inputs!$B$29)))</f>
        <v/>
      </c>
      <c r="E2703">
        <f>INDEX(FactorTable!$B$2:$Y$301, MATCH(ROUND(MIN(300,MAX(1,D2703)),0), FactorTable!$A$2:$A$301,0), Skills!M14+1)</f>
        <v/>
      </c>
      <c r="F2703">
        <f>IF(Skills!N14=TRUE,(Skills!L14/10)*(E2703/1000),Skills!L14/10)+Skills!O14</f>
        <v/>
      </c>
      <c r="G2703">
        <f>Skills!G14*IF(Skills!H14&gt;0,Skills!I14/Skills!H14,1)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Inputs!$B$3&gt;=40</f>
        <v/>
      </c>
      <c r="D2704">
        <f>IF(Skills!C15=1,60+Inputs!$B$25+Inputs!$B$29,IF(Skills!C15=2,90+Inputs!$B$26+Inputs!$B$29,IF(Skills!C15=3,120+Inputs!$B$27+Inputs!$B$29,MAX(0,(Inputs!$B$3-100)*3)+Inputs!$B$28+Inputs!$B$29)))</f>
        <v/>
      </c>
      <c r="E2704">
        <f>INDEX(FactorTable!$B$2:$Y$301, MATCH(ROUND(MIN(300,MAX(1,D2704)),0), FactorTable!$A$2:$A$301,0), Skills!M15+1)</f>
        <v/>
      </c>
      <c r="F2704">
        <f>IF(Skills!N15=TRUE,(Skills!L15/10)*(E2704/1000),Skills!L15/10)+Skills!O15</f>
        <v/>
      </c>
      <c r="G2704">
        <f>Skills!G15*IF(Skills!H15&gt;0,Skills!I15/Skills!H15,1)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IFERROR(1/(IF(Inputs!$B$38="pvp",15,MAX(0.1,Skills!D15-IF(Skills!E15=TRUE,0.5,0)))*(1-IF(AND(ArtifactsInput!$M$27,Inputs!$B$4="Chapter Hunt"),CHOOSE(ArtifactsInput!$N$27+1,20,24,28,32,36,40),0)/100)),0)</f>
        <v/>
      </c>
      <c r="R2704">
        <f>IF(AND(Inputs!$B$38&lt;&gt;"pvp",Inputs!$B$43&gt;0),IF(Inputs!$B$43&lt;=0,0,(INT(Inputs!$B$43/(IF(Inputs!$B$38="pvp",15,MAX(0.1,Skills!D15-IF(Skills!E15=TRUE,0.5,0)))*(1-IF(AND(ArtifactsInput!$M$27,Inputs!$B$4="Chapter Hunt"),CHOOSE(ArtifactsInput!$N$27+1,20,24,28,32,36,40),0)/100)))+1)),0)</f>
        <v/>
      </c>
      <c r="S2704">
        <f>IFERROR(O2704/N2704,0)</f>
        <v/>
      </c>
      <c r="T2704" t="n">
        <v>0</v>
      </c>
      <c r="V2704" t="n">
        <v>0</v>
      </c>
    </row>
    <row r="2705">
      <c r="A2705">
        <f>Skills!A16</f>
        <v/>
      </c>
      <c r="B2705">
        <f>Skills!B16</f>
        <v/>
      </c>
      <c r="C2705">
        <f>Inputs!$B$3&gt;=66</f>
        <v/>
      </c>
      <c r="D2705">
        <f>IF(Skills!C16=1,60+Inputs!$B$25+Inputs!$B$29,IF(Skills!C16=2,90+Inputs!$B$26+Inputs!$B$29,IF(Skills!C16=3,120+Inputs!$B$27+Inputs!$B$29,MAX(0,(Inputs!$B$3-100)*3)+Inputs!$B$28+Inputs!$B$29)))</f>
        <v/>
      </c>
      <c r="E2705">
        <f>INDEX(FactorTable!$B$2:$Y$301, MATCH(ROUND(MIN(300,MAX(1,D2705)),0), FactorTable!$A$2:$A$301,0), Skills!M16+1)</f>
        <v/>
      </c>
      <c r="F2705">
        <f>IF(Skills!N16=TRUE,(Skills!L16/10)*(E2705/1000),Skills!L16/10)+Skills!O16</f>
        <v/>
      </c>
      <c r="G2705">
        <f>Skills!G16*IF(Skills!H16&gt;0,Skills!I16/Skills!H16,1)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IFERROR(1/(IF(Inputs!$B$38="pvp",15,MAX(0.1,Skills!D16-IF(Skills!E16=TRUE,0.5,0)))*(1-IF(AND(ArtifactsInput!$M$27,Inputs!$B$4="Chapter Hunt"),CHOOSE(ArtifactsInput!$N$27+1,20,24,28,32,36,40),0)/100)),0)</f>
        <v/>
      </c>
      <c r="R2705">
        <f>IF(AND(Inputs!$B$38&lt;&gt;"pvp",Inputs!$B$43&gt;0),IF(Inputs!$B$43&lt;=0,0,(INT(Inputs!$B$43/(IF(Inputs!$B$38="pvp",15,MAX(0.1,Skills!D16-IF(Skills!E16=TRUE,0.5,0)))*(1-IF(AND(ArtifactsInput!$M$27,Inputs!$B$4="Chapter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INDEX(FactorTable!$B$2:$Y$301, MATCH(ROUND(MIN(300,MAX(1,D2706)),0), FactorTable!$A$2:$A$301,0), Skills!M17+1)</f>
        <v/>
      </c>
      <c r="F2706">
        <f>IF(Skills!N17=TRUE,(Skills!L17/10)*(E2706/1000),Skills!L17/10)+Skills!O17</f>
        <v/>
      </c>
      <c r="G2706">
        <f>Skills!G17*IF(Skills!H17&gt;0,Skills!I17/Skills!H17,1)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IFERROR(1/(IF(Inputs!$B$38="pvp",15,MAX(0.1,Skills!D17-IF(Skills!E17=TRUE,0.5,0)))*(1-IF(AND(ArtifactsInput!$M$27,Inputs!$B$4="Chapter Hunt"),CHOOSE(ArtifactsInput!$N$27+1,20,24,28,32,36,40),0)/100)),0)</f>
        <v/>
      </c>
      <c r="R2706">
        <f>IF(AND(Inputs!$B$38&lt;&gt;"pvp",Inputs!$B$43&gt;0),IF(Inputs!$B$43&lt;=0,0,(INT(Inputs!$B$43/(IF(Inputs!$B$38="pvp",15,MAX(0.1,Skills!D17-IF(Skills!E17=TRUE,0.5,0)))*(1-IF(AND(ArtifactsInput!$M$27,Inputs!$B$4="Chapter Hunt"),CHOOSE(ArtifactsInput!$N$27+1,20,24,28,32,36,40),0)/100)))+1)),0)</f>
        <v/>
      </c>
      <c r="S2706">
        <f>IFERROR(O2706/N2706,0)</f>
        <v/>
      </c>
      <c r="T2706" t="n">
        <v>0</v>
      </c>
      <c r="V2706" t="n">
        <v>0</v>
      </c>
    </row>
    <row r="2707">
      <c r="A2707">
        <f>Skills!A18</f>
        <v/>
      </c>
      <c r="B2707">
        <f>Skills!B18</f>
        <v/>
      </c>
      <c r="C2707">
        <f>Inputs!$B$3&gt;=115</f>
        <v/>
      </c>
      <c r="D2707">
        <f>IF(Skills!C18=1,60+Inputs!$B$25+Inputs!$B$29,IF(Skills!C18=2,90+Inputs!$B$26+Inputs!$B$29,IF(Skills!C18=3,120+Inputs!$B$27+Inputs!$B$29,MAX(0,(Inputs!$B$3-100)*3)+Inputs!$B$28+Inputs!$B$29)))</f>
        <v/>
      </c>
      <c r="E2707">
        <f>INDEX(FactorTable!$B$2:$Y$301, MATCH(ROUND(MIN(300,MAX(1,D2707)),0), FactorTable!$A$2:$A$301,0), Skills!M18+1)</f>
        <v/>
      </c>
      <c r="F2707">
        <f>IF(Skills!N18=TRUE,(Skills!L18/10)*(E2707/1000),Skills!L18/10)+Skills!O18</f>
        <v/>
      </c>
      <c r="G2707">
        <f>Skills!G18*IF(Skills!H18&gt;0,Skills!I18/Skills!H18,1)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IFERROR(1/(IF(Inputs!$B$38="pvp",15,MAX(0.1,Skills!D18-IF(Skills!E18=TRUE,0.5,0)))*(1-IF(AND(ArtifactsInput!$M$27,Inputs!$B$4="Chapter Hunt"),CHOOSE(ArtifactsInput!$N$27+1,20,24,28,32,36,40),0)/100)),0)</f>
        <v/>
      </c>
      <c r="R2707">
        <f>IF(AND(Inputs!$B$38&lt;&gt;"pvp",Inputs!$B$43&gt;0),IF(Inputs!$B$43&lt;=0,0,(INT(Inputs!$B$43/(IF(Inputs!$B$38="pvp",15,MAX(0.1,Skills!D18-IF(Skills!E18=TRUE,0.5,0)))*(1-IF(AND(ArtifactsInput!$M$27,Inputs!$B$4="Chapter Hunt"),CHOOSE(ArtifactsInput!$N$27+1,20,24,28,32,36,40),0)/100)))+1)),0)</f>
        <v/>
      </c>
      <c r="S2707">
        <f>IFERROR(O2707/N2707,0)</f>
        <v/>
      </c>
      <c r="T2707" t="n">
        <v>0</v>
      </c>
      <c r="V2707" t="n">
        <v>0</v>
      </c>
    </row>
    <row r="2708">
      <c r="A2708">
        <f>Skills!A19</f>
        <v/>
      </c>
      <c r="B2708">
        <f>Skills!B19</f>
        <v/>
      </c>
      <c r="C2708">
        <f>TRUE</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IFERROR(1/(IF(Inputs!$B$38="pvp",15,MAX(0.1,Skills!D19-IF(Skills!E19=TRUE,0.5,0)))*(1-IF(AND(ArtifactsInput!$M$27,Inputs!$B$4="Chapter Hunt"),CHOOSE(ArtifactsInput!$N$27+1,20,24,28,32,36,40),0)/100)),0)</f>
        <v/>
      </c>
      <c r="R2708">
        <f>IF(AND(Inputs!$B$38&lt;&gt;"pvp",Inputs!$B$43&gt;0),IF(Inputs!$B$43&lt;=0,0,(INT(Inputs!$B$43/(IF(Inputs!$B$38="pvp",15,MAX(0.1,Skills!D19-IF(Skills!E19=TRUE,0.5,0)))*(1-IF(AND(ArtifactsInput!$M$27,Inputs!$B$4="Chapter Hunt"),CHOOSE(ArtifactsInput!$N$27+1,20,24,28,32,36,40),0)/100)))+1)),0)</f>
        <v/>
      </c>
      <c r="S2708">
        <f>IFERROR(O2708/N2708,0)</f>
        <v/>
      </c>
      <c r="T2708" t="n">
        <v>0</v>
      </c>
      <c r="V2708" t="n">
        <v>0</v>
      </c>
    </row>
    <row r="2709">
      <c r="A2709">
        <f>Skills!A20</f>
        <v/>
      </c>
      <c r="B2709">
        <f>Skills!B20</f>
        <v/>
      </c>
      <c r="C2709">
        <f>Inputs!$B$3&gt;=33</f>
        <v/>
      </c>
      <c r="D2709">
        <f>IF(Skills!C20=1,60+Inputs!$B$25+Inputs!$B$29,IF(Skills!C20=2,90+Inputs!$B$26+Inputs!$B$29,IF(Skills!C20=3,120+Inputs!$B$27+Inputs!$B$29,MAX(0,(Inputs!$B$3-100)*3)+Inputs!$B$28+Inputs!$B$29)))</f>
        <v/>
      </c>
      <c r="E2709">
        <f>INDEX(FactorTable!$B$2:$Y$301, MATCH(ROUND(MIN(300,MAX(1,D2709)),0), FactorTable!$A$2:$A$301,0), Skills!M20+1)</f>
        <v/>
      </c>
      <c r="F2709">
        <f>IF(Skills!N20=TRUE,(Skills!L20/10)*(E2709/1000),Skills!L20/10)+Skills!O20</f>
        <v/>
      </c>
      <c r="G2709">
        <f>Skills!G20*IF(Skills!H20&gt;0,Skills!I20/Skills!H20,1)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Inputs!$B$3&gt;=38</f>
        <v/>
      </c>
      <c r="D2710">
        <f>IF(Skills!C21=1,60+Inputs!$B$25+Inputs!$B$29,IF(Skills!C21=2,90+Inputs!$B$26+Inputs!$B$29,IF(Skills!C21=3,120+Inputs!$B$27+Inputs!$B$29,MAX(0,(Inputs!$B$3-100)*3)+Inputs!$B$28+Inputs!$B$29)))</f>
        <v/>
      </c>
      <c r="E2710">
        <f>INDEX(FactorTable!$B$2:$Y$301, MATCH(ROUND(MIN(300,MAX(1,D2710)),0), FactorTable!$A$2:$A$301,0), Skills!M21+1)</f>
        <v/>
      </c>
      <c r="F2710">
        <f>IF(Skills!N21=TRUE,(Skills!L21/10)*(E2710/1000),Skills!L21/10)+Skills!O21</f>
        <v/>
      </c>
      <c r="G2710">
        <f>Skills!G21*IF(Skills!H21&gt;0,Skills!I21/Skills!H21,1)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t="n">
        <v>0</v>
      </c>
      <c r="R2710" t="n">
        <v>0</v>
      </c>
      <c r="S2710">
        <f>IFERROR(O2710/N2710,0)</f>
        <v/>
      </c>
      <c r="T2710" t="n">
        <v>0</v>
      </c>
      <c r="V2710" t="n">
        <v>0</v>
      </c>
    </row>
    <row r="2711">
      <c r="A2711">
        <f>Skills!A22</f>
        <v/>
      </c>
      <c r="B2711">
        <f>Skills!B22</f>
        <v/>
      </c>
      <c r="C2711">
        <f>Inputs!$B$3&gt;=43</f>
        <v/>
      </c>
      <c r="D2711">
        <f>IF(Skills!C22=1,60+Inputs!$B$25+Inputs!$B$29,IF(Skills!C22=2,90+Inputs!$B$26+Inputs!$B$29,IF(Skills!C22=3,120+Inputs!$B$27+Inputs!$B$29,MAX(0,(Inputs!$B$3-100)*3)+Inputs!$B$28+Inputs!$B$29)))</f>
        <v/>
      </c>
      <c r="E2711">
        <f>INDEX(FactorTable!$B$2:$Y$301, MATCH(ROUND(MIN(300,MAX(1,D2711)),0), FactorTable!$A$2:$A$301,0), Skills!M22+1)</f>
        <v/>
      </c>
      <c r="F2711">
        <f>IF(Skills!N22=TRUE,(Skills!L22/10)*(E2711/1000),Skills!L22/10)+Skills!O22</f>
        <v/>
      </c>
      <c r="G2711">
        <f>Skills!G22*IF(Skills!H22&gt;0,Skills!I22/Skills!H22,1)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Inputs!$B$3&gt;=120</f>
        <v/>
      </c>
      <c r="D2712">
        <f>IF(Skills!C23=1,60+Inputs!$B$25+Inputs!$B$29,IF(Skills!C23=2,90+Inputs!$B$26+Inputs!$B$29,IF(Skills!C23=3,120+Inputs!$B$27+Inputs!$B$29,MAX(0,(Inputs!$B$3-100)*3)+Inputs!$B$28+Inputs!$B$29)))</f>
        <v/>
      </c>
      <c r="E2712">
        <f>INDEX(FactorTable!$B$2:$Y$301, MATCH(ROUND(MIN(300,MAX(1,D2712)),0), FactorTable!$A$2:$A$301,0), Skills!M23+1)</f>
        <v/>
      </c>
      <c r="F2712">
        <f>IF(Skills!N23=TRUE,(Skills!L23/10)*(E2712/1000),Skills!L23/10)+Skills!O23</f>
        <v/>
      </c>
      <c r="G2712">
        <f>Skills!G23*IF(Skills!H23&gt;0,Skills!I23/Skills!H23,1)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Inputs!$B$3&gt;=120</f>
        <v/>
      </c>
      <c r="D2713">
        <f>IF(Skills!C24=1,60+Inputs!$B$25+Inputs!$B$29,IF(Skills!C24=2,90+Inputs!$B$26+Inputs!$B$29,IF(Skills!C24=3,120+Inputs!$B$27+Inputs!$B$29,MAX(0,(Inputs!$B$3-100)*3)+Inputs!$B$28+Inputs!$B$29)))</f>
        <v/>
      </c>
      <c r="E2713">
        <f>INDEX(FactorTable!$B$2:$Y$301, MATCH(ROUND(MIN(300,MAX(1,D2713)),0), FactorTable!$A$2:$A$301,0), Skills!M24+1)</f>
        <v/>
      </c>
      <c r="F2713">
        <f>IF(Skills!N24=TRUE,(Skills!L24/10)*(E2713/1000),Skills!L24/10)+Skills!O24</f>
        <v/>
      </c>
      <c r="G2713">
        <f>Skills!G24*IF(Skills!H24&gt;0,Skills!I24/Skills!H24,1)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Inputs!$B$3&gt;=125</f>
        <v/>
      </c>
      <c r="D2714">
        <f>IF(Skills!C25=1,60+Inputs!$B$25+Inputs!$B$29,IF(Skills!C25=2,90+Inputs!$B$26+Inputs!$B$29,IF(Skills!C25=3,120+Inputs!$B$27+Inputs!$B$29,MAX(0,(Inputs!$B$3-100)*3)+Inputs!$B$28+Inputs!$B$29)))</f>
        <v/>
      </c>
      <c r="E2714">
        <f>INDEX(FactorTable!$B$2:$Y$301, MATCH(ROUND(MIN(300,MAX(1,D2714)),0), FactorTable!$A$2:$A$301,0), Skills!M25+1)</f>
        <v/>
      </c>
      <c r="F2714">
        <f>IF(Skills!N25=TRUE,(Skills!L25/10)*(E2714/1000),Skills!L25/10)+Skills!O25</f>
        <v/>
      </c>
      <c r="G2714">
        <f>Skills!G25*IF(Skills!H25&gt;0,Skills!I25/Skills!H25,1)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Inputs!$B$3&gt;=72</f>
        <v/>
      </c>
      <c r="D2715">
        <f>IF(Skills!C26=1,60+Inputs!$B$25+Inputs!$B$29,IF(Skills!C26=2,90+Inputs!$B$26+Inputs!$B$29,IF(Skills!C26=3,120+Inputs!$B$27+Inputs!$B$29,MAX(0,(Inputs!$B$3-100)*3)+Inputs!$B$28+Inputs!$B$29)))</f>
        <v/>
      </c>
      <c r="E2715">
        <f>INDEX(FactorTable!$B$2:$Y$301, MATCH(ROUND(MIN(300,MAX(1,D2715)),0), FactorTable!$A$2:$A$301,0), Skills!M26+1)</f>
        <v/>
      </c>
      <c r="F2715">
        <f>IF(Skills!N26=TRUE,(Skills!L26/10)*(E2715/1000),Skills!L26/10)+Skills!O26</f>
        <v/>
      </c>
      <c r="G2715">
        <f>Skills!G26*IF(Skills!H26&gt;0,Skills!I26/Skills!H26,1)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2708=TRUE)*F2708*IF(AND(Inputs!$B$38&lt;&gt;"pvp",Inputs!$B$43&gt;0),(((R2708-1)*(Skills!T19*(1+(Inputs!$B$34+(ArtifactsInput!$M$7-ArtifactsInput!$M$7)*CHOOSE(ArtifactsInput!$N$7+1,6,7.2,8.4,9.6,10.8,12))/100))+MIN((Skills!T19*(1+(Inputs!$B$34+(ArtifactsInput!$M$7-ArtifactsInput!$M$7)*CHOOSE(ArtifactsInput!$N$7+1,6,7.2,8.4,9.6,10.8,12))/100)),MAX(0,Inputs!$B$43-((R2708-1)*Skills!D19))))/Inputs!$B$43),IF(Inputs!$B$38="pvp",MIN((Skills!T19*(1+(Inputs!$B$34+(ArtifactsInput!$M$7-ArtifactsInput!$M$7)*CHOOSE(ArtifactsInput!$N$7+1,6,7.2,8.4,9.6,10.8,12))/100)),15)/15,(Skills!T19*(1+(Inputs!$B$34+(ArtifactsInput!$M$7-ArtifactsInput!$M$7)*CHOOSE(ArtifactsInput!$N$7+1,6,7.2,8.4,9.6,10.8,12))/100))/Skills!D19)))</f>
        <v/>
      </c>
    </row>
    <row r="2720">
      <c r="A2720" t="inlineStr">
        <is>
          <t>Actions Per Second</t>
        </is>
      </c>
      <c r="B2720">
        <f>1+MIN(150,150*(1-(1-(Inputs!$B$11+((C2709=TRUE)*(F2709-Calc!F20)))/150)*(1-B2719/150)))/100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Raging Blow Casts Per Second</t>
        </is>
      </c>
      <c r="B2722">
        <f>MAX(0,B2720-B2721)</f>
        <v/>
      </c>
    </row>
    <row r="2723">
      <c r="A2723" t="inlineStr">
        <is>
          <t>Global Critical Damage Bonus % (Enrage)</t>
        </is>
      </c>
      <c r="B2723">
        <f>((C2707=TRUE)*F2707*IF(AND(Inputs!$B$38&lt;&gt;"pvp",Inputs!$B$43&gt;0),(((R2707-1)*(Skills!T18*(1+(Inputs!$B$34+(ArtifactsInput!$M$7-ArtifactsInput!$M$7)*CHOOSE(ArtifactsInput!$N$7+1,6,7.2,8.4,9.6,10.8,12))/100))+MIN((Skills!T18*(1+(Inputs!$B$34+(ArtifactsInput!$M$7-ArtifactsInput!$M$7)*CHOOSE(ArtifactsInput!$N$7+1,6,7.2,8.4,9.6,10.8,12))/100)),MAX(0,Inputs!$B$43-((R2707-1)*Skills!D18))))/Inputs!$B$43),IF(Inputs!$B$38="pvp",MIN((Skills!T18*(1+(Inputs!$B$34+(ArtifactsInput!$M$7-ArtifactsInput!$M$7)*CHOOSE(ArtifactsInput!$N$7+1,6,7.2,8.4,9.6,10.8,12))/100)),15)/15,(Skills!T18*(1+(Inputs!$B$34+(ArtifactsInput!$M$7-ArtifactsInput!$M$7)*CHOOSE(ArtifactsInput!$N$7+1,6,7.2,8.4,9.6,10.8,12))/100))/Skills!D18)))</f>
        <v/>
      </c>
    </row>
    <row r="2724">
      <c r="A2724" t="inlineStr">
        <is>
          <t>Global Final Damage Bonus % (Enrage + Combo Synergy)</t>
        </is>
      </c>
      <c r="B2724">
        <f>((C2706=TRUE)*F2706*IF(AND(Inputs!$B$38&lt;&gt;"pvp",Inputs!$B$43&gt;0),(((R2706-1)*(Skills!T17*(1+(Inputs!$B$34+(ArtifactsInput!$M$7-ArtifactsInput!$M$7)*CHOOSE(ArtifactsInput!$N$7+1,6,7.2,8.4,9.6,10.8,12))/100))+MIN((Skills!T17*(1+(Inputs!$B$34+(ArtifactsInput!$M$7-ArtifactsInput!$M$7)*CHOOSE(ArtifactsInput!$N$7+1,6,7.2,8.4,9.6,10.8,12))/100)),MAX(0,Inputs!$B$43-((R2706-1)*Skills!D17))))/Inputs!$B$43),IF(Inputs!$B$38="pvp",MIN((Skills!T17*(1+(Inputs!$B$34+(ArtifactsInput!$M$7-ArtifactsInput!$M$7)*CHOOSE(ArtifactsInput!$N$7+1,6,7.2,8.4,9.6,10.8,12))/100)),15)/15,(Skills!T17*(1+(Inputs!$B$34+(ArtifactsInput!$M$7-ArtifactsInput!$M$7)*CHOOSE(ArtifactsInput!$N$7+1,6,7.2,8.4,9.6,10.8,12))/100))/Skills!D17)))+((C2703=TRUE)*F2703*IF(Inputs!$B$3&gt;=110,7,5))</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2733)</f>
        <v/>
      </c>
      <c r="L2733">
        <f>K2733*(MIN(Inputs!$B$22+((C2753=TRUE)*(F2753-Calc!F22)),(Inputs!$B$23+((C2755=TRUE)*(F2755-Calc!F24))+(IF(ArtifactsInput!$M$15,CHOOSE(ArtifactsInput!$N$15+1,25,30,35,40,45,50)/100*(Inputs!$B$11-Inputs!$B$11),0))))/100+(Inputs!$B$23+((C2755=TRUE)*(F2755-Calc!F24))+(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INDEX(FactorTable!$B$2:$Y$301, MATCH(ROUND(MIN(300,MAX(1,D2734)),0),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INDEX(FactorTable!$B$2:$Y$301, MATCH(ROUND(MIN(300,MAX(1,U2733)),0), FactorTable!$A$2:$A$301,0), 22)</f>
        <v/>
      </c>
    </row>
    <row r="2735">
      <c r="A2735">
        <f>Skills!A4</f>
        <v/>
      </c>
      <c r="B2735">
        <f>Skills!B4</f>
        <v/>
      </c>
      <c r="C2735">
        <f>Inputs!$B$3&gt;=105</f>
        <v/>
      </c>
      <c r="D2735">
        <f>IF(Skills!C4=1,60+Inputs!$B$25+Inputs!$B$29,IF(Skills!C4=2,90+Inputs!$B$26+Inputs!$B$29,IF(Skills!C4=3,120+Inputs!$B$27+Inputs!$B$29,MAX(0,(Inputs!$B$3-100)*3)+Inputs!$B$28+Inputs!$B$29)))</f>
        <v/>
      </c>
      <c r="E2735">
        <f>INDEX(FactorTable!$B$2:$Y$301, MATCH(ROUND(MIN(300,MAX(1,D2735)),0), FactorTable!$A$2:$A$301,0), Skills!M4+1)</f>
        <v/>
      </c>
      <c r="F2735">
        <f>IF(Skills!N4=TRUE,(Skills!L4/10)*(E2735/1000),Skills!L4/10)+Skills!O4</f>
        <v/>
      </c>
      <c r="G2735" t="inlineStr"/>
      <c r="H2735" t="inlineStr"/>
      <c r="I2735" t="inlineStr">
        <is>
          <t>1</t>
        </is>
      </c>
      <c r="J2735" t="inlineStr"/>
      <c r="K2735" t="inlineStr"/>
      <c r="L2735" t="inlineStr"/>
      <c r="M2735" t="inlineStr"/>
      <c r="N2735" t="inlineStr"/>
      <c r="O2735" t="inlineStr"/>
      <c r="P2735" t="inlineStr"/>
      <c r="Q2735" t="inlineStr"/>
      <c r="R2735" t="inlineStr"/>
      <c r="S2735" t="inlineStr"/>
      <c r="U2735">
        <f>290*U2734/1000</f>
        <v/>
      </c>
    </row>
    <row r="2736">
      <c r="A2736">
        <f>Skills!A5</f>
        <v/>
      </c>
      <c r="B2736">
        <f>Skills!B5</f>
        <v/>
      </c>
      <c r="C2736">
        <f>Inputs!$B$3&gt;=103</f>
        <v/>
      </c>
      <c r="D2736">
        <f>IF(Skills!C5=1,60+Inputs!$B$25+Inputs!$B$29,IF(Skills!C5=2,90+Inputs!$B$26+Inputs!$B$29,IF(Skills!C5=3,120+Inputs!$B$27+Inputs!$B$29,MAX(0,(Inputs!$B$3-100)*3)+Inputs!$B$28+Inputs!$B$29)))</f>
        <v/>
      </c>
      <c r="E2736">
        <f>INDEX(FactorTable!$B$2:$Y$301, MATCH(ROUND(MIN(300,MAX(1,D2736)),0), FactorTable!$A$2:$A$301,0), Skills!M5+1)</f>
        <v/>
      </c>
      <c r="F2736">
        <f>IF(Skills!N5=TRUE,(Skills!L5/10)*(E2736/1000),Skills!L5/10)+Skills!O5</f>
        <v/>
      </c>
      <c r="G2736">
        <f>Skills!G5*IF(Skills!H5&gt;0,Skills!I5/Skills!H5,1)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2736)</f>
        <v/>
      </c>
      <c r="L2736">
        <f>K2736*(MIN(Inputs!$B$22+((C2753=TRUE)*(F2753-Calc!F22)),(Inputs!$B$23+((C2755=TRUE)*(F2755-Calc!F24))+(IF(ArtifactsInput!$M$15,CHOOSE(ArtifactsInput!$N$15+1,25,30,35,40,45,50)/100*(Inputs!$B$11-Inputs!$B$11),0))))/100+(Inputs!$B$23+((C2755=TRUE)*(F2755-Calc!F24))+(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IFERROR(1/(IF(Inputs!$B$38="pvp",15,MAX(0.1,Skills!D5-IF(Skills!E5=TRUE,1.0,0)))*(1-IF(AND(ArtifactsInput!$M$27,Inputs!$B$4="Chapter Hunt"),CHOOSE(ArtifactsInput!$N$27+1,20,24,28,32,36,40),0)/100)),0)</f>
        <v/>
      </c>
      <c r="R2736">
        <f>IF(AND(Inputs!$B$38&lt;&gt;"pvp",Inputs!$B$43&gt;0),IF(MAX(0,Inputs!$B$43-B2767)&lt;=0,0,(INT(MAX(0,Inputs!$B$43-B2767)/(IF(Inputs!$B$38="pvp",15,MAX(0.1,Skills!D5-IF(Skills!E5=TRUE,1.0,0)))*(1-IF(AND(ArtifactsInput!$M$27,Inputs!$B$4="Chapter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INDEX(FactorTable!$B$2:$Y$301, MATCH(ROUND(MIN(300,MAX(1,D2737)),0), FactorTable!$A$2:$A$301,0), Skills!M6+1)</f>
        <v/>
      </c>
      <c r="F2737">
        <f>IF(Skills!N6=TRUE,(Skills!L6/10)*(E2737/1000),Skills!L6/10)+Skills!O6</f>
        <v/>
      </c>
      <c r="G2737">
        <f>Skills!G6*IF(Skills!H6&gt;0,Skills!I6/Skills!H6,1)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2737)</f>
        <v/>
      </c>
      <c r="L2737">
        <f>K2737*(MIN(Inputs!$B$22+((C2753=TRUE)*(F2753-Calc!F22)),(Inputs!$B$23+((C2755=TRUE)*(F2755-Calc!F24))+(IF(ArtifactsInput!$M$15,CHOOSE(ArtifactsInput!$N$15+1,25,30,35,40,45,50)/100*(Inputs!$B$11-Inputs!$B$11),0))))/100+(Inputs!$B$23+((C2755=TRUE)*(F2755-Calc!F24))+(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IFERROR(1/(IF(Inputs!$B$38="pvp",15,MAX(0.1,Skills!D6-IF(Skills!E6=TRUE,1.0,0)))*(1-IF(AND(ArtifactsInput!$M$27,Inputs!$B$4="Chapter Hunt"),CHOOSE(ArtifactsInput!$N$27+1,20,24,28,32,36,40),0)/100)),0)</f>
        <v/>
      </c>
      <c r="R2737">
        <f>IF(AND(Inputs!$B$38&lt;&gt;"pvp",Inputs!$B$43&gt;0),IF(MAX(0,Inputs!$B$43-B2767)&lt;=0,0,(INT(MAX(0,Inputs!$B$43-B2767)/(IF(Inputs!$B$38="pvp",15,MAX(0.1,Skills!D6-IF(Skills!E6=TRUE,1.0,0)))*(1-IF(AND(ArtifactsInput!$M$27,Inputs!$B$4="Chapter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INDEX(FactorTable!$B$2:$Y$301, MATCH(ROUND(MIN(300,MAX(1,D2738)),0), FactorTable!$A$2:$A$301,0), Skills!M7+1)</f>
        <v/>
      </c>
      <c r="F2738">
        <f>IF(Skills!N7=TRUE,(Skills!L7/10)*(E2738/1000),Skills!L7/10)+Skills!O7</f>
        <v/>
      </c>
      <c r="G2738">
        <f>Skills!G7*IF(Skills!H7&gt;0,Skills!I7/Skills!H7,1)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2738)</f>
        <v/>
      </c>
      <c r="L2738">
        <f>K2738*(MIN(Inputs!$B$22+((C2753=TRUE)*(F2753-Calc!F22)),(Inputs!$B$23+((C2755=TRUE)*(F2755-Calc!F24))+(IF(ArtifactsInput!$M$15,CHOOSE(ArtifactsInput!$N$15+1,25,30,35,40,45,50)/100*(Inputs!$B$11-Inputs!$B$11),0))))/100+(Inputs!$B$23+((C2755=TRUE)*(F2755-Calc!F24))+(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IFERROR(1/(IF(Inputs!$B$38="pvp",15,MAX(0.1,Skills!D7-IF(Skills!E7=TRUE,1.0,0)))*(1-IF(AND(ArtifactsInput!$M$27,Inputs!$B$4="Chapter Hunt"),CHOOSE(ArtifactsInput!$N$27+1,20,24,28,32,36,40),0)/100)),0)</f>
        <v/>
      </c>
      <c r="R2738">
        <f>IF(AND(Inputs!$B$38&lt;&gt;"pvp",Inputs!$B$43&gt;0),IF(MAX(0,Inputs!$B$43-B2767)&lt;=0,0,(INT(MAX(0,Inputs!$B$43-B2767)/(IF(Inputs!$B$38="pvp",15,MAX(0.1,Skills!D7-IF(Skills!E7=TRUE,1.0,0)))*(1-IF(AND(ArtifactsInput!$M$27,Inputs!$B$4="Chapter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Inputs!$B$3&gt;=117</f>
        <v/>
      </c>
      <c r="D2739">
        <f>IF(Skills!C8=1,60+Inputs!$B$25+Inputs!$B$29,IF(Skills!C8=2,90+Inputs!$B$26+Inputs!$B$29,IF(Skills!C8=3,120+Inputs!$B$27+Inputs!$B$29,MAX(0,(Inputs!$B$3-100)*3)+Inputs!$B$28+Inputs!$B$29)))</f>
        <v/>
      </c>
      <c r="E2739">
        <f>INDEX(FactorTable!$B$2:$Y$301, MATCH(ROUND(MIN(300,MAX(1,D2739)),0), FactorTable!$A$2:$A$301,0), Skills!M8+1)</f>
        <v/>
      </c>
      <c r="F2739">
        <f>IF(Skills!N8=TRUE,(Skills!L8/10)*(E2739/1000),Skills!L8/10)+Skills!O8</f>
        <v/>
      </c>
      <c r="G2739">
        <f>Skills!G8*IF(Skills!H8&gt;0,Skills!I8/Skills!H8,1)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2739)</f>
        <v/>
      </c>
      <c r="L2739">
        <f>K2739*(MIN(Inputs!$B$22+((C2753=TRUE)*(F2753-Calc!F22)),(Inputs!$B$23+((C2755=TRUE)*(F2755-Calc!F24))+(IF(ArtifactsInput!$M$15,CHOOSE(ArtifactsInput!$N$15+1,25,30,35,40,45,50)/100*(Inputs!$B$11-Inputs!$B$11),0))))/100+(Inputs!$B$23+((C2755=TRUE)*(F2755-Calc!F24))+(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IFERROR(1/(IF(Inputs!$B$38="pvp",15,MAX(0.1,Skills!D8-IF(Skills!E8=TRUE,1.0,0)))*(1-IF(AND(ArtifactsInput!$M$27,Inputs!$B$4="Chapter Hunt"),CHOOSE(ArtifactsInput!$N$27+1,20,24,28,32,36,40),0)/100)),0)</f>
        <v/>
      </c>
      <c r="R2739">
        <f>IF(AND(Inputs!$B$38&lt;&gt;"pvp",Inputs!$B$43&gt;0),IF(MAX(0,Inputs!$B$43-B2767)&lt;=0,0,(INT(MAX(0,Inputs!$B$43-B2767)/(IF(Inputs!$B$38="pvp",15,MAX(0.1,Skills!D8-IF(Skills!E8=TRUE,1.0,0)))*(1-IF(AND(ArtifactsInput!$M$27,Inputs!$B$4="Chapter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Inputs!$B$3&gt;=69</f>
        <v/>
      </c>
      <c r="D2740">
        <f>IF(Skills!C9=1,60+Inputs!$B$25+Inputs!$B$29,IF(Skills!C9=2,90+Inputs!$B$26+Inputs!$B$29,IF(Skills!C9=3,120+Inputs!$B$27+Inputs!$B$29,MAX(0,(Inputs!$B$3-100)*3)+Inputs!$B$28+Inputs!$B$29)))</f>
        <v/>
      </c>
      <c r="E2740">
        <f>INDEX(FactorTable!$B$2:$Y$301, MATCH(ROUND(MIN(300,MAX(1,D2740)),0), FactorTable!$A$2:$A$301,0), Skills!M9+1)</f>
        <v/>
      </c>
      <c r="F2740">
        <f>IF(Skills!N9=TRUE,(Skills!L9/10)*(E2740/1000),Skills!L9/10)+Skills!O9</f>
        <v/>
      </c>
      <c r="G2740">
        <f>Skills!G9*IF(Skills!H9&gt;0,Skills!I9/Skills!H9,1)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9="ENHANCED_RAGING_BLOW",IF(Inputs!$B$3&gt;=134,MAX(0,IF(Inputs!$B$3&gt;=110,7,5)-5)*50,0),0)/100)*(1+(IF(Skills!A9="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2740)</f>
        <v/>
      </c>
      <c r="L2740">
        <f>K2740*(MIN(Inputs!$B$22+((C2753=TRUE)*(F2753-Calc!F22)),(Inputs!$B$23+((C2755=TRUE)*(F2755-Calc!F24))+(IF(ArtifactsInput!$M$15,CHOOSE(ArtifactsInput!$N$15+1,25,30,35,40,45,50)/100*(Inputs!$B$11-Inputs!$B$11),0))))/100+(Inputs!$B$23+((C2755=TRUE)*(F2755-Calc!F24))+(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IFERROR(1/(IF(Inputs!$B$38="pvp",15,MAX(0.1,Skills!D9-IF(Skills!E9=TRUE,1.0,0)))*(1-IF(AND(ArtifactsInput!$M$27,Inputs!$B$4="Chapter Hunt"),CHOOSE(ArtifactsInput!$N$27+1,20,24,28,32,36,40),0)/100)),0)</f>
        <v/>
      </c>
      <c r="R2740">
        <f>IF(AND(Inputs!$B$38&lt;&gt;"pvp",Inputs!$B$43&gt;0),IF(MAX(0,Inputs!$B$43-B2767)&lt;=0,0,(INT(MAX(0,Inputs!$B$43-B2767)/(IF(Inputs!$B$38="pvp",15,MAX(0.1,Skills!D9-IF(Skills!E9=TRUE,1.0,0)))*(1-IF(AND(ArtifactsInput!$M$27,Inputs!$B$4="Chapter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Inputs!$B$3&gt;=63</f>
        <v/>
      </c>
      <c r="D2741">
        <f>IF(Skills!C10=1,60+Inputs!$B$25+Inputs!$B$29,IF(Skills!C10=2,90+Inputs!$B$26+Inputs!$B$29,IF(Skills!C10=3,120+Inputs!$B$27+Inputs!$B$29,MAX(0,(Inputs!$B$3-100)*3)+Inputs!$B$28+Inputs!$B$29)))</f>
        <v/>
      </c>
      <c r="E2741">
        <f>INDEX(FactorTable!$B$2:$Y$301, MATCH(ROUND(MIN(300,MAX(1,D2741)),0), FactorTable!$A$2:$A$301,0), Skills!M10+1)</f>
        <v/>
      </c>
      <c r="F2741">
        <f>IF(Skills!N10=TRUE,(Skills!L10/10)*(E2741/1000),Skills!L10/10)+Skills!O10</f>
        <v/>
      </c>
      <c r="G2741">
        <f>Skills!G10*IF(Skills!H10&gt;0,Skills!I10/Skills!H10,1)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10="ENHANCED_RAGING_BLOW",IF(Inputs!$B$3&gt;=134,MAX(0,IF(Inputs!$B$3&gt;=110,7,5)-5)*50,0),0)/100)*(1+(IF(Skills!A10="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2741)</f>
        <v/>
      </c>
      <c r="L2741">
        <f>K2741*(MIN(Inputs!$B$22+((C2753=TRUE)*(F2753-Calc!F22)),(Inputs!$B$23+((C2755=TRUE)*(F2755-Calc!F24))+(IF(ArtifactsInput!$M$15,CHOOSE(ArtifactsInput!$N$15+1,25,30,35,40,45,50)/100*(Inputs!$B$11-Inputs!$B$11),0))))/100+(Inputs!$B$23+((C2755=TRUE)*(F2755-Calc!F24))+(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IFERROR(1/(IF(Inputs!$B$38="pvp",15,MAX(0.1,Skills!D10-IF(Skills!E10=TRUE,1.0,0)))*(1-IF(AND(ArtifactsInput!$M$27,Inputs!$B$4="Chapter Hunt"),CHOOSE(ArtifactsInput!$N$27+1,20,24,28,32,36,40),0)/100)),0)</f>
        <v/>
      </c>
      <c r="R2741">
        <f>IF(AND(Inputs!$B$38&lt;&gt;"pvp",Inputs!$B$43&gt;0),IF(MAX(0,Inputs!$B$43-B2767)&lt;=0,0,(INT(MAX(0,Inputs!$B$43-B2767)/(IF(Inputs!$B$38="pvp",15,MAX(0.1,Skills!D10-IF(Skills!E10=TRUE,1.0,0)))*(1-IF(AND(ArtifactsInput!$M$27,Inputs!$B$4="Chapter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Inputs!$B$3&gt;=35</f>
        <v/>
      </c>
      <c r="D2742">
        <f>IF(Skills!C11=1,60+Inputs!$B$25+Inputs!$B$29,IF(Skills!C11=2,90+Inputs!$B$26+Inputs!$B$29,IF(Skills!C11=3,120+Inputs!$B$27+Inputs!$B$29,MAX(0,(Inputs!$B$3-100)*3)+Inputs!$B$28+Inputs!$B$29)))</f>
        <v/>
      </c>
      <c r="E2742">
        <f>INDEX(FactorTable!$B$2:$Y$301, MATCH(ROUND(MIN(300,MAX(1,D2742)),0), FactorTable!$A$2:$A$301,0), Skills!M11+1)</f>
        <v/>
      </c>
      <c r="F2742">
        <f>IF(Skills!N11=TRUE,(Skills!L11/10)*(E2742/1000),Skills!L11/10)+Skills!O11</f>
        <v/>
      </c>
      <c r="G2742">
        <f>Skills!G11*IF(Skills!H11&gt;0,Skills!I11/Skills!H11,1)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11="ENHANCED_RAGING_BLOW",IF(Inputs!$B$3&gt;=134,MAX(0,IF(Inputs!$B$3&gt;=110,7,5)-5)*50,0),0)/100)*(1+(IF(Skills!A11="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2742)</f>
        <v/>
      </c>
      <c r="L2742">
        <f>K2742*(MIN(Inputs!$B$22+((C2753=TRUE)*(F2753-Calc!F22)),(Inputs!$B$23+((C2755=TRUE)*(F2755-Calc!F24))+(IF(ArtifactsInput!$M$15,CHOOSE(ArtifactsInput!$N$15+1,25,30,35,40,45,50)/100*(Inputs!$B$11-Inputs!$B$11),0))))/100+(Inputs!$B$23+((C2755=TRUE)*(F2755-Calc!F24))+(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IFERROR(1/(IF(Inputs!$B$38="pvp",15,MAX(0.1,Skills!D11-IF(Skills!E11=TRUE,1.0,0)))*(1-IF(AND(ArtifactsInput!$M$27,Inputs!$B$4="Chapter Hunt"),CHOOSE(ArtifactsInput!$N$27+1,20,24,28,32,36,40),0)/100)),0)</f>
        <v/>
      </c>
      <c r="R2742">
        <f>IF(AND(Inputs!$B$38&lt;&gt;"pvp",Inputs!$B$43&gt;0),IF(MAX(0,Inputs!$B$43-B2767)&lt;=0,0,(INT(MAX(0,Inputs!$B$43-B2767)/(IF(Inputs!$B$38="pvp",15,MAX(0.1,Skills!D11-IF(Skills!E11=TRUE,1.0,0)))*(1-IF(AND(ArtifactsInput!$M$27,Inputs!$B$4="Chapter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INDEX(FactorTable!$B$2:$Y$301, MATCH(ROUND(MIN(300,MAX(1,D2743)),0),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INDEX(FactorTable!$B$2:$Y$301, MATCH(ROUND(MIN(300,MAX(1,D2744)),0), FactorTable!$A$2:$A$301,0), Skills!M13+1)</f>
        <v/>
      </c>
      <c r="F2744">
        <f>IF(Skills!N13=TRUE,(Skills!L13/10)*(E2744/1000),Skills!L13/10)+Skills!O13</f>
        <v/>
      </c>
      <c r="G2744">
        <f>Skills!G13*IF(Skills!H13&gt;0,Skills!I13/Skills!H13,1)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Inputs!$B$3&gt;=75</f>
        <v/>
      </c>
      <c r="D2745">
        <f>IF(Skills!C14=1,60+Inputs!$B$25+Inputs!$B$29,IF(Skills!C14=2,90+Inputs!$B$26+Inputs!$B$29,IF(Skills!C14=3,120+Inputs!$B$27+Inputs!$B$29,MAX(0,(Inputs!$B$3-100)*3)+Inputs!$B$28+Inputs!$B$29)))</f>
        <v/>
      </c>
      <c r="E2745">
        <f>INDEX(FactorTable!$B$2:$Y$301, MATCH(ROUND(MIN(300,MAX(1,D2745)),0), FactorTable!$A$2:$A$301,0), Skills!M14+1)</f>
        <v/>
      </c>
      <c r="F2745">
        <f>IF(Skills!N14=TRUE,(Skills!L14/10)*(E2745/1000),Skills!L14/10)+Skills!O14</f>
        <v/>
      </c>
      <c r="G2745">
        <f>Skills!G14*IF(Skills!H14&gt;0,Skills!I14/Skills!H14,1)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Inputs!$B$3&gt;=40</f>
        <v/>
      </c>
      <c r="D2746">
        <f>IF(Skills!C15=1,60+Inputs!$B$25+Inputs!$B$29,IF(Skills!C15=2,90+Inputs!$B$26+Inputs!$B$29,IF(Skills!C15=3,120+Inputs!$B$27+Inputs!$B$29,MAX(0,(Inputs!$B$3-100)*3)+Inputs!$B$28+Inputs!$B$29)))</f>
        <v/>
      </c>
      <c r="E2746">
        <f>INDEX(FactorTable!$B$2:$Y$301, MATCH(ROUND(MIN(300,MAX(1,D2746)),0), FactorTable!$A$2:$A$301,0), Skills!M15+1)</f>
        <v/>
      </c>
      <c r="F2746">
        <f>IF(Skills!N15=TRUE,(Skills!L15/10)*(E2746/1000),Skills!L15/10)+Skills!O15</f>
        <v/>
      </c>
      <c r="G2746">
        <f>Skills!G15*IF(Skills!H15&gt;0,Skills!I15/Skills!H15,1)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IFERROR(1/(IF(Inputs!$B$38="pvp",15,MAX(0.1,Skills!D15-IF(Skills!E15=TRUE,1.0,0)))*(1-IF(AND(ArtifactsInput!$M$27,Inputs!$B$4="Chapter Hunt"),CHOOSE(ArtifactsInput!$N$27+1,20,24,28,32,36,40),0)/100)),0)</f>
        <v/>
      </c>
      <c r="R2746">
        <f>IF(AND(Inputs!$B$38&lt;&gt;"pvp",Inputs!$B$43&gt;0),IF(Inputs!$B$43&lt;=0,0,(INT(Inputs!$B$43/(IF(Inputs!$B$38="pvp",15,MAX(0.1,Skills!D15-IF(Skills!E15=TRUE,1.0,0)))*(1-IF(AND(ArtifactsInput!$M$27,Inputs!$B$4="Chapter Hunt"),CHOOSE(ArtifactsInput!$N$27+1,20,24,28,32,36,40),0)/100)))+1)),0)</f>
        <v/>
      </c>
      <c r="S2746">
        <f>IFERROR(O2746/N2746,0)</f>
        <v/>
      </c>
      <c r="T2746" t="n">
        <v>0</v>
      </c>
      <c r="V2746" t="n">
        <v>0</v>
      </c>
    </row>
    <row r="2747">
      <c r="A2747">
        <f>Skills!A16</f>
        <v/>
      </c>
      <c r="B2747">
        <f>Skills!B16</f>
        <v/>
      </c>
      <c r="C2747">
        <f>Inputs!$B$3&gt;=66</f>
        <v/>
      </c>
      <c r="D2747">
        <f>IF(Skills!C16=1,60+Inputs!$B$25+Inputs!$B$29,IF(Skills!C16=2,90+Inputs!$B$26+Inputs!$B$29,IF(Skills!C16=3,120+Inputs!$B$27+Inputs!$B$29,MAX(0,(Inputs!$B$3-100)*3)+Inputs!$B$28+Inputs!$B$29)))</f>
        <v/>
      </c>
      <c r="E2747">
        <f>INDEX(FactorTable!$B$2:$Y$301, MATCH(ROUND(MIN(300,MAX(1,D2747)),0), FactorTable!$A$2:$A$301,0), Skills!M16+1)</f>
        <v/>
      </c>
      <c r="F2747">
        <f>IF(Skills!N16=TRUE,(Skills!L16/10)*(E2747/1000),Skills!L16/10)+Skills!O16</f>
        <v/>
      </c>
      <c r="G2747">
        <f>Skills!G16*IF(Skills!H16&gt;0,Skills!I16/Skills!H16,1)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IFERROR(1/(IF(Inputs!$B$38="pvp",15,MAX(0.1,Skills!D16-IF(Skills!E16=TRUE,1.0,0)))*(1-IF(AND(ArtifactsInput!$M$27,Inputs!$B$4="Chapter Hunt"),CHOOSE(ArtifactsInput!$N$27+1,20,24,28,32,36,40),0)/100)),0)</f>
        <v/>
      </c>
      <c r="R2747">
        <f>IF(AND(Inputs!$B$38&lt;&gt;"pvp",Inputs!$B$43&gt;0),IF(Inputs!$B$43&lt;=0,0,(INT(Inputs!$B$43/(IF(Inputs!$B$38="pvp",15,MAX(0.1,Skills!D16-IF(Skills!E16=TRUE,1.0,0)))*(1-IF(AND(ArtifactsInput!$M$27,Inputs!$B$4="Chapter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INDEX(FactorTable!$B$2:$Y$301, MATCH(ROUND(MIN(300,MAX(1,D2748)),0), FactorTable!$A$2:$A$301,0), Skills!M17+1)</f>
        <v/>
      </c>
      <c r="F2748">
        <f>IF(Skills!N17=TRUE,(Skills!L17/10)*(E2748/1000),Skills!L17/10)+Skills!O17</f>
        <v/>
      </c>
      <c r="G2748">
        <f>Skills!G17*IF(Skills!H17&gt;0,Skills!I17/Skills!H17,1)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IFERROR(1/(IF(Inputs!$B$38="pvp",15,MAX(0.1,Skills!D17-IF(Skills!E17=TRUE,1.0,0)))*(1-IF(AND(ArtifactsInput!$M$27,Inputs!$B$4="Chapter Hunt"),CHOOSE(ArtifactsInput!$N$27+1,20,24,28,32,36,40),0)/100)),0)</f>
        <v/>
      </c>
      <c r="R2748">
        <f>IF(AND(Inputs!$B$38&lt;&gt;"pvp",Inputs!$B$43&gt;0),IF(Inputs!$B$43&lt;=0,0,(INT(Inputs!$B$43/(IF(Inputs!$B$38="pvp",15,MAX(0.1,Skills!D17-IF(Skills!E17=TRUE,1.0,0)))*(1-IF(AND(ArtifactsInput!$M$27,Inputs!$B$4="Chapter Hunt"),CHOOSE(ArtifactsInput!$N$27+1,20,24,28,32,36,40),0)/100)))+1)),0)</f>
        <v/>
      </c>
      <c r="S2748">
        <f>IFERROR(O2748/N2748,0)</f>
        <v/>
      </c>
      <c r="T2748" t="n">
        <v>0</v>
      </c>
      <c r="V2748" t="n">
        <v>0</v>
      </c>
    </row>
    <row r="2749">
      <c r="A2749">
        <f>Skills!A18</f>
        <v/>
      </c>
      <c r="B2749">
        <f>Skills!B18</f>
        <v/>
      </c>
      <c r="C2749">
        <f>Inputs!$B$3&gt;=115</f>
        <v/>
      </c>
      <c r="D2749">
        <f>IF(Skills!C18=1,60+Inputs!$B$25+Inputs!$B$29,IF(Skills!C18=2,90+Inputs!$B$26+Inputs!$B$29,IF(Skills!C18=3,120+Inputs!$B$27+Inputs!$B$29,MAX(0,(Inputs!$B$3-100)*3)+Inputs!$B$28+Inputs!$B$29)))</f>
        <v/>
      </c>
      <c r="E2749">
        <f>INDEX(FactorTable!$B$2:$Y$301, MATCH(ROUND(MIN(300,MAX(1,D2749)),0), FactorTable!$A$2:$A$301,0), Skills!M18+1)</f>
        <v/>
      </c>
      <c r="F2749">
        <f>IF(Skills!N18=TRUE,(Skills!L18/10)*(E2749/1000),Skills!L18/10)+Skills!O18</f>
        <v/>
      </c>
      <c r="G2749">
        <f>Skills!G18*IF(Skills!H18&gt;0,Skills!I18/Skills!H18,1)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IFERROR(1/(IF(Inputs!$B$38="pvp",15,MAX(0.1,Skills!D18-IF(Skills!E18=TRUE,1.0,0)))*(1-IF(AND(ArtifactsInput!$M$27,Inputs!$B$4="Chapter Hunt"),CHOOSE(ArtifactsInput!$N$27+1,20,24,28,32,36,40),0)/100)),0)</f>
        <v/>
      </c>
      <c r="R2749">
        <f>IF(AND(Inputs!$B$38&lt;&gt;"pvp",Inputs!$B$43&gt;0),IF(Inputs!$B$43&lt;=0,0,(INT(Inputs!$B$43/(IF(Inputs!$B$38="pvp",15,MAX(0.1,Skills!D18-IF(Skills!E18=TRUE,1.0,0)))*(1-IF(AND(ArtifactsInput!$M$27,Inputs!$B$4="Chapter Hunt"),CHOOSE(ArtifactsInput!$N$27+1,20,24,28,32,36,40),0)/100)))+1)),0)</f>
        <v/>
      </c>
      <c r="S2749">
        <f>IFERROR(O2749/N2749,0)</f>
        <v/>
      </c>
      <c r="T2749" t="n">
        <v>0</v>
      </c>
      <c r="V2749" t="n">
        <v>0</v>
      </c>
    </row>
    <row r="2750">
      <c r="A2750">
        <f>Skills!A19</f>
        <v/>
      </c>
      <c r="B2750">
        <f>Skills!B19</f>
        <v/>
      </c>
      <c r="C2750">
        <f>TRUE</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IFERROR(1/(IF(Inputs!$B$38="pvp",15,MAX(0.1,Skills!D19-IF(Skills!E19=TRUE,1.0,0)))*(1-IF(AND(ArtifactsInput!$M$27,Inputs!$B$4="Chapter Hunt"),CHOOSE(ArtifactsInput!$N$27+1,20,24,28,32,36,40),0)/100)),0)</f>
        <v/>
      </c>
      <c r="R2750">
        <f>IF(AND(Inputs!$B$38&lt;&gt;"pvp",Inputs!$B$43&gt;0),IF(Inputs!$B$43&lt;=0,0,(INT(Inputs!$B$43/(IF(Inputs!$B$38="pvp",15,MAX(0.1,Skills!D19-IF(Skills!E19=TRUE,1.0,0)))*(1-IF(AND(ArtifactsInput!$M$27,Inputs!$B$4="Chapter Hunt"),CHOOSE(ArtifactsInput!$N$27+1,20,24,28,32,36,40),0)/100)))+1)),0)</f>
        <v/>
      </c>
      <c r="S2750">
        <f>IFERROR(O2750/N2750,0)</f>
        <v/>
      </c>
      <c r="T2750" t="n">
        <v>0</v>
      </c>
      <c r="V2750" t="n">
        <v>0</v>
      </c>
    </row>
    <row r="2751">
      <c r="A2751">
        <f>Skills!A20</f>
        <v/>
      </c>
      <c r="B2751">
        <f>Skills!B20</f>
        <v/>
      </c>
      <c r="C2751">
        <f>Inputs!$B$3&gt;=33</f>
        <v/>
      </c>
      <c r="D2751">
        <f>IF(Skills!C20=1,60+Inputs!$B$25+Inputs!$B$29,IF(Skills!C20=2,90+Inputs!$B$26+Inputs!$B$29,IF(Skills!C20=3,120+Inputs!$B$27+Inputs!$B$29,MAX(0,(Inputs!$B$3-100)*3)+Inputs!$B$28+Inputs!$B$29)))</f>
        <v/>
      </c>
      <c r="E2751">
        <f>INDEX(FactorTable!$B$2:$Y$301, MATCH(ROUND(MIN(300,MAX(1,D2751)),0), FactorTable!$A$2:$A$301,0), Skills!M20+1)</f>
        <v/>
      </c>
      <c r="F2751">
        <f>IF(Skills!N20=TRUE,(Skills!L20/10)*(E2751/1000),Skills!L20/10)+Skills!O20</f>
        <v/>
      </c>
      <c r="G2751">
        <f>Skills!G20*IF(Skills!H20&gt;0,Skills!I20/Skills!H20,1)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Inputs!$B$3&gt;=38</f>
        <v/>
      </c>
      <c r="D2752">
        <f>IF(Skills!C21=1,60+Inputs!$B$25+Inputs!$B$29,IF(Skills!C21=2,90+Inputs!$B$26+Inputs!$B$29,IF(Skills!C21=3,120+Inputs!$B$27+Inputs!$B$29,MAX(0,(Inputs!$B$3-100)*3)+Inputs!$B$28+Inputs!$B$29)))</f>
        <v/>
      </c>
      <c r="E2752">
        <f>INDEX(FactorTable!$B$2:$Y$301, MATCH(ROUND(MIN(300,MAX(1,D2752)),0), FactorTable!$A$2:$A$301,0), Skills!M21+1)</f>
        <v/>
      </c>
      <c r="F2752">
        <f>IF(Skills!N21=TRUE,(Skills!L21/10)*(E2752/1000),Skills!L21/10)+Skills!O21</f>
        <v/>
      </c>
      <c r="G2752">
        <f>Skills!G21*IF(Skills!H21&gt;0,Skills!I21/Skills!H21,1)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t="n">
        <v>0</v>
      </c>
      <c r="R2752" t="n">
        <v>0</v>
      </c>
      <c r="S2752">
        <f>IFERROR(O2752/N2752,0)</f>
        <v/>
      </c>
      <c r="T2752" t="n">
        <v>0</v>
      </c>
      <c r="V2752" t="n">
        <v>0</v>
      </c>
    </row>
    <row r="2753">
      <c r="A2753">
        <f>Skills!A22</f>
        <v/>
      </c>
      <c r="B2753">
        <f>Skills!B22</f>
        <v/>
      </c>
      <c r="C2753">
        <f>Inputs!$B$3&gt;=43</f>
        <v/>
      </c>
      <c r="D2753">
        <f>IF(Skills!C22=1,60+Inputs!$B$25+Inputs!$B$29,IF(Skills!C22=2,90+Inputs!$B$26+Inputs!$B$29,IF(Skills!C22=3,120+Inputs!$B$27+Inputs!$B$29,MAX(0,(Inputs!$B$3-100)*3)+Inputs!$B$28+Inputs!$B$29)))</f>
        <v/>
      </c>
      <c r="E2753">
        <f>INDEX(FactorTable!$B$2:$Y$301, MATCH(ROUND(MIN(300,MAX(1,D2753)),0), FactorTable!$A$2:$A$301,0), Skills!M22+1)</f>
        <v/>
      </c>
      <c r="F2753">
        <f>IF(Skills!N22=TRUE,(Skills!L22/10)*(E2753/1000),Skills!L22/10)+Skills!O22</f>
        <v/>
      </c>
      <c r="G2753">
        <f>Skills!G22*IF(Skills!H22&gt;0,Skills!I22/Skills!H22,1)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Inputs!$B$3&gt;=120</f>
        <v/>
      </c>
      <c r="D2754">
        <f>IF(Skills!C23=1,60+Inputs!$B$25+Inputs!$B$29,IF(Skills!C23=2,90+Inputs!$B$26+Inputs!$B$29,IF(Skills!C23=3,120+Inputs!$B$27+Inputs!$B$29,MAX(0,(Inputs!$B$3-100)*3)+Inputs!$B$28+Inputs!$B$29)))</f>
        <v/>
      </c>
      <c r="E2754">
        <f>INDEX(FactorTable!$B$2:$Y$301, MATCH(ROUND(MIN(300,MAX(1,D2754)),0), FactorTable!$A$2:$A$301,0), Skills!M23+1)</f>
        <v/>
      </c>
      <c r="F2754">
        <f>IF(Skills!N23=TRUE,(Skills!L23/10)*(E2754/1000),Skills!L23/10)+Skills!O23</f>
        <v/>
      </c>
      <c r="G2754">
        <f>Skills!G23*IF(Skills!H23&gt;0,Skills!I23/Skills!H23,1)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Inputs!$B$3&gt;=120</f>
        <v/>
      </c>
      <c r="D2755">
        <f>IF(Skills!C24=1,60+Inputs!$B$25+Inputs!$B$29,IF(Skills!C24=2,90+Inputs!$B$26+Inputs!$B$29,IF(Skills!C24=3,120+Inputs!$B$27+Inputs!$B$29,MAX(0,(Inputs!$B$3-100)*3)+Inputs!$B$28+Inputs!$B$29)))</f>
        <v/>
      </c>
      <c r="E2755">
        <f>INDEX(FactorTable!$B$2:$Y$301, MATCH(ROUND(MIN(300,MAX(1,D2755)),0), FactorTable!$A$2:$A$301,0), Skills!M24+1)</f>
        <v/>
      </c>
      <c r="F2755">
        <f>IF(Skills!N24=TRUE,(Skills!L24/10)*(E2755/1000),Skills!L24/10)+Skills!O24</f>
        <v/>
      </c>
      <c r="G2755">
        <f>Skills!G24*IF(Skills!H24&gt;0,Skills!I24/Skills!H24,1)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Inputs!$B$3&gt;=125</f>
        <v/>
      </c>
      <c r="D2756">
        <f>IF(Skills!C25=1,60+Inputs!$B$25+Inputs!$B$29,IF(Skills!C25=2,90+Inputs!$B$26+Inputs!$B$29,IF(Skills!C25=3,120+Inputs!$B$27+Inputs!$B$29,MAX(0,(Inputs!$B$3-100)*3)+Inputs!$B$28+Inputs!$B$29)))</f>
        <v/>
      </c>
      <c r="E2756">
        <f>INDEX(FactorTable!$B$2:$Y$301, MATCH(ROUND(MIN(300,MAX(1,D2756)),0), FactorTable!$A$2:$A$301,0), Skills!M25+1)</f>
        <v/>
      </c>
      <c r="F2756">
        <f>IF(Skills!N25=TRUE,(Skills!L25/10)*(E2756/1000),Skills!L25/10)+Skills!O25</f>
        <v/>
      </c>
      <c r="G2756">
        <f>Skills!G25*IF(Skills!H25&gt;0,Skills!I25/Skills!H25,1)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Inputs!$B$3&gt;=72</f>
        <v/>
      </c>
      <c r="D2757">
        <f>IF(Skills!C26=1,60+Inputs!$B$25+Inputs!$B$29,IF(Skills!C26=2,90+Inputs!$B$26+Inputs!$B$29,IF(Skills!C26=3,120+Inputs!$B$27+Inputs!$B$29,MAX(0,(Inputs!$B$3-100)*3)+Inputs!$B$28+Inputs!$B$29)))</f>
        <v/>
      </c>
      <c r="E2757">
        <f>INDEX(FactorTable!$B$2:$Y$301, MATCH(ROUND(MIN(300,MAX(1,D2757)),0), FactorTable!$A$2:$A$301,0), Skills!M26+1)</f>
        <v/>
      </c>
      <c r="F2757">
        <f>IF(Skills!N26=TRUE,(Skills!L26/10)*(E2757/1000),Skills!L26/10)+Skills!O26</f>
        <v/>
      </c>
      <c r="G2757">
        <f>Skills!G26*IF(Skills!H26&gt;0,Skills!I26/Skills!H26,1)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2750=TRUE)*F2750*IF(AND(Inputs!$B$38&lt;&gt;"pvp",Inputs!$B$43&gt;0),(((R2750-1)*(Skills!T19*(1+(Inputs!$B$34+(ArtifactsInput!$M$7-ArtifactsInput!$M$7)*CHOOSE(ArtifactsInput!$N$7+1,6,7.2,8.4,9.6,10.8,12))/100))+MIN((Skills!T19*(1+(Inputs!$B$34+(ArtifactsInput!$M$7-ArtifactsInput!$M$7)*CHOOSE(ArtifactsInput!$N$7+1,6,7.2,8.4,9.6,10.8,12))/100)),MAX(0,Inputs!$B$43-((R2750-1)*Skills!D19))))/Inputs!$B$43),IF(Inputs!$B$38="pvp",MIN((Skills!T19*(1+(Inputs!$B$34+(ArtifactsInput!$M$7-ArtifactsInput!$M$7)*CHOOSE(ArtifactsInput!$N$7+1,6,7.2,8.4,9.6,10.8,12))/100)),15)/15,(Skills!T19*(1+(Inputs!$B$34+(ArtifactsInput!$M$7-ArtifactsInput!$M$7)*CHOOSE(ArtifactsInput!$N$7+1,6,7.2,8.4,9.6,10.8,12))/100))/Skills!D19)))</f>
        <v/>
      </c>
    </row>
    <row r="2762">
      <c r="A2762" t="inlineStr">
        <is>
          <t>Actions Per Second</t>
        </is>
      </c>
      <c r="B2762">
        <f>1+MIN(150,150*(1-(1-(Inputs!$B$11+((C2751=TRUE)*(F2751-Calc!F20)))/150)*(1-B2761/150)))/100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Raging Blow Casts Per Second</t>
        </is>
      </c>
      <c r="B2764">
        <f>MAX(0,B2762-B2763)</f>
        <v/>
      </c>
    </row>
    <row r="2765">
      <c r="A2765" t="inlineStr">
        <is>
          <t>Global Critical Damage Bonus % (Enrage)</t>
        </is>
      </c>
      <c r="B2765">
        <f>((C2749=TRUE)*F2749*IF(AND(Inputs!$B$38&lt;&gt;"pvp",Inputs!$B$43&gt;0),(((R2749-1)*(Skills!T18*(1+(Inputs!$B$34+(ArtifactsInput!$M$7-ArtifactsInput!$M$7)*CHOOSE(ArtifactsInput!$N$7+1,6,7.2,8.4,9.6,10.8,12))/100))+MIN((Skills!T18*(1+(Inputs!$B$34+(ArtifactsInput!$M$7-ArtifactsInput!$M$7)*CHOOSE(ArtifactsInput!$N$7+1,6,7.2,8.4,9.6,10.8,12))/100)),MAX(0,Inputs!$B$43-((R2749-1)*Skills!D18))))/Inputs!$B$43),IF(Inputs!$B$38="pvp",MIN((Skills!T18*(1+(Inputs!$B$34+(ArtifactsInput!$M$7-ArtifactsInput!$M$7)*CHOOSE(ArtifactsInput!$N$7+1,6,7.2,8.4,9.6,10.8,12))/100)),15)/15,(Skills!T18*(1+(Inputs!$B$34+(ArtifactsInput!$M$7-ArtifactsInput!$M$7)*CHOOSE(ArtifactsInput!$N$7+1,6,7.2,8.4,9.6,10.8,12))/100))/Skills!D18)))</f>
        <v/>
      </c>
    </row>
    <row r="2766">
      <c r="A2766" t="inlineStr">
        <is>
          <t>Global Final Damage Bonus % (Enrage + Combo Synergy)</t>
        </is>
      </c>
      <c r="B2766">
        <f>((C2748=TRUE)*F2748*IF(AND(Inputs!$B$38&lt;&gt;"pvp",Inputs!$B$43&gt;0),(((R2748-1)*(Skills!T17*(1+(Inputs!$B$34+(ArtifactsInput!$M$7-ArtifactsInput!$M$7)*CHOOSE(ArtifactsInput!$N$7+1,6,7.2,8.4,9.6,10.8,12))/100))+MIN((Skills!T17*(1+(Inputs!$B$34+(ArtifactsInput!$M$7-ArtifactsInput!$M$7)*CHOOSE(ArtifactsInput!$N$7+1,6,7.2,8.4,9.6,10.8,12))/100)),MAX(0,Inputs!$B$43-((R2748-1)*Skills!D17))))/Inputs!$B$43),IF(Inputs!$B$38="pvp",MIN((Skills!T17*(1+(Inputs!$B$34+(ArtifactsInput!$M$7-ArtifactsInput!$M$7)*CHOOSE(ArtifactsInput!$N$7+1,6,7.2,8.4,9.6,10.8,12))/100)),15)/15,(Skills!T17*(1+(Inputs!$B$34+(ArtifactsInput!$M$7-ArtifactsInput!$M$7)*CHOOSE(ArtifactsInput!$N$7+1,6,7.2,8.4,9.6,10.8,12))/100))/Skills!D17)))+((C2745=TRUE)*F2745*IF(Inputs!$B$3&gt;=110,7,5))</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2775)</f>
        <v/>
      </c>
      <c r="L2775">
        <f>K2775*(MIN(Inputs!$B$22+((C2795=TRUE)*(F2795-Calc!F22)),(Inputs!$B$23+((C2797=TRUE)*(F2797-Calc!F24))+(IF(ArtifactsInput!$M$15,CHOOSE(ArtifactsInput!$N$15+1,25,30,35,40,45,50)/100*(Inputs!$B$11-Inputs!$B$11),0))))/100+(Inputs!$B$23+((C2797=TRUE)*(F2797-Calc!F24))+(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INDEX(FactorTable!$B$2:$Y$301, MATCH(ROUND(MIN(300,MAX(1,U2775)),0), FactorTable!$A$2:$A$301,0), 22)</f>
        <v/>
      </c>
    </row>
    <row r="2777">
      <c r="A2777">
        <f>Skills!A4</f>
        <v/>
      </c>
      <c r="B2777">
        <f>Skills!B4</f>
        <v/>
      </c>
      <c r="C2777">
        <f>Inputs!$B$3&gt;=105</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t="inlineStr"/>
      <c r="H2777" t="inlineStr"/>
      <c r="I2777" t="inlineStr">
        <is>
          <t>1</t>
        </is>
      </c>
      <c r="J2777" t="inlineStr"/>
      <c r="K2777" t="inlineStr"/>
      <c r="L2777" t="inlineStr"/>
      <c r="M2777" t="inlineStr"/>
      <c r="N2777" t="inlineStr"/>
      <c r="O2777" t="inlineStr"/>
      <c r="P2777" t="inlineStr"/>
      <c r="Q2777" t="inlineStr"/>
      <c r="R2777" t="inlineStr"/>
      <c r="S2777" t="inlineStr"/>
      <c r="U2777">
        <f>290*U2776/1000</f>
        <v/>
      </c>
    </row>
    <row r="2778">
      <c r="A2778">
        <f>Skills!A5</f>
        <v/>
      </c>
      <c r="B2778">
        <f>Skills!B5</f>
        <v/>
      </c>
      <c r="C2778">
        <f>Inputs!$B$3&gt;=103</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2778)</f>
        <v/>
      </c>
      <c r="L2778">
        <f>K2778*(MIN(Inputs!$B$22+((C2795=TRUE)*(F2795-Calc!F22)),(Inputs!$B$23+((C2797=TRUE)*(F2797-Calc!F24))+(IF(ArtifactsInput!$M$15,CHOOSE(ArtifactsInput!$N$15+1,25,30,35,40,45,50)/100*(Inputs!$B$11-Inputs!$B$11),0))))/100+(Inputs!$B$23+((C2797=TRUE)*(F2797-Calc!F24))+(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IFERROR(1/(IF(Inputs!$B$38="pvp",15,MAX(0.1,Skills!D5-IF(Skills!E5=TRUE,1.5,0)))*(1-IF(AND(ArtifactsInput!$M$27,Inputs!$B$4="Chapter Hunt"),CHOOSE(ArtifactsInput!$N$27+1,20,24,28,32,36,40),0)/100)),0)</f>
        <v/>
      </c>
      <c r="R2778">
        <f>IF(AND(Inputs!$B$38&lt;&gt;"pvp",Inputs!$B$43&gt;0),IF(MAX(0,Inputs!$B$43-B2809)&lt;=0,0,(INT(MAX(0,Inputs!$B$43-B2809)/(IF(Inputs!$B$38="pvp",15,MAX(0.1,Skills!D5-IF(Skills!E5=TRUE,1.5,0)))*(1-IF(AND(ArtifactsInput!$M$27,Inputs!$B$4="Chapter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2779)</f>
        <v/>
      </c>
      <c r="L2779">
        <f>K2779*(MIN(Inputs!$B$22+((C2795=TRUE)*(F2795-Calc!F22)),(Inputs!$B$23+((C2797=TRUE)*(F2797-Calc!F24))+(IF(ArtifactsInput!$M$15,CHOOSE(ArtifactsInput!$N$15+1,25,30,35,40,45,50)/100*(Inputs!$B$11-Inputs!$B$11),0))))/100+(Inputs!$B$23+((C2797=TRUE)*(F2797-Calc!F24))+(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IFERROR(1/(IF(Inputs!$B$38="pvp",15,MAX(0.1,Skills!D6-IF(Skills!E6=TRUE,1.5,0)))*(1-IF(AND(ArtifactsInput!$M$27,Inputs!$B$4="Chapter Hunt"),CHOOSE(ArtifactsInput!$N$27+1,20,24,28,32,36,40),0)/100)),0)</f>
        <v/>
      </c>
      <c r="R2779">
        <f>IF(AND(Inputs!$B$38&lt;&gt;"pvp",Inputs!$B$43&gt;0),IF(MAX(0,Inputs!$B$43-B2809)&lt;=0,0,(INT(MAX(0,Inputs!$B$43-B2809)/(IF(Inputs!$B$38="pvp",15,MAX(0.1,Skills!D6-IF(Skills!E6=TRUE,1.5,0)))*(1-IF(AND(ArtifactsInput!$M$27,Inputs!$B$4="Chapter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2780)</f>
        <v/>
      </c>
      <c r="L2780">
        <f>K2780*(MIN(Inputs!$B$22+((C2795=TRUE)*(F2795-Calc!F22)),(Inputs!$B$23+((C2797=TRUE)*(F2797-Calc!F24))+(IF(ArtifactsInput!$M$15,CHOOSE(ArtifactsInput!$N$15+1,25,30,35,40,45,50)/100*(Inputs!$B$11-Inputs!$B$11),0))))/100+(Inputs!$B$23+((C2797=TRUE)*(F2797-Calc!F24))+(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IFERROR(1/(IF(Inputs!$B$38="pvp",15,MAX(0.1,Skills!D7-IF(Skills!E7=TRUE,1.5,0)))*(1-IF(AND(ArtifactsInput!$M$27,Inputs!$B$4="Chapter Hunt"),CHOOSE(ArtifactsInput!$N$27+1,20,24,28,32,36,40),0)/100)),0)</f>
        <v/>
      </c>
      <c r="R2780">
        <f>IF(AND(Inputs!$B$38&lt;&gt;"pvp",Inputs!$B$43&gt;0),IF(MAX(0,Inputs!$B$43-B2809)&lt;=0,0,(INT(MAX(0,Inputs!$B$43-B2809)/(IF(Inputs!$B$38="pvp",15,MAX(0.1,Skills!D7-IF(Skills!E7=TRUE,1.5,0)))*(1-IF(AND(ArtifactsInput!$M$27,Inputs!$B$4="Chapter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Inputs!$B$3&gt;=117</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2781)</f>
        <v/>
      </c>
      <c r="L2781">
        <f>K2781*(MIN(Inputs!$B$22+((C2795=TRUE)*(F2795-Calc!F22)),(Inputs!$B$23+((C2797=TRUE)*(F2797-Calc!F24))+(IF(ArtifactsInput!$M$15,CHOOSE(ArtifactsInput!$N$15+1,25,30,35,40,45,50)/100*(Inputs!$B$11-Inputs!$B$11),0))))/100+(Inputs!$B$23+((C2797=TRUE)*(F2797-Calc!F24))+(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IFERROR(1/(IF(Inputs!$B$38="pvp",15,MAX(0.1,Skills!D8-IF(Skills!E8=TRUE,1.5,0)))*(1-IF(AND(ArtifactsInput!$M$27,Inputs!$B$4="Chapter Hunt"),CHOOSE(ArtifactsInput!$N$27+1,20,24,28,32,36,40),0)/100)),0)</f>
        <v/>
      </c>
      <c r="R2781">
        <f>IF(AND(Inputs!$B$38&lt;&gt;"pvp",Inputs!$B$43&gt;0),IF(MAX(0,Inputs!$B$43-B2809)&lt;=0,0,(INT(MAX(0,Inputs!$B$43-B2809)/(IF(Inputs!$B$38="pvp",15,MAX(0.1,Skills!D8-IF(Skills!E8=TRUE,1.5,0)))*(1-IF(AND(ArtifactsInput!$M$27,Inputs!$B$4="Chapter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Inputs!$B$3&gt;=69</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9="ENHANCED_RAGING_BLOW",IF(Inputs!$B$3&gt;=134,MAX(0,IF(Inputs!$B$3&gt;=110,7,5)-5)*50,0),0)/100)*(1+(IF(Skills!A9="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2782)</f>
        <v/>
      </c>
      <c r="L2782">
        <f>K2782*(MIN(Inputs!$B$22+((C2795=TRUE)*(F2795-Calc!F22)),(Inputs!$B$23+((C2797=TRUE)*(F2797-Calc!F24))+(IF(ArtifactsInput!$M$15,CHOOSE(ArtifactsInput!$N$15+1,25,30,35,40,45,50)/100*(Inputs!$B$11-Inputs!$B$11),0))))/100+(Inputs!$B$23+((C2797=TRUE)*(F2797-Calc!F24))+(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IFERROR(1/(IF(Inputs!$B$38="pvp",15,MAX(0.1,Skills!D9-IF(Skills!E9=TRUE,1.5,0)))*(1-IF(AND(ArtifactsInput!$M$27,Inputs!$B$4="Chapter Hunt"),CHOOSE(ArtifactsInput!$N$27+1,20,24,28,32,36,40),0)/100)),0)</f>
        <v/>
      </c>
      <c r="R2782">
        <f>IF(AND(Inputs!$B$38&lt;&gt;"pvp",Inputs!$B$43&gt;0),IF(MAX(0,Inputs!$B$43-B2809)&lt;=0,0,(INT(MAX(0,Inputs!$B$43-B2809)/(IF(Inputs!$B$38="pvp",15,MAX(0.1,Skills!D9-IF(Skills!E9=TRUE,1.5,0)))*(1-IF(AND(ArtifactsInput!$M$27,Inputs!$B$4="Chapter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Inputs!$B$3&gt;=63</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10="ENHANCED_RAGING_BLOW",IF(Inputs!$B$3&gt;=134,MAX(0,IF(Inputs!$B$3&gt;=110,7,5)-5)*50,0),0)/100)*(1+(IF(Skills!A10="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2783)</f>
        <v/>
      </c>
      <c r="L2783">
        <f>K2783*(MIN(Inputs!$B$22+((C2795=TRUE)*(F2795-Calc!F22)),(Inputs!$B$23+((C2797=TRUE)*(F2797-Calc!F24))+(IF(ArtifactsInput!$M$15,CHOOSE(ArtifactsInput!$N$15+1,25,30,35,40,45,50)/100*(Inputs!$B$11-Inputs!$B$11),0))))/100+(Inputs!$B$23+((C2797=TRUE)*(F2797-Calc!F24))+(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IFERROR(1/(IF(Inputs!$B$38="pvp",15,MAX(0.1,Skills!D10-IF(Skills!E10=TRUE,1.5,0)))*(1-IF(AND(ArtifactsInput!$M$27,Inputs!$B$4="Chapter Hunt"),CHOOSE(ArtifactsInput!$N$27+1,20,24,28,32,36,40),0)/100)),0)</f>
        <v/>
      </c>
      <c r="R2783">
        <f>IF(AND(Inputs!$B$38&lt;&gt;"pvp",Inputs!$B$43&gt;0),IF(MAX(0,Inputs!$B$43-B2809)&lt;=0,0,(INT(MAX(0,Inputs!$B$43-B2809)/(IF(Inputs!$B$38="pvp",15,MAX(0.1,Skills!D10-IF(Skills!E10=TRUE,1.5,0)))*(1-IF(AND(ArtifactsInput!$M$27,Inputs!$B$4="Chapter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Inputs!$B$3&gt;=35</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11="ENHANCED_RAGING_BLOW",IF(Inputs!$B$3&gt;=134,MAX(0,IF(Inputs!$B$3&gt;=110,7,5)-5)*50,0),0)/100)*(1+(IF(Skills!A11="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2784)</f>
        <v/>
      </c>
      <c r="L2784">
        <f>K2784*(MIN(Inputs!$B$22+((C2795=TRUE)*(F2795-Calc!F22)),(Inputs!$B$23+((C2797=TRUE)*(F2797-Calc!F24))+(IF(ArtifactsInput!$M$15,CHOOSE(ArtifactsInput!$N$15+1,25,30,35,40,45,50)/100*(Inputs!$B$11-Inputs!$B$11),0))))/100+(Inputs!$B$23+((C2797=TRUE)*(F2797-Calc!F24))+(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IFERROR(1/(IF(Inputs!$B$38="pvp",15,MAX(0.1,Skills!D11-IF(Skills!E11=TRUE,1.5,0)))*(1-IF(AND(ArtifactsInput!$M$27,Inputs!$B$4="Chapter Hunt"),CHOOSE(ArtifactsInput!$N$27+1,20,24,28,32,36,40),0)/100)),0)</f>
        <v/>
      </c>
      <c r="R2784">
        <f>IF(AND(Inputs!$B$38&lt;&gt;"pvp",Inputs!$B$43&gt;0),IF(MAX(0,Inputs!$B$43-B2809)&lt;=0,0,(INT(MAX(0,Inputs!$B$43-B2809)/(IF(Inputs!$B$38="pvp",15,MAX(0.1,Skills!D11-IF(Skills!E11=TRUE,1.5,0)))*(1-IF(AND(ArtifactsInput!$M$27,Inputs!$B$4="Chapter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INDEX(FactorTable!$B$2:$Y$301, MATCH(ROUND(MIN(300,MAX(1,D2785)),0),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Inputs!$B$3&gt;=75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Inputs!$B$3&gt;=40</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IFERROR(1/(IF(Inputs!$B$38="pvp",15,MAX(0.1,Skills!D15-IF(Skills!E15=TRUE,1.5,0)))*(1-IF(AND(ArtifactsInput!$M$27,Inputs!$B$4="Chapter Hunt"),CHOOSE(ArtifactsInput!$N$27+1,20,24,28,32,36,40),0)/100)),0)</f>
        <v/>
      </c>
      <c r="R2788">
        <f>IF(AND(Inputs!$B$38&lt;&gt;"pvp",Inputs!$B$43&gt;0),IF(Inputs!$B$43&lt;=0,0,(INT(Inputs!$B$43/(IF(Inputs!$B$38="pvp",15,MAX(0.1,Skills!D15-IF(Skills!E15=TRUE,1.5,0)))*(1-IF(AND(ArtifactsInput!$M$27,Inputs!$B$4="Chapter Hunt"),CHOOSE(ArtifactsInput!$N$27+1,20,24,28,32,36,40),0)/100)))+1)),0)</f>
        <v/>
      </c>
      <c r="S2788">
        <f>IFERROR(O2788/N2788,0)</f>
        <v/>
      </c>
      <c r="T2788" t="n">
        <v>0</v>
      </c>
      <c r="V2788" t="n">
        <v>0</v>
      </c>
    </row>
    <row r="2789">
      <c r="A2789">
        <f>Skills!A16</f>
        <v/>
      </c>
      <c r="B2789">
        <f>Skills!B16</f>
        <v/>
      </c>
      <c r="C2789">
        <f>Inputs!$B$3&gt;=66</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IFERROR(1/(IF(Inputs!$B$38="pvp",15,MAX(0.1,Skills!D16-IF(Skills!E16=TRUE,1.5,0)))*(1-IF(AND(ArtifactsInput!$M$27,Inputs!$B$4="Chapter Hunt"),CHOOSE(ArtifactsInput!$N$27+1,20,24,28,32,36,40),0)/100)),0)</f>
        <v/>
      </c>
      <c r="R2789">
        <f>IF(AND(Inputs!$B$38&lt;&gt;"pvp",Inputs!$B$43&gt;0),IF(Inputs!$B$43&lt;=0,0,(INT(Inputs!$B$43/(IF(Inputs!$B$38="pvp",15,MAX(0.1,Skills!D16-IF(Skills!E16=TRUE,1.5,0)))*(1-IF(AND(ArtifactsInput!$M$27,Inputs!$B$4="Chapter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IFERROR(1/(IF(Inputs!$B$38="pvp",15,MAX(0.1,Skills!D17-IF(Skills!E17=TRUE,1.5,0)))*(1-IF(AND(ArtifactsInput!$M$27,Inputs!$B$4="Chapter Hunt"),CHOOSE(ArtifactsInput!$N$27+1,20,24,28,32,36,40),0)/100)),0)</f>
        <v/>
      </c>
      <c r="R2790">
        <f>IF(AND(Inputs!$B$38&lt;&gt;"pvp",Inputs!$B$43&gt;0),IF(Inputs!$B$43&lt;=0,0,(INT(Inputs!$B$43/(IF(Inputs!$B$38="pvp",15,MAX(0.1,Skills!D17-IF(Skills!E17=TRUE,1.5,0)))*(1-IF(AND(ArtifactsInput!$M$27,Inputs!$B$4="Chapter Hunt"),CHOOSE(ArtifactsInput!$N$27+1,20,24,28,32,36,40),0)/100)))+1)),0)</f>
        <v/>
      </c>
      <c r="S2790">
        <f>IFERROR(O2790/N2790,0)</f>
        <v/>
      </c>
      <c r="T2790" t="n">
        <v>0</v>
      </c>
      <c r="V2790" t="n">
        <v>0</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IFERROR(1/(IF(Inputs!$B$38="pvp",15,MAX(0.1,Skills!D18-IF(Skills!E18=TRUE,1.5,0)))*(1-IF(AND(ArtifactsInput!$M$27,Inputs!$B$4="Chapter Hunt"),CHOOSE(ArtifactsInput!$N$27+1,20,24,28,32,36,40),0)/100)),0)</f>
        <v/>
      </c>
      <c r="R2791">
        <f>IF(AND(Inputs!$B$38&lt;&gt;"pvp",Inputs!$B$43&gt;0),IF(Inputs!$B$43&lt;=0,0,(INT(Inputs!$B$43/(IF(Inputs!$B$38="pvp",15,MAX(0.1,Skills!D18-IF(Skills!E18=TRUE,1.5,0)))*(1-IF(AND(ArtifactsInput!$M$27,Inputs!$B$4="Chapter Hunt"),CHOOSE(ArtifactsInput!$N$27+1,20,24,28,32,36,40),0)/100)))+1)),0)</f>
        <v/>
      </c>
      <c r="S2791">
        <f>IFERROR(O2791/N2791,0)</f>
        <v/>
      </c>
      <c r="T2791" t="n">
        <v>0</v>
      </c>
      <c r="V2791" t="n">
        <v>0</v>
      </c>
    </row>
    <row r="2792">
      <c r="A2792">
        <f>Skills!A19</f>
        <v/>
      </c>
      <c r="B2792">
        <f>Skills!B19</f>
        <v/>
      </c>
      <c r="C2792">
        <f>TRUE</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IFERROR(1/(IF(Inputs!$B$38="pvp",15,MAX(0.1,Skills!D19-IF(Skills!E19=TRUE,1.5,0)))*(1-IF(AND(ArtifactsInput!$M$27,Inputs!$B$4="Chapter Hunt"),CHOOSE(ArtifactsInput!$N$27+1,20,24,28,32,36,40),0)/100)),0)</f>
        <v/>
      </c>
      <c r="R2792">
        <f>IF(AND(Inputs!$B$38&lt;&gt;"pvp",Inputs!$B$43&gt;0),IF(Inputs!$B$43&lt;=0,0,(INT(Inputs!$B$43/(IF(Inputs!$B$38="pvp",15,MAX(0.1,Skills!D19-IF(Skills!E19=TRUE,1.5,0)))*(1-IF(AND(ArtifactsInput!$M$27,Inputs!$B$4="Chapter Hunt"),CHOOSE(ArtifactsInput!$N$27+1,20,24,28,32,36,40),0)/100)))+1)),0)</f>
        <v/>
      </c>
      <c r="S2792">
        <f>IFERROR(O2792/N2792,0)</f>
        <v/>
      </c>
      <c r="T2792" t="n">
        <v>0</v>
      </c>
      <c r="V2792" t="n">
        <v>0</v>
      </c>
    </row>
    <row r="2793">
      <c r="A2793">
        <f>Skills!A20</f>
        <v/>
      </c>
      <c r="B2793">
        <f>Skills!B20</f>
        <v/>
      </c>
      <c r="C2793">
        <f>Inputs!$B$3&gt;=33</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Inputs!$B$3&gt;=38</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Skills!A22</f>
        <v/>
      </c>
      <c r="B2795">
        <f>Skills!B22</f>
        <v/>
      </c>
      <c r="C2795">
        <f>Inputs!$B$3&gt;=43</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Inputs!$B$3&gt;=120</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Inputs!$B$3&gt;=120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Inputs!$B$3&gt;=125</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Inputs!$B$3&gt;=72</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2792=TRUE)*F2792*IF(AND(Inputs!$B$38&lt;&gt;"pvp",Inputs!$B$43&gt;0),(((R2792-1)*(Skills!T19*(1+(Inputs!$B$34+(ArtifactsInput!$M$7-ArtifactsInput!$M$7)*CHOOSE(ArtifactsInput!$N$7+1,6,7.2,8.4,9.6,10.8,12))/100))+MIN((Skills!T19*(1+(Inputs!$B$34+(ArtifactsInput!$M$7-ArtifactsInput!$M$7)*CHOOSE(ArtifactsInput!$N$7+1,6,7.2,8.4,9.6,10.8,12))/100)),MAX(0,Inputs!$B$43-((R2792-1)*Skills!D19))))/Inputs!$B$43),IF(Inputs!$B$38="pvp",MIN((Skills!T19*(1+(Inputs!$B$34+(ArtifactsInput!$M$7-ArtifactsInput!$M$7)*CHOOSE(ArtifactsInput!$N$7+1,6,7.2,8.4,9.6,10.8,12))/100)),15)/15,(Skills!T19*(1+(Inputs!$B$34+(ArtifactsInput!$M$7-ArtifactsInput!$M$7)*CHOOSE(ArtifactsInput!$N$7+1,6,7.2,8.4,9.6,10.8,12))/100))/Skills!D19)))</f>
        <v/>
      </c>
    </row>
    <row r="2804">
      <c r="A2804" t="inlineStr">
        <is>
          <t>Actions Per Second</t>
        </is>
      </c>
      <c r="B2804">
        <f>1+MIN(150,150*(1-(1-(Inputs!$B$11+((C2793=TRUE)*(F2793-Calc!F20)))/150)*(1-B2803/150)))/100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Raging Blow Casts Per Second</t>
        </is>
      </c>
      <c r="B2806">
        <f>MAX(0,B2804-B2805)</f>
        <v/>
      </c>
    </row>
    <row r="2807">
      <c r="A2807" t="inlineStr">
        <is>
          <t>Global Critical Damage Bonus % (Enrage)</t>
        </is>
      </c>
      <c r="B2807">
        <f>((C2791=TRUE)*F2791*IF(AND(Inputs!$B$38&lt;&gt;"pvp",Inputs!$B$43&gt;0),(((R2791-1)*(Skills!T18*(1+(Inputs!$B$34+(ArtifactsInput!$M$7-ArtifactsInput!$M$7)*CHOOSE(ArtifactsInput!$N$7+1,6,7.2,8.4,9.6,10.8,12))/100))+MIN((Skills!T18*(1+(Inputs!$B$34+(ArtifactsInput!$M$7-ArtifactsInput!$M$7)*CHOOSE(ArtifactsInput!$N$7+1,6,7.2,8.4,9.6,10.8,12))/100)),MAX(0,Inputs!$B$43-((R2791-1)*Skills!D18))))/Inputs!$B$43),IF(Inputs!$B$38="pvp",MIN((Skills!T18*(1+(Inputs!$B$34+(ArtifactsInput!$M$7-ArtifactsInput!$M$7)*CHOOSE(ArtifactsInput!$N$7+1,6,7.2,8.4,9.6,10.8,12))/100)),15)/15,(Skills!T18*(1+(Inputs!$B$34+(ArtifactsInput!$M$7-ArtifactsInput!$M$7)*CHOOSE(ArtifactsInput!$N$7+1,6,7.2,8.4,9.6,10.8,12))/100))/Skills!D18)))</f>
        <v/>
      </c>
    </row>
    <row r="2808">
      <c r="A2808" t="inlineStr">
        <is>
          <t>Global Final Damage Bonus % (Enrage + Combo Synergy)</t>
        </is>
      </c>
      <c r="B2808">
        <f>((C2790=TRUE)*F2790*IF(AND(Inputs!$B$38&lt;&gt;"pvp",Inputs!$B$43&gt;0),(((R2790-1)*(Skills!T17*(1+(Inputs!$B$34+(ArtifactsInput!$M$7-ArtifactsInput!$M$7)*CHOOSE(ArtifactsInput!$N$7+1,6,7.2,8.4,9.6,10.8,12))/100))+MIN((Skills!T17*(1+(Inputs!$B$34+(ArtifactsInput!$M$7-ArtifactsInput!$M$7)*CHOOSE(ArtifactsInput!$N$7+1,6,7.2,8.4,9.6,10.8,12))/100)),MAX(0,Inputs!$B$43-((R2790-1)*Skills!D17))))/Inputs!$B$43),IF(Inputs!$B$38="pvp",MIN((Skills!T17*(1+(Inputs!$B$34+(ArtifactsInput!$M$7-ArtifactsInput!$M$7)*CHOOSE(ArtifactsInput!$N$7+1,6,7.2,8.4,9.6,10.8,12))/100)),15)/15,(Skills!T17*(1+(Inputs!$B$34+(ArtifactsInput!$M$7-ArtifactsInput!$M$7)*CHOOSE(ArtifactsInput!$N$7+1,6,7.2,8.4,9.6,10.8,12))/100))/Skills!D17)))+((C2787=TRUE)*F2787*IF(Inputs!$B$3&gt;=110,7,5))</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2817)</f>
        <v/>
      </c>
      <c r="L2817">
        <f>K2817*(MIN(Inputs!$B$22+((C2837=TRUE)*(F2837-Calc!F22)),(Inputs!$B$23+((C2839=TRUE)*(F2839-Calc!F24))+(IF(ArtifactsInput!$M$15,CHOOSE(ArtifactsInput!$N$15+1,25,30,35,40,45,50)/100*(Inputs!$B$11-Inputs!$B$11),0))))/100+(Inputs!$B$23+((C2839=TRUE)*(F2839-Calc!F24))+(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INDEX(FactorTable!$B$2:$Y$301, MATCH(ROUND(MIN(300,MAX(1,U2817)),0), FactorTable!$A$2:$A$301,0), 22)</f>
        <v/>
      </c>
    </row>
    <row r="2819">
      <c r="A2819">
        <f>Skills!A4</f>
        <v/>
      </c>
      <c r="B2819">
        <f>Skills!B4</f>
        <v/>
      </c>
      <c r="C2819">
        <f>Inputs!$B$3&gt;=105</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U2819">
        <f>290*U2818/1000</f>
        <v/>
      </c>
    </row>
    <row r="2820">
      <c r="A2820">
        <f>Skills!A5</f>
        <v/>
      </c>
      <c r="B2820">
        <f>Skills!B5</f>
        <v/>
      </c>
      <c r="C2820">
        <f>Inputs!$B$3&gt;=103</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2820)</f>
        <v/>
      </c>
      <c r="L2820">
        <f>K2820*(MIN(Inputs!$B$22+((C2837=TRUE)*(F2837-Calc!F22)),(Inputs!$B$23+((C2839=TRUE)*(F2839-Calc!F24))+(IF(ArtifactsInput!$M$15,CHOOSE(ArtifactsInput!$N$15+1,25,30,35,40,45,50)/100*(Inputs!$B$11-Inputs!$B$11),0))))/100+(Inputs!$B$23+((C2839=TRUE)*(F2839-Calc!F24))+(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IFERROR(1/(IF(Inputs!$B$38="pvp",15,MAX(0.1,Skills!D5-IF(Skills!E5=TRUE,2.0,0)))*(1-IF(AND(ArtifactsInput!$M$27,Inputs!$B$4="Chapter Hunt"),CHOOSE(ArtifactsInput!$N$27+1,20,24,28,32,36,40),0)/100)),0)</f>
        <v/>
      </c>
      <c r="R2820">
        <f>IF(AND(Inputs!$B$38&lt;&gt;"pvp",Inputs!$B$43&gt;0),IF(MAX(0,Inputs!$B$43-B2851)&lt;=0,0,(INT(MAX(0,Inputs!$B$43-B2851)/(IF(Inputs!$B$38="pvp",15,MAX(0.1,Skills!D5-IF(Skills!E5=TRUE,2.0,0)))*(1-IF(AND(ArtifactsInput!$M$27,Inputs!$B$4="Chapter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2821)</f>
        <v/>
      </c>
      <c r="L2821">
        <f>K2821*(MIN(Inputs!$B$22+((C2837=TRUE)*(F2837-Calc!F22)),(Inputs!$B$23+((C2839=TRUE)*(F2839-Calc!F24))+(IF(ArtifactsInput!$M$15,CHOOSE(ArtifactsInput!$N$15+1,25,30,35,40,45,50)/100*(Inputs!$B$11-Inputs!$B$11),0))))/100+(Inputs!$B$23+((C2839=TRUE)*(F2839-Calc!F24))+(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IFERROR(1/(IF(Inputs!$B$38="pvp",15,MAX(0.1,Skills!D6-IF(Skills!E6=TRUE,2.0,0)))*(1-IF(AND(ArtifactsInput!$M$27,Inputs!$B$4="Chapter Hunt"),CHOOSE(ArtifactsInput!$N$27+1,20,24,28,32,36,40),0)/100)),0)</f>
        <v/>
      </c>
      <c r="R2821">
        <f>IF(AND(Inputs!$B$38&lt;&gt;"pvp",Inputs!$B$43&gt;0),IF(MAX(0,Inputs!$B$43-B2851)&lt;=0,0,(INT(MAX(0,Inputs!$B$43-B2851)/(IF(Inputs!$B$38="pvp",15,MAX(0.1,Skills!D6-IF(Skills!E6=TRUE,2.0,0)))*(1-IF(AND(ArtifactsInput!$M$27,Inputs!$B$4="Chapter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2822)</f>
        <v/>
      </c>
      <c r="L2822">
        <f>K2822*(MIN(Inputs!$B$22+((C2837=TRUE)*(F2837-Calc!F22)),(Inputs!$B$23+((C2839=TRUE)*(F2839-Calc!F24))+(IF(ArtifactsInput!$M$15,CHOOSE(ArtifactsInput!$N$15+1,25,30,35,40,45,50)/100*(Inputs!$B$11-Inputs!$B$11),0))))/100+(Inputs!$B$23+((C2839=TRUE)*(F2839-Calc!F24))+(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IFERROR(1/(IF(Inputs!$B$38="pvp",15,MAX(0.1,Skills!D7-IF(Skills!E7=TRUE,2.0,0)))*(1-IF(AND(ArtifactsInput!$M$27,Inputs!$B$4="Chapter Hunt"),CHOOSE(ArtifactsInput!$N$27+1,20,24,28,32,36,40),0)/100)),0)</f>
        <v/>
      </c>
      <c r="R2822">
        <f>IF(AND(Inputs!$B$38&lt;&gt;"pvp",Inputs!$B$43&gt;0),IF(MAX(0,Inputs!$B$43-B2851)&lt;=0,0,(INT(MAX(0,Inputs!$B$43-B2851)/(IF(Inputs!$B$38="pvp",15,MAX(0.1,Skills!D7-IF(Skills!E7=TRUE,2.0,0)))*(1-IF(AND(ArtifactsInput!$M$27,Inputs!$B$4="Chapter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Inputs!$B$3&gt;=117</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2823)</f>
        <v/>
      </c>
      <c r="L2823">
        <f>K2823*(MIN(Inputs!$B$22+((C2837=TRUE)*(F2837-Calc!F22)),(Inputs!$B$23+((C2839=TRUE)*(F2839-Calc!F24))+(IF(ArtifactsInput!$M$15,CHOOSE(ArtifactsInput!$N$15+1,25,30,35,40,45,50)/100*(Inputs!$B$11-Inputs!$B$11),0))))/100+(Inputs!$B$23+((C2839=TRUE)*(F2839-Calc!F24))+(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IFERROR(1/(IF(Inputs!$B$38="pvp",15,MAX(0.1,Skills!D8-IF(Skills!E8=TRUE,2.0,0)))*(1-IF(AND(ArtifactsInput!$M$27,Inputs!$B$4="Chapter Hunt"),CHOOSE(ArtifactsInput!$N$27+1,20,24,28,32,36,40),0)/100)),0)</f>
        <v/>
      </c>
      <c r="R2823">
        <f>IF(AND(Inputs!$B$38&lt;&gt;"pvp",Inputs!$B$43&gt;0),IF(MAX(0,Inputs!$B$43-B2851)&lt;=0,0,(INT(MAX(0,Inputs!$B$43-B2851)/(IF(Inputs!$B$38="pvp",15,MAX(0.1,Skills!D8-IF(Skills!E8=TRUE,2.0,0)))*(1-IF(AND(ArtifactsInput!$M$27,Inputs!$B$4="Chapter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Inputs!$B$3&gt;=69</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9="ENHANCED_RAGING_BLOW",IF(Inputs!$B$3&gt;=134,MAX(0,IF(Inputs!$B$3&gt;=110,7,5)-5)*50,0),0)/100)*(1+(IF(Skills!A9="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2824)</f>
        <v/>
      </c>
      <c r="L2824">
        <f>K2824*(MIN(Inputs!$B$22+((C2837=TRUE)*(F2837-Calc!F22)),(Inputs!$B$23+((C2839=TRUE)*(F2839-Calc!F24))+(IF(ArtifactsInput!$M$15,CHOOSE(ArtifactsInput!$N$15+1,25,30,35,40,45,50)/100*(Inputs!$B$11-Inputs!$B$11),0))))/100+(Inputs!$B$23+((C2839=TRUE)*(F2839-Calc!F24))+(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IFERROR(1/(IF(Inputs!$B$38="pvp",15,MAX(0.1,Skills!D9-IF(Skills!E9=TRUE,2.0,0)))*(1-IF(AND(ArtifactsInput!$M$27,Inputs!$B$4="Chapter Hunt"),CHOOSE(ArtifactsInput!$N$27+1,20,24,28,32,36,40),0)/100)),0)</f>
        <v/>
      </c>
      <c r="R2824">
        <f>IF(AND(Inputs!$B$38&lt;&gt;"pvp",Inputs!$B$43&gt;0),IF(MAX(0,Inputs!$B$43-B2851)&lt;=0,0,(INT(MAX(0,Inputs!$B$43-B2851)/(IF(Inputs!$B$38="pvp",15,MAX(0.1,Skills!D9-IF(Skills!E9=TRUE,2.0,0)))*(1-IF(AND(ArtifactsInput!$M$27,Inputs!$B$4="Chapter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Inputs!$B$3&gt;=63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10="ENHANCED_RAGING_BLOW",IF(Inputs!$B$3&gt;=134,MAX(0,IF(Inputs!$B$3&gt;=110,7,5)-5)*50,0),0)/100)*(1+(IF(Skills!A10="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2825)</f>
        <v/>
      </c>
      <c r="L2825">
        <f>K2825*(MIN(Inputs!$B$22+((C2837=TRUE)*(F2837-Calc!F22)),(Inputs!$B$23+((C2839=TRUE)*(F2839-Calc!F24))+(IF(ArtifactsInput!$M$15,CHOOSE(ArtifactsInput!$N$15+1,25,30,35,40,45,50)/100*(Inputs!$B$11-Inputs!$B$11),0))))/100+(Inputs!$B$23+((C2839=TRUE)*(F2839-Calc!F24))+(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IFERROR(1/(IF(Inputs!$B$38="pvp",15,MAX(0.1,Skills!D10-IF(Skills!E10=TRUE,2.0,0)))*(1-IF(AND(ArtifactsInput!$M$27,Inputs!$B$4="Chapter Hunt"),CHOOSE(ArtifactsInput!$N$27+1,20,24,28,32,36,40),0)/100)),0)</f>
        <v/>
      </c>
      <c r="R2825">
        <f>IF(AND(Inputs!$B$38&lt;&gt;"pvp",Inputs!$B$43&gt;0),IF(MAX(0,Inputs!$B$43-B2851)&lt;=0,0,(INT(MAX(0,Inputs!$B$43-B2851)/(IF(Inputs!$B$38="pvp",15,MAX(0.1,Skills!D10-IF(Skills!E10=TRUE,2.0,0)))*(1-IF(AND(ArtifactsInput!$M$27,Inputs!$B$4="Chapter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Inputs!$B$3&gt;=35</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11="ENHANCED_RAGING_BLOW",IF(Inputs!$B$3&gt;=134,MAX(0,IF(Inputs!$B$3&gt;=110,7,5)-5)*50,0),0)/100)*(1+(IF(Skills!A11="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2826)</f>
        <v/>
      </c>
      <c r="L2826">
        <f>K2826*(MIN(Inputs!$B$22+((C2837=TRUE)*(F2837-Calc!F22)),(Inputs!$B$23+((C2839=TRUE)*(F2839-Calc!F24))+(IF(ArtifactsInput!$M$15,CHOOSE(ArtifactsInput!$N$15+1,25,30,35,40,45,50)/100*(Inputs!$B$11-Inputs!$B$11),0))))/100+(Inputs!$B$23+((C2839=TRUE)*(F2839-Calc!F24))+(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IFERROR(1/(IF(Inputs!$B$38="pvp",15,MAX(0.1,Skills!D11-IF(Skills!E11=TRUE,2.0,0)))*(1-IF(AND(ArtifactsInput!$M$27,Inputs!$B$4="Chapter Hunt"),CHOOSE(ArtifactsInput!$N$27+1,20,24,28,32,36,40),0)/100)),0)</f>
        <v/>
      </c>
      <c r="R2826">
        <f>IF(AND(Inputs!$B$38&lt;&gt;"pvp",Inputs!$B$43&gt;0),IF(MAX(0,Inputs!$B$43-B2851)&lt;=0,0,(INT(MAX(0,Inputs!$B$43-B2851)/(IF(Inputs!$B$38="pvp",15,MAX(0.1,Skills!D11-IF(Skills!E11=TRUE,2.0,0)))*(1-IF(AND(ArtifactsInput!$M$27,Inputs!$B$4="Chapter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Inputs!$B$3&gt;=75</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Inputs!$B$3&gt;=40</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IFERROR(1/(IF(Inputs!$B$38="pvp",15,MAX(0.1,Skills!D15-IF(Skills!E15=TRUE,2.0,0)))*(1-IF(AND(ArtifactsInput!$M$27,Inputs!$B$4="Chapter Hunt"),CHOOSE(ArtifactsInput!$N$27+1,20,24,28,32,36,40),0)/100)),0)</f>
        <v/>
      </c>
      <c r="R2830">
        <f>IF(AND(Inputs!$B$38&lt;&gt;"pvp",Inputs!$B$43&gt;0),IF(Inputs!$B$43&lt;=0,0,(INT(Inputs!$B$43/(IF(Inputs!$B$38="pvp",15,MAX(0.1,Skills!D15-IF(Skills!E15=TRUE,2.0,0)))*(1-IF(AND(ArtifactsInput!$M$27,Inputs!$B$4="Chapter Hunt"),CHOOSE(ArtifactsInput!$N$27+1,20,24,28,32,36,40),0)/100)))+1)),0)</f>
        <v/>
      </c>
      <c r="S2830">
        <f>IFERROR(O2830/N2830,0)</f>
        <v/>
      </c>
      <c r="T2830" t="n">
        <v>0</v>
      </c>
      <c r="V2830" t="n">
        <v>0</v>
      </c>
    </row>
    <row r="2831">
      <c r="A2831">
        <f>Skills!A16</f>
        <v/>
      </c>
      <c r="B2831">
        <f>Skills!B16</f>
        <v/>
      </c>
      <c r="C2831">
        <f>Inputs!$B$3&gt;=66</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IFERROR(1/(IF(Inputs!$B$38="pvp",15,MAX(0.1,Skills!D16-IF(Skills!E16=TRUE,2.0,0)))*(1-IF(AND(ArtifactsInput!$M$27,Inputs!$B$4="Chapter Hunt"),CHOOSE(ArtifactsInput!$N$27+1,20,24,28,32,36,40),0)/100)),0)</f>
        <v/>
      </c>
      <c r="R2831">
        <f>IF(AND(Inputs!$B$38&lt;&gt;"pvp",Inputs!$B$43&gt;0),IF(Inputs!$B$43&lt;=0,0,(INT(Inputs!$B$43/(IF(Inputs!$B$38="pvp",15,MAX(0.1,Skills!D16-IF(Skills!E16=TRUE,2.0,0)))*(1-IF(AND(ArtifactsInput!$M$27,Inputs!$B$4="Chapter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IFERROR(1/(IF(Inputs!$B$38="pvp",15,MAX(0.1,Skills!D17-IF(Skills!E17=TRUE,2.0,0)))*(1-IF(AND(ArtifactsInput!$M$27,Inputs!$B$4="Chapter Hunt"),CHOOSE(ArtifactsInput!$N$27+1,20,24,28,32,36,40),0)/100)),0)</f>
        <v/>
      </c>
      <c r="R2832">
        <f>IF(AND(Inputs!$B$38&lt;&gt;"pvp",Inputs!$B$43&gt;0),IF(Inputs!$B$43&lt;=0,0,(INT(Inputs!$B$43/(IF(Inputs!$B$38="pvp",15,MAX(0.1,Skills!D17-IF(Skills!E17=TRUE,2.0,0)))*(1-IF(AND(ArtifactsInput!$M$27,Inputs!$B$4="Chapter Hunt"),CHOOSE(ArtifactsInput!$N$27+1,20,24,28,32,36,40),0)/100)))+1)),0)</f>
        <v/>
      </c>
      <c r="S2832">
        <f>IFERROR(O2832/N2832,0)</f>
        <v/>
      </c>
      <c r="T2832" t="n">
        <v>0</v>
      </c>
      <c r="V2832" t="n">
        <v>0</v>
      </c>
    </row>
    <row r="2833">
      <c r="A2833">
        <f>Skills!A18</f>
        <v/>
      </c>
      <c r="B2833">
        <f>Skills!B18</f>
        <v/>
      </c>
      <c r="C2833">
        <f>Inputs!$B$3&gt;=115</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IFERROR(1/(IF(Inputs!$B$38="pvp",15,MAX(0.1,Skills!D18-IF(Skills!E18=TRUE,2.0,0)))*(1-IF(AND(ArtifactsInput!$M$27,Inputs!$B$4="Chapter Hunt"),CHOOSE(ArtifactsInput!$N$27+1,20,24,28,32,36,40),0)/100)),0)</f>
        <v/>
      </c>
      <c r="R2833">
        <f>IF(AND(Inputs!$B$38&lt;&gt;"pvp",Inputs!$B$43&gt;0),IF(Inputs!$B$43&lt;=0,0,(INT(Inputs!$B$43/(IF(Inputs!$B$38="pvp",15,MAX(0.1,Skills!D18-IF(Skills!E18=TRUE,2.0,0)))*(1-IF(AND(ArtifactsInput!$M$27,Inputs!$B$4="Chapter Hunt"),CHOOSE(ArtifactsInput!$N$27+1,20,24,28,32,36,40),0)/100)))+1)),0)</f>
        <v/>
      </c>
      <c r="S2833">
        <f>IFERROR(O2833/N2833,0)</f>
        <v/>
      </c>
      <c r="T2833" t="n">
        <v>0</v>
      </c>
      <c r="V2833" t="n">
        <v>0</v>
      </c>
    </row>
    <row r="2834">
      <c r="A2834">
        <f>Skills!A19</f>
        <v/>
      </c>
      <c r="B2834">
        <f>Skills!B19</f>
        <v/>
      </c>
      <c r="C2834">
        <f>TRUE</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IFERROR(1/(IF(Inputs!$B$38="pvp",15,MAX(0.1,Skills!D19-IF(Skills!E19=TRUE,2.0,0)))*(1-IF(AND(ArtifactsInput!$M$27,Inputs!$B$4="Chapter Hunt"),CHOOSE(ArtifactsInput!$N$27+1,20,24,28,32,36,40),0)/100)),0)</f>
        <v/>
      </c>
      <c r="R2834">
        <f>IF(AND(Inputs!$B$38&lt;&gt;"pvp",Inputs!$B$43&gt;0),IF(Inputs!$B$43&lt;=0,0,(INT(Inputs!$B$43/(IF(Inputs!$B$38="pvp",15,MAX(0.1,Skills!D19-IF(Skills!E19=TRUE,2.0,0)))*(1-IF(AND(ArtifactsInput!$M$27,Inputs!$B$4="Chapter Hunt"),CHOOSE(ArtifactsInput!$N$27+1,20,24,28,32,36,40),0)/100)))+1)),0)</f>
        <v/>
      </c>
      <c r="S2834">
        <f>IFERROR(O2834/N2834,0)</f>
        <v/>
      </c>
      <c r="T2834" t="n">
        <v>0</v>
      </c>
      <c r="V2834" t="n">
        <v>0</v>
      </c>
    </row>
    <row r="2835">
      <c r="A2835">
        <f>Skills!A20</f>
        <v/>
      </c>
      <c r="B2835">
        <f>Skills!B20</f>
        <v/>
      </c>
      <c r="C2835">
        <f>Inputs!$B$3&gt;=33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Skills!A22</f>
        <v/>
      </c>
      <c r="B2837">
        <f>Skills!B22</f>
        <v/>
      </c>
      <c r="C2837">
        <f>Inputs!$B$3&gt;=43</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Inputs!$B$3&gt;=120</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Inputs!$B$3&gt;=120</f>
        <v/>
      </c>
      <c r="D2839">
        <f>IF(Skills!C24=1,60+Inputs!$B$25+Inputs!$B$29,IF(Skills!C24=2,90+Inputs!$B$26+Inputs!$B$29,IF(Skills!C24=3,120+Inputs!$B$27+Inputs!$B$29,MAX(0,(Inputs!$B$3-100)*3)+Inputs!$B$28+Inputs!$B$29)))</f>
        <v/>
      </c>
      <c r="E2839">
        <f>INDEX(FactorTable!$B$2:$Y$301, MATCH(ROUND(MIN(300,MAX(1,D2839)),0), FactorTable!$A$2:$A$301,0), Skills!M24+1)</f>
        <v/>
      </c>
      <c r="F2839">
        <f>IF(Skills!N24=TRUE,(Skills!L24/10)*(E2839/1000),Skills!L24/10)+Skills!O24</f>
        <v/>
      </c>
      <c r="G2839">
        <f>Skills!G24*IF(Skills!H24&gt;0,Skills!I24/Skills!H24,1)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Inputs!$B$3&gt;=125</f>
        <v/>
      </c>
      <c r="D2840">
        <f>IF(Skills!C25=1,60+Inputs!$B$25+Inputs!$B$29,IF(Skills!C25=2,90+Inputs!$B$26+Inputs!$B$29,IF(Skills!C25=3,120+Inputs!$B$27+Inputs!$B$29,MAX(0,(Inputs!$B$3-100)*3)+Inputs!$B$28+Inputs!$B$29)))</f>
        <v/>
      </c>
      <c r="E2840">
        <f>INDEX(FactorTable!$B$2:$Y$301, MATCH(ROUND(MIN(300,MAX(1,D2840)),0), FactorTable!$A$2:$A$301,0), Skills!M25+1)</f>
        <v/>
      </c>
      <c r="F2840">
        <f>IF(Skills!N25=TRUE,(Skills!L25/10)*(E2840/1000),Skills!L25/10)+Skills!O25</f>
        <v/>
      </c>
      <c r="G2840">
        <f>Skills!G25*IF(Skills!H25&gt;0,Skills!I25/Skills!H25,1)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Inputs!$B$3&gt;=72</f>
        <v/>
      </c>
      <c r="D2841">
        <f>IF(Skills!C26=1,60+Inputs!$B$25+Inputs!$B$29,IF(Skills!C26=2,90+Inputs!$B$26+Inputs!$B$29,IF(Skills!C26=3,120+Inputs!$B$27+Inputs!$B$29,MAX(0,(Inputs!$B$3-100)*3)+Inputs!$B$28+Inputs!$B$29)))</f>
        <v/>
      </c>
      <c r="E2841">
        <f>INDEX(FactorTable!$B$2:$Y$301, MATCH(ROUND(MIN(300,MAX(1,D2841)),0), FactorTable!$A$2:$A$301,0), Skills!M26+1)</f>
        <v/>
      </c>
      <c r="F2841">
        <f>IF(Skills!N26=TRUE,(Skills!L26/10)*(E2841/1000),Skills!L26/10)+Skills!O26</f>
        <v/>
      </c>
      <c r="G2841">
        <f>Skills!G26*IF(Skills!H26&gt;0,Skills!I26/Skills!H26,1)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2834=TRUE)*F2834*IF(AND(Inputs!$B$38&lt;&gt;"pvp",Inputs!$B$43&gt;0),(((R2834-1)*(Skills!T19*(1+(Inputs!$B$34+(ArtifactsInput!$M$7-ArtifactsInput!$M$7)*CHOOSE(ArtifactsInput!$N$7+1,6,7.2,8.4,9.6,10.8,12))/100))+MIN((Skills!T19*(1+(Inputs!$B$34+(ArtifactsInput!$M$7-ArtifactsInput!$M$7)*CHOOSE(ArtifactsInput!$N$7+1,6,7.2,8.4,9.6,10.8,12))/100)),MAX(0,Inputs!$B$43-((R2834-1)*Skills!D19))))/Inputs!$B$43),IF(Inputs!$B$38="pvp",MIN((Skills!T19*(1+(Inputs!$B$34+(ArtifactsInput!$M$7-ArtifactsInput!$M$7)*CHOOSE(ArtifactsInput!$N$7+1,6,7.2,8.4,9.6,10.8,12))/100)),15)/15,(Skills!T19*(1+(Inputs!$B$34+(ArtifactsInput!$M$7-ArtifactsInput!$M$7)*CHOOSE(ArtifactsInput!$N$7+1,6,7.2,8.4,9.6,10.8,12))/100))/Skills!D19)))</f>
        <v/>
      </c>
    </row>
    <row r="2846">
      <c r="A2846" t="inlineStr">
        <is>
          <t>Actions Per Second</t>
        </is>
      </c>
      <c r="B2846">
        <f>1+MIN(150,150*(1-(1-(Inputs!$B$11+((C2835=TRUE)*(F2835-Calc!F20)))/150)*(1-B2845/150)))/100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Raging Blow Casts Per Second</t>
        </is>
      </c>
      <c r="B2848">
        <f>MAX(0,B2846-B2847)</f>
        <v/>
      </c>
    </row>
    <row r="2849">
      <c r="A2849" t="inlineStr">
        <is>
          <t>Global Critical Damage Bonus % (Enrage)</t>
        </is>
      </c>
      <c r="B2849">
        <f>((C2833=TRUE)*F2833*IF(AND(Inputs!$B$38&lt;&gt;"pvp",Inputs!$B$43&gt;0),(((R2833-1)*(Skills!T18*(1+(Inputs!$B$34+(ArtifactsInput!$M$7-ArtifactsInput!$M$7)*CHOOSE(ArtifactsInput!$N$7+1,6,7.2,8.4,9.6,10.8,12))/100))+MIN((Skills!T18*(1+(Inputs!$B$34+(ArtifactsInput!$M$7-ArtifactsInput!$M$7)*CHOOSE(ArtifactsInput!$N$7+1,6,7.2,8.4,9.6,10.8,12))/100)),MAX(0,Inputs!$B$43-((R2833-1)*Skills!D18))))/Inputs!$B$43),IF(Inputs!$B$38="pvp",MIN((Skills!T18*(1+(Inputs!$B$34+(ArtifactsInput!$M$7-ArtifactsInput!$M$7)*CHOOSE(ArtifactsInput!$N$7+1,6,7.2,8.4,9.6,10.8,12))/100)),15)/15,(Skills!T18*(1+(Inputs!$B$34+(ArtifactsInput!$M$7-ArtifactsInput!$M$7)*CHOOSE(ArtifactsInput!$N$7+1,6,7.2,8.4,9.6,10.8,12))/100))/Skills!D18)))</f>
        <v/>
      </c>
    </row>
    <row r="2850">
      <c r="A2850" t="inlineStr">
        <is>
          <t>Global Final Damage Bonus % (Enrage + Combo Synergy)</t>
        </is>
      </c>
      <c r="B2850">
        <f>((C2832=TRUE)*F2832*IF(AND(Inputs!$B$38&lt;&gt;"pvp",Inputs!$B$43&gt;0),(((R2832-1)*(Skills!T17*(1+(Inputs!$B$34+(ArtifactsInput!$M$7-ArtifactsInput!$M$7)*CHOOSE(ArtifactsInput!$N$7+1,6,7.2,8.4,9.6,10.8,12))/100))+MIN((Skills!T17*(1+(Inputs!$B$34+(ArtifactsInput!$M$7-ArtifactsInput!$M$7)*CHOOSE(ArtifactsInput!$N$7+1,6,7.2,8.4,9.6,10.8,12))/100)),MAX(0,Inputs!$B$43-((R2832-1)*Skills!D17))))/Inputs!$B$43),IF(Inputs!$B$38="pvp",MIN((Skills!T17*(1+(Inputs!$B$34+(ArtifactsInput!$M$7-ArtifactsInput!$M$7)*CHOOSE(ArtifactsInput!$N$7+1,6,7.2,8.4,9.6,10.8,12))/100)),15)/15,(Skills!T17*(1+(Inputs!$B$34+(ArtifactsInput!$M$7-ArtifactsInput!$M$7)*CHOOSE(ArtifactsInput!$N$7+1,6,7.2,8.4,9.6,10.8,12))/100))/Skills!D17)))+((C2829=TRUE)*F2829*IF(Inputs!$B$3&gt;=110,7,5))</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2859)</f>
        <v/>
      </c>
      <c r="L2859">
        <f>K2859*(MIN(Inputs!$B$22+((C2879=TRUE)*(F2879-Calc!F22)),(Inputs!$B$23+((C2881=TRUE)*(F2881-Calc!F24))+(IF(ArtifactsInput!$M$15,CHOOSE(ArtifactsInput!$N$15+1,25,30,35,40,45,50)/100*(Inputs!$B$11-Inputs!$B$11),0))))/100+(Inputs!$B$23+((C2881=TRUE)*(F2881-Calc!F24))+(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INDEX(FactorTable!$B$2:$Y$301, MATCH(ROUND(MIN(300,MAX(1,U2859)),0), FactorTable!$A$2:$A$301,0), 22)</f>
        <v/>
      </c>
    </row>
    <row r="2861">
      <c r="A2861">
        <f>Skills!A4</f>
        <v/>
      </c>
      <c r="B2861">
        <f>Skills!B4</f>
        <v/>
      </c>
      <c r="C2861">
        <f>Inputs!$B$3&gt;=105</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t="inlineStr"/>
      <c r="H2861" t="inlineStr"/>
      <c r="I2861" t="inlineStr">
        <is>
          <t>1</t>
        </is>
      </c>
      <c r="J2861" t="inlineStr"/>
      <c r="K2861" t="inlineStr"/>
      <c r="L2861" t="inlineStr"/>
      <c r="M2861" t="inlineStr"/>
      <c r="N2861" t="inlineStr"/>
      <c r="O2861" t="inlineStr"/>
      <c r="P2861" t="inlineStr"/>
      <c r="Q2861" t="inlineStr"/>
      <c r="R2861" t="inlineStr"/>
      <c r="S2861" t="inlineStr"/>
      <c r="U2861">
        <f>290*U2860/1000</f>
        <v/>
      </c>
    </row>
    <row r="2862">
      <c r="A2862">
        <f>Skills!A5</f>
        <v/>
      </c>
      <c r="B2862">
        <f>Skills!B5</f>
        <v/>
      </c>
      <c r="C2862">
        <f>Inputs!$B$3&gt;=103</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2862)</f>
        <v/>
      </c>
      <c r="L2862">
        <f>K2862*(MIN(Inputs!$B$22+((C2879=TRUE)*(F2879-Calc!F22)),(Inputs!$B$23+((C2881=TRUE)*(F2881-Calc!F24))+(IF(ArtifactsInput!$M$15,CHOOSE(ArtifactsInput!$N$15+1,25,30,35,40,45,50)/100*(Inputs!$B$11-Inputs!$B$11),0))))/100+(Inputs!$B$23+((C2881=TRUE)*(F2881-Calc!F24))+(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IFERROR(1/(IF(Inputs!$B$38="pvp",15,MAX(0.1,Skills!D5-IF(Skills!E5=TRUE,2.5,0)))*(1-IF(AND(ArtifactsInput!$M$27,Inputs!$B$4="Chapter Hunt"),CHOOSE(ArtifactsInput!$N$27+1,20,24,28,32,36,40),0)/100)),0)</f>
        <v/>
      </c>
      <c r="R2862">
        <f>IF(AND(Inputs!$B$38&lt;&gt;"pvp",Inputs!$B$43&gt;0),IF(MAX(0,Inputs!$B$43-B2893)&lt;=0,0,(INT(MAX(0,Inputs!$B$43-B2893)/(IF(Inputs!$B$38="pvp",15,MAX(0.1,Skills!D5-IF(Skills!E5=TRUE,2.5,0)))*(1-IF(AND(ArtifactsInput!$M$27,Inputs!$B$4="Chapter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2863)</f>
        <v/>
      </c>
      <c r="L2863">
        <f>K2863*(MIN(Inputs!$B$22+((C2879=TRUE)*(F2879-Calc!F22)),(Inputs!$B$23+((C2881=TRUE)*(F2881-Calc!F24))+(IF(ArtifactsInput!$M$15,CHOOSE(ArtifactsInput!$N$15+1,25,30,35,40,45,50)/100*(Inputs!$B$11-Inputs!$B$11),0))))/100+(Inputs!$B$23+((C2881=TRUE)*(F2881-Calc!F24))+(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IFERROR(1/(IF(Inputs!$B$38="pvp",15,MAX(0.1,Skills!D6-IF(Skills!E6=TRUE,2.5,0)))*(1-IF(AND(ArtifactsInput!$M$27,Inputs!$B$4="Chapter Hunt"),CHOOSE(ArtifactsInput!$N$27+1,20,24,28,32,36,40),0)/100)),0)</f>
        <v/>
      </c>
      <c r="R2863">
        <f>IF(AND(Inputs!$B$38&lt;&gt;"pvp",Inputs!$B$43&gt;0),IF(MAX(0,Inputs!$B$43-B2893)&lt;=0,0,(INT(MAX(0,Inputs!$B$43-B2893)/(IF(Inputs!$B$38="pvp",15,MAX(0.1,Skills!D6-IF(Skills!E6=TRUE,2.5,0)))*(1-IF(AND(ArtifactsInput!$M$27,Inputs!$B$4="Chapter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2864)</f>
        <v/>
      </c>
      <c r="L2864">
        <f>K2864*(MIN(Inputs!$B$22+((C2879=TRUE)*(F2879-Calc!F22)),(Inputs!$B$23+((C2881=TRUE)*(F2881-Calc!F24))+(IF(ArtifactsInput!$M$15,CHOOSE(ArtifactsInput!$N$15+1,25,30,35,40,45,50)/100*(Inputs!$B$11-Inputs!$B$11),0))))/100+(Inputs!$B$23+((C2881=TRUE)*(F2881-Calc!F24))+(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IFERROR(1/(IF(Inputs!$B$38="pvp",15,MAX(0.1,Skills!D7-IF(Skills!E7=TRUE,2.5,0)))*(1-IF(AND(ArtifactsInput!$M$27,Inputs!$B$4="Chapter Hunt"),CHOOSE(ArtifactsInput!$N$27+1,20,24,28,32,36,40),0)/100)),0)</f>
        <v/>
      </c>
      <c r="R2864">
        <f>IF(AND(Inputs!$B$38&lt;&gt;"pvp",Inputs!$B$43&gt;0),IF(MAX(0,Inputs!$B$43-B2893)&lt;=0,0,(INT(MAX(0,Inputs!$B$43-B2893)/(IF(Inputs!$B$38="pvp",15,MAX(0.1,Skills!D7-IF(Skills!E7=TRUE,2.5,0)))*(1-IF(AND(ArtifactsInput!$M$27,Inputs!$B$4="Chapter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Inputs!$B$3&gt;=117</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2865)</f>
        <v/>
      </c>
      <c r="L2865">
        <f>K2865*(MIN(Inputs!$B$22+((C2879=TRUE)*(F2879-Calc!F22)),(Inputs!$B$23+((C2881=TRUE)*(F2881-Calc!F24))+(IF(ArtifactsInput!$M$15,CHOOSE(ArtifactsInput!$N$15+1,25,30,35,40,45,50)/100*(Inputs!$B$11-Inputs!$B$11),0))))/100+(Inputs!$B$23+((C2881=TRUE)*(F2881-Calc!F24))+(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IFERROR(1/(IF(Inputs!$B$38="pvp",15,MAX(0.1,Skills!D8-IF(Skills!E8=TRUE,2.5,0)))*(1-IF(AND(ArtifactsInput!$M$27,Inputs!$B$4="Chapter Hunt"),CHOOSE(ArtifactsInput!$N$27+1,20,24,28,32,36,40),0)/100)),0)</f>
        <v/>
      </c>
      <c r="R2865">
        <f>IF(AND(Inputs!$B$38&lt;&gt;"pvp",Inputs!$B$43&gt;0),IF(MAX(0,Inputs!$B$43-B2893)&lt;=0,0,(INT(MAX(0,Inputs!$B$43-B2893)/(IF(Inputs!$B$38="pvp",15,MAX(0.1,Skills!D8-IF(Skills!E8=TRUE,2.5,0)))*(1-IF(AND(ArtifactsInput!$M$27,Inputs!$B$4="Chapter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Inputs!$B$3&gt;=69</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9="ENHANCED_RAGING_BLOW",IF(Inputs!$B$3&gt;=134,MAX(0,IF(Inputs!$B$3&gt;=110,7,5)-5)*50,0),0)/100)*(1+(IF(Skills!A9="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2866)</f>
        <v/>
      </c>
      <c r="L2866">
        <f>K2866*(MIN(Inputs!$B$22+((C2879=TRUE)*(F2879-Calc!F22)),(Inputs!$B$23+((C2881=TRUE)*(F2881-Calc!F24))+(IF(ArtifactsInput!$M$15,CHOOSE(ArtifactsInput!$N$15+1,25,30,35,40,45,50)/100*(Inputs!$B$11-Inputs!$B$11),0))))/100+(Inputs!$B$23+((C2881=TRUE)*(F2881-Calc!F24))+(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IFERROR(1/(IF(Inputs!$B$38="pvp",15,MAX(0.1,Skills!D9-IF(Skills!E9=TRUE,2.5,0)))*(1-IF(AND(ArtifactsInput!$M$27,Inputs!$B$4="Chapter Hunt"),CHOOSE(ArtifactsInput!$N$27+1,20,24,28,32,36,40),0)/100)),0)</f>
        <v/>
      </c>
      <c r="R2866">
        <f>IF(AND(Inputs!$B$38&lt;&gt;"pvp",Inputs!$B$43&gt;0),IF(MAX(0,Inputs!$B$43-B2893)&lt;=0,0,(INT(MAX(0,Inputs!$B$43-B2893)/(IF(Inputs!$B$38="pvp",15,MAX(0.1,Skills!D9-IF(Skills!E9=TRUE,2.5,0)))*(1-IF(AND(ArtifactsInput!$M$27,Inputs!$B$4="Chapter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Inputs!$B$3&gt;=63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10="ENHANCED_RAGING_BLOW",IF(Inputs!$B$3&gt;=134,MAX(0,IF(Inputs!$B$3&gt;=110,7,5)-5)*50,0),0)/100)*(1+(IF(Skills!A10="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2867)</f>
        <v/>
      </c>
      <c r="L2867">
        <f>K2867*(MIN(Inputs!$B$22+((C2879=TRUE)*(F2879-Calc!F22)),(Inputs!$B$23+((C2881=TRUE)*(F2881-Calc!F24))+(IF(ArtifactsInput!$M$15,CHOOSE(ArtifactsInput!$N$15+1,25,30,35,40,45,50)/100*(Inputs!$B$11-Inputs!$B$11),0))))/100+(Inputs!$B$23+((C2881=TRUE)*(F2881-Calc!F24))+(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IFERROR(1/(IF(Inputs!$B$38="pvp",15,MAX(0.1,Skills!D10-IF(Skills!E10=TRUE,2.5,0)))*(1-IF(AND(ArtifactsInput!$M$27,Inputs!$B$4="Chapter Hunt"),CHOOSE(ArtifactsInput!$N$27+1,20,24,28,32,36,40),0)/100)),0)</f>
        <v/>
      </c>
      <c r="R2867">
        <f>IF(AND(Inputs!$B$38&lt;&gt;"pvp",Inputs!$B$43&gt;0),IF(MAX(0,Inputs!$B$43-B2893)&lt;=0,0,(INT(MAX(0,Inputs!$B$43-B2893)/(IF(Inputs!$B$38="pvp",15,MAX(0.1,Skills!D10-IF(Skills!E10=TRUE,2.5,0)))*(1-IF(AND(ArtifactsInput!$M$27,Inputs!$B$4="Chapter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Inputs!$B$3&gt;=35</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11="ENHANCED_RAGING_BLOW",IF(Inputs!$B$3&gt;=134,MAX(0,IF(Inputs!$B$3&gt;=110,7,5)-5)*50,0),0)/100)*(1+(IF(Skills!A11="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2868)</f>
        <v/>
      </c>
      <c r="L2868">
        <f>K2868*(MIN(Inputs!$B$22+((C2879=TRUE)*(F2879-Calc!F22)),(Inputs!$B$23+((C2881=TRUE)*(F2881-Calc!F24))+(IF(ArtifactsInput!$M$15,CHOOSE(ArtifactsInput!$N$15+1,25,30,35,40,45,50)/100*(Inputs!$B$11-Inputs!$B$11),0))))/100+(Inputs!$B$23+((C2881=TRUE)*(F2881-Calc!F24))+(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IFERROR(1/(IF(Inputs!$B$38="pvp",15,MAX(0.1,Skills!D11-IF(Skills!E11=TRUE,2.5,0)))*(1-IF(AND(ArtifactsInput!$M$27,Inputs!$B$4="Chapter Hunt"),CHOOSE(ArtifactsInput!$N$27+1,20,24,28,32,36,40),0)/100)),0)</f>
        <v/>
      </c>
      <c r="R2868">
        <f>IF(AND(Inputs!$B$38&lt;&gt;"pvp",Inputs!$B$43&gt;0),IF(MAX(0,Inputs!$B$43-B2893)&lt;=0,0,(INT(MAX(0,Inputs!$B$43-B2893)/(IF(Inputs!$B$38="pvp",15,MAX(0.1,Skills!D11-IF(Skills!E11=TRUE,2.5,0)))*(1-IF(AND(ArtifactsInput!$M$27,Inputs!$B$4="Chapter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Inputs!$B$3&gt;=75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Inputs!$B$3&gt;=40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f>Skills!G15*IF(Skills!H15&gt;0,Skills!I15/Skills!H15,1)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IFERROR(1/(IF(Inputs!$B$38="pvp",15,MAX(0.1,Skills!D15-IF(Skills!E15=TRUE,2.5,0)))*(1-IF(AND(ArtifactsInput!$M$27,Inputs!$B$4="Chapter Hunt"),CHOOSE(ArtifactsInput!$N$27+1,20,24,28,32,36,40),0)/100)),0)</f>
        <v/>
      </c>
      <c r="R2872">
        <f>IF(AND(Inputs!$B$38&lt;&gt;"pvp",Inputs!$B$43&gt;0),IF(Inputs!$B$43&lt;=0,0,(INT(Inputs!$B$43/(IF(Inputs!$B$38="pvp",15,MAX(0.1,Skills!D15-IF(Skills!E15=TRUE,2.5,0)))*(1-IF(AND(ArtifactsInput!$M$27,Inputs!$B$4="Chapter Hunt"),CHOOSE(ArtifactsInput!$N$27+1,20,24,28,32,36,40),0)/100)))+1)),0)</f>
        <v/>
      </c>
      <c r="S2872">
        <f>IFERROR(O2872/N2872,0)</f>
        <v/>
      </c>
      <c r="T2872" t="n">
        <v>0</v>
      </c>
      <c r="V2872" t="n">
        <v>0</v>
      </c>
    </row>
    <row r="2873">
      <c r="A2873">
        <f>Skills!A16</f>
        <v/>
      </c>
      <c r="B2873">
        <f>Skills!B16</f>
        <v/>
      </c>
      <c r="C2873">
        <f>Inputs!$B$3&gt;=66</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f>Skills!G16*IF(Skills!H16&gt;0,Skills!I16/Skills!H16,1)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IFERROR(1/(IF(Inputs!$B$38="pvp",15,MAX(0.1,Skills!D16-IF(Skills!E16=TRUE,2.5,0)))*(1-IF(AND(ArtifactsInput!$M$27,Inputs!$B$4="Chapter Hunt"),CHOOSE(ArtifactsInput!$N$27+1,20,24,28,32,36,40),0)/100)),0)</f>
        <v/>
      </c>
      <c r="R2873">
        <f>IF(AND(Inputs!$B$38&lt;&gt;"pvp",Inputs!$B$43&gt;0),IF(Inputs!$B$43&lt;=0,0,(INT(Inputs!$B$43/(IF(Inputs!$B$38="pvp",15,MAX(0.1,Skills!D16-IF(Skills!E16=TRUE,2.5,0)))*(1-IF(AND(ArtifactsInput!$M$27,Inputs!$B$4="Chapter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IFERROR(1/(IF(Inputs!$B$38="pvp",15,MAX(0.1,Skills!D17-IF(Skills!E17=TRUE,2.5,0)))*(1-IF(AND(ArtifactsInput!$M$27,Inputs!$B$4="Chapter Hunt"),CHOOSE(ArtifactsInput!$N$27+1,20,24,28,32,36,40),0)/100)),0)</f>
        <v/>
      </c>
      <c r="R2874">
        <f>IF(AND(Inputs!$B$38&lt;&gt;"pvp",Inputs!$B$43&gt;0),IF(Inputs!$B$43&lt;=0,0,(INT(Inputs!$B$43/(IF(Inputs!$B$38="pvp",15,MAX(0.1,Skills!D17-IF(Skills!E17=TRUE,2.5,0)))*(1-IF(AND(ArtifactsInput!$M$27,Inputs!$B$4="Chapter Hunt"),CHOOSE(ArtifactsInput!$N$27+1,20,24,28,32,36,40),0)/100)))+1)),0)</f>
        <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IFERROR(1/(IF(Inputs!$B$38="pvp",15,MAX(0.1,Skills!D18-IF(Skills!E18=TRUE,2.5,0)))*(1-IF(AND(ArtifactsInput!$M$27,Inputs!$B$4="Chapter Hunt"),CHOOSE(ArtifactsInput!$N$27+1,20,24,28,32,36,40),0)/100)),0)</f>
        <v/>
      </c>
      <c r="R2875">
        <f>IF(AND(Inputs!$B$38&lt;&gt;"pvp",Inputs!$B$43&gt;0),IF(Inputs!$B$43&lt;=0,0,(INT(Inputs!$B$43/(IF(Inputs!$B$38="pvp",15,MAX(0.1,Skills!D18-IF(Skills!E18=TRUE,2.5,0)))*(1-IF(AND(ArtifactsInput!$M$27,Inputs!$B$4="Chapter Hunt"),CHOOSE(ArtifactsInput!$N$27+1,20,24,28,32,36,40),0)/100)))+1)),0)</f>
        <v/>
      </c>
      <c r="S2875">
        <f>IFERROR(O2875/N2875,0)</f>
        <v/>
      </c>
      <c r="T2875" t="n">
        <v>0</v>
      </c>
      <c r="V2875" t="n">
        <v>0</v>
      </c>
    </row>
    <row r="2876">
      <c r="A2876">
        <f>Skills!A19</f>
        <v/>
      </c>
      <c r="B2876">
        <f>Skills!B19</f>
        <v/>
      </c>
      <c r="C2876">
        <f>TRUE</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IFERROR(1/(IF(Inputs!$B$38="pvp",15,MAX(0.1,Skills!D19-IF(Skills!E19=TRUE,2.5,0)))*(1-IF(AND(ArtifactsInput!$M$27,Inputs!$B$4="Chapter Hunt"),CHOOSE(ArtifactsInput!$N$27+1,20,24,28,32,36,40),0)/100)),0)</f>
        <v/>
      </c>
      <c r="R2876">
        <f>IF(AND(Inputs!$B$38&lt;&gt;"pvp",Inputs!$B$43&gt;0),IF(Inputs!$B$43&lt;=0,0,(INT(Inputs!$B$43/(IF(Inputs!$B$38="pvp",15,MAX(0.1,Skills!D19-IF(Skills!E19=TRUE,2.5,0)))*(1-IF(AND(ArtifactsInput!$M$27,Inputs!$B$4="Chapter Hunt"),CHOOSE(ArtifactsInput!$N$27+1,20,24,28,32,36,40),0)/100)))+1)),0)</f>
        <v/>
      </c>
      <c r="S2876">
        <f>IFERROR(O2876/N2876,0)</f>
        <v/>
      </c>
      <c r="T2876" t="n">
        <v>0</v>
      </c>
      <c r="V2876" t="n">
        <v>0</v>
      </c>
    </row>
    <row r="2877">
      <c r="A2877">
        <f>Skills!A20</f>
        <v/>
      </c>
      <c r="B2877">
        <f>Skills!B20</f>
        <v/>
      </c>
      <c r="C2877">
        <f>Inputs!$B$3&gt;=33</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Inputs!$B$3&gt;=38</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Inputs!$B$3&gt;=120</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Inputs!$B$3&gt;=120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Inputs!$B$3&gt;=125</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Inputs!$B$3&gt;=72</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2876=TRUE)*F2876*IF(AND(Inputs!$B$38&lt;&gt;"pvp",Inputs!$B$43&gt;0),(((R2876-1)*(Skills!T19*(1+(Inputs!$B$34+(ArtifactsInput!$M$7-ArtifactsInput!$M$7)*CHOOSE(ArtifactsInput!$N$7+1,6,7.2,8.4,9.6,10.8,12))/100))+MIN((Skills!T19*(1+(Inputs!$B$34+(ArtifactsInput!$M$7-ArtifactsInput!$M$7)*CHOOSE(ArtifactsInput!$N$7+1,6,7.2,8.4,9.6,10.8,12))/100)),MAX(0,Inputs!$B$43-((R2876-1)*Skills!D19))))/Inputs!$B$43),IF(Inputs!$B$38="pvp",MIN((Skills!T19*(1+(Inputs!$B$34+(ArtifactsInput!$M$7-ArtifactsInput!$M$7)*CHOOSE(ArtifactsInput!$N$7+1,6,7.2,8.4,9.6,10.8,12))/100)),15)/15,(Skills!T19*(1+(Inputs!$B$34+(ArtifactsInput!$M$7-ArtifactsInput!$M$7)*CHOOSE(ArtifactsInput!$N$7+1,6,7.2,8.4,9.6,10.8,12))/100))/Skills!D19)))</f>
        <v/>
      </c>
    </row>
    <row r="2888">
      <c r="A2888" t="inlineStr">
        <is>
          <t>Actions Per Second</t>
        </is>
      </c>
      <c r="B2888">
        <f>1+MIN(150,150*(1-(1-(Inputs!$B$11+((C2877=TRUE)*(F2877-Calc!F20)))/150)*(1-B2887/150)))/100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Raging Blow Casts Per Second</t>
        </is>
      </c>
      <c r="B2890">
        <f>MAX(0,B2888-B2889)</f>
        <v/>
      </c>
    </row>
    <row r="2891">
      <c r="A2891" t="inlineStr">
        <is>
          <t>Global Critical Damage Bonus % (Enrage)</t>
        </is>
      </c>
      <c r="B2891">
        <f>((C2875=TRUE)*F2875*IF(AND(Inputs!$B$38&lt;&gt;"pvp",Inputs!$B$43&gt;0),(((R2875-1)*(Skills!T18*(1+(Inputs!$B$34+(ArtifactsInput!$M$7-ArtifactsInput!$M$7)*CHOOSE(ArtifactsInput!$N$7+1,6,7.2,8.4,9.6,10.8,12))/100))+MIN((Skills!T18*(1+(Inputs!$B$34+(ArtifactsInput!$M$7-ArtifactsInput!$M$7)*CHOOSE(ArtifactsInput!$N$7+1,6,7.2,8.4,9.6,10.8,12))/100)),MAX(0,Inputs!$B$43-((R2875-1)*Skills!D18))))/Inputs!$B$43),IF(Inputs!$B$38="pvp",MIN((Skills!T18*(1+(Inputs!$B$34+(ArtifactsInput!$M$7-ArtifactsInput!$M$7)*CHOOSE(ArtifactsInput!$N$7+1,6,7.2,8.4,9.6,10.8,12))/100)),15)/15,(Skills!T18*(1+(Inputs!$B$34+(ArtifactsInput!$M$7-ArtifactsInput!$M$7)*CHOOSE(ArtifactsInput!$N$7+1,6,7.2,8.4,9.6,10.8,12))/100))/Skills!D18)))</f>
        <v/>
      </c>
    </row>
    <row r="2892">
      <c r="A2892" t="inlineStr">
        <is>
          <t>Global Final Damage Bonus % (Enrage + Combo Synergy)</t>
        </is>
      </c>
      <c r="B2892">
        <f>((C2874=TRUE)*F2874*IF(AND(Inputs!$B$38&lt;&gt;"pvp",Inputs!$B$43&gt;0),(((R2874-1)*(Skills!T17*(1+(Inputs!$B$34+(ArtifactsInput!$M$7-ArtifactsInput!$M$7)*CHOOSE(ArtifactsInput!$N$7+1,6,7.2,8.4,9.6,10.8,12))/100))+MIN((Skills!T17*(1+(Inputs!$B$34+(ArtifactsInput!$M$7-ArtifactsInput!$M$7)*CHOOSE(ArtifactsInput!$N$7+1,6,7.2,8.4,9.6,10.8,12))/100)),MAX(0,Inputs!$B$43-((R2874-1)*Skills!D17))))/Inputs!$B$43),IF(Inputs!$B$38="pvp",MIN((Skills!T17*(1+(Inputs!$B$34+(ArtifactsInput!$M$7-ArtifactsInput!$M$7)*CHOOSE(ArtifactsInput!$N$7+1,6,7.2,8.4,9.6,10.8,12))/100)),15)/15,(Skills!T17*(1+(Inputs!$B$34+(ArtifactsInput!$M$7-ArtifactsInput!$M$7)*CHOOSE(ArtifactsInput!$N$7+1,6,7.2,8.4,9.6,10.8,12))/100))/Skills!D17)))+((C2871=TRUE)*F2871*IF(Inputs!$B$3&gt;=110,7,5))</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2901)</f>
        <v/>
      </c>
      <c r="L2901">
        <f>K2901*(MIN(Inputs!$B$22+((C2921=TRUE)*(F2921-Calc!F22)),(Inputs!$B$23+((C2923=TRUE)*(F2923-Calc!F24))+(IF(ArtifactsInput!$M$15,CHOOSE(ArtifactsInput!$N$15+1,25,30,35,40,45,50)/100*(Inputs!$B$11-Inputs!$B$11),0))))/100+(Inputs!$B$23+((C2923=TRUE)*(F2923-Calc!F24))+(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INDEX(FactorTable!$B$2:$Y$301, MATCH(ROUND(MIN(300,MAX(1,D2902)),0),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INDEX(FactorTable!$B$2:$Y$301, MATCH(ROUND(MIN(300,MAX(1,U2901)),0), FactorTable!$A$2:$A$301,0), 22)</f>
        <v/>
      </c>
    </row>
    <row r="2903">
      <c r="A2903">
        <f>Skills!A4</f>
        <v/>
      </c>
      <c r="B2903">
        <f>Skills!B4</f>
        <v/>
      </c>
      <c r="C2903">
        <f>Inputs!$B$3&gt;=105</f>
        <v/>
      </c>
      <c r="D2903">
        <f>IF(Skills!C4=1,60+Inputs!$B$25+Inputs!$B$29,IF(Skills!C4=2,90+Inputs!$B$26+Inputs!$B$29,IF(Skills!C4=3,120+Inputs!$B$27+Inputs!$B$29,MAX(0,(Inputs!$B$3-100)*3)+Inputs!$B$28+Inputs!$B$29)))</f>
        <v/>
      </c>
      <c r="E2903">
        <f>INDEX(FactorTable!$B$2:$Y$301, MATCH(ROUND(MIN(300,MAX(1,D2903)),0), FactorTable!$A$2:$A$301,0), Skills!M4+1)</f>
        <v/>
      </c>
      <c r="F2903">
        <f>IF(Skills!N4=TRUE,(Skills!L4/10)*(E2903/1000),Skills!L4/10)+Skills!O4</f>
        <v/>
      </c>
      <c r="G2903" t="inlineStr"/>
      <c r="H2903" t="inlineStr"/>
      <c r="I2903" t="inlineStr">
        <is>
          <t>1</t>
        </is>
      </c>
      <c r="J2903" t="inlineStr"/>
      <c r="K2903" t="inlineStr"/>
      <c r="L2903" t="inlineStr"/>
      <c r="M2903" t="inlineStr"/>
      <c r="N2903" t="inlineStr"/>
      <c r="O2903" t="inlineStr"/>
      <c r="P2903" t="inlineStr"/>
      <c r="Q2903" t="inlineStr"/>
      <c r="R2903" t="inlineStr"/>
      <c r="S2903" t="inlineStr"/>
      <c r="U2903">
        <f>290*U2902/1000</f>
        <v/>
      </c>
    </row>
    <row r="2904">
      <c r="A2904">
        <f>Skills!A5</f>
        <v/>
      </c>
      <c r="B2904">
        <f>Skills!B5</f>
        <v/>
      </c>
      <c r="C2904">
        <f>Inputs!$B$3&gt;=103</f>
        <v/>
      </c>
      <c r="D2904">
        <f>IF(Skills!C5=1,60+Inputs!$B$25+Inputs!$B$29,IF(Skills!C5=2,90+Inputs!$B$26+Inputs!$B$29,IF(Skills!C5=3,120+Inputs!$B$27+Inputs!$B$29,MAX(0,(Inputs!$B$3-100)*3)+Inputs!$B$28+Inputs!$B$29)))</f>
        <v/>
      </c>
      <c r="E2904">
        <f>INDEX(FactorTable!$B$2:$Y$301, MATCH(ROUND(MIN(300,MAX(1,D2904)),0), FactorTable!$A$2:$A$301,0), Skills!M5+1)</f>
        <v/>
      </c>
      <c r="F2904">
        <f>IF(Skills!N5=TRUE,(Skills!L5/10)*(E2904/1000),Skills!L5/10)+Skills!O5</f>
        <v/>
      </c>
      <c r="G2904">
        <f>Skills!G5*IF(Skills!H5&gt;0,Skills!I5/Skills!H5,1)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2904)</f>
        <v/>
      </c>
      <c r="L2904">
        <f>K2904*(MIN(Inputs!$B$22+((C2921=TRUE)*(F2921-Calc!F22)),(Inputs!$B$23+((C2923=TRUE)*(F2923-Calc!F24))+(IF(ArtifactsInput!$M$15,CHOOSE(ArtifactsInput!$N$15+1,25,30,35,40,45,50)/100*(Inputs!$B$11-Inputs!$B$11),0))))/100+(Inputs!$B$23+((C2923=TRUE)*(F2923-Calc!F24))+(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IFERROR(1/(IF(Inputs!$B$38="pvp",15,MAX(0.1,Skills!D5-IF(Skills!E5=TRUE,3.0,0)))*(1-IF(AND(ArtifactsInput!$M$27,Inputs!$B$4="Chapter Hunt"),CHOOSE(ArtifactsInput!$N$27+1,20,24,28,32,36,40),0)/100)),0)</f>
        <v/>
      </c>
      <c r="R2904">
        <f>IF(AND(Inputs!$B$38&lt;&gt;"pvp",Inputs!$B$43&gt;0),IF(MAX(0,Inputs!$B$43-B2935)&lt;=0,0,(INT(MAX(0,Inputs!$B$43-B2935)/(IF(Inputs!$B$38="pvp",15,MAX(0.1,Skills!D5-IF(Skills!E5=TRUE,3.0,0)))*(1-IF(AND(ArtifactsInput!$M$27,Inputs!$B$4="Chapter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INDEX(FactorTable!$B$2:$Y$301, MATCH(ROUND(MIN(300,MAX(1,D2905)),0), FactorTable!$A$2:$A$301,0), Skills!M6+1)</f>
        <v/>
      </c>
      <c r="F2905">
        <f>IF(Skills!N6=TRUE,(Skills!L6/10)*(E2905/1000),Skills!L6/10)+Skills!O6</f>
        <v/>
      </c>
      <c r="G2905">
        <f>Skills!G6*IF(Skills!H6&gt;0,Skills!I6/Skills!H6,1)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2905)</f>
        <v/>
      </c>
      <c r="L2905">
        <f>K2905*(MIN(Inputs!$B$22+((C2921=TRUE)*(F2921-Calc!F22)),(Inputs!$B$23+((C2923=TRUE)*(F2923-Calc!F24))+(IF(ArtifactsInput!$M$15,CHOOSE(ArtifactsInput!$N$15+1,25,30,35,40,45,50)/100*(Inputs!$B$11-Inputs!$B$11),0))))/100+(Inputs!$B$23+((C2923=TRUE)*(F2923-Calc!F24))+(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IFERROR(1/(IF(Inputs!$B$38="pvp",15,MAX(0.1,Skills!D6-IF(Skills!E6=TRUE,3.0,0)))*(1-IF(AND(ArtifactsInput!$M$27,Inputs!$B$4="Chapter Hunt"),CHOOSE(ArtifactsInput!$N$27+1,20,24,28,32,36,40),0)/100)),0)</f>
        <v/>
      </c>
      <c r="R2905">
        <f>IF(AND(Inputs!$B$38&lt;&gt;"pvp",Inputs!$B$43&gt;0),IF(MAX(0,Inputs!$B$43-B2935)&lt;=0,0,(INT(MAX(0,Inputs!$B$43-B2935)/(IF(Inputs!$B$38="pvp",15,MAX(0.1,Skills!D6-IF(Skills!E6=TRUE,3.0,0)))*(1-IF(AND(ArtifactsInput!$M$27,Inputs!$B$4="Chapter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INDEX(FactorTable!$B$2:$Y$301, MATCH(ROUND(MIN(300,MAX(1,D2906)),0), FactorTable!$A$2:$A$301,0), Skills!M7+1)</f>
        <v/>
      </c>
      <c r="F2906">
        <f>IF(Skills!N7=TRUE,(Skills!L7/10)*(E2906/1000),Skills!L7/10)+Skills!O7</f>
        <v/>
      </c>
      <c r="G2906">
        <f>Skills!G7*IF(Skills!H7&gt;0,Skills!I7/Skills!H7,1)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2906)</f>
        <v/>
      </c>
      <c r="L2906">
        <f>K2906*(MIN(Inputs!$B$22+((C2921=TRUE)*(F2921-Calc!F22)),(Inputs!$B$23+((C2923=TRUE)*(F2923-Calc!F24))+(IF(ArtifactsInput!$M$15,CHOOSE(ArtifactsInput!$N$15+1,25,30,35,40,45,50)/100*(Inputs!$B$11-Inputs!$B$11),0))))/100+(Inputs!$B$23+((C2923=TRUE)*(F2923-Calc!F24))+(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IFERROR(1/(IF(Inputs!$B$38="pvp",15,MAX(0.1,Skills!D7-IF(Skills!E7=TRUE,3.0,0)))*(1-IF(AND(ArtifactsInput!$M$27,Inputs!$B$4="Chapter Hunt"),CHOOSE(ArtifactsInput!$N$27+1,20,24,28,32,36,40),0)/100)),0)</f>
        <v/>
      </c>
      <c r="R2906">
        <f>IF(AND(Inputs!$B$38&lt;&gt;"pvp",Inputs!$B$43&gt;0),IF(MAX(0,Inputs!$B$43-B2935)&lt;=0,0,(INT(MAX(0,Inputs!$B$43-B2935)/(IF(Inputs!$B$38="pvp",15,MAX(0.1,Skills!D7-IF(Skills!E7=TRUE,3.0,0)))*(1-IF(AND(ArtifactsInput!$M$27,Inputs!$B$4="Chapter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Inputs!$B$3&gt;=117</f>
        <v/>
      </c>
      <c r="D2907">
        <f>IF(Skills!C8=1,60+Inputs!$B$25+Inputs!$B$29,IF(Skills!C8=2,90+Inputs!$B$26+Inputs!$B$29,IF(Skills!C8=3,120+Inputs!$B$27+Inputs!$B$29,MAX(0,(Inputs!$B$3-100)*3)+Inputs!$B$28+Inputs!$B$29)))</f>
        <v/>
      </c>
      <c r="E2907">
        <f>INDEX(FactorTable!$B$2:$Y$301, MATCH(ROUND(MIN(300,MAX(1,D2907)),0), FactorTable!$A$2:$A$301,0), Skills!M8+1)</f>
        <v/>
      </c>
      <c r="F2907">
        <f>IF(Skills!N8=TRUE,(Skills!L8/10)*(E2907/1000),Skills!L8/10)+Skills!O8</f>
        <v/>
      </c>
      <c r="G2907">
        <f>Skills!G8*IF(Skills!H8&gt;0,Skills!I8/Skills!H8,1)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2907)</f>
        <v/>
      </c>
      <c r="L2907">
        <f>K2907*(MIN(Inputs!$B$22+((C2921=TRUE)*(F2921-Calc!F22)),(Inputs!$B$23+((C2923=TRUE)*(F2923-Calc!F24))+(IF(ArtifactsInput!$M$15,CHOOSE(ArtifactsInput!$N$15+1,25,30,35,40,45,50)/100*(Inputs!$B$11-Inputs!$B$11),0))))/100+(Inputs!$B$23+((C2923=TRUE)*(F2923-Calc!F24))+(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IFERROR(1/(IF(Inputs!$B$38="pvp",15,MAX(0.1,Skills!D8-IF(Skills!E8=TRUE,3.0,0)))*(1-IF(AND(ArtifactsInput!$M$27,Inputs!$B$4="Chapter Hunt"),CHOOSE(ArtifactsInput!$N$27+1,20,24,28,32,36,40),0)/100)),0)</f>
        <v/>
      </c>
      <c r="R2907">
        <f>IF(AND(Inputs!$B$38&lt;&gt;"pvp",Inputs!$B$43&gt;0),IF(MAX(0,Inputs!$B$43-B2935)&lt;=0,0,(INT(MAX(0,Inputs!$B$43-B2935)/(IF(Inputs!$B$38="pvp",15,MAX(0.1,Skills!D8-IF(Skills!E8=TRUE,3.0,0)))*(1-IF(AND(ArtifactsInput!$M$27,Inputs!$B$4="Chapter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Inputs!$B$3&gt;=69</f>
        <v/>
      </c>
      <c r="D2908">
        <f>IF(Skills!C9=1,60+Inputs!$B$25+Inputs!$B$29,IF(Skills!C9=2,90+Inputs!$B$26+Inputs!$B$29,IF(Skills!C9=3,120+Inputs!$B$27+Inputs!$B$29,MAX(0,(Inputs!$B$3-100)*3)+Inputs!$B$28+Inputs!$B$29)))</f>
        <v/>
      </c>
      <c r="E2908">
        <f>INDEX(FactorTable!$B$2:$Y$301, MATCH(ROUND(MIN(300,MAX(1,D2908)),0), FactorTable!$A$2:$A$301,0), Skills!M9+1)</f>
        <v/>
      </c>
      <c r="F2908">
        <f>IF(Skills!N9=TRUE,(Skills!L9/10)*(E2908/1000),Skills!L9/10)+Skills!O9</f>
        <v/>
      </c>
      <c r="G2908">
        <f>Skills!G9*IF(Skills!H9&gt;0,Skills!I9/Skills!H9,1)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9="ENHANCED_RAGING_BLOW",IF(Inputs!$B$3&gt;=134,MAX(0,IF(Inputs!$B$3&gt;=110,7,5)-5)*50,0),0)/100)*(1+(IF(Skills!A9="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2908)</f>
        <v/>
      </c>
      <c r="L2908">
        <f>K2908*(MIN(Inputs!$B$22+((C2921=TRUE)*(F2921-Calc!F22)),(Inputs!$B$23+((C2923=TRUE)*(F2923-Calc!F24))+(IF(ArtifactsInput!$M$15,CHOOSE(ArtifactsInput!$N$15+1,25,30,35,40,45,50)/100*(Inputs!$B$11-Inputs!$B$11),0))))/100+(Inputs!$B$23+((C2923=TRUE)*(F2923-Calc!F24))+(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IFERROR(1/(IF(Inputs!$B$38="pvp",15,MAX(0.1,Skills!D9-IF(Skills!E9=TRUE,3.0,0)))*(1-IF(AND(ArtifactsInput!$M$27,Inputs!$B$4="Chapter Hunt"),CHOOSE(ArtifactsInput!$N$27+1,20,24,28,32,36,40),0)/100)),0)</f>
        <v/>
      </c>
      <c r="R2908">
        <f>IF(AND(Inputs!$B$38&lt;&gt;"pvp",Inputs!$B$43&gt;0),IF(MAX(0,Inputs!$B$43-B2935)&lt;=0,0,(INT(MAX(0,Inputs!$B$43-B2935)/(IF(Inputs!$B$38="pvp",15,MAX(0.1,Skills!D9-IF(Skills!E9=TRUE,3.0,0)))*(1-IF(AND(ArtifactsInput!$M$27,Inputs!$B$4="Chapter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Inputs!$B$3&gt;=63</f>
        <v/>
      </c>
      <c r="D2909">
        <f>IF(Skills!C10=1,60+Inputs!$B$25+Inputs!$B$29,IF(Skills!C10=2,90+Inputs!$B$26+Inputs!$B$29,IF(Skills!C10=3,120+Inputs!$B$27+Inputs!$B$29,MAX(0,(Inputs!$B$3-100)*3)+Inputs!$B$28+Inputs!$B$29)))</f>
        <v/>
      </c>
      <c r="E2909">
        <f>INDEX(FactorTable!$B$2:$Y$301, MATCH(ROUND(MIN(300,MAX(1,D2909)),0), FactorTable!$A$2:$A$301,0), Skills!M10+1)</f>
        <v/>
      </c>
      <c r="F2909">
        <f>IF(Skills!N10=TRUE,(Skills!L10/10)*(E2909/1000),Skills!L10/10)+Skills!O10</f>
        <v/>
      </c>
      <c r="G2909">
        <f>Skills!G10*IF(Skills!H10&gt;0,Skills!I10/Skills!H10,1)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10="ENHANCED_RAGING_BLOW",IF(Inputs!$B$3&gt;=134,MAX(0,IF(Inputs!$B$3&gt;=110,7,5)-5)*50,0),0)/100)*(1+(IF(Skills!A10="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2909)</f>
        <v/>
      </c>
      <c r="L2909">
        <f>K2909*(MIN(Inputs!$B$22+((C2921=TRUE)*(F2921-Calc!F22)),(Inputs!$B$23+((C2923=TRUE)*(F2923-Calc!F24))+(IF(ArtifactsInput!$M$15,CHOOSE(ArtifactsInput!$N$15+1,25,30,35,40,45,50)/100*(Inputs!$B$11-Inputs!$B$11),0))))/100+(Inputs!$B$23+((C2923=TRUE)*(F2923-Calc!F24))+(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IFERROR(1/(IF(Inputs!$B$38="pvp",15,MAX(0.1,Skills!D10-IF(Skills!E10=TRUE,3.0,0)))*(1-IF(AND(ArtifactsInput!$M$27,Inputs!$B$4="Chapter Hunt"),CHOOSE(ArtifactsInput!$N$27+1,20,24,28,32,36,40),0)/100)),0)</f>
        <v/>
      </c>
      <c r="R2909">
        <f>IF(AND(Inputs!$B$38&lt;&gt;"pvp",Inputs!$B$43&gt;0),IF(MAX(0,Inputs!$B$43-B2935)&lt;=0,0,(INT(MAX(0,Inputs!$B$43-B2935)/(IF(Inputs!$B$38="pvp",15,MAX(0.1,Skills!D10-IF(Skills!E10=TRUE,3.0,0)))*(1-IF(AND(ArtifactsInput!$M$27,Inputs!$B$4="Chapter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Inputs!$B$3&gt;=35</f>
        <v/>
      </c>
      <c r="D2910">
        <f>IF(Skills!C11=1,60+Inputs!$B$25+Inputs!$B$29,IF(Skills!C11=2,90+Inputs!$B$26+Inputs!$B$29,IF(Skills!C11=3,120+Inputs!$B$27+Inputs!$B$29,MAX(0,(Inputs!$B$3-100)*3)+Inputs!$B$28+Inputs!$B$29)))</f>
        <v/>
      </c>
      <c r="E2910">
        <f>INDEX(FactorTable!$B$2:$Y$301, MATCH(ROUND(MIN(300,MAX(1,D2910)),0), FactorTable!$A$2:$A$301,0), Skills!M11+1)</f>
        <v/>
      </c>
      <c r="F2910">
        <f>IF(Skills!N11=TRUE,(Skills!L11/10)*(E2910/1000),Skills!L11/10)+Skills!O11</f>
        <v/>
      </c>
      <c r="G2910">
        <f>Skills!G11*IF(Skills!H11&gt;0,Skills!I11/Skills!H11,1)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11="ENHANCED_RAGING_BLOW",IF(Inputs!$B$3&gt;=134,MAX(0,IF(Inputs!$B$3&gt;=110,7,5)-5)*50,0),0)/100)*(1+(IF(Skills!A11="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2910)</f>
        <v/>
      </c>
      <c r="L2910">
        <f>K2910*(MIN(Inputs!$B$22+((C2921=TRUE)*(F2921-Calc!F22)),(Inputs!$B$23+((C2923=TRUE)*(F2923-Calc!F24))+(IF(ArtifactsInput!$M$15,CHOOSE(ArtifactsInput!$N$15+1,25,30,35,40,45,50)/100*(Inputs!$B$11-Inputs!$B$11),0))))/100+(Inputs!$B$23+((C2923=TRUE)*(F2923-Calc!F24))+(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IFERROR(1/(IF(Inputs!$B$38="pvp",15,MAX(0.1,Skills!D11-IF(Skills!E11=TRUE,3.0,0)))*(1-IF(AND(ArtifactsInput!$M$27,Inputs!$B$4="Chapter Hunt"),CHOOSE(ArtifactsInput!$N$27+1,20,24,28,32,36,40),0)/100)),0)</f>
        <v/>
      </c>
      <c r="R2910">
        <f>IF(AND(Inputs!$B$38&lt;&gt;"pvp",Inputs!$B$43&gt;0),IF(MAX(0,Inputs!$B$43-B2935)&lt;=0,0,(INT(MAX(0,Inputs!$B$43-B2935)/(IF(Inputs!$B$38="pvp",15,MAX(0.1,Skills!D11-IF(Skills!E11=TRUE,3.0,0)))*(1-IF(AND(ArtifactsInput!$M$27,Inputs!$B$4="Chapter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INDEX(FactorTable!$B$2:$Y$301, MATCH(ROUND(MIN(300,MAX(1,D2911)),0),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INDEX(FactorTable!$B$2:$Y$301, MATCH(ROUND(MIN(300,MAX(1,D2912)),0), FactorTable!$A$2:$A$301,0), Skills!M13+1)</f>
        <v/>
      </c>
      <c r="F2912">
        <f>IF(Skills!N13=TRUE,(Skills!L13/10)*(E2912/1000),Skills!L13/10)+Skills!O13</f>
        <v/>
      </c>
      <c r="G2912">
        <f>Skills!G13*IF(Skills!H13&gt;0,Skills!I13/Skills!H13,1)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Inputs!$B$3&gt;=75</f>
        <v/>
      </c>
      <c r="D2913">
        <f>IF(Skills!C14=1,60+Inputs!$B$25+Inputs!$B$29,IF(Skills!C14=2,90+Inputs!$B$26+Inputs!$B$29,IF(Skills!C14=3,120+Inputs!$B$27+Inputs!$B$29,MAX(0,(Inputs!$B$3-100)*3)+Inputs!$B$28+Inputs!$B$29)))</f>
        <v/>
      </c>
      <c r="E2913">
        <f>INDEX(FactorTable!$B$2:$Y$301, MATCH(ROUND(MIN(300,MAX(1,D2913)),0), FactorTable!$A$2:$A$301,0), Skills!M14+1)</f>
        <v/>
      </c>
      <c r="F2913">
        <f>IF(Skills!N14=TRUE,(Skills!L14/10)*(E2913/1000),Skills!L14/10)+Skills!O14</f>
        <v/>
      </c>
      <c r="G2913">
        <f>Skills!G14*IF(Skills!H14&gt;0,Skills!I14/Skills!H14,1)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Inputs!$B$3&gt;=40</f>
        <v/>
      </c>
      <c r="D2914">
        <f>IF(Skills!C15=1,60+Inputs!$B$25+Inputs!$B$29,IF(Skills!C15=2,90+Inputs!$B$26+Inputs!$B$29,IF(Skills!C15=3,120+Inputs!$B$27+Inputs!$B$29,MAX(0,(Inputs!$B$3-100)*3)+Inputs!$B$28+Inputs!$B$29)))</f>
        <v/>
      </c>
      <c r="E2914">
        <f>INDEX(FactorTable!$B$2:$Y$301, MATCH(ROUND(MIN(300,MAX(1,D2914)),0), FactorTable!$A$2:$A$301,0), Skills!M15+1)</f>
        <v/>
      </c>
      <c r="F2914">
        <f>IF(Skills!N15=TRUE,(Skills!L15/10)*(E2914/1000),Skills!L15/10)+Skills!O15</f>
        <v/>
      </c>
      <c r="G2914">
        <f>Skills!G15*IF(Skills!H15&gt;0,Skills!I15/Skills!H15,1)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IFERROR(1/(IF(Inputs!$B$38="pvp",15,MAX(0.1,Skills!D15-IF(Skills!E15=TRUE,3.0,0)))*(1-IF(AND(ArtifactsInput!$M$27,Inputs!$B$4="Chapter Hunt"),CHOOSE(ArtifactsInput!$N$27+1,20,24,28,32,36,40),0)/100)),0)</f>
        <v/>
      </c>
      <c r="R2914">
        <f>IF(AND(Inputs!$B$38&lt;&gt;"pvp",Inputs!$B$43&gt;0),IF(Inputs!$B$43&lt;=0,0,(INT(Inputs!$B$43/(IF(Inputs!$B$38="pvp",15,MAX(0.1,Skills!D15-IF(Skills!E15=TRUE,3.0,0)))*(1-IF(AND(ArtifactsInput!$M$27,Inputs!$B$4="Chapter Hunt"),CHOOSE(ArtifactsInput!$N$27+1,20,24,28,32,36,40),0)/100)))+1)),0)</f>
        <v/>
      </c>
      <c r="S2914">
        <f>IFERROR(O2914/N2914,0)</f>
        <v/>
      </c>
      <c r="T2914" t="n">
        <v>0</v>
      </c>
      <c r="V2914" t="n">
        <v>0</v>
      </c>
    </row>
    <row r="2915">
      <c r="A2915">
        <f>Skills!A16</f>
        <v/>
      </c>
      <c r="B2915">
        <f>Skills!B16</f>
        <v/>
      </c>
      <c r="C2915">
        <f>Inputs!$B$3&gt;=66</f>
        <v/>
      </c>
      <c r="D2915">
        <f>IF(Skills!C16=1,60+Inputs!$B$25+Inputs!$B$29,IF(Skills!C16=2,90+Inputs!$B$26+Inputs!$B$29,IF(Skills!C16=3,120+Inputs!$B$27+Inputs!$B$29,MAX(0,(Inputs!$B$3-100)*3)+Inputs!$B$28+Inputs!$B$29)))</f>
        <v/>
      </c>
      <c r="E2915">
        <f>INDEX(FactorTable!$B$2:$Y$301, MATCH(ROUND(MIN(300,MAX(1,D2915)),0), FactorTable!$A$2:$A$301,0), Skills!M16+1)</f>
        <v/>
      </c>
      <c r="F2915">
        <f>IF(Skills!N16=TRUE,(Skills!L16/10)*(E2915/1000),Skills!L16/10)+Skills!O16</f>
        <v/>
      </c>
      <c r="G2915">
        <f>Skills!G16*IF(Skills!H16&gt;0,Skills!I16/Skills!H16,1)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IFERROR(1/(IF(Inputs!$B$38="pvp",15,MAX(0.1,Skills!D16-IF(Skills!E16=TRUE,3.0,0)))*(1-IF(AND(ArtifactsInput!$M$27,Inputs!$B$4="Chapter Hunt"),CHOOSE(ArtifactsInput!$N$27+1,20,24,28,32,36,40),0)/100)),0)</f>
        <v/>
      </c>
      <c r="R2915">
        <f>IF(AND(Inputs!$B$38&lt;&gt;"pvp",Inputs!$B$43&gt;0),IF(Inputs!$B$43&lt;=0,0,(INT(Inputs!$B$43/(IF(Inputs!$B$38="pvp",15,MAX(0.1,Skills!D16-IF(Skills!E16=TRUE,3.0,0)))*(1-IF(AND(ArtifactsInput!$M$27,Inputs!$B$4="Chapter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INDEX(FactorTable!$B$2:$Y$301, MATCH(ROUND(MIN(300,MAX(1,D2916)),0), FactorTable!$A$2:$A$301,0), Skills!M17+1)</f>
        <v/>
      </c>
      <c r="F2916">
        <f>IF(Skills!N17=TRUE,(Skills!L17/10)*(E2916/1000),Skills!L17/10)+Skills!O17</f>
        <v/>
      </c>
      <c r="G2916">
        <f>Skills!G17*IF(Skills!H17&gt;0,Skills!I17/Skills!H17,1)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IFERROR(1/(IF(Inputs!$B$38="pvp",15,MAX(0.1,Skills!D17-IF(Skills!E17=TRUE,3.0,0)))*(1-IF(AND(ArtifactsInput!$M$27,Inputs!$B$4="Chapter Hunt"),CHOOSE(ArtifactsInput!$N$27+1,20,24,28,32,36,40),0)/100)),0)</f>
        <v/>
      </c>
      <c r="R2916">
        <f>IF(AND(Inputs!$B$38&lt;&gt;"pvp",Inputs!$B$43&gt;0),IF(Inputs!$B$43&lt;=0,0,(INT(Inputs!$B$43/(IF(Inputs!$B$38="pvp",15,MAX(0.1,Skills!D17-IF(Skills!E17=TRUE,3.0,0)))*(1-IF(AND(ArtifactsInput!$M$27,Inputs!$B$4="Chapter Hunt"),CHOOSE(ArtifactsInput!$N$27+1,20,24,28,32,36,40),0)/100)))+1)),0)</f>
        <v/>
      </c>
      <c r="S2916">
        <f>IFERROR(O2916/N2916,0)</f>
        <v/>
      </c>
      <c r="T2916" t="n">
        <v>0</v>
      </c>
      <c r="V2916" t="n">
        <v>0</v>
      </c>
    </row>
    <row r="2917">
      <c r="A2917">
        <f>Skills!A18</f>
        <v/>
      </c>
      <c r="B2917">
        <f>Skills!B18</f>
        <v/>
      </c>
      <c r="C2917">
        <f>Inputs!$B$3&gt;=115</f>
        <v/>
      </c>
      <c r="D2917">
        <f>IF(Skills!C18=1,60+Inputs!$B$25+Inputs!$B$29,IF(Skills!C18=2,90+Inputs!$B$26+Inputs!$B$29,IF(Skills!C18=3,120+Inputs!$B$27+Inputs!$B$29,MAX(0,(Inputs!$B$3-100)*3)+Inputs!$B$28+Inputs!$B$29)))</f>
        <v/>
      </c>
      <c r="E2917">
        <f>INDEX(FactorTable!$B$2:$Y$301, MATCH(ROUND(MIN(300,MAX(1,D2917)),0), FactorTable!$A$2:$A$301,0), Skills!M18+1)</f>
        <v/>
      </c>
      <c r="F2917">
        <f>IF(Skills!N18=TRUE,(Skills!L18/10)*(E2917/1000),Skills!L18/10)+Skills!O18</f>
        <v/>
      </c>
      <c r="G2917">
        <f>Skills!G18*IF(Skills!H18&gt;0,Skills!I18/Skills!H18,1)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IFERROR(1/(IF(Inputs!$B$38="pvp",15,MAX(0.1,Skills!D18-IF(Skills!E18=TRUE,3.0,0)))*(1-IF(AND(ArtifactsInput!$M$27,Inputs!$B$4="Chapter Hunt"),CHOOSE(ArtifactsInput!$N$27+1,20,24,28,32,36,40),0)/100)),0)</f>
        <v/>
      </c>
      <c r="R2917">
        <f>IF(AND(Inputs!$B$38&lt;&gt;"pvp",Inputs!$B$43&gt;0),IF(Inputs!$B$43&lt;=0,0,(INT(Inputs!$B$43/(IF(Inputs!$B$38="pvp",15,MAX(0.1,Skills!D18-IF(Skills!E18=TRUE,3.0,0)))*(1-IF(AND(ArtifactsInput!$M$27,Inputs!$B$4="Chapter Hunt"),CHOOSE(ArtifactsInput!$N$27+1,20,24,28,32,36,40),0)/100)))+1)),0)</f>
        <v/>
      </c>
      <c r="S2917">
        <f>IFERROR(O2917/N2917,0)</f>
        <v/>
      </c>
      <c r="T2917" t="n">
        <v>0</v>
      </c>
      <c r="V2917" t="n">
        <v>0</v>
      </c>
    </row>
    <row r="2918">
      <c r="A2918">
        <f>Skills!A19</f>
        <v/>
      </c>
      <c r="B2918">
        <f>Skills!B19</f>
        <v/>
      </c>
      <c r="C2918">
        <f>TRUE</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IFERROR(1/(IF(Inputs!$B$38="pvp",15,MAX(0.1,Skills!D19-IF(Skills!E19=TRUE,3.0,0)))*(1-IF(AND(ArtifactsInput!$M$27,Inputs!$B$4="Chapter Hunt"),CHOOSE(ArtifactsInput!$N$27+1,20,24,28,32,36,40),0)/100)),0)</f>
        <v/>
      </c>
      <c r="R2918">
        <f>IF(AND(Inputs!$B$38&lt;&gt;"pvp",Inputs!$B$43&gt;0),IF(Inputs!$B$43&lt;=0,0,(INT(Inputs!$B$43/(IF(Inputs!$B$38="pvp",15,MAX(0.1,Skills!D19-IF(Skills!E19=TRUE,3.0,0)))*(1-IF(AND(ArtifactsInput!$M$27,Inputs!$B$4="Chapter Hunt"),CHOOSE(ArtifactsInput!$N$27+1,20,24,28,32,36,40),0)/100)))+1)),0)</f>
        <v/>
      </c>
      <c r="S2918">
        <f>IFERROR(O2918/N2918,0)</f>
        <v/>
      </c>
      <c r="T2918" t="n">
        <v>0</v>
      </c>
      <c r="V2918" t="n">
        <v>0</v>
      </c>
    </row>
    <row r="2919">
      <c r="A2919">
        <f>Skills!A20</f>
        <v/>
      </c>
      <c r="B2919">
        <f>Skills!B20</f>
        <v/>
      </c>
      <c r="C2919">
        <f>Inputs!$B$3&gt;=33</f>
        <v/>
      </c>
      <c r="D2919">
        <f>IF(Skills!C20=1,60+Inputs!$B$25+Inputs!$B$29,IF(Skills!C20=2,90+Inputs!$B$26+Inputs!$B$29,IF(Skills!C20=3,120+Inputs!$B$27+Inputs!$B$29,MAX(0,(Inputs!$B$3-100)*3)+Inputs!$B$28+Inputs!$B$29)))</f>
        <v/>
      </c>
      <c r="E2919">
        <f>INDEX(FactorTable!$B$2:$Y$301, MATCH(ROUND(MIN(300,MAX(1,D2919)),0), FactorTable!$A$2:$A$301,0), Skills!M20+1)</f>
        <v/>
      </c>
      <c r="F2919">
        <f>IF(Skills!N20=TRUE,(Skills!L20/10)*(E2919/1000),Skills!L20/10)+Skills!O20</f>
        <v/>
      </c>
      <c r="G2919">
        <f>Skills!G20*IF(Skills!H20&gt;0,Skills!I20/Skills!H20,1)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Inputs!$B$3&gt;=38</f>
        <v/>
      </c>
      <c r="D2920">
        <f>IF(Skills!C21=1,60+Inputs!$B$25+Inputs!$B$29,IF(Skills!C21=2,90+Inputs!$B$26+Inputs!$B$29,IF(Skills!C21=3,120+Inputs!$B$27+Inputs!$B$29,MAX(0,(Inputs!$B$3-100)*3)+Inputs!$B$28+Inputs!$B$29)))</f>
        <v/>
      </c>
      <c r="E2920">
        <f>INDEX(FactorTable!$B$2:$Y$301, MATCH(ROUND(MIN(300,MAX(1,D2920)),0), FactorTable!$A$2:$A$301,0), Skills!M21+1)</f>
        <v/>
      </c>
      <c r="F2920">
        <f>IF(Skills!N21=TRUE,(Skills!L21/10)*(E2920/1000),Skills!L21/10)+Skills!O21</f>
        <v/>
      </c>
      <c r="G2920">
        <f>Skills!G21*IF(Skills!H21&gt;0,Skills!I21/Skills!H21,1)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t="n">
        <v>0</v>
      </c>
      <c r="R2920" t="n">
        <v>0</v>
      </c>
      <c r="S2920">
        <f>IFERROR(O2920/N2920,0)</f>
        <v/>
      </c>
      <c r="T2920" t="n">
        <v>0</v>
      </c>
      <c r="V2920" t="n">
        <v>0</v>
      </c>
    </row>
    <row r="2921">
      <c r="A2921">
        <f>Skills!A22</f>
        <v/>
      </c>
      <c r="B2921">
        <f>Skills!B22</f>
        <v/>
      </c>
      <c r="C2921">
        <f>Inputs!$B$3&gt;=43</f>
        <v/>
      </c>
      <c r="D2921">
        <f>IF(Skills!C22=1,60+Inputs!$B$25+Inputs!$B$29,IF(Skills!C22=2,90+Inputs!$B$26+Inputs!$B$29,IF(Skills!C22=3,120+Inputs!$B$27+Inputs!$B$29,MAX(0,(Inputs!$B$3-100)*3)+Inputs!$B$28+Inputs!$B$29)))</f>
        <v/>
      </c>
      <c r="E2921">
        <f>INDEX(FactorTable!$B$2:$Y$301, MATCH(ROUND(MIN(300,MAX(1,D2921)),0), FactorTable!$A$2:$A$301,0), Skills!M22+1)</f>
        <v/>
      </c>
      <c r="F2921">
        <f>IF(Skills!N22=TRUE,(Skills!L22/10)*(E2921/1000),Skills!L22/10)+Skills!O22</f>
        <v/>
      </c>
      <c r="G2921">
        <f>Skills!G22*IF(Skills!H22&gt;0,Skills!I22/Skills!H22,1)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Inputs!$B$3&gt;=120</f>
        <v/>
      </c>
      <c r="D2922">
        <f>IF(Skills!C23=1,60+Inputs!$B$25+Inputs!$B$29,IF(Skills!C23=2,90+Inputs!$B$26+Inputs!$B$29,IF(Skills!C23=3,120+Inputs!$B$27+Inputs!$B$29,MAX(0,(Inputs!$B$3-100)*3)+Inputs!$B$28+Inputs!$B$29)))</f>
        <v/>
      </c>
      <c r="E2922">
        <f>INDEX(FactorTable!$B$2:$Y$301, MATCH(ROUND(MIN(300,MAX(1,D2922)),0), FactorTable!$A$2:$A$301,0), Skills!M23+1)</f>
        <v/>
      </c>
      <c r="F2922">
        <f>IF(Skills!N23=TRUE,(Skills!L23/10)*(E2922/1000),Skills!L23/10)+Skills!O23</f>
        <v/>
      </c>
      <c r="G2922">
        <f>Skills!G23*IF(Skills!H23&gt;0,Skills!I23/Skills!H23,1)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Inputs!$B$3&gt;=120</f>
        <v/>
      </c>
      <c r="D2923">
        <f>IF(Skills!C24=1,60+Inputs!$B$25+Inputs!$B$29,IF(Skills!C24=2,90+Inputs!$B$26+Inputs!$B$29,IF(Skills!C24=3,120+Inputs!$B$27+Inputs!$B$29,MAX(0,(Inputs!$B$3-100)*3)+Inputs!$B$28+Inputs!$B$29)))</f>
        <v/>
      </c>
      <c r="E2923">
        <f>INDEX(FactorTable!$B$2:$Y$301, MATCH(ROUND(MIN(300,MAX(1,D2923)),0), FactorTable!$A$2:$A$301,0), Skills!M24+1)</f>
        <v/>
      </c>
      <c r="F2923">
        <f>IF(Skills!N24=TRUE,(Skills!L24/10)*(E2923/1000),Skills!L24/10)+Skills!O24</f>
        <v/>
      </c>
      <c r="G2923">
        <f>Skills!G24*IF(Skills!H24&gt;0,Skills!I24/Skills!H24,1)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Inputs!$B$3&gt;=125</f>
        <v/>
      </c>
      <c r="D2924">
        <f>IF(Skills!C25=1,60+Inputs!$B$25+Inputs!$B$29,IF(Skills!C25=2,90+Inputs!$B$26+Inputs!$B$29,IF(Skills!C25=3,120+Inputs!$B$27+Inputs!$B$29,MAX(0,(Inputs!$B$3-100)*3)+Inputs!$B$28+Inputs!$B$29)))</f>
        <v/>
      </c>
      <c r="E2924">
        <f>INDEX(FactorTable!$B$2:$Y$301, MATCH(ROUND(MIN(300,MAX(1,D2924)),0), FactorTable!$A$2:$A$301,0), Skills!M25+1)</f>
        <v/>
      </c>
      <c r="F2924">
        <f>IF(Skills!N25=TRUE,(Skills!L25/10)*(E2924/1000),Skills!L25/10)+Skills!O25</f>
        <v/>
      </c>
      <c r="G2924">
        <f>Skills!G25*IF(Skills!H25&gt;0,Skills!I25/Skills!H25,1)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Inputs!$B$3&gt;=72</f>
        <v/>
      </c>
      <c r="D2925">
        <f>IF(Skills!C26=1,60+Inputs!$B$25+Inputs!$B$29,IF(Skills!C26=2,90+Inputs!$B$26+Inputs!$B$29,IF(Skills!C26=3,120+Inputs!$B$27+Inputs!$B$29,MAX(0,(Inputs!$B$3-100)*3)+Inputs!$B$28+Inputs!$B$29)))</f>
        <v/>
      </c>
      <c r="E2925">
        <f>INDEX(FactorTable!$B$2:$Y$301, MATCH(ROUND(MIN(300,MAX(1,D2925)),0), FactorTable!$A$2:$A$301,0), Skills!M26+1)</f>
        <v/>
      </c>
      <c r="F2925">
        <f>IF(Skills!N26=TRUE,(Skills!L26/10)*(E2925/1000),Skills!L26/10)+Skills!O26</f>
        <v/>
      </c>
      <c r="G2925">
        <f>Skills!G26*IF(Skills!H26&gt;0,Skills!I26/Skills!H26,1)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2918=TRUE)*F2918*IF(AND(Inputs!$B$38&lt;&gt;"pvp",Inputs!$B$43&gt;0),(((R2918-1)*(Skills!T19*(1+(Inputs!$B$34+(ArtifactsInput!$M$7-ArtifactsInput!$M$7)*CHOOSE(ArtifactsInput!$N$7+1,6,7.2,8.4,9.6,10.8,12))/100))+MIN((Skills!T19*(1+(Inputs!$B$34+(ArtifactsInput!$M$7-ArtifactsInput!$M$7)*CHOOSE(ArtifactsInput!$N$7+1,6,7.2,8.4,9.6,10.8,12))/100)),MAX(0,Inputs!$B$43-((R2918-1)*Skills!D19))))/Inputs!$B$43),IF(Inputs!$B$38="pvp",MIN((Skills!T19*(1+(Inputs!$B$34+(ArtifactsInput!$M$7-ArtifactsInput!$M$7)*CHOOSE(ArtifactsInput!$N$7+1,6,7.2,8.4,9.6,10.8,12))/100)),15)/15,(Skills!T19*(1+(Inputs!$B$34+(ArtifactsInput!$M$7-ArtifactsInput!$M$7)*CHOOSE(ArtifactsInput!$N$7+1,6,7.2,8.4,9.6,10.8,12))/100))/Skills!D19)))</f>
        <v/>
      </c>
    </row>
    <row r="2930">
      <c r="A2930" t="inlineStr">
        <is>
          <t>Actions Per Second</t>
        </is>
      </c>
      <c r="B2930">
        <f>1+MIN(150,150*(1-(1-(Inputs!$B$11+((C2919=TRUE)*(F2919-Calc!F20)))/150)*(1-B2929/150)))/100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Raging Blow Casts Per Second</t>
        </is>
      </c>
      <c r="B2932">
        <f>MAX(0,B2930-B2931)</f>
        <v/>
      </c>
    </row>
    <row r="2933">
      <c r="A2933" t="inlineStr">
        <is>
          <t>Global Critical Damage Bonus % (Enrage)</t>
        </is>
      </c>
      <c r="B2933">
        <f>((C2917=TRUE)*F2917*IF(AND(Inputs!$B$38&lt;&gt;"pvp",Inputs!$B$43&gt;0),(((R2917-1)*(Skills!T18*(1+(Inputs!$B$34+(ArtifactsInput!$M$7-ArtifactsInput!$M$7)*CHOOSE(ArtifactsInput!$N$7+1,6,7.2,8.4,9.6,10.8,12))/100))+MIN((Skills!T18*(1+(Inputs!$B$34+(ArtifactsInput!$M$7-ArtifactsInput!$M$7)*CHOOSE(ArtifactsInput!$N$7+1,6,7.2,8.4,9.6,10.8,12))/100)),MAX(0,Inputs!$B$43-((R2917-1)*Skills!D18))))/Inputs!$B$43),IF(Inputs!$B$38="pvp",MIN((Skills!T18*(1+(Inputs!$B$34+(ArtifactsInput!$M$7-ArtifactsInput!$M$7)*CHOOSE(ArtifactsInput!$N$7+1,6,7.2,8.4,9.6,10.8,12))/100)),15)/15,(Skills!T18*(1+(Inputs!$B$34+(ArtifactsInput!$M$7-ArtifactsInput!$M$7)*CHOOSE(ArtifactsInput!$N$7+1,6,7.2,8.4,9.6,10.8,12))/100))/Skills!D18)))</f>
        <v/>
      </c>
    </row>
    <row r="2934">
      <c r="A2934" t="inlineStr">
        <is>
          <t>Global Final Damage Bonus % (Enrage + Combo Synergy)</t>
        </is>
      </c>
      <c r="B2934">
        <f>((C2916=TRUE)*F2916*IF(AND(Inputs!$B$38&lt;&gt;"pvp",Inputs!$B$43&gt;0),(((R2916-1)*(Skills!T17*(1+(Inputs!$B$34+(ArtifactsInput!$M$7-ArtifactsInput!$M$7)*CHOOSE(ArtifactsInput!$N$7+1,6,7.2,8.4,9.6,10.8,12))/100))+MIN((Skills!T17*(1+(Inputs!$B$34+(ArtifactsInput!$M$7-ArtifactsInput!$M$7)*CHOOSE(ArtifactsInput!$N$7+1,6,7.2,8.4,9.6,10.8,12))/100)),MAX(0,Inputs!$B$43-((R2916-1)*Skills!D17))))/Inputs!$B$43),IF(Inputs!$B$38="pvp",MIN((Skills!T17*(1+(Inputs!$B$34+(ArtifactsInput!$M$7-ArtifactsInput!$M$7)*CHOOSE(ArtifactsInput!$N$7+1,6,7.2,8.4,9.6,10.8,12))/100)),15)/15,(Skills!T17*(1+(Inputs!$B$34+(ArtifactsInput!$M$7-ArtifactsInput!$M$7)*CHOOSE(ArtifactsInput!$N$7+1,6,7.2,8.4,9.6,10.8,12))/100))/Skills!D17)))+((C2913=TRUE)*F2913*IF(Inputs!$B$3&gt;=110,7,5))</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2943)</f>
        <v/>
      </c>
      <c r="L2943">
        <f>K2943*(MIN(Inputs!$B$22+((C2963=TRUE)*(F2963-Calc!F22)),(Inputs!$B$23+((C2965=TRUE)*(F2965-Calc!F24))+(IF(ArtifactsInput!$M$15,CHOOSE(ArtifactsInput!$N$15+1,25,30,35,40,45,50)/100*(Inputs!$B$11-Inputs!$B$11),0))))/100+(Inputs!$B$23+((C2965=TRUE)*(F2965-Calc!F24))+(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INDEX(FactorTable!$B$2:$Y$301, MATCH(ROUND(MIN(300,MAX(1,D2944)),0),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INDEX(FactorTable!$B$2:$Y$301, MATCH(ROUND(MIN(300,MAX(1,U2943)),0), FactorTable!$A$2:$A$301,0), 22)</f>
        <v/>
      </c>
    </row>
    <row r="2945">
      <c r="A2945">
        <f>Skills!A4</f>
        <v/>
      </c>
      <c r="B2945">
        <f>Skills!B4</f>
        <v/>
      </c>
      <c r="C2945">
        <f>Inputs!$B$3&gt;=105</f>
        <v/>
      </c>
      <c r="D2945">
        <f>IF(Skills!C4=1,60+Inputs!$B$25+Inputs!$B$29,IF(Skills!C4=2,90+Inputs!$B$26+Inputs!$B$29,IF(Skills!C4=3,120+Inputs!$B$27+Inputs!$B$29,MAX(0,(Inputs!$B$3-100)*3)+Inputs!$B$28+Inputs!$B$29)))</f>
        <v/>
      </c>
      <c r="E2945">
        <f>INDEX(FactorTable!$B$2:$Y$301, MATCH(ROUND(MIN(300,MAX(1,D2945)),0), FactorTable!$A$2:$A$301,0), Skills!M4+1)</f>
        <v/>
      </c>
      <c r="F2945">
        <f>IF(Skills!N4=TRUE,(Skills!L4/10)*(E2945/1000),Skills!L4/10)+Skills!O4</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U2945">
        <f>290*U2944/1000</f>
        <v/>
      </c>
    </row>
    <row r="2946">
      <c r="A2946">
        <f>Skills!A5</f>
        <v/>
      </c>
      <c r="B2946">
        <f>Skills!B5</f>
        <v/>
      </c>
      <c r="C2946">
        <f>Inputs!$B$3&gt;=103</f>
        <v/>
      </c>
      <c r="D2946">
        <f>IF(Skills!C5=1,60+Inputs!$B$25+Inputs!$B$29,IF(Skills!C5=2,90+Inputs!$B$26+Inputs!$B$29,IF(Skills!C5=3,120+Inputs!$B$27+Inputs!$B$29,MAX(0,(Inputs!$B$3-100)*3)+Inputs!$B$28+Inputs!$B$29)))</f>
        <v/>
      </c>
      <c r="E2946">
        <f>INDEX(FactorTable!$B$2:$Y$301, MATCH(ROUND(MIN(300,MAX(1,D2946)),0), FactorTable!$A$2:$A$301,0), Skills!M5+1)</f>
        <v/>
      </c>
      <c r="F2946">
        <f>IF(Skills!N5=TRUE,(Skills!L5/10)*(E2946/1000),Skills!L5/10)+Skills!O5</f>
        <v/>
      </c>
      <c r="G2946">
        <f>Skills!G5*IF(Skills!H5&gt;0,Skills!I5/Skills!H5,1)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2946)</f>
        <v/>
      </c>
      <c r="L2946">
        <f>K2946*(MIN(Inputs!$B$22+((C2963=TRUE)*(F2963-Calc!F22)),(Inputs!$B$23+((C2965=TRUE)*(F2965-Calc!F24))+(IF(ArtifactsInput!$M$15,CHOOSE(ArtifactsInput!$N$15+1,25,30,35,40,45,50)/100*(Inputs!$B$11-Inputs!$B$11),0))))/100+(Inputs!$B$23+((C2965=TRUE)*(F2965-Calc!F24))+(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IFERROR(1/(IF(Inputs!$B$38="pvp",15,MAX(0.1,Skills!D5-IF(Skills!E5=TRUE,3.5,0)))*(1-IF(AND(ArtifactsInput!$M$27,Inputs!$B$4="Chapter Hunt"),CHOOSE(ArtifactsInput!$N$27+1,20,24,28,32,36,40),0)/100)),0)</f>
        <v/>
      </c>
      <c r="R2946">
        <f>IF(AND(Inputs!$B$38&lt;&gt;"pvp",Inputs!$B$43&gt;0),IF(MAX(0,Inputs!$B$43-B2977)&lt;=0,0,(INT(MAX(0,Inputs!$B$43-B2977)/(IF(Inputs!$B$38="pvp",15,MAX(0.1,Skills!D5-IF(Skills!E5=TRUE,3.5,0)))*(1-IF(AND(ArtifactsInput!$M$27,Inputs!$B$4="Chapter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INDEX(FactorTable!$B$2:$Y$301, MATCH(ROUND(MIN(300,MAX(1,D2947)),0), FactorTable!$A$2:$A$301,0), Skills!M6+1)</f>
        <v/>
      </c>
      <c r="F2947">
        <f>IF(Skills!N6=TRUE,(Skills!L6/10)*(E2947/1000),Skills!L6/10)+Skills!O6</f>
        <v/>
      </c>
      <c r="G2947">
        <f>Skills!G6*IF(Skills!H6&gt;0,Skills!I6/Skills!H6,1)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2947)</f>
        <v/>
      </c>
      <c r="L2947">
        <f>K2947*(MIN(Inputs!$B$22+((C2963=TRUE)*(F2963-Calc!F22)),(Inputs!$B$23+((C2965=TRUE)*(F2965-Calc!F24))+(IF(ArtifactsInput!$M$15,CHOOSE(ArtifactsInput!$N$15+1,25,30,35,40,45,50)/100*(Inputs!$B$11-Inputs!$B$11),0))))/100+(Inputs!$B$23+((C2965=TRUE)*(F2965-Calc!F24))+(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IFERROR(1/(IF(Inputs!$B$38="pvp",15,MAX(0.1,Skills!D6-IF(Skills!E6=TRUE,3.5,0)))*(1-IF(AND(ArtifactsInput!$M$27,Inputs!$B$4="Chapter Hunt"),CHOOSE(ArtifactsInput!$N$27+1,20,24,28,32,36,40),0)/100)),0)</f>
        <v/>
      </c>
      <c r="R2947">
        <f>IF(AND(Inputs!$B$38&lt;&gt;"pvp",Inputs!$B$43&gt;0),IF(MAX(0,Inputs!$B$43-B2977)&lt;=0,0,(INT(MAX(0,Inputs!$B$43-B2977)/(IF(Inputs!$B$38="pvp",15,MAX(0.1,Skills!D6-IF(Skills!E6=TRUE,3.5,0)))*(1-IF(AND(ArtifactsInput!$M$27,Inputs!$B$4="Chapter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INDEX(FactorTable!$B$2:$Y$301, MATCH(ROUND(MIN(300,MAX(1,D2948)),0), FactorTable!$A$2:$A$301,0), Skills!M7+1)</f>
        <v/>
      </c>
      <c r="F2948">
        <f>IF(Skills!N7=TRUE,(Skills!L7/10)*(E2948/1000),Skills!L7/10)+Skills!O7</f>
        <v/>
      </c>
      <c r="G2948">
        <f>Skills!G7*IF(Skills!H7&gt;0,Skills!I7/Skills!H7,1)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2948)</f>
        <v/>
      </c>
      <c r="L2948">
        <f>K2948*(MIN(Inputs!$B$22+((C2963=TRUE)*(F2963-Calc!F22)),(Inputs!$B$23+((C2965=TRUE)*(F2965-Calc!F24))+(IF(ArtifactsInput!$M$15,CHOOSE(ArtifactsInput!$N$15+1,25,30,35,40,45,50)/100*(Inputs!$B$11-Inputs!$B$11),0))))/100+(Inputs!$B$23+((C2965=TRUE)*(F2965-Calc!F24))+(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IFERROR(1/(IF(Inputs!$B$38="pvp",15,MAX(0.1,Skills!D7-IF(Skills!E7=TRUE,3.5,0)))*(1-IF(AND(ArtifactsInput!$M$27,Inputs!$B$4="Chapter Hunt"),CHOOSE(ArtifactsInput!$N$27+1,20,24,28,32,36,40),0)/100)),0)</f>
        <v/>
      </c>
      <c r="R2948">
        <f>IF(AND(Inputs!$B$38&lt;&gt;"pvp",Inputs!$B$43&gt;0),IF(MAX(0,Inputs!$B$43-B2977)&lt;=0,0,(INT(MAX(0,Inputs!$B$43-B2977)/(IF(Inputs!$B$38="pvp",15,MAX(0.1,Skills!D7-IF(Skills!E7=TRUE,3.5,0)))*(1-IF(AND(ArtifactsInput!$M$27,Inputs!$B$4="Chapter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Inputs!$B$3&gt;=117</f>
        <v/>
      </c>
      <c r="D2949">
        <f>IF(Skills!C8=1,60+Inputs!$B$25+Inputs!$B$29,IF(Skills!C8=2,90+Inputs!$B$26+Inputs!$B$29,IF(Skills!C8=3,120+Inputs!$B$27+Inputs!$B$29,MAX(0,(Inputs!$B$3-100)*3)+Inputs!$B$28+Inputs!$B$29)))</f>
        <v/>
      </c>
      <c r="E2949">
        <f>INDEX(FactorTable!$B$2:$Y$301, MATCH(ROUND(MIN(300,MAX(1,D2949)),0), FactorTable!$A$2:$A$301,0), Skills!M8+1)</f>
        <v/>
      </c>
      <c r="F2949">
        <f>IF(Skills!N8=TRUE,(Skills!L8/10)*(E2949/1000),Skills!L8/10)+Skills!O8</f>
        <v/>
      </c>
      <c r="G2949">
        <f>Skills!G8*IF(Skills!H8&gt;0,Skills!I8/Skills!H8,1)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2949)</f>
        <v/>
      </c>
      <c r="L2949">
        <f>K2949*(MIN(Inputs!$B$22+((C2963=TRUE)*(F2963-Calc!F22)),(Inputs!$B$23+((C2965=TRUE)*(F2965-Calc!F24))+(IF(ArtifactsInput!$M$15,CHOOSE(ArtifactsInput!$N$15+1,25,30,35,40,45,50)/100*(Inputs!$B$11-Inputs!$B$11),0))))/100+(Inputs!$B$23+((C2965=TRUE)*(F2965-Calc!F24))+(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IFERROR(1/(IF(Inputs!$B$38="pvp",15,MAX(0.1,Skills!D8-IF(Skills!E8=TRUE,3.5,0)))*(1-IF(AND(ArtifactsInput!$M$27,Inputs!$B$4="Chapter Hunt"),CHOOSE(ArtifactsInput!$N$27+1,20,24,28,32,36,40),0)/100)),0)</f>
        <v/>
      </c>
      <c r="R2949">
        <f>IF(AND(Inputs!$B$38&lt;&gt;"pvp",Inputs!$B$43&gt;0),IF(MAX(0,Inputs!$B$43-B2977)&lt;=0,0,(INT(MAX(0,Inputs!$B$43-B2977)/(IF(Inputs!$B$38="pvp",15,MAX(0.1,Skills!D8-IF(Skills!E8=TRUE,3.5,0)))*(1-IF(AND(ArtifactsInput!$M$27,Inputs!$B$4="Chapter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Inputs!$B$3&gt;=69</f>
        <v/>
      </c>
      <c r="D2950">
        <f>IF(Skills!C9=1,60+Inputs!$B$25+Inputs!$B$29,IF(Skills!C9=2,90+Inputs!$B$26+Inputs!$B$29,IF(Skills!C9=3,120+Inputs!$B$27+Inputs!$B$29,MAX(0,(Inputs!$B$3-100)*3)+Inputs!$B$28+Inputs!$B$29)))</f>
        <v/>
      </c>
      <c r="E2950">
        <f>INDEX(FactorTable!$B$2:$Y$301, MATCH(ROUND(MIN(300,MAX(1,D2950)),0), FactorTable!$A$2:$A$301,0), Skills!M9+1)</f>
        <v/>
      </c>
      <c r="F2950">
        <f>IF(Skills!N9=TRUE,(Skills!L9/10)*(E2950/1000),Skills!L9/10)+Skills!O9</f>
        <v/>
      </c>
      <c r="G2950">
        <f>Skills!G9*IF(Skills!H9&gt;0,Skills!I9/Skills!H9,1)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9="ENHANCED_RAGING_BLOW",IF(Inputs!$B$3&gt;=134,MAX(0,IF(Inputs!$B$3&gt;=110,7,5)-5)*50,0),0)/100)*(1+(IF(Skills!A9="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2950)</f>
        <v/>
      </c>
      <c r="L2950">
        <f>K2950*(MIN(Inputs!$B$22+((C2963=TRUE)*(F2963-Calc!F22)),(Inputs!$B$23+((C2965=TRUE)*(F2965-Calc!F24))+(IF(ArtifactsInput!$M$15,CHOOSE(ArtifactsInput!$N$15+1,25,30,35,40,45,50)/100*(Inputs!$B$11-Inputs!$B$11),0))))/100+(Inputs!$B$23+((C2965=TRUE)*(F2965-Calc!F24))+(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IFERROR(1/(IF(Inputs!$B$38="pvp",15,MAX(0.1,Skills!D9-IF(Skills!E9=TRUE,3.5,0)))*(1-IF(AND(ArtifactsInput!$M$27,Inputs!$B$4="Chapter Hunt"),CHOOSE(ArtifactsInput!$N$27+1,20,24,28,32,36,40),0)/100)),0)</f>
        <v/>
      </c>
      <c r="R2950">
        <f>IF(AND(Inputs!$B$38&lt;&gt;"pvp",Inputs!$B$43&gt;0),IF(MAX(0,Inputs!$B$43-B2977)&lt;=0,0,(INT(MAX(0,Inputs!$B$43-B2977)/(IF(Inputs!$B$38="pvp",15,MAX(0.1,Skills!D9-IF(Skills!E9=TRUE,3.5,0)))*(1-IF(AND(ArtifactsInput!$M$27,Inputs!$B$4="Chapter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Inputs!$B$3&gt;=63</f>
        <v/>
      </c>
      <c r="D2951">
        <f>IF(Skills!C10=1,60+Inputs!$B$25+Inputs!$B$29,IF(Skills!C10=2,90+Inputs!$B$26+Inputs!$B$29,IF(Skills!C10=3,120+Inputs!$B$27+Inputs!$B$29,MAX(0,(Inputs!$B$3-100)*3)+Inputs!$B$28+Inputs!$B$29)))</f>
        <v/>
      </c>
      <c r="E2951">
        <f>INDEX(FactorTable!$B$2:$Y$301, MATCH(ROUND(MIN(300,MAX(1,D2951)),0), FactorTable!$A$2:$A$301,0), Skills!M10+1)</f>
        <v/>
      </c>
      <c r="F2951">
        <f>IF(Skills!N10=TRUE,(Skills!L10/10)*(E2951/1000),Skills!L10/10)+Skills!O10</f>
        <v/>
      </c>
      <c r="G2951">
        <f>Skills!G10*IF(Skills!H10&gt;0,Skills!I10/Skills!H10,1)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10="ENHANCED_RAGING_BLOW",IF(Inputs!$B$3&gt;=134,MAX(0,IF(Inputs!$B$3&gt;=110,7,5)-5)*50,0),0)/100)*(1+(IF(Skills!A10="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2951)</f>
        <v/>
      </c>
      <c r="L2951">
        <f>K2951*(MIN(Inputs!$B$22+((C2963=TRUE)*(F2963-Calc!F22)),(Inputs!$B$23+((C2965=TRUE)*(F2965-Calc!F24))+(IF(ArtifactsInput!$M$15,CHOOSE(ArtifactsInput!$N$15+1,25,30,35,40,45,50)/100*(Inputs!$B$11-Inputs!$B$11),0))))/100+(Inputs!$B$23+((C2965=TRUE)*(F2965-Calc!F24))+(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IFERROR(1/(IF(Inputs!$B$38="pvp",15,MAX(0.1,Skills!D10-IF(Skills!E10=TRUE,3.5,0)))*(1-IF(AND(ArtifactsInput!$M$27,Inputs!$B$4="Chapter Hunt"),CHOOSE(ArtifactsInput!$N$27+1,20,24,28,32,36,40),0)/100)),0)</f>
        <v/>
      </c>
      <c r="R2951">
        <f>IF(AND(Inputs!$B$38&lt;&gt;"pvp",Inputs!$B$43&gt;0),IF(MAX(0,Inputs!$B$43-B2977)&lt;=0,0,(INT(MAX(0,Inputs!$B$43-B2977)/(IF(Inputs!$B$38="pvp",15,MAX(0.1,Skills!D10-IF(Skills!E10=TRUE,3.5,0)))*(1-IF(AND(ArtifactsInput!$M$27,Inputs!$B$4="Chapter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Inputs!$B$3&gt;=35</f>
        <v/>
      </c>
      <c r="D2952">
        <f>IF(Skills!C11=1,60+Inputs!$B$25+Inputs!$B$29,IF(Skills!C11=2,90+Inputs!$B$26+Inputs!$B$29,IF(Skills!C11=3,120+Inputs!$B$27+Inputs!$B$29,MAX(0,(Inputs!$B$3-100)*3)+Inputs!$B$28+Inputs!$B$29)))</f>
        <v/>
      </c>
      <c r="E2952">
        <f>INDEX(FactorTable!$B$2:$Y$301, MATCH(ROUND(MIN(300,MAX(1,D2952)),0), FactorTable!$A$2:$A$301,0), Skills!M11+1)</f>
        <v/>
      </c>
      <c r="F2952">
        <f>IF(Skills!N11=TRUE,(Skills!L11/10)*(E2952/1000),Skills!L11/10)+Skills!O11</f>
        <v/>
      </c>
      <c r="G2952">
        <f>Skills!G11*IF(Skills!H11&gt;0,Skills!I11/Skills!H11,1)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11="ENHANCED_RAGING_BLOW",IF(Inputs!$B$3&gt;=134,MAX(0,IF(Inputs!$B$3&gt;=110,7,5)-5)*50,0),0)/100)*(1+(IF(Skills!A11="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2952)</f>
        <v/>
      </c>
      <c r="L2952">
        <f>K2952*(MIN(Inputs!$B$22+((C2963=TRUE)*(F2963-Calc!F22)),(Inputs!$B$23+((C2965=TRUE)*(F2965-Calc!F24))+(IF(ArtifactsInput!$M$15,CHOOSE(ArtifactsInput!$N$15+1,25,30,35,40,45,50)/100*(Inputs!$B$11-Inputs!$B$11),0))))/100+(Inputs!$B$23+((C2965=TRUE)*(F2965-Calc!F24))+(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IFERROR(1/(IF(Inputs!$B$38="pvp",15,MAX(0.1,Skills!D11-IF(Skills!E11=TRUE,3.5,0)))*(1-IF(AND(ArtifactsInput!$M$27,Inputs!$B$4="Chapter Hunt"),CHOOSE(ArtifactsInput!$N$27+1,20,24,28,32,36,40),0)/100)),0)</f>
        <v/>
      </c>
      <c r="R2952">
        <f>IF(AND(Inputs!$B$38&lt;&gt;"pvp",Inputs!$B$43&gt;0),IF(MAX(0,Inputs!$B$43-B2977)&lt;=0,0,(INT(MAX(0,Inputs!$B$43-B2977)/(IF(Inputs!$B$38="pvp",15,MAX(0.1,Skills!D11-IF(Skills!E11=TRUE,3.5,0)))*(1-IF(AND(ArtifactsInput!$M$27,Inputs!$B$4="Chapter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INDEX(FactorTable!$B$2:$Y$301, MATCH(ROUND(MIN(300,MAX(1,D2953)),0),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INDEX(FactorTable!$B$2:$Y$301, MATCH(ROUND(MIN(300,MAX(1,D2954)),0), FactorTable!$A$2:$A$301,0), Skills!M13+1)</f>
        <v/>
      </c>
      <c r="F2954">
        <f>IF(Skills!N13=TRUE,(Skills!L13/10)*(E2954/1000),Skills!L13/10)+Skills!O13</f>
        <v/>
      </c>
      <c r="G2954">
        <f>Skills!G13*IF(Skills!H13&gt;0,Skills!I13/Skills!H13,1)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Inputs!$B$3&gt;=75</f>
        <v/>
      </c>
      <c r="D2955">
        <f>IF(Skills!C14=1,60+Inputs!$B$25+Inputs!$B$29,IF(Skills!C14=2,90+Inputs!$B$26+Inputs!$B$29,IF(Skills!C14=3,120+Inputs!$B$27+Inputs!$B$29,MAX(0,(Inputs!$B$3-100)*3)+Inputs!$B$28+Inputs!$B$29)))</f>
        <v/>
      </c>
      <c r="E2955">
        <f>INDEX(FactorTable!$B$2:$Y$301, MATCH(ROUND(MIN(300,MAX(1,D2955)),0), FactorTable!$A$2:$A$301,0), Skills!M14+1)</f>
        <v/>
      </c>
      <c r="F2955">
        <f>IF(Skills!N14=TRUE,(Skills!L14/10)*(E2955/1000),Skills!L14/10)+Skills!O14</f>
        <v/>
      </c>
      <c r="G2955">
        <f>Skills!G14*IF(Skills!H14&gt;0,Skills!I14/Skills!H14,1)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Inputs!$B$3&gt;=40</f>
        <v/>
      </c>
      <c r="D2956">
        <f>IF(Skills!C15=1,60+Inputs!$B$25+Inputs!$B$29,IF(Skills!C15=2,90+Inputs!$B$26+Inputs!$B$29,IF(Skills!C15=3,120+Inputs!$B$27+Inputs!$B$29,MAX(0,(Inputs!$B$3-100)*3)+Inputs!$B$28+Inputs!$B$29)))</f>
        <v/>
      </c>
      <c r="E2956">
        <f>INDEX(FactorTable!$B$2:$Y$301, MATCH(ROUND(MIN(300,MAX(1,D2956)),0), FactorTable!$A$2:$A$301,0), Skills!M15+1)</f>
        <v/>
      </c>
      <c r="F2956">
        <f>IF(Skills!N15=TRUE,(Skills!L15/10)*(E2956/1000),Skills!L15/10)+Skills!O15</f>
        <v/>
      </c>
      <c r="G2956">
        <f>Skills!G15*IF(Skills!H15&gt;0,Skills!I15/Skills!H15,1)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IFERROR(1/(IF(Inputs!$B$38="pvp",15,MAX(0.1,Skills!D15-IF(Skills!E15=TRUE,3.5,0)))*(1-IF(AND(ArtifactsInput!$M$27,Inputs!$B$4="Chapter Hunt"),CHOOSE(ArtifactsInput!$N$27+1,20,24,28,32,36,40),0)/100)),0)</f>
        <v/>
      </c>
      <c r="R2956">
        <f>IF(AND(Inputs!$B$38&lt;&gt;"pvp",Inputs!$B$43&gt;0),IF(Inputs!$B$43&lt;=0,0,(INT(Inputs!$B$43/(IF(Inputs!$B$38="pvp",15,MAX(0.1,Skills!D15-IF(Skills!E15=TRUE,3.5,0)))*(1-IF(AND(ArtifactsInput!$M$27,Inputs!$B$4="Chapter Hunt"),CHOOSE(ArtifactsInput!$N$27+1,20,24,28,32,36,40),0)/100)))+1)),0)</f>
        <v/>
      </c>
      <c r="S2956">
        <f>IFERROR(O2956/N2956,0)</f>
        <v/>
      </c>
      <c r="T2956" t="n">
        <v>0</v>
      </c>
      <c r="V2956" t="n">
        <v>0</v>
      </c>
    </row>
    <row r="2957">
      <c r="A2957">
        <f>Skills!A16</f>
        <v/>
      </c>
      <c r="B2957">
        <f>Skills!B16</f>
        <v/>
      </c>
      <c r="C2957">
        <f>Inputs!$B$3&gt;=66</f>
        <v/>
      </c>
      <c r="D2957">
        <f>IF(Skills!C16=1,60+Inputs!$B$25+Inputs!$B$29,IF(Skills!C16=2,90+Inputs!$B$26+Inputs!$B$29,IF(Skills!C16=3,120+Inputs!$B$27+Inputs!$B$29,MAX(0,(Inputs!$B$3-100)*3)+Inputs!$B$28+Inputs!$B$29)))</f>
        <v/>
      </c>
      <c r="E2957">
        <f>INDEX(FactorTable!$B$2:$Y$301, MATCH(ROUND(MIN(300,MAX(1,D2957)),0), FactorTable!$A$2:$A$301,0), Skills!M16+1)</f>
        <v/>
      </c>
      <c r="F2957">
        <f>IF(Skills!N16=TRUE,(Skills!L16/10)*(E2957/1000),Skills!L16/10)+Skills!O16</f>
        <v/>
      </c>
      <c r="G2957">
        <f>Skills!G16*IF(Skills!H16&gt;0,Skills!I16/Skills!H16,1)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IFERROR(1/(IF(Inputs!$B$38="pvp",15,MAX(0.1,Skills!D16-IF(Skills!E16=TRUE,3.5,0)))*(1-IF(AND(ArtifactsInput!$M$27,Inputs!$B$4="Chapter Hunt"),CHOOSE(ArtifactsInput!$N$27+1,20,24,28,32,36,40),0)/100)),0)</f>
        <v/>
      </c>
      <c r="R2957">
        <f>IF(AND(Inputs!$B$38&lt;&gt;"pvp",Inputs!$B$43&gt;0),IF(Inputs!$B$43&lt;=0,0,(INT(Inputs!$B$43/(IF(Inputs!$B$38="pvp",15,MAX(0.1,Skills!D16-IF(Skills!E16=TRUE,3.5,0)))*(1-IF(AND(ArtifactsInput!$M$27,Inputs!$B$4="Chapter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INDEX(FactorTable!$B$2:$Y$301, MATCH(ROUND(MIN(300,MAX(1,D2958)),0), FactorTable!$A$2:$A$301,0), Skills!M17+1)</f>
        <v/>
      </c>
      <c r="F2958">
        <f>IF(Skills!N17=TRUE,(Skills!L17/10)*(E2958/1000),Skills!L17/10)+Skills!O17</f>
        <v/>
      </c>
      <c r="G2958">
        <f>Skills!G17*IF(Skills!H17&gt;0,Skills!I17/Skills!H17,1)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IFERROR(1/(IF(Inputs!$B$38="pvp",15,MAX(0.1,Skills!D17-IF(Skills!E17=TRUE,3.5,0)))*(1-IF(AND(ArtifactsInput!$M$27,Inputs!$B$4="Chapter Hunt"),CHOOSE(ArtifactsInput!$N$27+1,20,24,28,32,36,40),0)/100)),0)</f>
        <v/>
      </c>
      <c r="R2958">
        <f>IF(AND(Inputs!$B$38&lt;&gt;"pvp",Inputs!$B$43&gt;0),IF(Inputs!$B$43&lt;=0,0,(INT(Inputs!$B$43/(IF(Inputs!$B$38="pvp",15,MAX(0.1,Skills!D17-IF(Skills!E17=TRUE,3.5,0)))*(1-IF(AND(ArtifactsInput!$M$27,Inputs!$B$4="Chapter Hunt"),CHOOSE(ArtifactsInput!$N$27+1,20,24,28,32,36,40),0)/100)))+1)),0)</f>
        <v/>
      </c>
      <c r="S2958">
        <f>IFERROR(O2958/N2958,0)</f>
        <v/>
      </c>
      <c r="T2958" t="n">
        <v>0</v>
      </c>
      <c r="V2958" t="n">
        <v>0</v>
      </c>
    </row>
    <row r="2959">
      <c r="A2959">
        <f>Skills!A18</f>
        <v/>
      </c>
      <c r="B2959">
        <f>Skills!B18</f>
        <v/>
      </c>
      <c r="C2959">
        <f>Inputs!$B$3&gt;=115</f>
        <v/>
      </c>
      <c r="D2959">
        <f>IF(Skills!C18=1,60+Inputs!$B$25+Inputs!$B$29,IF(Skills!C18=2,90+Inputs!$B$26+Inputs!$B$29,IF(Skills!C18=3,120+Inputs!$B$27+Inputs!$B$29,MAX(0,(Inputs!$B$3-100)*3)+Inputs!$B$28+Inputs!$B$29)))</f>
        <v/>
      </c>
      <c r="E2959">
        <f>INDEX(FactorTable!$B$2:$Y$301, MATCH(ROUND(MIN(300,MAX(1,D2959)),0), FactorTable!$A$2:$A$301,0), Skills!M18+1)</f>
        <v/>
      </c>
      <c r="F2959">
        <f>IF(Skills!N18=TRUE,(Skills!L18/10)*(E2959/1000),Skills!L18/10)+Skills!O18</f>
        <v/>
      </c>
      <c r="G2959">
        <f>Skills!G18*IF(Skills!H18&gt;0,Skills!I18/Skills!H18,1)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IFERROR(1/(IF(Inputs!$B$38="pvp",15,MAX(0.1,Skills!D18-IF(Skills!E18=TRUE,3.5,0)))*(1-IF(AND(ArtifactsInput!$M$27,Inputs!$B$4="Chapter Hunt"),CHOOSE(ArtifactsInput!$N$27+1,20,24,28,32,36,40),0)/100)),0)</f>
        <v/>
      </c>
      <c r="R2959">
        <f>IF(AND(Inputs!$B$38&lt;&gt;"pvp",Inputs!$B$43&gt;0),IF(Inputs!$B$43&lt;=0,0,(INT(Inputs!$B$43/(IF(Inputs!$B$38="pvp",15,MAX(0.1,Skills!D18-IF(Skills!E18=TRUE,3.5,0)))*(1-IF(AND(ArtifactsInput!$M$27,Inputs!$B$4="Chapter Hunt"),CHOOSE(ArtifactsInput!$N$27+1,20,24,28,32,36,40),0)/100)))+1)),0)</f>
        <v/>
      </c>
      <c r="S2959">
        <f>IFERROR(O2959/N2959,0)</f>
        <v/>
      </c>
      <c r="T2959" t="n">
        <v>0</v>
      </c>
      <c r="V2959" t="n">
        <v>0</v>
      </c>
    </row>
    <row r="2960">
      <c r="A2960">
        <f>Skills!A19</f>
        <v/>
      </c>
      <c r="B2960">
        <f>Skills!B19</f>
        <v/>
      </c>
      <c r="C2960">
        <f>TRUE</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IFERROR(1/(IF(Inputs!$B$38="pvp",15,MAX(0.1,Skills!D19-IF(Skills!E19=TRUE,3.5,0)))*(1-IF(AND(ArtifactsInput!$M$27,Inputs!$B$4="Chapter Hunt"),CHOOSE(ArtifactsInput!$N$27+1,20,24,28,32,36,40),0)/100)),0)</f>
        <v/>
      </c>
      <c r="R2960">
        <f>IF(AND(Inputs!$B$38&lt;&gt;"pvp",Inputs!$B$43&gt;0),IF(Inputs!$B$43&lt;=0,0,(INT(Inputs!$B$43/(IF(Inputs!$B$38="pvp",15,MAX(0.1,Skills!D19-IF(Skills!E19=TRUE,3.5,0)))*(1-IF(AND(ArtifactsInput!$M$27,Inputs!$B$4="Chapter Hunt"),CHOOSE(ArtifactsInput!$N$27+1,20,24,28,32,36,40),0)/100)))+1)),0)</f>
        <v/>
      </c>
      <c r="S2960">
        <f>IFERROR(O2960/N2960,0)</f>
        <v/>
      </c>
      <c r="T2960" t="n">
        <v>0</v>
      </c>
      <c r="V2960" t="n">
        <v>0</v>
      </c>
    </row>
    <row r="2961">
      <c r="A2961">
        <f>Skills!A20</f>
        <v/>
      </c>
      <c r="B2961">
        <f>Skills!B20</f>
        <v/>
      </c>
      <c r="C2961">
        <f>Inputs!$B$3&gt;=33</f>
        <v/>
      </c>
      <c r="D2961">
        <f>IF(Skills!C20=1,60+Inputs!$B$25+Inputs!$B$29,IF(Skills!C20=2,90+Inputs!$B$26+Inputs!$B$29,IF(Skills!C20=3,120+Inputs!$B$27+Inputs!$B$29,MAX(0,(Inputs!$B$3-100)*3)+Inputs!$B$28+Inputs!$B$29)))</f>
        <v/>
      </c>
      <c r="E2961">
        <f>INDEX(FactorTable!$B$2:$Y$301, MATCH(ROUND(MIN(300,MAX(1,D2961)),0), FactorTable!$A$2:$A$301,0), Skills!M20+1)</f>
        <v/>
      </c>
      <c r="F2961">
        <f>IF(Skills!N20=TRUE,(Skills!L20/10)*(E2961/1000),Skills!L20/10)+Skills!O20</f>
        <v/>
      </c>
      <c r="G2961">
        <f>Skills!G20*IF(Skills!H20&gt;0,Skills!I20/Skills!H20,1)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Inputs!$B$3&gt;=38</f>
        <v/>
      </c>
      <c r="D2962">
        <f>IF(Skills!C21=1,60+Inputs!$B$25+Inputs!$B$29,IF(Skills!C21=2,90+Inputs!$B$26+Inputs!$B$29,IF(Skills!C21=3,120+Inputs!$B$27+Inputs!$B$29,MAX(0,(Inputs!$B$3-100)*3)+Inputs!$B$28+Inputs!$B$29)))</f>
        <v/>
      </c>
      <c r="E2962">
        <f>INDEX(FactorTable!$B$2:$Y$301, MATCH(ROUND(MIN(300,MAX(1,D2962)),0), FactorTable!$A$2:$A$301,0), Skills!M21+1)</f>
        <v/>
      </c>
      <c r="F2962">
        <f>IF(Skills!N21=TRUE,(Skills!L21/10)*(E2962/1000),Skills!L21/10)+Skills!O21</f>
        <v/>
      </c>
      <c r="G2962">
        <f>Skills!G21*IF(Skills!H21&gt;0,Skills!I21/Skills!H21,1)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Skills!A22</f>
        <v/>
      </c>
      <c r="B2963">
        <f>Skills!B22</f>
        <v/>
      </c>
      <c r="C2963">
        <f>Inputs!$B$3&gt;=43</f>
        <v/>
      </c>
      <c r="D2963">
        <f>IF(Skills!C22=1,60+Inputs!$B$25+Inputs!$B$29,IF(Skills!C22=2,90+Inputs!$B$26+Inputs!$B$29,IF(Skills!C22=3,120+Inputs!$B$27+Inputs!$B$29,MAX(0,(Inputs!$B$3-100)*3)+Inputs!$B$28+Inputs!$B$29)))</f>
        <v/>
      </c>
      <c r="E2963">
        <f>INDEX(FactorTable!$B$2:$Y$301, MATCH(ROUND(MIN(300,MAX(1,D2963)),0), FactorTable!$A$2:$A$301,0), Skills!M22+1)</f>
        <v/>
      </c>
      <c r="F2963">
        <f>IF(Skills!N22=TRUE,(Skills!L22/10)*(E2963/1000),Skills!L22/10)+Skills!O22</f>
        <v/>
      </c>
      <c r="G2963">
        <f>Skills!G22*IF(Skills!H22&gt;0,Skills!I22/Skills!H22,1)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Inputs!$B$3&gt;=120</f>
        <v/>
      </c>
      <c r="D2964">
        <f>IF(Skills!C23=1,60+Inputs!$B$25+Inputs!$B$29,IF(Skills!C23=2,90+Inputs!$B$26+Inputs!$B$29,IF(Skills!C23=3,120+Inputs!$B$27+Inputs!$B$29,MAX(0,(Inputs!$B$3-100)*3)+Inputs!$B$28+Inputs!$B$29)))</f>
        <v/>
      </c>
      <c r="E2964">
        <f>INDEX(FactorTable!$B$2:$Y$301, MATCH(ROUND(MIN(300,MAX(1,D2964)),0), FactorTable!$A$2:$A$301,0), Skills!M23+1)</f>
        <v/>
      </c>
      <c r="F2964">
        <f>IF(Skills!N23=TRUE,(Skills!L23/10)*(E2964/1000),Skills!L23/10)+Skills!O23</f>
        <v/>
      </c>
      <c r="G2964">
        <f>Skills!G23*IF(Skills!H23&gt;0,Skills!I23/Skills!H23,1)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Inputs!$B$3&gt;=120</f>
        <v/>
      </c>
      <c r="D2965">
        <f>IF(Skills!C24=1,60+Inputs!$B$25+Inputs!$B$29,IF(Skills!C24=2,90+Inputs!$B$26+Inputs!$B$29,IF(Skills!C24=3,120+Inputs!$B$27+Inputs!$B$29,MAX(0,(Inputs!$B$3-100)*3)+Inputs!$B$28+Inputs!$B$29)))</f>
        <v/>
      </c>
      <c r="E2965">
        <f>INDEX(FactorTable!$B$2:$Y$301, MATCH(ROUND(MIN(300,MAX(1,D2965)),0), FactorTable!$A$2:$A$301,0), Skills!M24+1)</f>
        <v/>
      </c>
      <c r="F2965">
        <f>IF(Skills!N24=TRUE,(Skills!L24/10)*(E2965/1000),Skills!L24/10)+Skills!O24</f>
        <v/>
      </c>
      <c r="G2965">
        <f>Skills!G24*IF(Skills!H24&gt;0,Skills!I24/Skills!H24,1)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Inputs!$B$3&gt;=125</f>
        <v/>
      </c>
      <c r="D2966">
        <f>IF(Skills!C25=1,60+Inputs!$B$25+Inputs!$B$29,IF(Skills!C25=2,90+Inputs!$B$26+Inputs!$B$29,IF(Skills!C25=3,120+Inputs!$B$27+Inputs!$B$29,MAX(0,(Inputs!$B$3-100)*3)+Inputs!$B$28+Inputs!$B$29)))</f>
        <v/>
      </c>
      <c r="E2966">
        <f>INDEX(FactorTable!$B$2:$Y$301, MATCH(ROUND(MIN(300,MAX(1,D2966)),0), FactorTable!$A$2:$A$301,0), Skills!M25+1)</f>
        <v/>
      </c>
      <c r="F2966">
        <f>IF(Skills!N25=TRUE,(Skills!L25/10)*(E2966/1000),Skills!L25/10)+Skills!O25</f>
        <v/>
      </c>
      <c r="G2966">
        <f>Skills!G25*IF(Skills!H25&gt;0,Skills!I25/Skills!H25,1)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Inputs!$B$3&gt;=72</f>
        <v/>
      </c>
      <c r="D2967">
        <f>IF(Skills!C26=1,60+Inputs!$B$25+Inputs!$B$29,IF(Skills!C26=2,90+Inputs!$B$26+Inputs!$B$29,IF(Skills!C26=3,120+Inputs!$B$27+Inputs!$B$29,MAX(0,(Inputs!$B$3-100)*3)+Inputs!$B$28+Inputs!$B$29)))</f>
        <v/>
      </c>
      <c r="E2967">
        <f>INDEX(FactorTable!$B$2:$Y$301, MATCH(ROUND(MIN(300,MAX(1,D2967)),0), FactorTable!$A$2:$A$301,0), Skills!M26+1)</f>
        <v/>
      </c>
      <c r="F2967">
        <f>IF(Skills!N26=TRUE,(Skills!L26/10)*(E2967/1000),Skills!L26/10)+Skills!O26</f>
        <v/>
      </c>
      <c r="G2967">
        <f>Skills!G26*IF(Skills!H26&gt;0,Skills!I26/Skills!H26,1)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2960=TRUE)*F2960*IF(AND(Inputs!$B$38&lt;&gt;"pvp",Inputs!$B$43&gt;0),(((R2960-1)*(Skills!T19*(1+(Inputs!$B$34+(ArtifactsInput!$M$7-ArtifactsInput!$M$7)*CHOOSE(ArtifactsInput!$N$7+1,6,7.2,8.4,9.6,10.8,12))/100))+MIN((Skills!T19*(1+(Inputs!$B$34+(ArtifactsInput!$M$7-ArtifactsInput!$M$7)*CHOOSE(ArtifactsInput!$N$7+1,6,7.2,8.4,9.6,10.8,12))/100)),MAX(0,Inputs!$B$43-((R2960-1)*Skills!D19))))/Inputs!$B$43),IF(Inputs!$B$38="pvp",MIN((Skills!T19*(1+(Inputs!$B$34+(ArtifactsInput!$M$7-ArtifactsInput!$M$7)*CHOOSE(ArtifactsInput!$N$7+1,6,7.2,8.4,9.6,10.8,12))/100)),15)/15,(Skills!T19*(1+(Inputs!$B$34+(ArtifactsInput!$M$7-ArtifactsInput!$M$7)*CHOOSE(ArtifactsInput!$N$7+1,6,7.2,8.4,9.6,10.8,12))/100))/Skills!D19)))</f>
        <v/>
      </c>
    </row>
    <row r="2972">
      <c r="A2972" t="inlineStr">
        <is>
          <t>Actions Per Second</t>
        </is>
      </c>
      <c r="B2972">
        <f>1+MIN(150,150*(1-(1-(Inputs!$B$11+((C2961=TRUE)*(F2961-Calc!F20)))/150)*(1-B2971/150)))/100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Raging Blow Casts Per Second</t>
        </is>
      </c>
      <c r="B2974">
        <f>MAX(0,B2972-B2973)</f>
        <v/>
      </c>
    </row>
    <row r="2975">
      <c r="A2975" t="inlineStr">
        <is>
          <t>Global Critical Damage Bonus % (Enrage)</t>
        </is>
      </c>
      <c r="B2975">
        <f>((C2959=TRUE)*F2959*IF(AND(Inputs!$B$38&lt;&gt;"pvp",Inputs!$B$43&gt;0),(((R2959-1)*(Skills!T18*(1+(Inputs!$B$34+(ArtifactsInput!$M$7-ArtifactsInput!$M$7)*CHOOSE(ArtifactsInput!$N$7+1,6,7.2,8.4,9.6,10.8,12))/100))+MIN((Skills!T18*(1+(Inputs!$B$34+(ArtifactsInput!$M$7-ArtifactsInput!$M$7)*CHOOSE(ArtifactsInput!$N$7+1,6,7.2,8.4,9.6,10.8,12))/100)),MAX(0,Inputs!$B$43-((R2959-1)*Skills!D18))))/Inputs!$B$43),IF(Inputs!$B$38="pvp",MIN((Skills!T18*(1+(Inputs!$B$34+(ArtifactsInput!$M$7-ArtifactsInput!$M$7)*CHOOSE(ArtifactsInput!$N$7+1,6,7.2,8.4,9.6,10.8,12))/100)),15)/15,(Skills!T18*(1+(Inputs!$B$34+(ArtifactsInput!$M$7-ArtifactsInput!$M$7)*CHOOSE(ArtifactsInput!$N$7+1,6,7.2,8.4,9.6,10.8,12))/100))/Skills!D18)))</f>
        <v/>
      </c>
    </row>
    <row r="2976">
      <c r="A2976" t="inlineStr">
        <is>
          <t>Global Final Damage Bonus % (Enrage + Combo Synergy)</t>
        </is>
      </c>
      <c r="B2976">
        <f>((C2958=TRUE)*F2958*IF(AND(Inputs!$B$38&lt;&gt;"pvp",Inputs!$B$43&gt;0),(((R2958-1)*(Skills!T17*(1+(Inputs!$B$34+(ArtifactsInput!$M$7-ArtifactsInput!$M$7)*CHOOSE(ArtifactsInput!$N$7+1,6,7.2,8.4,9.6,10.8,12))/100))+MIN((Skills!T17*(1+(Inputs!$B$34+(ArtifactsInput!$M$7-ArtifactsInput!$M$7)*CHOOSE(ArtifactsInput!$N$7+1,6,7.2,8.4,9.6,10.8,12))/100)),MAX(0,Inputs!$B$43-((R2958-1)*Skills!D17))))/Inputs!$B$43),IF(Inputs!$B$38="pvp",MIN((Skills!T17*(1+(Inputs!$B$34+(ArtifactsInput!$M$7-ArtifactsInput!$M$7)*CHOOSE(ArtifactsInput!$N$7+1,6,7.2,8.4,9.6,10.8,12))/100)),15)/15,(Skills!T17*(1+(Inputs!$B$34+(ArtifactsInput!$M$7-ArtifactsInput!$M$7)*CHOOSE(ArtifactsInput!$N$7+1,6,7.2,8.4,9.6,10.8,12))/100))/Skills!D17)))+((C2955=TRUE)*F2955*IF(Inputs!$B$3&gt;=110,7,5))</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2985)</f>
        <v/>
      </c>
      <c r="L2985">
        <f>K2985*(MIN(Inputs!$B$22+((C3005=TRUE)*(F3005-Calc!F22)),(Inputs!$B$23+((C3007=TRUE)*(F3007-Calc!F24))+(IF(ArtifactsInput!$M$15,CHOOSE(ArtifactsInput!$N$15+1,25,30,35,40,45,50)/100*(Inputs!$B$11-Inputs!$B$11),0))))/100+(Inputs!$B$23+((C3007=TRUE)*(F3007-Calc!F24))+(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INDEX(FactorTable!$B$2:$Y$301, MATCH(ROUND(MIN(300,MAX(1,U2985)),0), FactorTable!$A$2:$A$301,0), 22)</f>
        <v/>
      </c>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U2987">
        <f>290*U2986/1000</f>
        <v/>
      </c>
    </row>
    <row r="2988">
      <c r="A2988">
        <f>Skills!A5</f>
        <v/>
      </c>
      <c r="B2988">
        <f>Skills!B5</f>
        <v/>
      </c>
      <c r="C2988">
        <f>Inputs!$B$3&gt;=103</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2988)</f>
        <v/>
      </c>
      <c r="L2988">
        <f>K2988*(MIN(Inputs!$B$22+((C3005=TRUE)*(F3005-Calc!F22)),(Inputs!$B$23+((C3007=TRUE)*(F3007-Calc!F24))+(IF(ArtifactsInput!$M$15,CHOOSE(ArtifactsInput!$N$15+1,25,30,35,40,45,50)/100*(Inputs!$B$11-Inputs!$B$11),0))))/100+(Inputs!$B$23+((C3007=TRUE)*(F3007-Calc!F24))+(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IFERROR(1/(IF(Inputs!$B$38="pvp",15,MAX(0.1,Skills!D5-IF(Skills!E5=TRUE,4.0,0)))*(1-IF(AND(ArtifactsInput!$M$27,Inputs!$B$4="Chapter Hunt"),CHOOSE(ArtifactsInput!$N$27+1,20,24,28,32,36,40),0)/100)),0)</f>
        <v/>
      </c>
      <c r="R2988">
        <f>IF(AND(Inputs!$B$38&lt;&gt;"pvp",Inputs!$B$43&gt;0),IF(MAX(0,Inputs!$B$43-B3019)&lt;=0,0,(INT(MAX(0,Inputs!$B$43-B3019)/(IF(Inputs!$B$38="pvp",15,MAX(0.1,Skills!D5-IF(Skills!E5=TRUE,4.0,0)))*(1-IF(AND(ArtifactsInput!$M$27,Inputs!$B$4="Chapter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2989)</f>
        <v/>
      </c>
      <c r="L2989">
        <f>K2989*(MIN(Inputs!$B$22+((C3005=TRUE)*(F3005-Calc!F22)),(Inputs!$B$23+((C3007=TRUE)*(F3007-Calc!F24))+(IF(ArtifactsInput!$M$15,CHOOSE(ArtifactsInput!$N$15+1,25,30,35,40,45,50)/100*(Inputs!$B$11-Inputs!$B$11),0))))/100+(Inputs!$B$23+((C3007=TRUE)*(F3007-Calc!F24))+(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IFERROR(1/(IF(Inputs!$B$38="pvp",15,MAX(0.1,Skills!D6-IF(Skills!E6=TRUE,4.0,0)))*(1-IF(AND(ArtifactsInput!$M$27,Inputs!$B$4="Chapter Hunt"),CHOOSE(ArtifactsInput!$N$27+1,20,24,28,32,36,40),0)/100)),0)</f>
        <v/>
      </c>
      <c r="R2989">
        <f>IF(AND(Inputs!$B$38&lt;&gt;"pvp",Inputs!$B$43&gt;0),IF(MAX(0,Inputs!$B$43-B3019)&lt;=0,0,(INT(MAX(0,Inputs!$B$43-B3019)/(IF(Inputs!$B$38="pvp",15,MAX(0.1,Skills!D6-IF(Skills!E6=TRUE,4.0,0)))*(1-IF(AND(ArtifactsInput!$M$27,Inputs!$B$4="Chapter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2990)</f>
        <v/>
      </c>
      <c r="L2990">
        <f>K2990*(MIN(Inputs!$B$22+((C3005=TRUE)*(F3005-Calc!F22)),(Inputs!$B$23+((C3007=TRUE)*(F3007-Calc!F24))+(IF(ArtifactsInput!$M$15,CHOOSE(ArtifactsInput!$N$15+1,25,30,35,40,45,50)/100*(Inputs!$B$11-Inputs!$B$11),0))))/100+(Inputs!$B$23+((C3007=TRUE)*(F3007-Calc!F24))+(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IFERROR(1/(IF(Inputs!$B$38="pvp",15,MAX(0.1,Skills!D7-IF(Skills!E7=TRUE,4.0,0)))*(1-IF(AND(ArtifactsInput!$M$27,Inputs!$B$4="Chapter Hunt"),CHOOSE(ArtifactsInput!$N$27+1,20,24,28,32,36,40),0)/100)),0)</f>
        <v/>
      </c>
      <c r="R2990">
        <f>IF(AND(Inputs!$B$38&lt;&gt;"pvp",Inputs!$B$43&gt;0),IF(MAX(0,Inputs!$B$43-B3019)&lt;=0,0,(INT(MAX(0,Inputs!$B$43-B3019)/(IF(Inputs!$B$38="pvp",15,MAX(0.1,Skills!D7-IF(Skills!E7=TRUE,4.0,0)))*(1-IF(AND(ArtifactsInput!$M$27,Inputs!$B$4="Chapter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Inputs!$B$3&gt;=117</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2991)</f>
        <v/>
      </c>
      <c r="L2991">
        <f>K2991*(MIN(Inputs!$B$22+((C3005=TRUE)*(F3005-Calc!F22)),(Inputs!$B$23+((C3007=TRUE)*(F3007-Calc!F24))+(IF(ArtifactsInput!$M$15,CHOOSE(ArtifactsInput!$N$15+1,25,30,35,40,45,50)/100*(Inputs!$B$11-Inputs!$B$11),0))))/100+(Inputs!$B$23+((C3007=TRUE)*(F3007-Calc!F24))+(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IFERROR(1/(IF(Inputs!$B$38="pvp",15,MAX(0.1,Skills!D8-IF(Skills!E8=TRUE,4.0,0)))*(1-IF(AND(ArtifactsInput!$M$27,Inputs!$B$4="Chapter Hunt"),CHOOSE(ArtifactsInput!$N$27+1,20,24,28,32,36,40),0)/100)),0)</f>
        <v/>
      </c>
      <c r="R2991">
        <f>IF(AND(Inputs!$B$38&lt;&gt;"pvp",Inputs!$B$43&gt;0),IF(MAX(0,Inputs!$B$43-B3019)&lt;=0,0,(INT(MAX(0,Inputs!$B$43-B3019)/(IF(Inputs!$B$38="pvp",15,MAX(0.1,Skills!D8-IF(Skills!E8=TRUE,4.0,0)))*(1-IF(AND(ArtifactsInput!$M$27,Inputs!$B$4="Chapter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Inputs!$B$3&gt;=69</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9="ENHANCED_RAGING_BLOW",IF(Inputs!$B$3&gt;=134,MAX(0,IF(Inputs!$B$3&gt;=110,7,5)-5)*50,0),0)/100)*(1+(IF(Skills!A9="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2992)</f>
        <v/>
      </c>
      <c r="L2992">
        <f>K2992*(MIN(Inputs!$B$22+((C3005=TRUE)*(F3005-Calc!F22)),(Inputs!$B$23+((C3007=TRUE)*(F3007-Calc!F24))+(IF(ArtifactsInput!$M$15,CHOOSE(ArtifactsInput!$N$15+1,25,30,35,40,45,50)/100*(Inputs!$B$11-Inputs!$B$11),0))))/100+(Inputs!$B$23+((C3007=TRUE)*(F3007-Calc!F24))+(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IFERROR(1/(IF(Inputs!$B$38="pvp",15,MAX(0.1,Skills!D9-IF(Skills!E9=TRUE,4.0,0)))*(1-IF(AND(ArtifactsInput!$M$27,Inputs!$B$4="Chapter Hunt"),CHOOSE(ArtifactsInput!$N$27+1,20,24,28,32,36,40),0)/100)),0)</f>
        <v/>
      </c>
      <c r="R2992">
        <f>IF(AND(Inputs!$B$38&lt;&gt;"pvp",Inputs!$B$43&gt;0),IF(MAX(0,Inputs!$B$43-B3019)&lt;=0,0,(INT(MAX(0,Inputs!$B$43-B3019)/(IF(Inputs!$B$38="pvp",15,MAX(0.1,Skills!D9-IF(Skills!E9=TRUE,4.0,0)))*(1-IF(AND(ArtifactsInput!$M$27,Inputs!$B$4="Chapter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Inputs!$B$3&gt;=63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10="ENHANCED_RAGING_BLOW",IF(Inputs!$B$3&gt;=134,MAX(0,IF(Inputs!$B$3&gt;=110,7,5)-5)*50,0),0)/100)*(1+(IF(Skills!A10="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2993)</f>
        <v/>
      </c>
      <c r="L2993">
        <f>K2993*(MIN(Inputs!$B$22+((C3005=TRUE)*(F3005-Calc!F22)),(Inputs!$B$23+((C3007=TRUE)*(F3007-Calc!F24))+(IF(ArtifactsInput!$M$15,CHOOSE(ArtifactsInput!$N$15+1,25,30,35,40,45,50)/100*(Inputs!$B$11-Inputs!$B$11),0))))/100+(Inputs!$B$23+((C3007=TRUE)*(F3007-Calc!F24))+(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IFERROR(1/(IF(Inputs!$B$38="pvp",15,MAX(0.1,Skills!D10-IF(Skills!E10=TRUE,4.0,0)))*(1-IF(AND(ArtifactsInput!$M$27,Inputs!$B$4="Chapter Hunt"),CHOOSE(ArtifactsInput!$N$27+1,20,24,28,32,36,40),0)/100)),0)</f>
        <v/>
      </c>
      <c r="R2993">
        <f>IF(AND(Inputs!$B$38&lt;&gt;"pvp",Inputs!$B$43&gt;0),IF(MAX(0,Inputs!$B$43-B3019)&lt;=0,0,(INT(MAX(0,Inputs!$B$43-B3019)/(IF(Inputs!$B$38="pvp",15,MAX(0.1,Skills!D10-IF(Skills!E10=TRUE,4.0,0)))*(1-IF(AND(ArtifactsInput!$M$27,Inputs!$B$4="Chapter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Inputs!$B$3&gt;=35</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11="ENHANCED_RAGING_BLOW",IF(Inputs!$B$3&gt;=134,MAX(0,IF(Inputs!$B$3&gt;=110,7,5)-5)*50,0),0)/100)*(1+(IF(Skills!A11="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2994)</f>
        <v/>
      </c>
      <c r="L2994">
        <f>K2994*(MIN(Inputs!$B$22+((C3005=TRUE)*(F3005-Calc!F22)),(Inputs!$B$23+((C3007=TRUE)*(F3007-Calc!F24))+(IF(ArtifactsInput!$M$15,CHOOSE(ArtifactsInput!$N$15+1,25,30,35,40,45,50)/100*(Inputs!$B$11-Inputs!$B$11),0))))/100+(Inputs!$B$23+((C3007=TRUE)*(F3007-Calc!F24))+(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IFERROR(1/(IF(Inputs!$B$38="pvp",15,MAX(0.1,Skills!D11-IF(Skills!E11=TRUE,4.0,0)))*(1-IF(AND(ArtifactsInput!$M$27,Inputs!$B$4="Chapter Hunt"),CHOOSE(ArtifactsInput!$N$27+1,20,24,28,32,36,40),0)/100)),0)</f>
        <v/>
      </c>
      <c r="R2994">
        <f>IF(AND(Inputs!$B$38&lt;&gt;"pvp",Inputs!$B$43&gt;0),IF(MAX(0,Inputs!$B$43-B3019)&lt;=0,0,(INT(MAX(0,Inputs!$B$43-B3019)/(IF(Inputs!$B$38="pvp",15,MAX(0.1,Skills!D11-IF(Skills!E11=TRUE,4.0,0)))*(1-IF(AND(ArtifactsInput!$M$27,Inputs!$B$4="Chapter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Inputs!$B$3&gt;=75</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Inputs!$B$3&gt;=40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IFERROR(1/(IF(Inputs!$B$38="pvp",15,MAX(0.1,Skills!D15-IF(Skills!E15=TRUE,4.0,0)))*(1-IF(AND(ArtifactsInput!$M$27,Inputs!$B$4="Chapter Hunt"),CHOOSE(ArtifactsInput!$N$27+1,20,24,28,32,36,40),0)/100)),0)</f>
        <v/>
      </c>
      <c r="R2998">
        <f>IF(AND(Inputs!$B$38&lt;&gt;"pvp",Inputs!$B$43&gt;0),IF(Inputs!$B$43&lt;=0,0,(INT(Inputs!$B$43/(IF(Inputs!$B$38="pvp",15,MAX(0.1,Skills!D15-IF(Skills!E15=TRUE,4.0,0)))*(1-IF(AND(ArtifactsInput!$M$27,Inputs!$B$4="Chapter Hunt"),CHOOSE(ArtifactsInput!$N$27+1,20,24,28,32,36,40),0)/100)))+1)),0)</f>
        <v/>
      </c>
      <c r="S2998">
        <f>IFERROR(O2998/N2998,0)</f>
        <v/>
      </c>
      <c r="T2998" t="n">
        <v>0</v>
      </c>
      <c r="V2998" t="n">
        <v>0</v>
      </c>
    </row>
    <row r="2999">
      <c r="A2999">
        <f>Skills!A16</f>
        <v/>
      </c>
      <c r="B2999">
        <f>Skills!B16</f>
        <v/>
      </c>
      <c r="C2999">
        <f>Inputs!$B$3&gt;=66</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IFERROR(1/(IF(Inputs!$B$38="pvp",15,MAX(0.1,Skills!D16-IF(Skills!E16=TRUE,4.0,0)))*(1-IF(AND(ArtifactsInput!$M$27,Inputs!$B$4="Chapter Hunt"),CHOOSE(ArtifactsInput!$N$27+1,20,24,28,32,36,40),0)/100)),0)</f>
        <v/>
      </c>
      <c r="R2999">
        <f>IF(AND(Inputs!$B$38&lt;&gt;"pvp",Inputs!$B$43&gt;0),IF(Inputs!$B$43&lt;=0,0,(INT(Inputs!$B$43/(IF(Inputs!$B$38="pvp",15,MAX(0.1,Skills!D16-IF(Skills!E16=TRUE,4.0,0)))*(1-IF(AND(ArtifactsInput!$M$27,Inputs!$B$4="Chapter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IFERROR(1/(IF(Inputs!$B$38="pvp",15,MAX(0.1,Skills!D17-IF(Skills!E17=TRUE,4.0,0)))*(1-IF(AND(ArtifactsInput!$M$27,Inputs!$B$4="Chapter Hunt"),CHOOSE(ArtifactsInput!$N$27+1,20,24,28,32,36,40),0)/100)),0)</f>
        <v/>
      </c>
      <c r="R3000">
        <f>IF(AND(Inputs!$B$38&lt;&gt;"pvp",Inputs!$B$43&gt;0),IF(Inputs!$B$43&lt;=0,0,(INT(Inputs!$B$43/(IF(Inputs!$B$38="pvp",15,MAX(0.1,Skills!D17-IF(Skills!E17=TRUE,4.0,0)))*(1-IF(AND(ArtifactsInput!$M$27,Inputs!$B$4="Chapter Hunt"),CHOOSE(ArtifactsInput!$N$27+1,20,24,28,32,36,40),0)/100)))+1)),0)</f>
        <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IFERROR(1/(IF(Inputs!$B$38="pvp",15,MAX(0.1,Skills!D18-IF(Skills!E18=TRUE,4.0,0)))*(1-IF(AND(ArtifactsInput!$M$27,Inputs!$B$4="Chapter Hunt"),CHOOSE(ArtifactsInput!$N$27+1,20,24,28,32,36,40),0)/100)),0)</f>
        <v/>
      </c>
      <c r="R3001">
        <f>IF(AND(Inputs!$B$38&lt;&gt;"pvp",Inputs!$B$43&gt;0),IF(Inputs!$B$43&lt;=0,0,(INT(Inputs!$B$43/(IF(Inputs!$B$38="pvp",15,MAX(0.1,Skills!D18-IF(Skills!E18=TRUE,4.0,0)))*(1-IF(AND(ArtifactsInput!$M$27,Inputs!$B$4="Chapter Hunt"),CHOOSE(ArtifactsInput!$N$27+1,20,24,28,32,36,40),0)/100)))+1)),0)</f>
        <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IFERROR(1/(IF(Inputs!$B$38="pvp",15,MAX(0.1,Skills!D19-IF(Skills!E19=TRUE,4.0,0)))*(1-IF(AND(ArtifactsInput!$M$27,Inputs!$B$4="Chapter Hunt"),CHOOSE(ArtifactsInput!$N$27+1,20,24,28,32,36,40),0)/100)),0)</f>
        <v/>
      </c>
      <c r="R3002">
        <f>IF(AND(Inputs!$B$38&lt;&gt;"pvp",Inputs!$B$43&gt;0),IF(Inputs!$B$43&lt;=0,0,(INT(Inputs!$B$43/(IF(Inputs!$B$38="pvp",15,MAX(0.1,Skills!D19-IF(Skills!E19=TRUE,4.0,0)))*(1-IF(AND(ArtifactsInput!$M$27,Inputs!$B$4="Chapter Hunt"),CHOOSE(ArtifactsInput!$N$27+1,20,24,28,32,36,40),0)/100)))+1)),0)</f>
        <v/>
      </c>
      <c r="S3002">
        <f>IFERROR(O3002/N3002,0)</f>
        <v/>
      </c>
      <c r="T3002" t="n">
        <v>0</v>
      </c>
      <c r="V3002" t="n">
        <v>0</v>
      </c>
    </row>
    <row r="3003">
      <c r="A3003">
        <f>Skills!A20</f>
        <v/>
      </c>
      <c r="B3003">
        <f>Skills!B20</f>
        <v/>
      </c>
      <c r="C3003">
        <f>Inputs!$B$3&gt;=33</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Inputs!$B$3&gt;=38</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Inputs!$B$3&gt;=120</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Inputs!$B$3&gt;=120</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Inputs!$B$3&gt;=72</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3002=TRUE)*F3002*IF(AND(Inputs!$B$38&lt;&gt;"pvp",Inputs!$B$43&gt;0),(((R3002-1)*(Skills!T19*(1+(Inputs!$B$34+(ArtifactsInput!$M$7-ArtifactsInput!$M$7)*CHOOSE(ArtifactsInput!$N$7+1,6,7.2,8.4,9.6,10.8,12))/100))+MIN((Skills!T19*(1+(Inputs!$B$34+(ArtifactsInput!$M$7-ArtifactsInput!$M$7)*CHOOSE(ArtifactsInput!$N$7+1,6,7.2,8.4,9.6,10.8,12))/100)),MAX(0,Inputs!$B$43-((R3002-1)*Skills!D19))))/Inputs!$B$43),IF(Inputs!$B$38="pvp",MIN((Skills!T19*(1+(Inputs!$B$34+(ArtifactsInput!$M$7-ArtifactsInput!$M$7)*CHOOSE(ArtifactsInput!$N$7+1,6,7.2,8.4,9.6,10.8,12))/100)),15)/15,(Skills!T19*(1+(Inputs!$B$34+(ArtifactsInput!$M$7-ArtifactsInput!$M$7)*CHOOSE(ArtifactsInput!$N$7+1,6,7.2,8.4,9.6,10.8,12))/100))/Skills!D19)))</f>
        <v/>
      </c>
    </row>
    <row r="3014">
      <c r="A3014" t="inlineStr">
        <is>
          <t>Actions Per Second</t>
        </is>
      </c>
      <c r="B3014">
        <f>1+MIN(150,150*(1-(1-(Inputs!$B$11+((C3003=TRUE)*(F3003-Calc!F20)))/150)*(1-B3013/150)))/100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Raging Blow Casts Per Second</t>
        </is>
      </c>
      <c r="B3016">
        <f>MAX(0,B3014-B3015)</f>
        <v/>
      </c>
    </row>
    <row r="3017">
      <c r="A3017" t="inlineStr">
        <is>
          <t>Global Critical Damage Bonus % (Enrage)</t>
        </is>
      </c>
      <c r="B3017">
        <f>((C3001=TRUE)*F3001*IF(AND(Inputs!$B$38&lt;&gt;"pvp",Inputs!$B$43&gt;0),(((R3001-1)*(Skills!T18*(1+(Inputs!$B$34+(ArtifactsInput!$M$7-ArtifactsInput!$M$7)*CHOOSE(ArtifactsInput!$N$7+1,6,7.2,8.4,9.6,10.8,12))/100))+MIN((Skills!T18*(1+(Inputs!$B$34+(ArtifactsInput!$M$7-ArtifactsInput!$M$7)*CHOOSE(ArtifactsInput!$N$7+1,6,7.2,8.4,9.6,10.8,12))/100)),MAX(0,Inputs!$B$43-((R3001-1)*Skills!D18))))/Inputs!$B$43),IF(Inputs!$B$38="pvp",MIN((Skills!T18*(1+(Inputs!$B$34+(ArtifactsInput!$M$7-ArtifactsInput!$M$7)*CHOOSE(ArtifactsInput!$N$7+1,6,7.2,8.4,9.6,10.8,12))/100)),15)/15,(Skills!T18*(1+(Inputs!$B$34+(ArtifactsInput!$M$7-ArtifactsInput!$M$7)*CHOOSE(ArtifactsInput!$N$7+1,6,7.2,8.4,9.6,10.8,12))/100))/Skills!D18)))</f>
        <v/>
      </c>
    </row>
    <row r="3018">
      <c r="A3018" t="inlineStr">
        <is>
          <t>Global Final Damage Bonus % (Enrage + Combo Synergy)</t>
        </is>
      </c>
      <c r="B3018">
        <f>((C3000=TRUE)*F3000*IF(AND(Inputs!$B$38&lt;&gt;"pvp",Inputs!$B$43&gt;0),(((R3000-1)*(Skills!T17*(1+(Inputs!$B$34+(ArtifactsInput!$M$7-ArtifactsInput!$M$7)*CHOOSE(ArtifactsInput!$N$7+1,6,7.2,8.4,9.6,10.8,12))/100))+MIN((Skills!T17*(1+(Inputs!$B$34+(ArtifactsInput!$M$7-ArtifactsInput!$M$7)*CHOOSE(ArtifactsInput!$N$7+1,6,7.2,8.4,9.6,10.8,12))/100)),MAX(0,Inputs!$B$43-((R3000-1)*Skills!D17))))/Inputs!$B$43),IF(Inputs!$B$38="pvp",MIN((Skills!T17*(1+(Inputs!$B$34+(ArtifactsInput!$M$7-ArtifactsInput!$M$7)*CHOOSE(ArtifactsInput!$N$7+1,6,7.2,8.4,9.6,10.8,12))/100)),15)/15,(Skills!T17*(1+(Inputs!$B$34+(ArtifactsInput!$M$7-ArtifactsInput!$M$7)*CHOOSE(ArtifactsInput!$N$7+1,6,7.2,8.4,9.6,10.8,12))/100))/Skills!D17)))+((C2997=TRUE)*F2997*IF(Inputs!$B$3&gt;=110,7,5))</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3027)</f>
        <v/>
      </c>
      <c r="L3027">
        <f>K3027*(MIN(Inputs!$B$22+((C3047=TRUE)*(F3047-Calc!F22)),(Inputs!$B$23+((C3049=TRUE)*(F3049-Calc!F24))+(IF(ArtifactsInput!$M$15,CHOOSE(ArtifactsInput!$N$15+1,25,30,35,40,45,50)/100*(Inputs!$B$11-Inputs!$B$11),0))))/100+(Inputs!$B$23+((C3049=TRUE)*(F3049-Calc!F24))+(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INDEX(FactorTable!$B$2:$Y$301, MATCH(ROUND(MIN(300,MAX(1,D3028)),0),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INDEX(FactorTable!$B$2:$Y$301, MATCH(ROUND(MIN(300,MAX(1,U3027)),0), FactorTable!$A$2:$A$301,0), 22)</f>
        <v/>
      </c>
    </row>
    <row r="3029">
      <c r="A3029">
        <f>Skills!A4</f>
        <v/>
      </c>
      <c r="B3029">
        <f>Skills!B4</f>
        <v/>
      </c>
      <c r="C3029">
        <f>Inputs!$B$3&gt;=105</f>
        <v/>
      </c>
      <c r="D3029">
        <f>IF(Skills!C4=1,60+Inputs!$B$25+Inputs!$B$29,IF(Skills!C4=2,90+Inputs!$B$26+Inputs!$B$29,IF(Skills!C4=3,120+Inputs!$B$27+Inputs!$B$29,MAX(0,(Inputs!$B$3-100)*3)+Inputs!$B$28+Inputs!$B$29)))</f>
        <v/>
      </c>
      <c r="E3029">
        <f>INDEX(FactorTable!$B$2:$Y$301, MATCH(ROUND(MIN(300,MAX(1,D3029)),0), FactorTable!$A$2:$A$301,0), Skills!M4+1)</f>
        <v/>
      </c>
      <c r="F3029">
        <f>IF(Skills!N4=TRUE,(Skills!L4/10)*(E3029/1000),Skills!L4/10)+Skills!O4</f>
        <v/>
      </c>
      <c r="G3029" t="inlineStr"/>
      <c r="H3029" t="inlineStr"/>
      <c r="I3029" t="inlineStr">
        <is>
          <t>1</t>
        </is>
      </c>
      <c r="J3029" t="inlineStr"/>
      <c r="K3029" t="inlineStr"/>
      <c r="L3029" t="inlineStr"/>
      <c r="M3029" t="inlineStr"/>
      <c r="N3029" t="inlineStr"/>
      <c r="O3029" t="inlineStr"/>
      <c r="P3029" t="inlineStr"/>
      <c r="Q3029" t="inlineStr"/>
      <c r="R3029" t="inlineStr"/>
      <c r="S3029" t="inlineStr"/>
      <c r="U3029">
        <f>290*U3028/1000</f>
        <v/>
      </c>
    </row>
    <row r="3030">
      <c r="A3030">
        <f>Skills!A5</f>
        <v/>
      </c>
      <c r="B3030">
        <f>Skills!B5</f>
        <v/>
      </c>
      <c r="C3030">
        <f>Inputs!$B$3&gt;=103</f>
        <v/>
      </c>
      <c r="D3030">
        <f>IF(Skills!C5=1,60+Inputs!$B$25+Inputs!$B$29,IF(Skills!C5=2,90+Inputs!$B$26+Inputs!$B$29,IF(Skills!C5=3,120+Inputs!$B$27+Inputs!$B$29,MAX(0,(Inputs!$B$3-100)*3)+Inputs!$B$28+Inputs!$B$29)))</f>
        <v/>
      </c>
      <c r="E3030">
        <f>INDEX(FactorTable!$B$2:$Y$301, MATCH(ROUND(MIN(300,MAX(1,D3030)),0), FactorTable!$A$2:$A$301,0), Skills!M5+1)</f>
        <v/>
      </c>
      <c r="F3030">
        <f>IF(Skills!N5=TRUE,(Skills!L5/10)*(E3030/1000),Skills!L5/10)+Skills!O5</f>
        <v/>
      </c>
      <c r="G3030">
        <f>Skills!G5*IF(Skills!H5&gt;0,Skills!I5/Skills!H5,1)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3030)</f>
        <v/>
      </c>
      <c r="L3030">
        <f>K3030*(MIN(Inputs!$B$22+((C3047=TRUE)*(F3047-Calc!F22)),(Inputs!$B$23+((C3049=TRUE)*(F3049-Calc!F24))+(IF(ArtifactsInput!$M$15,CHOOSE(ArtifactsInput!$N$15+1,25,30,35,40,45,50)/100*(Inputs!$B$11-Inputs!$B$11),0))))/100+(Inputs!$B$23+((C3049=TRUE)*(F3049-Calc!F24))+(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IFERROR(1/(IF(Inputs!$B$38="pvp",15,MAX(0.1,Skills!D5-IF(Skills!E5=TRUE,4.5,0)))*(1-IF(AND(ArtifactsInput!$M$27,Inputs!$B$4="Chapter Hunt"),CHOOSE(ArtifactsInput!$N$27+1,20,24,28,32,36,40),0)/100)),0)</f>
        <v/>
      </c>
      <c r="R3030">
        <f>IF(AND(Inputs!$B$38&lt;&gt;"pvp",Inputs!$B$43&gt;0),IF(MAX(0,Inputs!$B$43-B3061)&lt;=0,0,(INT(MAX(0,Inputs!$B$43-B3061)/(IF(Inputs!$B$38="pvp",15,MAX(0.1,Skills!D5-IF(Skills!E5=TRUE,4.5,0)))*(1-IF(AND(ArtifactsInput!$M$27,Inputs!$B$4="Chapter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INDEX(FactorTable!$B$2:$Y$301, MATCH(ROUND(MIN(300,MAX(1,D3031)),0), FactorTable!$A$2:$A$301,0), Skills!M6+1)</f>
        <v/>
      </c>
      <c r="F3031">
        <f>IF(Skills!N6=TRUE,(Skills!L6/10)*(E3031/1000),Skills!L6/10)+Skills!O6</f>
        <v/>
      </c>
      <c r="G3031">
        <f>Skills!G6*IF(Skills!H6&gt;0,Skills!I6/Skills!H6,1)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3031)</f>
        <v/>
      </c>
      <c r="L3031">
        <f>K3031*(MIN(Inputs!$B$22+((C3047=TRUE)*(F3047-Calc!F22)),(Inputs!$B$23+((C3049=TRUE)*(F3049-Calc!F24))+(IF(ArtifactsInput!$M$15,CHOOSE(ArtifactsInput!$N$15+1,25,30,35,40,45,50)/100*(Inputs!$B$11-Inputs!$B$11),0))))/100+(Inputs!$B$23+((C3049=TRUE)*(F3049-Calc!F24))+(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IFERROR(1/(IF(Inputs!$B$38="pvp",15,MAX(0.1,Skills!D6-IF(Skills!E6=TRUE,4.5,0)))*(1-IF(AND(ArtifactsInput!$M$27,Inputs!$B$4="Chapter Hunt"),CHOOSE(ArtifactsInput!$N$27+1,20,24,28,32,36,40),0)/100)),0)</f>
        <v/>
      </c>
      <c r="R3031">
        <f>IF(AND(Inputs!$B$38&lt;&gt;"pvp",Inputs!$B$43&gt;0),IF(MAX(0,Inputs!$B$43-B3061)&lt;=0,0,(INT(MAX(0,Inputs!$B$43-B3061)/(IF(Inputs!$B$38="pvp",15,MAX(0.1,Skills!D6-IF(Skills!E6=TRUE,4.5,0)))*(1-IF(AND(ArtifactsInput!$M$27,Inputs!$B$4="Chapter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INDEX(FactorTable!$B$2:$Y$301, MATCH(ROUND(MIN(300,MAX(1,D3032)),0), FactorTable!$A$2:$A$301,0), Skills!M7+1)</f>
        <v/>
      </c>
      <c r="F3032">
        <f>IF(Skills!N7=TRUE,(Skills!L7/10)*(E3032/1000),Skills!L7/10)+Skills!O7</f>
        <v/>
      </c>
      <c r="G3032">
        <f>Skills!G7*IF(Skills!H7&gt;0,Skills!I7/Skills!H7,1)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3032)</f>
        <v/>
      </c>
      <c r="L3032">
        <f>K3032*(MIN(Inputs!$B$22+((C3047=TRUE)*(F3047-Calc!F22)),(Inputs!$B$23+((C3049=TRUE)*(F3049-Calc!F24))+(IF(ArtifactsInput!$M$15,CHOOSE(ArtifactsInput!$N$15+1,25,30,35,40,45,50)/100*(Inputs!$B$11-Inputs!$B$11),0))))/100+(Inputs!$B$23+((C3049=TRUE)*(F3049-Calc!F24))+(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IFERROR(1/(IF(Inputs!$B$38="pvp",15,MAX(0.1,Skills!D7-IF(Skills!E7=TRUE,4.5,0)))*(1-IF(AND(ArtifactsInput!$M$27,Inputs!$B$4="Chapter Hunt"),CHOOSE(ArtifactsInput!$N$27+1,20,24,28,32,36,40),0)/100)),0)</f>
        <v/>
      </c>
      <c r="R3032">
        <f>IF(AND(Inputs!$B$38&lt;&gt;"pvp",Inputs!$B$43&gt;0),IF(MAX(0,Inputs!$B$43-B3061)&lt;=0,0,(INT(MAX(0,Inputs!$B$43-B3061)/(IF(Inputs!$B$38="pvp",15,MAX(0.1,Skills!D7-IF(Skills!E7=TRUE,4.5,0)))*(1-IF(AND(ArtifactsInput!$M$27,Inputs!$B$4="Chapter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Inputs!$B$3&gt;=117</f>
        <v/>
      </c>
      <c r="D3033">
        <f>IF(Skills!C8=1,60+Inputs!$B$25+Inputs!$B$29,IF(Skills!C8=2,90+Inputs!$B$26+Inputs!$B$29,IF(Skills!C8=3,120+Inputs!$B$27+Inputs!$B$29,MAX(0,(Inputs!$B$3-100)*3)+Inputs!$B$28+Inputs!$B$29)))</f>
        <v/>
      </c>
      <c r="E3033">
        <f>INDEX(FactorTable!$B$2:$Y$301, MATCH(ROUND(MIN(300,MAX(1,D3033)),0), FactorTable!$A$2:$A$301,0), Skills!M8+1)</f>
        <v/>
      </c>
      <c r="F3033">
        <f>IF(Skills!N8=TRUE,(Skills!L8/10)*(E3033/1000),Skills!L8/10)+Skills!O8</f>
        <v/>
      </c>
      <c r="G3033">
        <f>Skills!G8*IF(Skills!H8&gt;0,Skills!I8/Skills!H8,1)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3033)</f>
        <v/>
      </c>
      <c r="L3033">
        <f>K3033*(MIN(Inputs!$B$22+((C3047=TRUE)*(F3047-Calc!F22)),(Inputs!$B$23+((C3049=TRUE)*(F3049-Calc!F24))+(IF(ArtifactsInput!$M$15,CHOOSE(ArtifactsInput!$N$15+1,25,30,35,40,45,50)/100*(Inputs!$B$11-Inputs!$B$11),0))))/100+(Inputs!$B$23+((C3049=TRUE)*(F3049-Calc!F24))+(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IFERROR(1/(IF(Inputs!$B$38="pvp",15,MAX(0.1,Skills!D8-IF(Skills!E8=TRUE,4.5,0)))*(1-IF(AND(ArtifactsInput!$M$27,Inputs!$B$4="Chapter Hunt"),CHOOSE(ArtifactsInput!$N$27+1,20,24,28,32,36,40),0)/100)),0)</f>
        <v/>
      </c>
      <c r="R3033">
        <f>IF(AND(Inputs!$B$38&lt;&gt;"pvp",Inputs!$B$43&gt;0),IF(MAX(0,Inputs!$B$43-B3061)&lt;=0,0,(INT(MAX(0,Inputs!$B$43-B3061)/(IF(Inputs!$B$38="pvp",15,MAX(0.1,Skills!D8-IF(Skills!E8=TRUE,4.5,0)))*(1-IF(AND(ArtifactsInput!$M$27,Inputs!$B$4="Chapter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Inputs!$B$3&gt;=69</f>
        <v/>
      </c>
      <c r="D3034">
        <f>IF(Skills!C9=1,60+Inputs!$B$25+Inputs!$B$29,IF(Skills!C9=2,90+Inputs!$B$26+Inputs!$B$29,IF(Skills!C9=3,120+Inputs!$B$27+Inputs!$B$29,MAX(0,(Inputs!$B$3-100)*3)+Inputs!$B$28+Inputs!$B$29)))</f>
        <v/>
      </c>
      <c r="E3034">
        <f>INDEX(FactorTable!$B$2:$Y$301, MATCH(ROUND(MIN(300,MAX(1,D3034)),0), FactorTable!$A$2:$A$301,0), Skills!M9+1)</f>
        <v/>
      </c>
      <c r="F3034">
        <f>IF(Skills!N9=TRUE,(Skills!L9/10)*(E3034/1000),Skills!L9/10)+Skills!O9</f>
        <v/>
      </c>
      <c r="G3034">
        <f>Skills!G9*IF(Skills!H9&gt;0,Skills!I9/Skills!H9,1)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9="ENHANCED_RAGING_BLOW",IF(Inputs!$B$3&gt;=134,MAX(0,IF(Inputs!$B$3&gt;=110,7,5)-5)*50,0),0)/100)*(1+(IF(Skills!A9="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3034)</f>
        <v/>
      </c>
      <c r="L3034">
        <f>K3034*(MIN(Inputs!$B$22+((C3047=TRUE)*(F3047-Calc!F22)),(Inputs!$B$23+((C3049=TRUE)*(F3049-Calc!F24))+(IF(ArtifactsInput!$M$15,CHOOSE(ArtifactsInput!$N$15+1,25,30,35,40,45,50)/100*(Inputs!$B$11-Inputs!$B$11),0))))/100+(Inputs!$B$23+((C3049=TRUE)*(F3049-Calc!F24))+(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IFERROR(1/(IF(Inputs!$B$38="pvp",15,MAX(0.1,Skills!D9-IF(Skills!E9=TRUE,4.5,0)))*(1-IF(AND(ArtifactsInput!$M$27,Inputs!$B$4="Chapter Hunt"),CHOOSE(ArtifactsInput!$N$27+1,20,24,28,32,36,40),0)/100)),0)</f>
        <v/>
      </c>
      <c r="R3034">
        <f>IF(AND(Inputs!$B$38&lt;&gt;"pvp",Inputs!$B$43&gt;0),IF(MAX(0,Inputs!$B$43-B3061)&lt;=0,0,(INT(MAX(0,Inputs!$B$43-B3061)/(IF(Inputs!$B$38="pvp",15,MAX(0.1,Skills!D9-IF(Skills!E9=TRUE,4.5,0)))*(1-IF(AND(ArtifactsInput!$M$27,Inputs!$B$4="Chapter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Inputs!$B$3&gt;=63</f>
        <v/>
      </c>
      <c r="D3035">
        <f>IF(Skills!C10=1,60+Inputs!$B$25+Inputs!$B$29,IF(Skills!C10=2,90+Inputs!$B$26+Inputs!$B$29,IF(Skills!C10=3,120+Inputs!$B$27+Inputs!$B$29,MAX(0,(Inputs!$B$3-100)*3)+Inputs!$B$28+Inputs!$B$29)))</f>
        <v/>
      </c>
      <c r="E3035">
        <f>INDEX(FactorTable!$B$2:$Y$301, MATCH(ROUND(MIN(300,MAX(1,D3035)),0), FactorTable!$A$2:$A$301,0), Skills!M10+1)</f>
        <v/>
      </c>
      <c r="F3035">
        <f>IF(Skills!N10=TRUE,(Skills!L10/10)*(E3035/1000),Skills!L10/10)+Skills!O10</f>
        <v/>
      </c>
      <c r="G3035">
        <f>Skills!G10*IF(Skills!H10&gt;0,Skills!I10/Skills!H10,1)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10="ENHANCED_RAGING_BLOW",IF(Inputs!$B$3&gt;=134,MAX(0,IF(Inputs!$B$3&gt;=110,7,5)-5)*50,0),0)/100)*(1+(IF(Skills!A10="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3035)</f>
        <v/>
      </c>
      <c r="L3035">
        <f>K3035*(MIN(Inputs!$B$22+((C3047=TRUE)*(F3047-Calc!F22)),(Inputs!$B$23+((C3049=TRUE)*(F3049-Calc!F24))+(IF(ArtifactsInput!$M$15,CHOOSE(ArtifactsInput!$N$15+1,25,30,35,40,45,50)/100*(Inputs!$B$11-Inputs!$B$11),0))))/100+(Inputs!$B$23+((C3049=TRUE)*(F3049-Calc!F24))+(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IFERROR(1/(IF(Inputs!$B$38="pvp",15,MAX(0.1,Skills!D10-IF(Skills!E10=TRUE,4.5,0)))*(1-IF(AND(ArtifactsInput!$M$27,Inputs!$B$4="Chapter Hunt"),CHOOSE(ArtifactsInput!$N$27+1,20,24,28,32,36,40),0)/100)),0)</f>
        <v/>
      </c>
      <c r="R3035">
        <f>IF(AND(Inputs!$B$38&lt;&gt;"pvp",Inputs!$B$43&gt;0),IF(MAX(0,Inputs!$B$43-B3061)&lt;=0,0,(INT(MAX(0,Inputs!$B$43-B3061)/(IF(Inputs!$B$38="pvp",15,MAX(0.1,Skills!D10-IF(Skills!E10=TRUE,4.5,0)))*(1-IF(AND(ArtifactsInput!$M$27,Inputs!$B$4="Chapter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Inputs!$B$3&gt;=35</f>
        <v/>
      </c>
      <c r="D3036">
        <f>IF(Skills!C11=1,60+Inputs!$B$25+Inputs!$B$29,IF(Skills!C11=2,90+Inputs!$B$26+Inputs!$B$29,IF(Skills!C11=3,120+Inputs!$B$27+Inputs!$B$29,MAX(0,(Inputs!$B$3-100)*3)+Inputs!$B$28+Inputs!$B$29)))</f>
        <v/>
      </c>
      <c r="E3036">
        <f>INDEX(FactorTable!$B$2:$Y$301, MATCH(ROUND(MIN(300,MAX(1,D3036)),0), FactorTable!$A$2:$A$301,0), Skills!M11+1)</f>
        <v/>
      </c>
      <c r="F3036">
        <f>IF(Skills!N11=TRUE,(Skills!L11/10)*(E3036/1000),Skills!L11/10)+Skills!O11</f>
        <v/>
      </c>
      <c r="G3036">
        <f>Skills!G11*IF(Skills!H11&gt;0,Skills!I11/Skills!H11,1)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11="ENHANCED_RAGING_BLOW",IF(Inputs!$B$3&gt;=134,MAX(0,IF(Inputs!$B$3&gt;=110,7,5)-5)*50,0),0)/100)*(1+(IF(Skills!A11="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3036)</f>
        <v/>
      </c>
      <c r="L3036">
        <f>K3036*(MIN(Inputs!$B$22+((C3047=TRUE)*(F3047-Calc!F22)),(Inputs!$B$23+((C3049=TRUE)*(F3049-Calc!F24))+(IF(ArtifactsInput!$M$15,CHOOSE(ArtifactsInput!$N$15+1,25,30,35,40,45,50)/100*(Inputs!$B$11-Inputs!$B$11),0))))/100+(Inputs!$B$23+((C3049=TRUE)*(F3049-Calc!F24))+(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IFERROR(1/(IF(Inputs!$B$38="pvp",15,MAX(0.1,Skills!D11-IF(Skills!E11=TRUE,4.5,0)))*(1-IF(AND(ArtifactsInput!$M$27,Inputs!$B$4="Chapter Hunt"),CHOOSE(ArtifactsInput!$N$27+1,20,24,28,32,36,40),0)/100)),0)</f>
        <v/>
      </c>
      <c r="R3036">
        <f>IF(AND(Inputs!$B$38&lt;&gt;"pvp",Inputs!$B$43&gt;0),IF(MAX(0,Inputs!$B$43-B3061)&lt;=0,0,(INT(MAX(0,Inputs!$B$43-B3061)/(IF(Inputs!$B$38="pvp",15,MAX(0.1,Skills!D11-IF(Skills!E11=TRUE,4.5,0)))*(1-IF(AND(ArtifactsInput!$M$27,Inputs!$B$4="Chapter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INDEX(FactorTable!$B$2:$Y$301, MATCH(ROUND(MIN(300,MAX(1,D3037)),0),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INDEX(FactorTable!$B$2:$Y$301, MATCH(ROUND(MIN(300,MAX(1,D3038)),0), FactorTable!$A$2:$A$301,0), Skills!M13+1)</f>
        <v/>
      </c>
      <c r="F3038">
        <f>IF(Skills!N13=TRUE,(Skills!L13/10)*(E3038/1000),Skills!L13/10)+Skills!O13</f>
        <v/>
      </c>
      <c r="G3038">
        <f>Skills!G13*IF(Skills!H13&gt;0,Skills!I13/Skills!H13,1)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Inputs!$B$3&gt;=75</f>
        <v/>
      </c>
      <c r="D3039">
        <f>IF(Skills!C14=1,60+Inputs!$B$25+Inputs!$B$29,IF(Skills!C14=2,90+Inputs!$B$26+Inputs!$B$29,IF(Skills!C14=3,120+Inputs!$B$27+Inputs!$B$29,MAX(0,(Inputs!$B$3-100)*3)+Inputs!$B$28+Inputs!$B$29)))</f>
        <v/>
      </c>
      <c r="E3039">
        <f>INDEX(FactorTable!$B$2:$Y$301, MATCH(ROUND(MIN(300,MAX(1,D3039)),0), FactorTable!$A$2:$A$301,0), Skills!M14+1)</f>
        <v/>
      </c>
      <c r="F3039">
        <f>IF(Skills!N14=TRUE,(Skills!L14/10)*(E3039/1000),Skills!L14/10)+Skills!O14</f>
        <v/>
      </c>
      <c r="G3039">
        <f>Skills!G14*IF(Skills!H14&gt;0,Skills!I14/Skills!H14,1)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Inputs!$B$3&gt;=40</f>
        <v/>
      </c>
      <c r="D3040">
        <f>IF(Skills!C15=1,60+Inputs!$B$25+Inputs!$B$29,IF(Skills!C15=2,90+Inputs!$B$26+Inputs!$B$29,IF(Skills!C15=3,120+Inputs!$B$27+Inputs!$B$29,MAX(0,(Inputs!$B$3-100)*3)+Inputs!$B$28+Inputs!$B$29)))</f>
        <v/>
      </c>
      <c r="E3040">
        <f>INDEX(FactorTable!$B$2:$Y$301, MATCH(ROUND(MIN(300,MAX(1,D3040)),0), FactorTable!$A$2:$A$301,0), Skills!M15+1)</f>
        <v/>
      </c>
      <c r="F3040">
        <f>IF(Skills!N15=TRUE,(Skills!L15/10)*(E3040/1000),Skills!L15/10)+Skills!O15</f>
        <v/>
      </c>
      <c r="G3040">
        <f>Skills!G15*IF(Skills!H15&gt;0,Skills!I15/Skills!H15,1)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IFERROR(1/(IF(Inputs!$B$38="pvp",15,MAX(0.1,Skills!D15-IF(Skills!E15=TRUE,4.5,0)))*(1-IF(AND(ArtifactsInput!$M$27,Inputs!$B$4="Chapter Hunt"),CHOOSE(ArtifactsInput!$N$27+1,20,24,28,32,36,40),0)/100)),0)</f>
        <v/>
      </c>
      <c r="R3040">
        <f>IF(AND(Inputs!$B$38&lt;&gt;"pvp",Inputs!$B$43&gt;0),IF(Inputs!$B$43&lt;=0,0,(INT(Inputs!$B$43/(IF(Inputs!$B$38="pvp",15,MAX(0.1,Skills!D15-IF(Skills!E15=TRUE,4.5,0)))*(1-IF(AND(ArtifactsInput!$M$27,Inputs!$B$4="Chapter Hunt"),CHOOSE(ArtifactsInput!$N$27+1,20,24,28,32,36,40),0)/100)))+1)),0)</f>
        <v/>
      </c>
      <c r="S3040">
        <f>IFERROR(O3040/N3040,0)</f>
        <v/>
      </c>
      <c r="T3040" t="n">
        <v>0</v>
      </c>
      <c r="V3040" t="n">
        <v>0</v>
      </c>
    </row>
    <row r="3041">
      <c r="A3041">
        <f>Skills!A16</f>
        <v/>
      </c>
      <c r="B3041">
        <f>Skills!B16</f>
        <v/>
      </c>
      <c r="C3041">
        <f>Inputs!$B$3&gt;=66</f>
        <v/>
      </c>
      <c r="D3041">
        <f>IF(Skills!C16=1,60+Inputs!$B$25+Inputs!$B$29,IF(Skills!C16=2,90+Inputs!$B$26+Inputs!$B$29,IF(Skills!C16=3,120+Inputs!$B$27+Inputs!$B$29,MAX(0,(Inputs!$B$3-100)*3)+Inputs!$B$28+Inputs!$B$29)))</f>
        <v/>
      </c>
      <c r="E3041">
        <f>INDEX(FactorTable!$B$2:$Y$301, MATCH(ROUND(MIN(300,MAX(1,D3041)),0), FactorTable!$A$2:$A$301,0), Skills!M16+1)</f>
        <v/>
      </c>
      <c r="F3041">
        <f>IF(Skills!N16=TRUE,(Skills!L16/10)*(E3041/1000),Skills!L16/10)+Skills!O16</f>
        <v/>
      </c>
      <c r="G3041">
        <f>Skills!G16*IF(Skills!H16&gt;0,Skills!I16/Skills!H16,1)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IFERROR(1/(IF(Inputs!$B$38="pvp",15,MAX(0.1,Skills!D16-IF(Skills!E16=TRUE,4.5,0)))*(1-IF(AND(ArtifactsInput!$M$27,Inputs!$B$4="Chapter Hunt"),CHOOSE(ArtifactsInput!$N$27+1,20,24,28,32,36,40),0)/100)),0)</f>
        <v/>
      </c>
      <c r="R3041">
        <f>IF(AND(Inputs!$B$38&lt;&gt;"pvp",Inputs!$B$43&gt;0),IF(Inputs!$B$43&lt;=0,0,(INT(Inputs!$B$43/(IF(Inputs!$B$38="pvp",15,MAX(0.1,Skills!D16-IF(Skills!E16=TRUE,4.5,0)))*(1-IF(AND(ArtifactsInput!$M$27,Inputs!$B$4="Chapter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INDEX(FactorTable!$B$2:$Y$301, MATCH(ROUND(MIN(300,MAX(1,D3042)),0), FactorTable!$A$2:$A$301,0), Skills!M17+1)</f>
        <v/>
      </c>
      <c r="F3042">
        <f>IF(Skills!N17=TRUE,(Skills!L17/10)*(E3042/1000),Skills!L17/10)+Skills!O17</f>
        <v/>
      </c>
      <c r="G3042">
        <f>Skills!G17*IF(Skills!H17&gt;0,Skills!I17/Skills!H17,1)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IFERROR(1/(IF(Inputs!$B$38="pvp",15,MAX(0.1,Skills!D17-IF(Skills!E17=TRUE,4.5,0)))*(1-IF(AND(ArtifactsInput!$M$27,Inputs!$B$4="Chapter Hunt"),CHOOSE(ArtifactsInput!$N$27+1,20,24,28,32,36,40),0)/100)),0)</f>
        <v/>
      </c>
      <c r="R3042">
        <f>IF(AND(Inputs!$B$38&lt;&gt;"pvp",Inputs!$B$43&gt;0),IF(Inputs!$B$43&lt;=0,0,(INT(Inputs!$B$43/(IF(Inputs!$B$38="pvp",15,MAX(0.1,Skills!D17-IF(Skills!E17=TRUE,4.5,0)))*(1-IF(AND(ArtifactsInput!$M$27,Inputs!$B$4="Chapter Hunt"),CHOOSE(ArtifactsInput!$N$27+1,20,24,28,32,36,40),0)/100)))+1)),0)</f>
        <v/>
      </c>
      <c r="S3042">
        <f>IFERROR(O3042/N3042,0)</f>
        <v/>
      </c>
      <c r="T3042" t="n">
        <v>0</v>
      </c>
      <c r="V3042" t="n">
        <v>0</v>
      </c>
    </row>
    <row r="3043">
      <c r="A3043">
        <f>Skills!A18</f>
        <v/>
      </c>
      <c r="B3043">
        <f>Skills!B18</f>
        <v/>
      </c>
      <c r="C3043">
        <f>Inputs!$B$3&gt;=115</f>
        <v/>
      </c>
      <c r="D3043">
        <f>IF(Skills!C18=1,60+Inputs!$B$25+Inputs!$B$29,IF(Skills!C18=2,90+Inputs!$B$26+Inputs!$B$29,IF(Skills!C18=3,120+Inputs!$B$27+Inputs!$B$29,MAX(0,(Inputs!$B$3-100)*3)+Inputs!$B$28+Inputs!$B$29)))</f>
        <v/>
      </c>
      <c r="E3043">
        <f>INDEX(FactorTable!$B$2:$Y$301, MATCH(ROUND(MIN(300,MAX(1,D3043)),0), FactorTable!$A$2:$A$301,0), Skills!M18+1)</f>
        <v/>
      </c>
      <c r="F3043">
        <f>IF(Skills!N18=TRUE,(Skills!L18/10)*(E3043/1000),Skills!L18/10)+Skills!O18</f>
        <v/>
      </c>
      <c r="G3043">
        <f>Skills!G18*IF(Skills!H18&gt;0,Skills!I18/Skills!H18,1)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IFERROR(1/(IF(Inputs!$B$38="pvp",15,MAX(0.1,Skills!D18-IF(Skills!E18=TRUE,4.5,0)))*(1-IF(AND(ArtifactsInput!$M$27,Inputs!$B$4="Chapter Hunt"),CHOOSE(ArtifactsInput!$N$27+1,20,24,28,32,36,40),0)/100)),0)</f>
        <v/>
      </c>
      <c r="R3043">
        <f>IF(AND(Inputs!$B$38&lt;&gt;"pvp",Inputs!$B$43&gt;0),IF(Inputs!$B$43&lt;=0,0,(INT(Inputs!$B$43/(IF(Inputs!$B$38="pvp",15,MAX(0.1,Skills!D18-IF(Skills!E18=TRUE,4.5,0)))*(1-IF(AND(ArtifactsInput!$M$27,Inputs!$B$4="Chapter Hunt"),CHOOSE(ArtifactsInput!$N$27+1,20,24,28,32,36,40),0)/100)))+1)),0)</f>
        <v/>
      </c>
      <c r="S3043">
        <f>IFERROR(O3043/N3043,0)</f>
        <v/>
      </c>
      <c r="T3043" t="n">
        <v>0</v>
      </c>
      <c r="V3043" t="n">
        <v>0</v>
      </c>
    </row>
    <row r="3044">
      <c r="A3044">
        <f>Skills!A19</f>
        <v/>
      </c>
      <c r="B3044">
        <f>Skills!B19</f>
        <v/>
      </c>
      <c r="C3044">
        <f>TRUE</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IFERROR(1/(IF(Inputs!$B$38="pvp",15,MAX(0.1,Skills!D19-IF(Skills!E19=TRUE,4.5,0)))*(1-IF(AND(ArtifactsInput!$M$27,Inputs!$B$4="Chapter Hunt"),CHOOSE(ArtifactsInput!$N$27+1,20,24,28,32,36,40),0)/100)),0)</f>
        <v/>
      </c>
      <c r="R3044">
        <f>IF(AND(Inputs!$B$38&lt;&gt;"pvp",Inputs!$B$43&gt;0),IF(Inputs!$B$43&lt;=0,0,(INT(Inputs!$B$43/(IF(Inputs!$B$38="pvp",15,MAX(0.1,Skills!D19-IF(Skills!E19=TRUE,4.5,0)))*(1-IF(AND(ArtifactsInput!$M$27,Inputs!$B$4="Chapter Hunt"),CHOOSE(ArtifactsInput!$N$27+1,20,24,28,32,36,40),0)/100)))+1)),0)</f>
        <v/>
      </c>
      <c r="S3044">
        <f>IFERROR(O3044/N3044,0)</f>
        <v/>
      </c>
      <c r="T3044" t="n">
        <v>0</v>
      </c>
      <c r="V3044" t="n">
        <v>0</v>
      </c>
    </row>
    <row r="3045">
      <c r="A3045">
        <f>Skills!A20</f>
        <v/>
      </c>
      <c r="B3045">
        <f>Skills!B20</f>
        <v/>
      </c>
      <c r="C3045">
        <f>Inputs!$B$3&gt;=33</f>
        <v/>
      </c>
      <c r="D3045">
        <f>IF(Skills!C20=1,60+Inputs!$B$25+Inputs!$B$29,IF(Skills!C20=2,90+Inputs!$B$26+Inputs!$B$29,IF(Skills!C20=3,120+Inputs!$B$27+Inputs!$B$29,MAX(0,(Inputs!$B$3-100)*3)+Inputs!$B$28+Inputs!$B$29)))</f>
        <v/>
      </c>
      <c r="E3045">
        <f>INDEX(FactorTable!$B$2:$Y$301, MATCH(ROUND(MIN(300,MAX(1,D3045)),0), FactorTable!$A$2:$A$301,0), Skills!M20+1)</f>
        <v/>
      </c>
      <c r="F3045">
        <f>IF(Skills!N20=TRUE,(Skills!L20/10)*(E3045/1000),Skills!L20/10)+Skills!O20</f>
        <v/>
      </c>
      <c r="G3045">
        <f>Skills!G20*IF(Skills!H20&gt;0,Skills!I20/Skills!H20,1)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Inputs!$B$3&gt;=38</f>
        <v/>
      </c>
      <c r="D3046">
        <f>IF(Skills!C21=1,60+Inputs!$B$25+Inputs!$B$29,IF(Skills!C21=2,90+Inputs!$B$26+Inputs!$B$29,IF(Skills!C21=3,120+Inputs!$B$27+Inputs!$B$29,MAX(0,(Inputs!$B$3-100)*3)+Inputs!$B$28+Inputs!$B$29)))</f>
        <v/>
      </c>
      <c r="E3046">
        <f>INDEX(FactorTable!$B$2:$Y$301, MATCH(ROUND(MIN(300,MAX(1,D3046)),0), FactorTable!$A$2:$A$301,0), Skills!M21+1)</f>
        <v/>
      </c>
      <c r="F3046">
        <f>IF(Skills!N21=TRUE,(Skills!L21/10)*(E3046/1000),Skills!L21/10)+Skills!O21</f>
        <v/>
      </c>
      <c r="G3046">
        <f>Skills!G21*IF(Skills!H21&gt;0,Skills!I21/Skills!H21,1)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t="n">
        <v>0</v>
      </c>
      <c r="R3046" t="n">
        <v>0</v>
      </c>
      <c r="S3046">
        <f>IFERROR(O3046/N3046,0)</f>
        <v/>
      </c>
      <c r="T3046" t="n">
        <v>0</v>
      </c>
      <c r="V3046" t="n">
        <v>0</v>
      </c>
    </row>
    <row r="3047">
      <c r="A3047">
        <f>Skills!A22</f>
        <v/>
      </c>
      <c r="B3047">
        <f>Skills!B22</f>
        <v/>
      </c>
      <c r="C3047">
        <f>Inputs!$B$3&gt;=43</f>
        <v/>
      </c>
      <c r="D3047">
        <f>IF(Skills!C22=1,60+Inputs!$B$25+Inputs!$B$29,IF(Skills!C22=2,90+Inputs!$B$26+Inputs!$B$29,IF(Skills!C22=3,120+Inputs!$B$27+Inputs!$B$29,MAX(0,(Inputs!$B$3-100)*3)+Inputs!$B$28+Inputs!$B$29)))</f>
        <v/>
      </c>
      <c r="E3047">
        <f>INDEX(FactorTable!$B$2:$Y$301, MATCH(ROUND(MIN(300,MAX(1,D3047)),0), FactorTable!$A$2:$A$301,0), Skills!M22+1)</f>
        <v/>
      </c>
      <c r="F3047">
        <f>IF(Skills!N22=TRUE,(Skills!L22/10)*(E3047/1000),Skills!L22/10)+Skills!O22</f>
        <v/>
      </c>
      <c r="G3047">
        <f>Skills!G22*IF(Skills!H22&gt;0,Skills!I22/Skills!H22,1)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Inputs!$B$3&gt;=120</f>
        <v/>
      </c>
      <c r="D3048">
        <f>IF(Skills!C23=1,60+Inputs!$B$25+Inputs!$B$29,IF(Skills!C23=2,90+Inputs!$B$26+Inputs!$B$29,IF(Skills!C23=3,120+Inputs!$B$27+Inputs!$B$29,MAX(0,(Inputs!$B$3-100)*3)+Inputs!$B$28+Inputs!$B$29)))</f>
        <v/>
      </c>
      <c r="E3048">
        <f>INDEX(FactorTable!$B$2:$Y$301, MATCH(ROUND(MIN(300,MAX(1,D3048)),0), FactorTable!$A$2:$A$301,0), Skills!M23+1)</f>
        <v/>
      </c>
      <c r="F3048">
        <f>IF(Skills!N23=TRUE,(Skills!L23/10)*(E3048/1000),Skills!L23/10)+Skills!O23</f>
        <v/>
      </c>
      <c r="G3048">
        <f>Skills!G23*IF(Skills!H23&gt;0,Skills!I23/Skills!H23,1)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Inputs!$B$3&gt;=120</f>
        <v/>
      </c>
      <c r="D3049">
        <f>IF(Skills!C24=1,60+Inputs!$B$25+Inputs!$B$29,IF(Skills!C24=2,90+Inputs!$B$26+Inputs!$B$29,IF(Skills!C24=3,120+Inputs!$B$27+Inputs!$B$29,MAX(0,(Inputs!$B$3-100)*3)+Inputs!$B$28+Inputs!$B$29)))</f>
        <v/>
      </c>
      <c r="E3049">
        <f>INDEX(FactorTable!$B$2:$Y$301, MATCH(ROUND(MIN(300,MAX(1,D3049)),0), FactorTable!$A$2:$A$301,0), Skills!M24+1)</f>
        <v/>
      </c>
      <c r="F3049">
        <f>IF(Skills!N24=TRUE,(Skills!L24/10)*(E3049/1000),Skills!L24/10)+Skills!O24</f>
        <v/>
      </c>
      <c r="G3049">
        <f>Skills!G24*IF(Skills!H24&gt;0,Skills!I24/Skills!H24,1)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Inputs!$B$3&gt;=125</f>
        <v/>
      </c>
      <c r="D3050">
        <f>IF(Skills!C25=1,60+Inputs!$B$25+Inputs!$B$29,IF(Skills!C25=2,90+Inputs!$B$26+Inputs!$B$29,IF(Skills!C25=3,120+Inputs!$B$27+Inputs!$B$29,MAX(0,(Inputs!$B$3-100)*3)+Inputs!$B$28+Inputs!$B$29)))</f>
        <v/>
      </c>
      <c r="E3050">
        <f>INDEX(FactorTable!$B$2:$Y$301, MATCH(ROUND(MIN(300,MAX(1,D3050)),0), FactorTable!$A$2:$A$301,0), Skills!M25+1)</f>
        <v/>
      </c>
      <c r="F3050">
        <f>IF(Skills!N25=TRUE,(Skills!L25/10)*(E3050/1000),Skills!L25/10)+Skills!O25</f>
        <v/>
      </c>
      <c r="G3050">
        <f>Skills!G25*IF(Skills!H25&gt;0,Skills!I25/Skills!H25,1)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Inputs!$B$3&gt;=72</f>
        <v/>
      </c>
      <c r="D3051">
        <f>IF(Skills!C26=1,60+Inputs!$B$25+Inputs!$B$29,IF(Skills!C26=2,90+Inputs!$B$26+Inputs!$B$29,IF(Skills!C26=3,120+Inputs!$B$27+Inputs!$B$29,MAX(0,(Inputs!$B$3-100)*3)+Inputs!$B$28+Inputs!$B$29)))</f>
        <v/>
      </c>
      <c r="E3051">
        <f>INDEX(FactorTable!$B$2:$Y$301, MATCH(ROUND(MIN(300,MAX(1,D3051)),0), FactorTable!$A$2:$A$301,0), Skills!M26+1)</f>
        <v/>
      </c>
      <c r="F3051">
        <f>IF(Skills!N26=TRUE,(Skills!L26/10)*(E3051/1000),Skills!L26/10)+Skills!O26</f>
        <v/>
      </c>
      <c r="G3051">
        <f>Skills!G26*IF(Skills!H26&gt;0,Skills!I26/Skills!H26,1)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3044=TRUE)*F3044*IF(AND(Inputs!$B$38&lt;&gt;"pvp",Inputs!$B$43&gt;0),(((R3044-1)*(Skills!T19*(1+(Inputs!$B$34+(ArtifactsInput!$M$7-ArtifactsInput!$M$7)*CHOOSE(ArtifactsInput!$N$7+1,6,7.2,8.4,9.6,10.8,12))/100))+MIN((Skills!T19*(1+(Inputs!$B$34+(ArtifactsInput!$M$7-ArtifactsInput!$M$7)*CHOOSE(ArtifactsInput!$N$7+1,6,7.2,8.4,9.6,10.8,12))/100)),MAX(0,Inputs!$B$43-((R3044-1)*Skills!D19))))/Inputs!$B$43),IF(Inputs!$B$38="pvp",MIN((Skills!T19*(1+(Inputs!$B$34+(ArtifactsInput!$M$7-ArtifactsInput!$M$7)*CHOOSE(ArtifactsInput!$N$7+1,6,7.2,8.4,9.6,10.8,12))/100)),15)/15,(Skills!T19*(1+(Inputs!$B$34+(ArtifactsInput!$M$7-ArtifactsInput!$M$7)*CHOOSE(ArtifactsInput!$N$7+1,6,7.2,8.4,9.6,10.8,12))/100))/Skills!D19)))</f>
        <v/>
      </c>
    </row>
    <row r="3056">
      <c r="A3056" t="inlineStr">
        <is>
          <t>Actions Per Second</t>
        </is>
      </c>
      <c r="B3056">
        <f>1+MIN(150,150*(1-(1-(Inputs!$B$11+((C3045=TRUE)*(F3045-Calc!F20)))/150)*(1-B3055/150)))/100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Raging Blow Casts Per Second</t>
        </is>
      </c>
      <c r="B3058">
        <f>MAX(0,B3056-B3057)</f>
        <v/>
      </c>
    </row>
    <row r="3059">
      <c r="A3059" t="inlineStr">
        <is>
          <t>Global Critical Damage Bonus % (Enrage)</t>
        </is>
      </c>
      <c r="B3059">
        <f>((C3043=TRUE)*F3043*IF(AND(Inputs!$B$38&lt;&gt;"pvp",Inputs!$B$43&gt;0),(((R3043-1)*(Skills!T18*(1+(Inputs!$B$34+(ArtifactsInput!$M$7-ArtifactsInput!$M$7)*CHOOSE(ArtifactsInput!$N$7+1,6,7.2,8.4,9.6,10.8,12))/100))+MIN((Skills!T18*(1+(Inputs!$B$34+(ArtifactsInput!$M$7-ArtifactsInput!$M$7)*CHOOSE(ArtifactsInput!$N$7+1,6,7.2,8.4,9.6,10.8,12))/100)),MAX(0,Inputs!$B$43-((R3043-1)*Skills!D18))))/Inputs!$B$43),IF(Inputs!$B$38="pvp",MIN((Skills!T18*(1+(Inputs!$B$34+(ArtifactsInput!$M$7-ArtifactsInput!$M$7)*CHOOSE(ArtifactsInput!$N$7+1,6,7.2,8.4,9.6,10.8,12))/100)),15)/15,(Skills!T18*(1+(Inputs!$B$34+(ArtifactsInput!$M$7-ArtifactsInput!$M$7)*CHOOSE(ArtifactsInput!$N$7+1,6,7.2,8.4,9.6,10.8,12))/100))/Skills!D18)))</f>
        <v/>
      </c>
    </row>
    <row r="3060">
      <c r="A3060" t="inlineStr">
        <is>
          <t>Global Final Damage Bonus % (Enrage + Combo Synergy)</t>
        </is>
      </c>
      <c r="B3060">
        <f>((C3042=TRUE)*F3042*IF(AND(Inputs!$B$38&lt;&gt;"pvp",Inputs!$B$43&gt;0),(((R3042-1)*(Skills!T17*(1+(Inputs!$B$34+(ArtifactsInput!$M$7-ArtifactsInput!$M$7)*CHOOSE(ArtifactsInput!$N$7+1,6,7.2,8.4,9.6,10.8,12))/100))+MIN((Skills!T17*(1+(Inputs!$B$34+(ArtifactsInput!$M$7-ArtifactsInput!$M$7)*CHOOSE(ArtifactsInput!$N$7+1,6,7.2,8.4,9.6,10.8,12))/100)),MAX(0,Inputs!$B$43-((R3042-1)*Skills!D17))))/Inputs!$B$43),IF(Inputs!$B$38="pvp",MIN((Skills!T17*(1+(Inputs!$B$34+(ArtifactsInput!$M$7-ArtifactsInput!$M$7)*CHOOSE(ArtifactsInput!$N$7+1,6,7.2,8.4,9.6,10.8,12))/100)),15)/15,(Skills!T17*(1+(Inputs!$B$34+(ArtifactsInput!$M$7-ArtifactsInput!$M$7)*CHOOSE(ArtifactsInput!$N$7+1,6,7.2,8.4,9.6,10.8,12))/100))/Skills!D17)))+((C3039=TRUE)*F3039*IF(Inputs!$B$3&gt;=110,7,5))</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3069)</f>
        <v/>
      </c>
      <c r="L3069">
        <f>K3069*(MIN(Inputs!$B$22+((C3089=TRUE)*(F3089-Calc!F22)),(Inputs!$B$23+((C3091=TRUE)*(F3091-Calc!F24))+(IF(ArtifactsInput!$M$15,CHOOSE(ArtifactsInput!$N$15+1,25,30,35,40,45,50)/100*(Inputs!$B$11-Inputs!$B$11),0))))/100+(Inputs!$B$23+((C3091=TRUE)*(F3091-Calc!F24))+(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INDEX(FactorTable!$B$2:$Y$301, MATCH(ROUND(MIN(300,MAX(1,D3070)),0),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INDEX(FactorTable!$B$2:$Y$301, MATCH(ROUND(MIN(300,MAX(1,U3069)),0), FactorTable!$A$2:$A$301,0), 22)</f>
        <v/>
      </c>
    </row>
    <row r="3071">
      <c r="A3071">
        <f>Skills!A4</f>
        <v/>
      </c>
      <c r="B3071">
        <f>Skills!B4</f>
        <v/>
      </c>
      <c r="C3071">
        <f>Inputs!$B$3&gt;=105</f>
        <v/>
      </c>
      <c r="D3071">
        <f>IF(Skills!C4=1,60+Inputs!$B$25+Inputs!$B$29,IF(Skills!C4=2,90+Inputs!$B$26+Inputs!$B$29,IF(Skills!C4=3,120+Inputs!$B$27+Inputs!$B$29,MAX(0,(Inputs!$B$3-100)*3)+Inputs!$B$28+Inputs!$B$29)))</f>
        <v/>
      </c>
      <c r="E3071">
        <f>INDEX(FactorTable!$B$2:$Y$301, MATCH(ROUND(MIN(300,MAX(1,D3071)),0), FactorTable!$A$2:$A$301,0), Skills!M4+1)</f>
        <v/>
      </c>
      <c r="F3071">
        <f>IF(Skills!N4=TRUE,(Skills!L4/10)*(E3071/1000),Skills!L4/10)+Skills!O4</f>
        <v/>
      </c>
      <c r="G3071" t="inlineStr"/>
      <c r="H3071" t="inlineStr"/>
      <c r="I3071" t="inlineStr">
        <is>
          <t>1</t>
        </is>
      </c>
      <c r="J3071" t="inlineStr"/>
      <c r="K3071" t="inlineStr"/>
      <c r="L3071" t="inlineStr"/>
      <c r="M3071" t="inlineStr"/>
      <c r="N3071" t="inlineStr"/>
      <c r="O3071" t="inlineStr"/>
      <c r="P3071" t="inlineStr"/>
      <c r="Q3071" t="inlineStr"/>
      <c r="R3071" t="inlineStr"/>
      <c r="S3071" t="inlineStr"/>
      <c r="U3071">
        <f>290*U3070/1000</f>
        <v/>
      </c>
    </row>
    <row r="3072">
      <c r="A3072">
        <f>Skills!A5</f>
        <v/>
      </c>
      <c r="B3072">
        <f>Skills!B5</f>
        <v/>
      </c>
      <c r="C3072">
        <f>Inputs!$B$3&gt;=103</f>
        <v/>
      </c>
      <c r="D3072">
        <f>IF(Skills!C5=1,60+Inputs!$B$25+Inputs!$B$29,IF(Skills!C5=2,90+Inputs!$B$26+Inputs!$B$29,IF(Skills!C5=3,120+Inputs!$B$27+Inputs!$B$29,MAX(0,(Inputs!$B$3-100)*3)+Inputs!$B$28+Inputs!$B$29)))</f>
        <v/>
      </c>
      <c r="E3072">
        <f>INDEX(FactorTable!$B$2:$Y$301, MATCH(ROUND(MIN(300,MAX(1,D3072)),0), FactorTable!$A$2:$A$301,0), Skills!M5+1)</f>
        <v/>
      </c>
      <c r="F3072">
        <f>IF(Skills!N5=TRUE,(Skills!L5/10)*(E3072/1000),Skills!L5/10)+Skills!O5</f>
        <v/>
      </c>
      <c r="G3072">
        <f>Skills!G5*IF(Skills!H5&gt;0,Skills!I5/Skills!H5,1)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3072)</f>
        <v/>
      </c>
      <c r="L3072">
        <f>K3072*(MIN(Inputs!$B$22+((C3089=TRUE)*(F3089-Calc!F22)),(Inputs!$B$23+((C3091=TRUE)*(F3091-Calc!F24))+(IF(ArtifactsInput!$M$15,CHOOSE(ArtifactsInput!$N$15+1,25,30,35,40,45,50)/100*(Inputs!$B$11-Inputs!$B$11),0))))/100+(Inputs!$B$23+((C3091=TRUE)*(F3091-Calc!F24))+(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IFERROR(1/(IF(Inputs!$B$38="pvp",15,MAX(0.1,Skills!D5-IF(Skills!E5=TRUE,5.0,0)))*(1-IF(AND(ArtifactsInput!$M$27,Inputs!$B$4="Chapter Hunt"),CHOOSE(ArtifactsInput!$N$27+1,20,24,28,32,36,40),0)/100)),0)</f>
        <v/>
      </c>
      <c r="R3072">
        <f>IF(AND(Inputs!$B$38&lt;&gt;"pvp",Inputs!$B$43&gt;0),IF(MAX(0,Inputs!$B$43-B3103)&lt;=0,0,(INT(MAX(0,Inputs!$B$43-B3103)/(IF(Inputs!$B$38="pvp",15,MAX(0.1,Skills!D5-IF(Skills!E5=TRUE,5.0,0)))*(1-IF(AND(ArtifactsInput!$M$27,Inputs!$B$4="Chapter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INDEX(FactorTable!$B$2:$Y$301, MATCH(ROUND(MIN(300,MAX(1,D3073)),0), FactorTable!$A$2:$A$301,0), Skills!M6+1)</f>
        <v/>
      </c>
      <c r="F3073">
        <f>IF(Skills!N6=TRUE,(Skills!L6/10)*(E3073/1000),Skills!L6/10)+Skills!O6</f>
        <v/>
      </c>
      <c r="G3073">
        <f>Skills!G6*IF(Skills!H6&gt;0,Skills!I6/Skills!H6,1)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3073)</f>
        <v/>
      </c>
      <c r="L3073">
        <f>K3073*(MIN(Inputs!$B$22+((C3089=TRUE)*(F3089-Calc!F22)),(Inputs!$B$23+((C3091=TRUE)*(F3091-Calc!F24))+(IF(ArtifactsInput!$M$15,CHOOSE(ArtifactsInput!$N$15+1,25,30,35,40,45,50)/100*(Inputs!$B$11-Inputs!$B$11),0))))/100+(Inputs!$B$23+((C3091=TRUE)*(F3091-Calc!F24))+(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IFERROR(1/(IF(Inputs!$B$38="pvp",15,MAX(0.1,Skills!D6-IF(Skills!E6=TRUE,5.0,0)))*(1-IF(AND(ArtifactsInput!$M$27,Inputs!$B$4="Chapter Hunt"),CHOOSE(ArtifactsInput!$N$27+1,20,24,28,32,36,40),0)/100)),0)</f>
        <v/>
      </c>
      <c r="R3073">
        <f>IF(AND(Inputs!$B$38&lt;&gt;"pvp",Inputs!$B$43&gt;0),IF(MAX(0,Inputs!$B$43-B3103)&lt;=0,0,(INT(MAX(0,Inputs!$B$43-B3103)/(IF(Inputs!$B$38="pvp",15,MAX(0.1,Skills!D6-IF(Skills!E6=TRUE,5.0,0)))*(1-IF(AND(ArtifactsInput!$M$27,Inputs!$B$4="Chapter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INDEX(FactorTable!$B$2:$Y$301, MATCH(ROUND(MIN(300,MAX(1,D3074)),0), FactorTable!$A$2:$A$301,0), Skills!M7+1)</f>
        <v/>
      </c>
      <c r="F3074">
        <f>IF(Skills!N7=TRUE,(Skills!L7/10)*(E3074/1000),Skills!L7/10)+Skills!O7</f>
        <v/>
      </c>
      <c r="G3074">
        <f>Skills!G7*IF(Skills!H7&gt;0,Skills!I7/Skills!H7,1)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3074)</f>
        <v/>
      </c>
      <c r="L3074">
        <f>K3074*(MIN(Inputs!$B$22+((C3089=TRUE)*(F3089-Calc!F22)),(Inputs!$B$23+((C3091=TRUE)*(F3091-Calc!F24))+(IF(ArtifactsInput!$M$15,CHOOSE(ArtifactsInput!$N$15+1,25,30,35,40,45,50)/100*(Inputs!$B$11-Inputs!$B$11),0))))/100+(Inputs!$B$23+((C3091=TRUE)*(F3091-Calc!F24))+(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IFERROR(1/(IF(Inputs!$B$38="pvp",15,MAX(0.1,Skills!D7-IF(Skills!E7=TRUE,5.0,0)))*(1-IF(AND(ArtifactsInput!$M$27,Inputs!$B$4="Chapter Hunt"),CHOOSE(ArtifactsInput!$N$27+1,20,24,28,32,36,40),0)/100)),0)</f>
        <v/>
      </c>
      <c r="R3074">
        <f>IF(AND(Inputs!$B$38&lt;&gt;"pvp",Inputs!$B$43&gt;0),IF(MAX(0,Inputs!$B$43-B3103)&lt;=0,0,(INT(MAX(0,Inputs!$B$43-B3103)/(IF(Inputs!$B$38="pvp",15,MAX(0.1,Skills!D7-IF(Skills!E7=TRUE,5.0,0)))*(1-IF(AND(ArtifactsInput!$M$27,Inputs!$B$4="Chapter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Inputs!$B$3&gt;=117</f>
        <v/>
      </c>
      <c r="D3075">
        <f>IF(Skills!C8=1,60+Inputs!$B$25+Inputs!$B$29,IF(Skills!C8=2,90+Inputs!$B$26+Inputs!$B$29,IF(Skills!C8=3,120+Inputs!$B$27+Inputs!$B$29,MAX(0,(Inputs!$B$3-100)*3)+Inputs!$B$28+Inputs!$B$29)))</f>
        <v/>
      </c>
      <c r="E3075">
        <f>INDEX(FactorTable!$B$2:$Y$301, MATCH(ROUND(MIN(300,MAX(1,D3075)),0), FactorTable!$A$2:$A$301,0), Skills!M8+1)</f>
        <v/>
      </c>
      <c r="F3075">
        <f>IF(Skills!N8=TRUE,(Skills!L8/10)*(E3075/1000),Skills!L8/10)+Skills!O8</f>
        <v/>
      </c>
      <c r="G3075">
        <f>Skills!G8*IF(Skills!H8&gt;0,Skills!I8/Skills!H8,1)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3075)</f>
        <v/>
      </c>
      <c r="L3075">
        <f>K3075*(MIN(Inputs!$B$22+((C3089=TRUE)*(F3089-Calc!F22)),(Inputs!$B$23+((C3091=TRUE)*(F3091-Calc!F24))+(IF(ArtifactsInput!$M$15,CHOOSE(ArtifactsInput!$N$15+1,25,30,35,40,45,50)/100*(Inputs!$B$11-Inputs!$B$11),0))))/100+(Inputs!$B$23+((C3091=TRUE)*(F3091-Calc!F24))+(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IFERROR(1/(IF(Inputs!$B$38="pvp",15,MAX(0.1,Skills!D8-IF(Skills!E8=TRUE,5.0,0)))*(1-IF(AND(ArtifactsInput!$M$27,Inputs!$B$4="Chapter Hunt"),CHOOSE(ArtifactsInput!$N$27+1,20,24,28,32,36,40),0)/100)),0)</f>
        <v/>
      </c>
      <c r="R3075">
        <f>IF(AND(Inputs!$B$38&lt;&gt;"pvp",Inputs!$B$43&gt;0),IF(MAX(0,Inputs!$B$43-B3103)&lt;=0,0,(INT(MAX(0,Inputs!$B$43-B3103)/(IF(Inputs!$B$38="pvp",15,MAX(0.1,Skills!D8-IF(Skills!E8=TRUE,5.0,0)))*(1-IF(AND(ArtifactsInput!$M$27,Inputs!$B$4="Chapter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Inputs!$B$3&gt;=69</f>
        <v/>
      </c>
      <c r="D3076">
        <f>IF(Skills!C9=1,60+Inputs!$B$25+Inputs!$B$29,IF(Skills!C9=2,90+Inputs!$B$26+Inputs!$B$29,IF(Skills!C9=3,120+Inputs!$B$27+Inputs!$B$29,MAX(0,(Inputs!$B$3-100)*3)+Inputs!$B$28+Inputs!$B$29)))</f>
        <v/>
      </c>
      <c r="E3076">
        <f>INDEX(FactorTable!$B$2:$Y$301, MATCH(ROUND(MIN(300,MAX(1,D3076)),0), FactorTable!$A$2:$A$301,0), Skills!M9+1)</f>
        <v/>
      </c>
      <c r="F3076">
        <f>IF(Skills!N9=TRUE,(Skills!L9/10)*(E3076/1000),Skills!L9/10)+Skills!O9</f>
        <v/>
      </c>
      <c r="G3076">
        <f>Skills!G9*IF(Skills!H9&gt;0,Skills!I9/Skills!H9,1)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9="ENHANCED_RAGING_BLOW",IF(Inputs!$B$3&gt;=134,MAX(0,IF(Inputs!$B$3&gt;=110,7,5)-5)*50,0),0)/100)*(1+(IF(Skills!A9="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3076)</f>
        <v/>
      </c>
      <c r="L3076">
        <f>K3076*(MIN(Inputs!$B$22+((C3089=TRUE)*(F3089-Calc!F22)),(Inputs!$B$23+((C3091=TRUE)*(F3091-Calc!F24))+(IF(ArtifactsInput!$M$15,CHOOSE(ArtifactsInput!$N$15+1,25,30,35,40,45,50)/100*(Inputs!$B$11-Inputs!$B$11),0))))/100+(Inputs!$B$23+((C3091=TRUE)*(F3091-Calc!F24))+(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IFERROR(1/(IF(Inputs!$B$38="pvp",15,MAX(0.1,Skills!D9-IF(Skills!E9=TRUE,5.0,0)))*(1-IF(AND(ArtifactsInput!$M$27,Inputs!$B$4="Chapter Hunt"),CHOOSE(ArtifactsInput!$N$27+1,20,24,28,32,36,40),0)/100)),0)</f>
        <v/>
      </c>
      <c r="R3076">
        <f>IF(AND(Inputs!$B$38&lt;&gt;"pvp",Inputs!$B$43&gt;0),IF(MAX(0,Inputs!$B$43-B3103)&lt;=0,0,(INT(MAX(0,Inputs!$B$43-B3103)/(IF(Inputs!$B$38="pvp",15,MAX(0.1,Skills!D9-IF(Skills!E9=TRUE,5.0,0)))*(1-IF(AND(ArtifactsInput!$M$27,Inputs!$B$4="Chapter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Inputs!$B$3&gt;=63</f>
        <v/>
      </c>
      <c r="D3077">
        <f>IF(Skills!C10=1,60+Inputs!$B$25+Inputs!$B$29,IF(Skills!C10=2,90+Inputs!$B$26+Inputs!$B$29,IF(Skills!C10=3,120+Inputs!$B$27+Inputs!$B$29,MAX(0,(Inputs!$B$3-100)*3)+Inputs!$B$28+Inputs!$B$29)))</f>
        <v/>
      </c>
      <c r="E3077">
        <f>INDEX(FactorTable!$B$2:$Y$301, MATCH(ROUND(MIN(300,MAX(1,D3077)),0), FactorTable!$A$2:$A$301,0), Skills!M10+1)</f>
        <v/>
      </c>
      <c r="F3077">
        <f>IF(Skills!N10=TRUE,(Skills!L10/10)*(E3077/1000),Skills!L10/10)+Skills!O10</f>
        <v/>
      </c>
      <c r="G3077">
        <f>Skills!G10*IF(Skills!H10&gt;0,Skills!I10/Skills!H10,1)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10="ENHANCED_RAGING_BLOW",IF(Inputs!$B$3&gt;=134,MAX(0,IF(Inputs!$B$3&gt;=110,7,5)-5)*50,0),0)/100)*(1+(IF(Skills!A10="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3077)</f>
        <v/>
      </c>
      <c r="L3077">
        <f>K3077*(MIN(Inputs!$B$22+((C3089=TRUE)*(F3089-Calc!F22)),(Inputs!$B$23+((C3091=TRUE)*(F3091-Calc!F24))+(IF(ArtifactsInput!$M$15,CHOOSE(ArtifactsInput!$N$15+1,25,30,35,40,45,50)/100*(Inputs!$B$11-Inputs!$B$11),0))))/100+(Inputs!$B$23+((C3091=TRUE)*(F3091-Calc!F24))+(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IFERROR(1/(IF(Inputs!$B$38="pvp",15,MAX(0.1,Skills!D10-IF(Skills!E10=TRUE,5.0,0)))*(1-IF(AND(ArtifactsInput!$M$27,Inputs!$B$4="Chapter Hunt"),CHOOSE(ArtifactsInput!$N$27+1,20,24,28,32,36,40),0)/100)),0)</f>
        <v/>
      </c>
      <c r="R3077">
        <f>IF(AND(Inputs!$B$38&lt;&gt;"pvp",Inputs!$B$43&gt;0),IF(MAX(0,Inputs!$B$43-B3103)&lt;=0,0,(INT(MAX(0,Inputs!$B$43-B3103)/(IF(Inputs!$B$38="pvp",15,MAX(0.1,Skills!D10-IF(Skills!E10=TRUE,5.0,0)))*(1-IF(AND(ArtifactsInput!$M$27,Inputs!$B$4="Chapter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Inputs!$B$3&gt;=35</f>
        <v/>
      </c>
      <c r="D3078">
        <f>IF(Skills!C11=1,60+Inputs!$B$25+Inputs!$B$29,IF(Skills!C11=2,90+Inputs!$B$26+Inputs!$B$29,IF(Skills!C11=3,120+Inputs!$B$27+Inputs!$B$29,MAX(0,(Inputs!$B$3-100)*3)+Inputs!$B$28+Inputs!$B$29)))</f>
        <v/>
      </c>
      <c r="E3078">
        <f>INDEX(FactorTable!$B$2:$Y$301, MATCH(ROUND(MIN(300,MAX(1,D3078)),0), FactorTable!$A$2:$A$301,0), Skills!M11+1)</f>
        <v/>
      </c>
      <c r="F3078">
        <f>IF(Skills!N11=TRUE,(Skills!L11/10)*(E3078/1000),Skills!L11/10)+Skills!O11</f>
        <v/>
      </c>
      <c r="G3078">
        <f>Skills!G11*IF(Skills!H11&gt;0,Skills!I11/Skills!H11,1)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11="ENHANCED_RAGING_BLOW",IF(Inputs!$B$3&gt;=134,MAX(0,IF(Inputs!$B$3&gt;=110,7,5)-5)*50,0),0)/100)*(1+(IF(Skills!A11="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3078)</f>
        <v/>
      </c>
      <c r="L3078">
        <f>K3078*(MIN(Inputs!$B$22+((C3089=TRUE)*(F3089-Calc!F22)),(Inputs!$B$23+((C3091=TRUE)*(F3091-Calc!F24))+(IF(ArtifactsInput!$M$15,CHOOSE(ArtifactsInput!$N$15+1,25,30,35,40,45,50)/100*(Inputs!$B$11-Inputs!$B$11),0))))/100+(Inputs!$B$23+((C3091=TRUE)*(F3091-Calc!F24))+(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IFERROR(1/(IF(Inputs!$B$38="pvp",15,MAX(0.1,Skills!D11-IF(Skills!E11=TRUE,5.0,0)))*(1-IF(AND(ArtifactsInput!$M$27,Inputs!$B$4="Chapter Hunt"),CHOOSE(ArtifactsInput!$N$27+1,20,24,28,32,36,40),0)/100)),0)</f>
        <v/>
      </c>
      <c r="R3078">
        <f>IF(AND(Inputs!$B$38&lt;&gt;"pvp",Inputs!$B$43&gt;0),IF(MAX(0,Inputs!$B$43-B3103)&lt;=0,0,(INT(MAX(0,Inputs!$B$43-B3103)/(IF(Inputs!$B$38="pvp",15,MAX(0.1,Skills!D11-IF(Skills!E11=TRUE,5.0,0)))*(1-IF(AND(ArtifactsInput!$M$27,Inputs!$B$4="Chapter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INDEX(FactorTable!$B$2:$Y$301, MATCH(ROUND(MIN(300,MAX(1,D3079)),0),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INDEX(FactorTable!$B$2:$Y$301, MATCH(ROUND(MIN(300,MAX(1,D3080)),0), FactorTable!$A$2:$A$301,0), Skills!M13+1)</f>
        <v/>
      </c>
      <c r="F3080">
        <f>IF(Skills!N13=TRUE,(Skills!L13/10)*(E3080/1000),Skills!L13/10)+Skills!O13</f>
        <v/>
      </c>
      <c r="G3080">
        <f>Skills!G13*IF(Skills!H13&gt;0,Skills!I13/Skills!H13,1)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Inputs!$B$3&gt;=75</f>
        <v/>
      </c>
      <c r="D3081">
        <f>IF(Skills!C14=1,60+Inputs!$B$25+Inputs!$B$29,IF(Skills!C14=2,90+Inputs!$B$26+Inputs!$B$29,IF(Skills!C14=3,120+Inputs!$B$27+Inputs!$B$29,MAX(0,(Inputs!$B$3-100)*3)+Inputs!$B$28+Inputs!$B$29)))</f>
        <v/>
      </c>
      <c r="E3081">
        <f>INDEX(FactorTable!$B$2:$Y$301, MATCH(ROUND(MIN(300,MAX(1,D3081)),0), FactorTable!$A$2:$A$301,0), Skills!M14+1)</f>
        <v/>
      </c>
      <c r="F3081">
        <f>IF(Skills!N14=TRUE,(Skills!L14/10)*(E3081/1000),Skills!L14/10)+Skills!O14</f>
        <v/>
      </c>
      <c r="G3081">
        <f>Skills!G14*IF(Skills!H14&gt;0,Skills!I14/Skills!H14,1)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Inputs!$B$3&gt;=40</f>
        <v/>
      </c>
      <c r="D3082">
        <f>IF(Skills!C15=1,60+Inputs!$B$25+Inputs!$B$29,IF(Skills!C15=2,90+Inputs!$B$26+Inputs!$B$29,IF(Skills!C15=3,120+Inputs!$B$27+Inputs!$B$29,MAX(0,(Inputs!$B$3-100)*3)+Inputs!$B$28+Inputs!$B$29)))</f>
        <v/>
      </c>
      <c r="E3082">
        <f>INDEX(FactorTable!$B$2:$Y$301, MATCH(ROUND(MIN(300,MAX(1,D3082)),0), FactorTable!$A$2:$A$301,0), Skills!M15+1)</f>
        <v/>
      </c>
      <c r="F3082">
        <f>IF(Skills!N15=TRUE,(Skills!L15/10)*(E3082/1000),Skills!L15/10)+Skills!O15</f>
        <v/>
      </c>
      <c r="G3082">
        <f>Skills!G15*IF(Skills!H15&gt;0,Skills!I15/Skills!H15,1)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IFERROR(1/(IF(Inputs!$B$38="pvp",15,MAX(0.1,Skills!D15-IF(Skills!E15=TRUE,5.0,0)))*(1-IF(AND(ArtifactsInput!$M$27,Inputs!$B$4="Chapter Hunt"),CHOOSE(ArtifactsInput!$N$27+1,20,24,28,32,36,40),0)/100)),0)</f>
        <v/>
      </c>
      <c r="R3082">
        <f>IF(AND(Inputs!$B$38&lt;&gt;"pvp",Inputs!$B$43&gt;0),IF(Inputs!$B$43&lt;=0,0,(INT(Inputs!$B$43/(IF(Inputs!$B$38="pvp",15,MAX(0.1,Skills!D15-IF(Skills!E15=TRUE,5.0,0)))*(1-IF(AND(ArtifactsInput!$M$27,Inputs!$B$4="Chapter Hunt"),CHOOSE(ArtifactsInput!$N$27+1,20,24,28,32,36,40),0)/100)))+1)),0)</f>
        <v/>
      </c>
      <c r="S3082">
        <f>IFERROR(O3082/N3082,0)</f>
        <v/>
      </c>
      <c r="T3082" t="n">
        <v>0</v>
      </c>
      <c r="V3082" t="n">
        <v>0</v>
      </c>
    </row>
    <row r="3083">
      <c r="A3083">
        <f>Skills!A16</f>
        <v/>
      </c>
      <c r="B3083">
        <f>Skills!B16</f>
        <v/>
      </c>
      <c r="C3083">
        <f>Inputs!$B$3&gt;=66</f>
        <v/>
      </c>
      <c r="D3083">
        <f>IF(Skills!C16=1,60+Inputs!$B$25+Inputs!$B$29,IF(Skills!C16=2,90+Inputs!$B$26+Inputs!$B$29,IF(Skills!C16=3,120+Inputs!$B$27+Inputs!$B$29,MAX(0,(Inputs!$B$3-100)*3)+Inputs!$B$28+Inputs!$B$29)))</f>
        <v/>
      </c>
      <c r="E3083">
        <f>INDEX(FactorTable!$B$2:$Y$301, MATCH(ROUND(MIN(300,MAX(1,D3083)),0), FactorTable!$A$2:$A$301,0), Skills!M16+1)</f>
        <v/>
      </c>
      <c r="F3083">
        <f>IF(Skills!N16=TRUE,(Skills!L16/10)*(E3083/1000),Skills!L16/10)+Skills!O16</f>
        <v/>
      </c>
      <c r="G3083">
        <f>Skills!G16*IF(Skills!H16&gt;0,Skills!I16/Skills!H16,1)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IFERROR(1/(IF(Inputs!$B$38="pvp",15,MAX(0.1,Skills!D16-IF(Skills!E16=TRUE,5.0,0)))*(1-IF(AND(ArtifactsInput!$M$27,Inputs!$B$4="Chapter Hunt"),CHOOSE(ArtifactsInput!$N$27+1,20,24,28,32,36,40),0)/100)),0)</f>
        <v/>
      </c>
      <c r="R3083">
        <f>IF(AND(Inputs!$B$38&lt;&gt;"pvp",Inputs!$B$43&gt;0),IF(Inputs!$B$43&lt;=0,0,(INT(Inputs!$B$43/(IF(Inputs!$B$38="pvp",15,MAX(0.1,Skills!D16-IF(Skills!E16=TRUE,5.0,0)))*(1-IF(AND(ArtifactsInput!$M$27,Inputs!$B$4="Chapter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INDEX(FactorTable!$B$2:$Y$301, MATCH(ROUND(MIN(300,MAX(1,D3084)),0), FactorTable!$A$2:$A$301,0), Skills!M17+1)</f>
        <v/>
      </c>
      <c r="F3084">
        <f>IF(Skills!N17=TRUE,(Skills!L17/10)*(E3084/1000),Skills!L17/10)+Skills!O17</f>
        <v/>
      </c>
      <c r="G3084">
        <f>Skills!G17*IF(Skills!H17&gt;0,Skills!I17/Skills!H17,1)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IFERROR(1/(IF(Inputs!$B$38="pvp",15,MAX(0.1,Skills!D17-IF(Skills!E17=TRUE,5.0,0)))*(1-IF(AND(ArtifactsInput!$M$27,Inputs!$B$4="Chapter Hunt"),CHOOSE(ArtifactsInput!$N$27+1,20,24,28,32,36,40),0)/100)),0)</f>
        <v/>
      </c>
      <c r="R3084">
        <f>IF(AND(Inputs!$B$38&lt;&gt;"pvp",Inputs!$B$43&gt;0),IF(Inputs!$B$43&lt;=0,0,(INT(Inputs!$B$43/(IF(Inputs!$B$38="pvp",15,MAX(0.1,Skills!D17-IF(Skills!E17=TRUE,5.0,0)))*(1-IF(AND(ArtifactsInput!$M$27,Inputs!$B$4="Chapter Hunt"),CHOOSE(ArtifactsInput!$N$27+1,20,24,28,32,36,40),0)/100)))+1)),0)</f>
        <v/>
      </c>
      <c r="S3084">
        <f>IFERROR(O3084/N3084,0)</f>
        <v/>
      </c>
      <c r="T3084" t="n">
        <v>0</v>
      </c>
      <c r="V3084" t="n">
        <v>0</v>
      </c>
    </row>
    <row r="3085">
      <c r="A3085">
        <f>Skills!A18</f>
        <v/>
      </c>
      <c r="B3085">
        <f>Skills!B18</f>
        <v/>
      </c>
      <c r="C3085">
        <f>Inputs!$B$3&gt;=115</f>
        <v/>
      </c>
      <c r="D3085">
        <f>IF(Skills!C18=1,60+Inputs!$B$25+Inputs!$B$29,IF(Skills!C18=2,90+Inputs!$B$26+Inputs!$B$29,IF(Skills!C18=3,120+Inputs!$B$27+Inputs!$B$29,MAX(0,(Inputs!$B$3-100)*3)+Inputs!$B$28+Inputs!$B$29)))</f>
        <v/>
      </c>
      <c r="E3085">
        <f>INDEX(FactorTable!$B$2:$Y$301, MATCH(ROUND(MIN(300,MAX(1,D3085)),0), FactorTable!$A$2:$A$301,0), Skills!M18+1)</f>
        <v/>
      </c>
      <c r="F3085">
        <f>IF(Skills!N18=TRUE,(Skills!L18/10)*(E3085/1000),Skills!L18/10)+Skills!O18</f>
        <v/>
      </c>
      <c r="G3085">
        <f>Skills!G18*IF(Skills!H18&gt;0,Skills!I18/Skills!H18,1)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IFERROR(1/(IF(Inputs!$B$38="pvp",15,MAX(0.1,Skills!D18-IF(Skills!E18=TRUE,5.0,0)))*(1-IF(AND(ArtifactsInput!$M$27,Inputs!$B$4="Chapter Hunt"),CHOOSE(ArtifactsInput!$N$27+1,20,24,28,32,36,40),0)/100)),0)</f>
        <v/>
      </c>
      <c r="R3085">
        <f>IF(AND(Inputs!$B$38&lt;&gt;"pvp",Inputs!$B$43&gt;0),IF(Inputs!$B$43&lt;=0,0,(INT(Inputs!$B$43/(IF(Inputs!$B$38="pvp",15,MAX(0.1,Skills!D18-IF(Skills!E18=TRUE,5.0,0)))*(1-IF(AND(ArtifactsInput!$M$27,Inputs!$B$4="Chapter Hunt"),CHOOSE(ArtifactsInput!$N$27+1,20,24,28,32,36,40),0)/100)))+1)),0)</f>
        <v/>
      </c>
      <c r="S3085">
        <f>IFERROR(O3085/N3085,0)</f>
        <v/>
      </c>
      <c r="T3085" t="n">
        <v>0</v>
      </c>
      <c r="V3085" t="n">
        <v>0</v>
      </c>
    </row>
    <row r="3086">
      <c r="A3086">
        <f>Skills!A19</f>
        <v/>
      </c>
      <c r="B3086">
        <f>Skills!B19</f>
        <v/>
      </c>
      <c r="C3086">
        <f>TRUE</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IFERROR(1/(IF(Inputs!$B$38="pvp",15,MAX(0.1,Skills!D19-IF(Skills!E19=TRUE,5.0,0)))*(1-IF(AND(ArtifactsInput!$M$27,Inputs!$B$4="Chapter Hunt"),CHOOSE(ArtifactsInput!$N$27+1,20,24,28,32,36,40),0)/100)),0)</f>
        <v/>
      </c>
      <c r="R3086">
        <f>IF(AND(Inputs!$B$38&lt;&gt;"pvp",Inputs!$B$43&gt;0),IF(Inputs!$B$43&lt;=0,0,(INT(Inputs!$B$43/(IF(Inputs!$B$38="pvp",15,MAX(0.1,Skills!D19-IF(Skills!E19=TRUE,5.0,0)))*(1-IF(AND(ArtifactsInput!$M$27,Inputs!$B$4="Chapter Hunt"),CHOOSE(ArtifactsInput!$N$27+1,20,24,28,32,36,40),0)/100)))+1)),0)</f>
        <v/>
      </c>
      <c r="S3086">
        <f>IFERROR(O3086/N3086,0)</f>
        <v/>
      </c>
      <c r="T3086" t="n">
        <v>0</v>
      </c>
      <c r="V3086" t="n">
        <v>0</v>
      </c>
    </row>
    <row r="3087">
      <c r="A3087">
        <f>Skills!A20</f>
        <v/>
      </c>
      <c r="B3087">
        <f>Skills!B20</f>
        <v/>
      </c>
      <c r="C3087">
        <f>Inputs!$B$3&gt;=33</f>
        <v/>
      </c>
      <c r="D3087">
        <f>IF(Skills!C20=1,60+Inputs!$B$25+Inputs!$B$29,IF(Skills!C20=2,90+Inputs!$B$26+Inputs!$B$29,IF(Skills!C20=3,120+Inputs!$B$27+Inputs!$B$29,MAX(0,(Inputs!$B$3-100)*3)+Inputs!$B$28+Inputs!$B$29)))</f>
        <v/>
      </c>
      <c r="E3087">
        <f>INDEX(FactorTable!$B$2:$Y$301, MATCH(ROUND(MIN(300,MAX(1,D3087)),0), FactorTable!$A$2:$A$301,0), Skills!M20+1)</f>
        <v/>
      </c>
      <c r="F3087">
        <f>IF(Skills!N20=TRUE,(Skills!L20/10)*(E3087/1000),Skills!L20/10)+Skills!O20</f>
        <v/>
      </c>
      <c r="G3087">
        <f>Skills!G20*IF(Skills!H20&gt;0,Skills!I20/Skills!H20,1)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Inputs!$B$3&gt;=38</f>
        <v/>
      </c>
      <c r="D3088">
        <f>IF(Skills!C21=1,60+Inputs!$B$25+Inputs!$B$29,IF(Skills!C21=2,90+Inputs!$B$26+Inputs!$B$29,IF(Skills!C21=3,120+Inputs!$B$27+Inputs!$B$29,MAX(0,(Inputs!$B$3-100)*3)+Inputs!$B$28+Inputs!$B$29)))</f>
        <v/>
      </c>
      <c r="E3088">
        <f>INDEX(FactorTable!$B$2:$Y$301, MATCH(ROUND(MIN(300,MAX(1,D3088)),0), FactorTable!$A$2:$A$301,0), Skills!M21+1)</f>
        <v/>
      </c>
      <c r="F3088">
        <f>IF(Skills!N21=TRUE,(Skills!L21/10)*(E3088/1000),Skills!L21/10)+Skills!O21</f>
        <v/>
      </c>
      <c r="G3088">
        <f>Skills!G21*IF(Skills!H21&gt;0,Skills!I21/Skills!H21,1)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Skills!A22</f>
        <v/>
      </c>
      <c r="B3089">
        <f>Skills!B22</f>
        <v/>
      </c>
      <c r="C3089">
        <f>Inputs!$B$3&gt;=43</f>
        <v/>
      </c>
      <c r="D3089">
        <f>IF(Skills!C22=1,60+Inputs!$B$25+Inputs!$B$29,IF(Skills!C22=2,90+Inputs!$B$26+Inputs!$B$29,IF(Skills!C22=3,120+Inputs!$B$27+Inputs!$B$29,MAX(0,(Inputs!$B$3-100)*3)+Inputs!$B$28+Inputs!$B$29)))</f>
        <v/>
      </c>
      <c r="E3089">
        <f>INDEX(FactorTable!$B$2:$Y$301, MATCH(ROUND(MIN(300,MAX(1,D3089)),0), FactorTable!$A$2:$A$301,0), Skills!M22+1)</f>
        <v/>
      </c>
      <c r="F3089">
        <f>IF(Skills!N22=TRUE,(Skills!L22/10)*(E3089/1000),Skills!L22/10)+Skills!O22</f>
        <v/>
      </c>
      <c r="G3089">
        <f>Skills!G22*IF(Skills!H22&gt;0,Skills!I22/Skills!H22,1)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Inputs!$B$3&gt;=120</f>
        <v/>
      </c>
      <c r="D3090">
        <f>IF(Skills!C23=1,60+Inputs!$B$25+Inputs!$B$29,IF(Skills!C23=2,90+Inputs!$B$26+Inputs!$B$29,IF(Skills!C23=3,120+Inputs!$B$27+Inputs!$B$29,MAX(0,(Inputs!$B$3-100)*3)+Inputs!$B$28+Inputs!$B$29)))</f>
        <v/>
      </c>
      <c r="E3090">
        <f>INDEX(FactorTable!$B$2:$Y$301, MATCH(ROUND(MIN(300,MAX(1,D3090)),0), FactorTable!$A$2:$A$301,0), Skills!M23+1)</f>
        <v/>
      </c>
      <c r="F3090">
        <f>IF(Skills!N23=TRUE,(Skills!L23/10)*(E3090/1000),Skills!L23/10)+Skills!O23</f>
        <v/>
      </c>
      <c r="G3090">
        <f>Skills!G23*IF(Skills!H23&gt;0,Skills!I23/Skills!H23,1)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Inputs!$B$3&gt;=120</f>
        <v/>
      </c>
      <c r="D3091">
        <f>IF(Skills!C24=1,60+Inputs!$B$25+Inputs!$B$29,IF(Skills!C24=2,90+Inputs!$B$26+Inputs!$B$29,IF(Skills!C24=3,120+Inputs!$B$27+Inputs!$B$29,MAX(0,(Inputs!$B$3-100)*3)+Inputs!$B$28+Inputs!$B$29)))</f>
        <v/>
      </c>
      <c r="E3091">
        <f>INDEX(FactorTable!$B$2:$Y$301, MATCH(ROUND(MIN(300,MAX(1,D3091)),0), FactorTable!$A$2:$A$301,0), Skills!M24+1)</f>
        <v/>
      </c>
      <c r="F3091">
        <f>IF(Skills!N24=TRUE,(Skills!L24/10)*(E3091/1000),Skills!L24/10)+Skills!O24</f>
        <v/>
      </c>
      <c r="G3091">
        <f>Skills!G24*IF(Skills!H24&gt;0,Skills!I24/Skills!H24,1)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Inputs!$B$3&gt;=125</f>
        <v/>
      </c>
      <c r="D3092">
        <f>IF(Skills!C25=1,60+Inputs!$B$25+Inputs!$B$29,IF(Skills!C25=2,90+Inputs!$B$26+Inputs!$B$29,IF(Skills!C25=3,120+Inputs!$B$27+Inputs!$B$29,MAX(0,(Inputs!$B$3-100)*3)+Inputs!$B$28+Inputs!$B$29)))</f>
        <v/>
      </c>
      <c r="E3092">
        <f>INDEX(FactorTable!$B$2:$Y$301, MATCH(ROUND(MIN(300,MAX(1,D3092)),0), FactorTable!$A$2:$A$301,0), Skills!M25+1)</f>
        <v/>
      </c>
      <c r="F3092">
        <f>IF(Skills!N25=TRUE,(Skills!L25/10)*(E3092/1000),Skills!L25/10)+Skills!O25</f>
        <v/>
      </c>
      <c r="G3092">
        <f>Skills!G25*IF(Skills!H25&gt;0,Skills!I25/Skills!H25,1)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Inputs!$B$3&gt;=72</f>
        <v/>
      </c>
      <c r="D3093">
        <f>IF(Skills!C26=1,60+Inputs!$B$25+Inputs!$B$29,IF(Skills!C26=2,90+Inputs!$B$26+Inputs!$B$29,IF(Skills!C26=3,120+Inputs!$B$27+Inputs!$B$29,MAX(0,(Inputs!$B$3-100)*3)+Inputs!$B$28+Inputs!$B$29)))</f>
        <v/>
      </c>
      <c r="E3093">
        <f>INDEX(FactorTable!$B$2:$Y$301, MATCH(ROUND(MIN(300,MAX(1,D3093)),0), FactorTable!$A$2:$A$301,0), Skills!M26+1)</f>
        <v/>
      </c>
      <c r="F3093">
        <f>IF(Skills!N26=TRUE,(Skills!L26/10)*(E3093/1000),Skills!L26/10)+Skills!O26</f>
        <v/>
      </c>
      <c r="G3093">
        <f>Skills!G26*IF(Skills!H26&gt;0,Skills!I26/Skills!H26,1)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3086=TRUE)*F3086*IF(AND(Inputs!$B$38&lt;&gt;"pvp",Inputs!$B$43&gt;0),(((R3086-1)*(Skills!T19*(1+(Inputs!$B$34+(ArtifactsInput!$M$7-ArtifactsInput!$M$7)*CHOOSE(ArtifactsInput!$N$7+1,6,7.2,8.4,9.6,10.8,12))/100))+MIN((Skills!T19*(1+(Inputs!$B$34+(ArtifactsInput!$M$7-ArtifactsInput!$M$7)*CHOOSE(ArtifactsInput!$N$7+1,6,7.2,8.4,9.6,10.8,12))/100)),MAX(0,Inputs!$B$43-((R3086-1)*Skills!D19))))/Inputs!$B$43),IF(Inputs!$B$38="pvp",MIN((Skills!T19*(1+(Inputs!$B$34+(ArtifactsInput!$M$7-ArtifactsInput!$M$7)*CHOOSE(ArtifactsInput!$N$7+1,6,7.2,8.4,9.6,10.8,12))/100)),15)/15,(Skills!T19*(1+(Inputs!$B$34+(ArtifactsInput!$M$7-ArtifactsInput!$M$7)*CHOOSE(ArtifactsInput!$N$7+1,6,7.2,8.4,9.6,10.8,12))/100))/Skills!D19)))</f>
        <v/>
      </c>
    </row>
    <row r="3098">
      <c r="A3098" t="inlineStr">
        <is>
          <t>Actions Per Second</t>
        </is>
      </c>
      <c r="B3098">
        <f>1+MIN(150,150*(1-(1-(Inputs!$B$11+((C3087=TRUE)*(F3087-Calc!F20)))/150)*(1-B3097/150)))/100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Raging Blow Casts Per Second</t>
        </is>
      </c>
      <c r="B3100">
        <f>MAX(0,B3098-B3099)</f>
        <v/>
      </c>
    </row>
    <row r="3101">
      <c r="A3101" t="inlineStr">
        <is>
          <t>Global Critical Damage Bonus % (Enrage)</t>
        </is>
      </c>
      <c r="B3101">
        <f>((C3085=TRUE)*F3085*IF(AND(Inputs!$B$38&lt;&gt;"pvp",Inputs!$B$43&gt;0),(((R3085-1)*(Skills!T18*(1+(Inputs!$B$34+(ArtifactsInput!$M$7-ArtifactsInput!$M$7)*CHOOSE(ArtifactsInput!$N$7+1,6,7.2,8.4,9.6,10.8,12))/100))+MIN((Skills!T18*(1+(Inputs!$B$34+(ArtifactsInput!$M$7-ArtifactsInput!$M$7)*CHOOSE(ArtifactsInput!$N$7+1,6,7.2,8.4,9.6,10.8,12))/100)),MAX(0,Inputs!$B$43-((R3085-1)*Skills!D18))))/Inputs!$B$43),IF(Inputs!$B$38="pvp",MIN((Skills!T18*(1+(Inputs!$B$34+(ArtifactsInput!$M$7-ArtifactsInput!$M$7)*CHOOSE(ArtifactsInput!$N$7+1,6,7.2,8.4,9.6,10.8,12))/100)),15)/15,(Skills!T18*(1+(Inputs!$B$34+(ArtifactsInput!$M$7-ArtifactsInput!$M$7)*CHOOSE(ArtifactsInput!$N$7+1,6,7.2,8.4,9.6,10.8,12))/100))/Skills!D18)))</f>
        <v/>
      </c>
    </row>
    <row r="3102">
      <c r="A3102" t="inlineStr">
        <is>
          <t>Global Final Damage Bonus % (Enrage + Combo Synergy)</t>
        </is>
      </c>
      <c r="B3102">
        <f>((C3084=TRUE)*F3084*IF(AND(Inputs!$B$38&lt;&gt;"pvp",Inputs!$B$43&gt;0),(((R3084-1)*(Skills!T17*(1+(Inputs!$B$34+(ArtifactsInput!$M$7-ArtifactsInput!$M$7)*CHOOSE(ArtifactsInput!$N$7+1,6,7.2,8.4,9.6,10.8,12))/100))+MIN((Skills!T17*(1+(Inputs!$B$34+(ArtifactsInput!$M$7-ArtifactsInput!$M$7)*CHOOSE(ArtifactsInput!$N$7+1,6,7.2,8.4,9.6,10.8,12))/100)),MAX(0,Inputs!$B$43-((R3084-1)*Skills!D17))))/Inputs!$B$43),IF(Inputs!$B$38="pvp",MIN((Skills!T17*(1+(Inputs!$B$34+(ArtifactsInput!$M$7-ArtifactsInput!$M$7)*CHOOSE(ArtifactsInput!$N$7+1,6,7.2,8.4,9.6,10.8,12))/100)),15)/15,(Skills!T17*(1+(Inputs!$B$34+(ArtifactsInput!$M$7-ArtifactsInput!$M$7)*CHOOSE(ArtifactsInput!$N$7+1,6,7.2,8.4,9.6,10.8,12))/100))/Skills!D17)))+((C3081=TRUE)*F3081*IF(Inputs!$B$3&gt;=110,7,5))</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Hero — Equipment Compare</t>
        </is>
      </c>
      <c r="Q1" t="inlineStr">
        <is>
          <t>Main Stat (flat)</t>
        </is>
      </c>
      <c r="R1">
        <f>Sensitivity!H5</f>
        <v/>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c r="R2">
        <f>Sensitivity!H6</f>
        <v/>
      </c>
    </row>
    <row r="3">
      <c r="Q3" t="inlineStr">
        <is>
          <t>Attack (flat)</t>
        </is>
      </c>
      <c r="R3">
        <f>Sensitivity!H26</f>
        <v/>
      </c>
    </row>
    <row r="4">
      <c r="B4" s="11" t="inlineStr">
        <is>
          <t>Current Equip</t>
        </is>
      </c>
      <c r="C4" s="12" t="n"/>
      <c r="D4" s="12" t="n"/>
      <c r="E4" s="12" t="n"/>
      <c r="F4" s="12" t="n"/>
      <c r="G4" s="12" t="n"/>
      <c r="I4" s="11" t="inlineStr">
        <is>
          <t>New Equip</t>
        </is>
      </c>
      <c r="J4" s="12" t="n"/>
      <c r="K4" s="12" t="n"/>
      <c r="L4" s="12" t="n"/>
      <c r="M4" s="12" t="n"/>
      <c r="N4" s="12" t="n"/>
      <c r="Q4" t="inlineStr">
        <is>
          <t>Min Damage %</t>
        </is>
      </c>
      <c r="R4">
        <f>Sensitivity!H13</f>
        <v/>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c r="R5">
        <f>Sensitivity!H14</f>
        <v/>
      </c>
    </row>
    <row r="6">
      <c r="A6" s="6" t="inlineStr">
        <is>
          <t>Line 2</t>
        </is>
      </c>
      <c r="B6" s="7" t="inlineStr">
        <is>
          <t>(none)</t>
        </is>
      </c>
      <c r="C6" s="7" t="n">
        <v>0</v>
      </c>
      <c r="D6">
        <f>IF(B6="(none)",0,C6*(INDEX($R$1:$R$21,MATCH(B6,$Q$1:$Q$21,0))))</f>
        <v/>
      </c>
      <c r="E6">
        <f>SUMIF($B$5:$B$10,B6,$D$5:$D$10)</f>
        <v/>
      </c>
      <c r="F6">
        <f>AND(B6&lt;&gt;"(none)",COUNTIF($B$5:B5,B6)=0)</f>
        <v/>
      </c>
      <c r="G6">
        <f>IF(NOT(F6),1,1+E6/Summary!$B$3)</f>
        <v/>
      </c>
      <c r="I6" s="7" t="inlineStr">
        <is>
          <t>(none)</t>
        </is>
      </c>
      <c r="J6" s="7" t="n">
        <v>0</v>
      </c>
      <c r="K6">
        <f>IF(I6="(none)",0,J6*(INDEX($R$1:$R$21,MATCH(I6,$Q$1:$Q$21,0))))</f>
        <v/>
      </c>
      <c r="L6">
        <f>SUMIF($I$5:$I$10,I6,$K$5:$K$10)</f>
        <v/>
      </c>
      <c r="M6">
        <f>AND(I6&lt;&gt;"(none)",COUNTIF($I$5:I5,I6)=0)</f>
        <v/>
      </c>
      <c r="N6">
        <f>IF(NOT(M6),1,1+L6/Summary!$B$3)</f>
        <v/>
      </c>
      <c r="Q6" t="inlineStr">
        <is>
          <t>Damage %</t>
        </is>
      </c>
      <c r="R6">
        <f>Sensitivity!H8</f>
        <v/>
      </c>
    </row>
    <row r="7">
      <c r="A7" s="6" t="inlineStr">
        <is>
          <t>Line 3</t>
        </is>
      </c>
      <c r="B7" s="7" t="inlineStr">
        <is>
          <t>(none)</t>
        </is>
      </c>
      <c r="C7" s="7" t="n">
        <v>0</v>
      </c>
      <c r="D7">
        <f>IF(B7="(none)",0,C7*(INDEX($R$1:$R$21,MATCH(B7,$Q$1:$Q$21,0))))</f>
        <v/>
      </c>
      <c r="E7">
        <f>SUMIF($B$5:$B$10,B7,$D$5:$D$10)</f>
        <v/>
      </c>
      <c r="F7">
        <f>AND(B7&lt;&gt;"(none)",COUNTIF($B$5:B6,B7)=0)</f>
        <v/>
      </c>
      <c r="G7">
        <f>IF(NOT(F7),1,1+E7/Summary!$B$3)</f>
        <v/>
      </c>
      <c r="I7" s="7" t="inlineStr">
        <is>
          <t>(none)</t>
        </is>
      </c>
      <c r="J7" s="7" t="n">
        <v>0</v>
      </c>
      <c r="K7">
        <f>IF(I7="(none)",0,J7*(INDEX($R$1:$R$21,MATCH(I7,$Q$1:$Q$21,0))))</f>
        <v/>
      </c>
      <c r="L7">
        <f>SUMIF($I$5:$I$10,I7,$K$5:$K$10)</f>
        <v/>
      </c>
      <c r="M7">
        <f>AND(I7&lt;&gt;"(none)",COUNTIF($I$5:I6,I7)=0)</f>
        <v/>
      </c>
      <c r="N7">
        <f>IF(NOT(M7),1,1+L7/Summary!$B$3)</f>
        <v/>
      </c>
      <c r="Q7" t="inlineStr">
        <is>
          <t>Critical Rate %</t>
        </is>
      </c>
      <c r="R7">
        <f>IF(AND(Inputs!$B$9+Summary!$B$14+Artifacts!$B$32&gt;=100,NOT(ArtifactsInput!$M$42),NOT(ArtifactsInput!$M$24)),Sensitivity!H16,Sensitivity!H15)</f>
        <v/>
      </c>
    </row>
    <row r="8">
      <c r="A8" s="6" t="inlineStr">
        <is>
          <t>Line 4</t>
        </is>
      </c>
      <c r="B8" s="7" t="inlineStr">
        <is>
          <t>(none)</t>
        </is>
      </c>
      <c r="C8" s="7" t="n">
        <v>0</v>
      </c>
      <c r="D8">
        <f>IF(B8="(none)",0,C8*(INDEX($R$1:$R$21,MATCH(B8,$Q$1:$Q$21,0))))</f>
        <v/>
      </c>
      <c r="E8">
        <f>SUMIF($B$5:$B$10,B8,$D$5:$D$10)</f>
        <v/>
      </c>
      <c r="F8">
        <f>AND(B8&lt;&gt;"(none)",COUNTIF($B$5:B7,B8)=0)</f>
        <v/>
      </c>
      <c r="G8">
        <f>IF(NOT(F8),1,1+E8/Summary!$B$3)</f>
        <v/>
      </c>
      <c r="I8" s="7" t="inlineStr">
        <is>
          <t>(none)</t>
        </is>
      </c>
      <c r="J8" s="7" t="n">
        <v>0</v>
      </c>
      <c r="K8">
        <f>IF(I8="(none)",0,J8*(INDEX($R$1:$R$21,MATCH(I8,$Q$1:$Q$21,0))))</f>
        <v/>
      </c>
      <c r="L8">
        <f>SUMIF($I$5:$I$10,I8,$K$5:$K$10)</f>
        <v/>
      </c>
      <c r="M8">
        <f>AND(I8&lt;&gt;"(none)",COUNTIF($I$5:I7,I8)=0)</f>
        <v/>
      </c>
      <c r="N8">
        <f>IF(NOT(M8),1,1+L8/Summary!$B$3)</f>
        <v/>
      </c>
      <c r="Q8" t="inlineStr">
        <is>
          <t>Critical Damage %</t>
        </is>
      </c>
      <c r="R8">
        <f>Sensitivity!H16</f>
        <v/>
      </c>
    </row>
    <row r="9">
      <c r="A9" s="6" t="inlineStr">
        <is>
          <t>Line 5</t>
        </is>
      </c>
      <c r="B9" s="7" t="inlineStr">
        <is>
          <t>(none)</t>
        </is>
      </c>
      <c r="C9" s="7" t="n">
        <v>0</v>
      </c>
      <c r="D9">
        <f>IF(B9="(none)",0,C9*(INDEX($R$1:$R$21,MATCH(B9,$Q$1:$Q$21,0))))</f>
        <v/>
      </c>
      <c r="E9">
        <f>SUMIF($B$5:$B$10,B9,$D$5:$D$10)</f>
        <v/>
      </c>
      <c r="F9">
        <f>AND(B9&lt;&gt;"(none)",COUNTIF($B$5:B8,B9)=0)</f>
        <v/>
      </c>
      <c r="G9">
        <f>IF(NOT(F9),1,1+E9/Summary!$B$3)</f>
        <v/>
      </c>
      <c r="I9" s="7" t="inlineStr">
        <is>
          <t>(none)</t>
        </is>
      </c>
      <c r="J9" s="7" t="n">
        <v>0</v>
      </c>
      <c r="K9">
        <f>IF(I9="(none)",0,J9*(INDEX($R$1:$R$21,MATCH(I9,$Q$1:$Q$21,0))))</f>
        <v/>
      </c>
      <c r="L9">
        <f>SUMIF($I$5:$I$10,I9,$K$5:$K$10)</f>
        <v/>
      </c>
      <c r="M9">
        <f>AND(I9&lt;&gt;"(none)",COUNTIF($I$5:I8,I9)=0)</f>
        <v/>
      </c>
      <c r="N9">
        <f>IF(NOT(M9),1,1+L9/Summary!$B$3)</f>
        <v/>
      </c>
      <c r="Q9" t="inlineStr">
        <is>
          <t>Boss Monster Damage %</t>
        </is>
      </c>
      <c r="R9">
        <f>Sensitivity!H10</f>
        <v/>
      </c>
    </row>
    <row r="10">
      <c r="A10" s="6" t="inlineStr">
        <is>
          <t>Line 6</t>
        </is>
      </c>
      <c r="B10" s="7" t="inlineStr">
        <is>
          <t>(none)</t>
        </is>
      </c>
      <c r="C10" s="7" t="n">
        <v>0</v>
      </c>
      <c r="D10">
        <f>IF(B10="(none)",0,C10*(INDEX($R$1:$R$21,MATCH(B10,$Q$1:$Q$21,0))))</f>
        <v/>
      </c>
      <c r="E10">
        <f>SUMIF($B$5:$B$10,B10,$D$5:$D$10)</f>
        <v/>
      </c>
      <c r="F10">
        <f>AND(B10&lt;&gt;"(none)",COUNTIF($B$5:B9,B10)=0)</f>
        <v/>
      </c>
      <c r="G10">
        <f>IF(NOT(F10),1,1+E10/Summary!$B$3)</f>
        <v/>
      </c>
      <c r="I10" s="7" t="inlineStr">
        <is>
          <t>(none)</t>
        </is>
      </c>
      <c r="J10" s="7" t="n">
        <v>0</v>
      </c>
      <c r="K10">
        <f>IF(I10="(none)",0,J10*(INDEX($R$1:$R$21,MATCH(I10,$Q$1:$Q$21,0))))</f>
        <v/>
      </c>
      <c r="L10">
        <f>SUMIF($I$5:$I$10,I10,$K$5:$K$10)</f>
        <v/>
      </c>
      <c r="M10">
        <f>AND(I10&lt;&gt;"(none)",COUNTIF($I$5:I9,I10)=0)</f>
        <v/>
      </c>
      <c r="N10">
        <f>IF(NOT(M10),1,1+L10/Summary!$B$3)</f>
        <v/>
      </c>
      <c r="Q10" t="inlineStr">
        <is>
          <t>Normal Monster Damage %</t>
        </is>
      </c>
      <c r="R10">
        <f>Sensitivity!H11</f>
        <v/>
      </c>
    </row>
    <row r="11">
      <c r="Q11" t="inlineStr">
        <is>
          <t>Defense Penetration %</t>
        </is>
      </c>
      <c r="R11">
        <f>Sensitivity!H18</f>
        <v/>
      </c>
    </row>
    <row r="12">
      <c r="A12" s="6" t="inlineStr">
        <is>
          <t>Total DPS Gain</t>
        </is>
      </c>
      <c r="D12">
        <f>Summary!$B$3*(PRODUCT($G$5:$G$10)-1)</f>
        <v/>
      </c>
      <c r="K12">
        <f>Summary!$B$3*(PRODUCT($N$5:$N$10)-1)</f>
        <v/>
      </c>
      <c r="Q12" t="inlineStr">
        <is>
          <t>Defense (flat)</t>
        </is>
      </c>
      <c r="R12">
        <f>0</f>
        <v/>
      </c>
    </row>
    <row r="13">
      <c r="A13" s="6" t="inlineStr">
        <is>
          <t>% of Total DPS</t>
        </is>
      </c>
      <c r="D13" s="13">
        <f>D12/Summary!$B$3*100</f>
        <v/>
      </c>
      <c r="K13" s="13">
        <f>K12/Summary!$B$3*100</f>
        <v/>
      </c>
      <c r="Q13" t="inlineStr">
        <is>
          <t>Skill Level Bonus — 1st Job</t>
        </is>
      </c>
      <c r="R13">
        <f>Sensitivity!H21</f>
        <v/>
      </c>
    </row>
    <row r="14">
      <c r="Q14" t="inlineStr">
        <is>
          <t>Skill Level Bonus — 2nd Job</t>
        </is>
      </c>
      <c r="R14">
        <f>Sensitivity!H22</f>
        <v/>
      </c>
    </row>
    <row r="15">
      <c r="A15" s="9" t="inlineStr">
        <is>
          <t>New vs Current — DPS % Delta</t>
        </is>
      </c>
      <c r="D15" s="14">
        <f>K13-D13</f>
        <v/>
      </c>
      <c r="Q15" t="inlineStr">
        <is>
          <t>Skill Level Bonus — 3rd Job</t>
        </is>
      </c>
      <c r="R15">
        <f>Sensitivity!H23</f>
        <v/>
      </c>
    </row>
    <row r="16">
      <c r="Q16" t="inlineStr">
        <is>
          <t>Skill Level Bonus — 4th Job</t>
        </is>
      </c>
      <c r="R16">
        <f>Sensitivity!H24</f>
        <v/>
      </c>
    </row>
    <row r="17">
      <c r="Q17" t="inlineStr">
        <is>
          <t>Skill Level Bonus — All Skills</t>
        </is>
      </c>
      <c r="R17">
        <f>Sensitivity!H25</f>
        <v/>
      </c>
    </row>
    <row r="18">
      <c r="Q18" t="inlineStr">
        <is>
          <t>Final Damage %</t>
        </is>
      </c>
      <c r="R18">
        <f>Sensitivity!H12</f>
        <v/>
      </c>
    </row>
    <row r="19">
      <c r="Q19" t="inlineStr">
        <is>
          <t>Basic Attack Damage %</t>
        </is>
      </c>
      <c r="R19">
        <f>Sensitivity!H19</f>
        <v/>
      </c>
    </row>
    <row r="20">
      <c r="Q20" t="inlineStr">
        <is>
          <t>Skill Damage %</t>
        </is>
      </c>
      <c r="R20">
        <f>Sensitivity!H20</f>
        <v/>
      </c>
    </row>
    <row r="21">
      <c r="Q21" t="inlineStr">
        <is>
          <t>Attack Speed %</t>
        </is>
      </c>
      <c r="R21">
        <f>Sensitivity!H17</f>
        <v/>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Hero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2026-10-09T08:25:25Z</dcterms:created>
  <dcterms:modified xsi:type="dcterms:W3CDTF">2026-10-09T08:25:25Z</dcterms:modified>
</cp:coreProperties>
</file>